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rck\Desktop\Cours\3A\PE\lib\formatter\"/>
    </mc:Choice>
  </mc:AlternateContent>
  <bookViews>
    <workbookView xWindow="0" yWindow="0" windowWidth="28800" windowHeight="12435" activeTab="1"/>
  </bookViews>
  <sheets>
    <sheet name="Simplified Model" sheetId="1" r:id="rId1"/>
    <sheet name="Real Model" sheetId="5" r:id="rId2"/>
    <sheet name="Nombre campus" sheetId="3" r:id="rId3"/>
    <sheet name="Calendrier" sheetId="4" r:id="rId4"/>
  </sheets>
  <definedNames>
    <definedName name="_xlnm._FilterDatabase" localSheetId="1" hidden="1">'Real Model'!$A$14:$D$379</definedName>
    <definedName name="CA_cumulé">#REF!</definedName>
    <definedName name="commandes">'Simplified Model'!$D$17:$D$381</definedName>
    <definedName name="Dates">'Simplified Model'!$B$17:$B$381</definedName>
    <definedName name="Dates_Ca">#REF!</definedName>
  </definedNames>
  <calcPr calcId="152511" calcMode="manual"/>
</workbook>
</file>

<file path=xl/calcChain.xml><?xml version="1.0" encoding="utf-8"?>
<calcChain xmlns="http://schemas.openxmlformats.org/spreadsheetml/2006/main">
  <c r="BS5" i="5" l="1"/>
  <c r="BO5" i="5"/>
  <c r="BK5" i="5"/>
  <c r="BG5" i="5"/>
  <c r="BC5" i="5"/>
  <c r="AY5" i="5"/>
  <c r="AU5" i="5"/>
  <c r="AQ5" i="5"/>
  <c r="AM5" i="5"/>
  <c r="AI5" i="5"/>
  <c r="AE5" i="5"/>
  <c r="AA5" i="5"/>
  <c r="W5" i="5"/>
  <c r="S5" i="5"/>
  <c r="O5" i="5"/>
  <c r="K5" i="5"/>
  <c r="BR379" i="5"/>
  <c r="BR378" i="5"/>
  <c r="BR377" i="5"/>
  <c r="BR376" i="5"/>
  <c r="BR375" i="5"/>
  <c r="BR374" i="5"/>
  <c r="BR373" i="5"/>
  <c r="BR372" i="5"/>
  <c r="BR371" i="5"/>
  <c r="BR370" i="5"/>
  <c r="BR369" i="5"/>
  <c r="BR368" i="5"/>
  <c r="BR367" i="5"/>
  <c r="BR366" i="5"/>
  <c r="BR365" i="5"/>
  <c r="BR364" i="5"/>
  <c r="BR363" i="5"/>
  <c r="BR362" i="5"/>
  <c r="BR361" i="5"/>
  <c r="BR360" i="5"/>
  <c r="BR359" i="5"/>
  <c r="BR358" i="5"/>
  <c r="BR357" i="5"/>
  <c r="BR356" i="5"/>
  <c r="BR355" i="5"/>
  <c r="BR354" i="5"/>
  <c r="BR353" i="5"/>
  <c r="BR352" i="5"/>
  <c r="BR351" i="5"/>
  <c r="BR350" i="5"/>
  <c r="BR349" i="5"/>
  <c r="BR348" i="5"/>
  <c r="BR347" i="5"/>
  <c r="BR346" i="5"/>
  <c r="BR345" i="5"/>
  <c r="BR344" i="5"/>
  <c r="BR343" i="5"/>
  <c r="BR342" i="5"/>
  <c r="BR341" i="5"/>
  <c r="BR340" i="5"/>
  <c r="BR339" i="5"/>
  <c r="BR338" i="5"/>
  <c r="BR337" i="5"/>
  <c r="BR336" i="5"/>
  <c r="BR335" i="5"/>
  <c r="BR334" i="5"/>
  <c r="BR333" i="5"/>
  <c r="BR332" i="5"/>
  <c r="BR331" i="5"/>
  <c r="BR330" i="5"/>
  <c r="BR329" i="5"/>
  <c r="BR328" i="5"/>
  <c r="BR327" i="5"/>
  <c r="BR326" i="5"/>
  <c r="BR325" i="5"/>
  <c r="BR324" i="5"/>
  <c r="BR323" i="5"/>
  <c r="BR322" i="5"/>
  <c r="BR321" i="5"/>
  <c r="BR320" i="5"/>
  <c r="BR319" i="5"/>
  <c r="BR318" i="5"/>
  <c r="BR317" i="5"/>
  <c r="BR316" i="5"/>
  <c r="BR315" i="5"/>
  <c r="BR314" i="5"/>
  <c r="BR313" i="5"/>
  <c r="BR312" i="5"/>
  <c r="BR311" i="5"/>
  <c r="BR310" i="5"/>
  <c r="BR309" i="5"/>
  <c r="BR308" i="5"/>
  <c r="BR307" i="5"/>
  <c r="BR306" i="5"/>
  <c r="BR305" i="5"/>
  <c r="BR304" i="5"/>
  <c r="BR303" i="5"/>
  <c r="BR302" i="5"/>
  <c r="BR301" i="5"/>
  <c r="BR300" i="5"/>
  <c r="BR299" i="5"/>
  <c r="BR298" i="5"/>
  <c r="BR297" i="5"/>
  <c r="BR296" i="5"/>
  <c r="BR295" i="5"/>
  <c r="BR294" i="5"/>
  <c r="BR293" i="5"/>
  <c r="BR292" i="5"/>
  <c r="BR291" i="5"/>
  <c r="BR290" i="5"/>
  <c r="BR289" i="5"/>
  <c r="BR288" i="5"/>
  <c r="BR287" i="5"/>
  <c r="BR286" i="5"/>
  <c r="BR285" i="5"/>
  <c r="BR284" i="5"/>
  <c r="BR283" i="5"/>
  <c r="BR282" i="5"/>
  <c r="BR281" i="5"/>
  <c r="BR280" i="5"/>
  <c r="BR279" i="5"/>
  <c r="BR278" i="5"/>
  <c r="BR277" i="5"/>
  <c r="BR276" i="5"/>
  <c r="BR275" i="5"/>
  <c r="BR274" i="5"/>
  <c r="BR273" i="5"/>
  <c r="BR272" i="5"/>
  <c r="BR271" i="5"/>
  <c r="BR270" i="5"/>
  <c r="BR269" i="5"/>
  <c r="BR268" i="5"/>
  <c r="BR267" i="5"/>
  <c r="BR266" i="5"/>
  <c r="BR265" i="5"/>
  <c r="BR264" i="5"/>
  <c r="BR263" i="5"/>
  <c r="BR262" i="5"/>
  <c r="BR261" i="5"/>
  <c r="BR260" i="5"/>
  <c r="BR259" i="5"/>
  <c r="BR258" i="5"/>
  <c r="BR257" i="5"/>
  <c r="BR256" i="5"/>
  <c r="BR255" i="5"/>
  <c r="BR254" i="5"/>
  <c r="BR253" i="5"/>
  <c r="BR252" i="5"/>
  <c r="BR251" i="5"/>
  <c r="BR250" i="5"/>
  <c r="BR249" i="5"/>
  <c r="BR248" i="5"/>
  <c r="BR247" i="5"/>
  <c r="BR246" i="5"/>
  <c r="BR245" i="5"/>
  <c r="BR244" i="5"/>
  <c r="BR243" i="5"/>
  <c r="BR242" i="5"/>
  <c r="BR241" i="5"/>
  <c r="BR240" i="5"/>
  <c r="BR239" i="5"/>
  <c r="BR238" i="5"/>
  <c r="BR237" i="5"/>
  <c r="BR236" i="5"/>
  <c r="BR235" i="5"/>
  <c r="BR234" i="5"/>
  <c r="BR233" i="5"/>
  <c r="BR232" i="5"/>
  <c r="BR231" i="5"/>
  <c r="BR230" i="5"/>
  <c r="BR229" i="5"/>
  <c r="BR228" i="5"/>
  <c r="BR227" i="5"/>
  <c r="BR226" i="5"/>
  <c r="BR225" i="5"/>
  <c r="BR224" i="5"/>
  <c r="BR223" i="5"/>
  <c r="BR222" i="5"/>
  <c r="BR221" i="5"/>
  <c r="BR220" i="5"/>
  <c r="BR219" i="5"/>
  <c r="BR218" i="5"/>
  <c r="BR217" i="5"/>
  <c r="BR216" i="5"/>
  <c r="BR215" i="5"/>
  <c r="BR214" i="5"/>
  <c r="BR213" i="5"/>
  <c r="BR212" i="5"/>
  <c r="BR211" i="5"/>
  <c r="BR210" i="5"/>
  <c r="BR209" i="5"/>
  <c r="BR208" i="5"/>
  <c r="BR207" i="5"/>
  <c r="BR206" i="5"/>
  <c r="BR205" i="5"/>
  <c r="BR204" i="5"/>
  <c r="BR203" i="5"/>
  <c r="BR202" i="5"/>
  <c r="BS201" i="5"/>
  <c r="BR201" i="5"/>
  <c r="BS200" i="5"/>
  <c r="BR200" i="5"/>
  <c r="BS199" i="5"/>
  <c r="BR199" i="5"/>
  <c r="BS198" i="5"/>
  <c r="BR198" i="5"/>
  <c r="BS197" i="5"/>
  <c r="BR197" i="5"/>
  <c r="BS196" i="5"/>
  <c r="BR196" i="5"/>
  <c r="BS195" i="5"/>
  <c r="BR195" i="5"/>
  <c r="BS194" i="5"/>
  <c r="BR194" i="5"/>
  <c r="BS193" i="5"/>
  <c r="BR193" i="5"/>
  <c r="BS192" i="5"/>
  <c r="BR192" i="5"/>
  <c r="BS191" i="5"/>
  <c r="BR191" i="5"/>
  <c r="BS190" i="5"/>
  <c r="BR190" i="5"/>
  <c r="BS189" i="5"/>
  <c r="BR189" i="5"/>
  <c r="BS188" i="5"/>
  <c r="BR188" i="5"/>
  <c r="BS187" i="5"/>
  <c r="BR187" i="5"/>
  <c r="BS186" i="5"/>
  <c r="BR186" i="5"/>
  <c r="BS185" i="5"/>
  <c r="BR185" i="5"/>
  <c r="BS184" i="5"/>
  <c r="BR184" i="5"/>
  <c r="BS183" i="5"/>
  <c r="BR183" i="5"/>
  <c r="BS182" i="5"/>
  <c r="BR182" i="5"/>
  <c r="BS181" i="5"/>
  <c r="BR181" i="5"/>
  <c r="BS180" i="5"/>
  <c r="BR180" i="5"/>
  <c r="BS179" i="5"/>
  <c r="BR179" i="5"/>
  <c r="BS178" i="5"/>
  <c r="BR178" i="5"/>
  <c r="BS177" i="5"/>
  <c r="BR177" i="5"/>
  <c r="BS176" i="5"/>
  <c r="BR176" i="5"/>
  <c r="BS175" i="5"/>
  <c r="BR175" i="5"/>
  <c r="BS174" i="5"/>
  <c r="BR174" i="5"/>
  <c r="BS173" i="5"/>
  <c r="BR173" i="5"/>
  <c r="BS172" i="5"/>
  <c r="BR172" i="5"/>
  <c r="BS171" i="5"/>
  <c r="BR171" i="5"/>
  <c r="BS170" i="5"/>
  <c r="BR170" i="5"/>
  <c r="BS169" i="5"/>
  <c r="BR169" i="5"/>
  <c r="BS168" i="5"/>
  <c r="BR168" i="5"/>
  <c r="BS167" i="5"/>
  <c r="BR167" i="5"/>
  <c r="BS166" i="5"/>
  <c r="BR166" i="5"/>
  <c r="BS165" i="5"/>
  <c r="BR165" i="5"/>
  <c r="BS164" i="5"/>
  <c r="BR164" i="5"/>
  <c r="BS163" i="5"/>
  <c r="BR163" i="5"/>
  <c r="BS162" i="5"/>
  <c r="BR162" i="5"/>
  <c r="BS161" i="5"/>
  <c r="BR161" i="5"/>
  <c r="BS160" i="5"/>
  <c r="BR160" i="5"/>
  <c r="BS159" i="5"/>
  <c r="BR159" i="5"/>
  <c r="BS158" i="5"/>
  <c r="BR158" i="5"/>
  <c r="BS157" i="5"/>
  <c r="BR157" i="5"/>
  <c r="BS156" i="5"/>
  <c r="BR156" i="5"/>
  <c r="BS155" i="5"/>
  <c r="BR155" i="5"/>
  <c r="BS154" i="5"/>
  <c r="BR154" i="5"/>
  <c r="BS153" i="5"/>
  <c r="BR153" i="5"/>
  <c r="BS152" i="5"/>
  <c r="BR152" i="5"/>
  <c r="BS151" i="5"/>
  <c r="BR151" i="5"/>
  <c r="BS150" i="5"/>
  <c r="BR150" i="5"/>
  <c r="BS149" i="5"/>
  <c r="BR149" i="5"/>
  <c r="BS148" i="5"/>
  <c r="BR148" i="5"/>
  <c r="BS147" i="5"/>
  <c r="BR147" i="5"/>
  <c r="BS146" i="5"/>
  <c r="BR146" i="5"/>
  <c r="BS145" i="5"/>
  <c r="BR145" i="5"/>
  <c r="BS144" i="5"/>
  <c r="BR144" i="5"/>
  <c r="BS143" i="5"/>
  <c r="BR143" i="5"/>
  <c r="BS142" i="5"/>
  <c r="BR142" i="5"/>
  <c r="BS141" i="5"/>
  <c r="BR141" i="5"/>
  <c r="BS140" i="5"/>
  <c r="BR140" i="5"/>
  <c r="BS139" i="5"/>
  <c r="BR139" i="5"/>
  <c r="BS138" i="5"/>
  <c r="BR138" i="5"/>
  <c r="BS137" i="5"/>
  <c r="BR137" i="5"/>
  <c r="BS136" i="5"/>
  <c r="BR136" i="5"/>
  <c r="BS135" i="5"/>
  <c r="BR135" i="5"/>
  <c r="BS134" i="5"/>
  <c r="BR134" i="5"/>
  <c r="BS133" i="5"/>
  <c r="BR133" i="5"/>
  <c r="BS132" i="5"/>
  <c r="BR132" i="5"/>
  <c r="BS131" i="5"/>
  <c r="BR131" i="5"/>
  <c r="BS130" i="5"/>
  <c r="BR130" i="5"/>
  <c r="BS129" i="5"/>
  <c r="BR129" i="5"/>
  <c r="BS128" i="5"/>
  <c r="BR128" i="5"/>
  <c r="BS127" i="5"/>
  <c r="BR127" i="5"/>
  <c r="BS126" i="5"/>
  <c r="BR126" i="5"/>
  <c r="BS125" i="5"/>
  <c r="BR125" i="5"/>
  <c r="BS124" i="5"/>
  <c r="BR124" i="5"/>
  <c r="BS123" i="5"/>
  <c r="BR123" i="5"/>
  <c r="BS122" i="5"/>
  <c r="BR122" i="5"/>
  <c r="BS121" i="5"/>
  <c r="BR121" i="5"/>
  <c r="BS120" i="5"/>
  <c r="BR120" i="5"/>
  <c r="BS119" i="5"/>
  <c r="BR119" i="5"/>
  <c r="BS118" i="5"/>
  <c r="BR118" i="5"/>
  <c r="BS117" i="5"/>
  <c r="BR117" i="5"/>
  <c r="BS116" i="5"/>
  <c r="BR116" i="5"/>
  <c r="BS115" i="5"/>
  <c r="BR115" i="5"/>
  <c r="BS114" i="5"/>
  <c r="BR114" i="5"/>
  <c r="BS113" i="5"/>
  <c r="BR113" i="5"/>
  <c r="BS112" i="5"/>
  <c r="BR112" i="5"/>
  <c r="BS111" i="5"/>
  <c r="BR111" i="5"/>
  <c r="BS110" i="5"/>
  <c r="BR110" i="5"/>
  <c r="BS109" i="5"/>
  <c r="BR109" i="5"/>
  <c r="BS108" i="5"/>
  <c r="BR108" i="5"/>
  <c r="BS107" i="5"/>
  <c r="BR107" i="5"/>
  <c r="BS106" i="5"/>
  <c r="BR106" i="5"/>
  <c r="BS105" i="5"/>
  <c r="BR105" i="5"/>
  <c r="BS104" i="5"/>
  <c r="BR104" i="5"/>
  <c r="BS103" i="5"/>
  <c r="BR103" i="5"/>
  <c r="BS102" i="5"/>
  <c r="BR102" i="5"/>
  <c r="BS101" i="5"/>
  <c r="BR101" i="5"/>
  <c r="BS100" i="5"/>
  <c r="BR100" i="5"/>
  <c r="BS99" i="5"/>
  <c r="BR99" i="5"/>
  <c r="BS98" i="5"/>
  <c r="BR98" i="5"/>
  <c r="BS97" i="5"/>
  <c r="BR97" i="5"/>
  <c r="BS96" i="5"/>
  <c r="BR96" i="5"/>
  <c r="BS95" i="5"/>
  <c r="BR95" i="5"/>
  <c r="BS94" i="5"/>
  <c r="BR94" i="5"/>
  <c r="BS93" i="5"/>
  <c r="BR93" i="5"/>
  <c r="BS92" i="5"/>
  <c r="BR92" i="5"/>
  <c r="BS91" i="5"/>
  <c r="BR91" i="5"/>
  <c r="BS90" i="5"/>
  <c r="BR90" i="5"/>
  <c r="BS89" i="5"/>
  <c r="BR89" i="5"/>
  <c r="BS88" i="5"/>
  <c r="BR88" i="5"/>
  <c r="BS87" i="5"/>
  <c r="BR87" i="5"/>
  <c r="BS86" i="5"/>
  <c r="BR86" i="5"/>
  <c r="BS85" i="5"/>
  <c r="BR85" i="5"/>
  <c r="BS84" i="5"/>
  <c r="BR84" i="5"/>
  <c r="BS83" i="5"/>
  <c r="BR83" i="5"/>
  <c r="BS82" i="5"/>
  <c r="BR82" i="5"/>
  <c r="BS81" i="5"/>
  <c r="BR81" i="5"/>
  <c r="BS80" i="5"/>
  <c r="BR80" i="5"/>
  <c r="BS79" i="5"/>
  <c r="BR79" i="5"/>
  <c r="BS78" i="5"/>
  <c r="BR78" i="5"/>
  <c r="BS77" i="5"/>
  <c r="BR77" i="5"/>
  <c r="BS76" i="5"/>
  <c r="BR76" i="5"/>
  <c r="BS75" i="5"/>
  <c r="BR75" i="5"/>
  <c r="BS74" i="5"/>
  <c r="BR74" i="5"/>
  <c r="BR73" i="5"/>
  <c r="BR72" i="5"/>
  <c r="BR71" i="5"/>
  <c r="BR70" i="5"/>
  <c r="BR69" i="5"/>
  <c r="BR68" i="5"/>
  <c r="BR67" i="5"/>
  <c r="BR66" i="5"/>
  <c r="BR65" i="5"/>
  <c r="BR64" i="5"/>
  <c r="BR63" i="5"/>
  <c r="BR62" i="5"/>
  <c r="BR61" i="5"/>
  <c r="BR60" i="5"/>
  <c r="BR59" i="5"/>
  <c r="BR58" i="5"/>
  <c r="BR57" i="5"/>
  <c r="BR56" i="5"/>
  <c r="BR55" i="5"/>
  <c r="BR54" i="5"/>
  <c r="BR53" i="5"/>
  <c r="BR52" i="5"/>
  <c r="BR51" i="5"/>
  <c r="BR50" i="5"/>
  <c r="BR49" i="5"/>
  <c r="BR48" i="5"/>
  <c r="BR47" i="5"/>
  <c r="BR46" i="5"/>
  <c r="BR45" i="5"/>
  <c r="BR44" i="5"/>
  <c r="BR43" i="5"/>
  <c r="BR42" i="5"/>
  <c r="BR41" i="5"/>
  <c r="BR40" i="5"/>
  <c r="BR39" i="5"/>
  <c r="BR38" i="5"/>
  <c r="BR37" i="5"/>
  <c r="BR36" i="5"/>
  <c r="BR35" i="5"/>
  <c r="BR34" i="5"/>
  <c r="BR33" i="5"/>
  <c r="BR32" i="5"/>
  <c r="BR31" i="5"/>
  <c r="BR30" i="5"/>
  <c r="BR29" i="5"/>
  <c r="BR28" i="5"/>
  <c r="BR27" i="5"/>
  <c r="BR26" i="5"/>
  <c r="BR25" i="5"/>
  <c r="BR24" i="5"/>
  <c r="BR23" i="5"/>
  <c r="BR22" i="5"/>
  <c r="BR21" i="5"/>
  <c r="BR20" i="5"/>
  <c r="BR19" i="5"/>
  <c r="BR18" i="5"/>
  <c r="BR17" i="5"/>
  <c r="BR16" i="5"/>
  <c r="BR15" i="5"/>
  <c r="BN379" i="5"/>
  <c r="BN378" i="5"/>
  <c r="BN377" i="5"/>
  <c r="BN376" i="5"/>
  <c r="BN375" i="5"/>
  <c r="BN374" i="5"/>
  <c r="BN373" i="5"/>
  <c r="BN372" i="5"/>
  <c r="BN371" i="5"/>
  <c r="BN370" i="5"/>
  <c r="BN369" i="5"/>
  <c r="BN368" i="5"/>
  <c r="BN367" i="5"/>
  <c r="BN366" i="5"/>
  <c r="BN365" i="5"/>
  <c r="BN364" i="5"/>
  <c r="BN363" i="5"/>
  <c r="BN362" i="5"/>
  <c r="BN361" i="5"/>
  <c r="BN360" i="5"/>
  <c r="BN359" i="5"/>
  <c r="BN358" i="5"/>
  <c r="BN357" i="5"/>
  <c r="BN356" i="5"/>
  <c r="BN355" i="5"/>
  <c r="BN354" i="5"/>
  <c r="BN353" i="5"/>
  <c r="BN352" i="5"/>
  <c r="BN351" i="5"/>
  <c r="BN350" i="5"/>
  <c r="BN349" i="5"/>
  <c r="BN348" i="5"/>
  <c r="BN347" i="5"/>
  <c r="BN346" i="5"/>
  <c r="BN345" i="5"/>
  <c r="BN344" i="5"/>
  <c r="BN343" i="5"/>
  <c r="BN342" i="5"/>
  <c r="BN341" i="5"/>
  <c r="BN340" i="5"/>
  <c r="BN339" i="5"/>
  <c r="BN338" i="5"/>
  <c r="BN337" i="5"/>
  <c r="BN336" i="5"/>
  <c r="BN335" i="5"/>
  <c r="BN334" i="5"/>
  <c r="BN333" i="5"/>
  <c r="BN332" i="5"/>
  <c r="BN331" i="5"/>
  <c r="BN330" i="5"/>
  <c r="BN329" i="5"/>
  <c r="BN328" i="5"/>
  <c r="BN327" i="5"/>
  <c r="BN326" i="5"/>
  <c r="BN325" i="5"/>
  <c r="BN324" i="5"/>
  <c r="BN323" i="5"/>
  <c r="BN322" i="5"/>
  <c r="BN321" i="5"/>
  <c r="BN320" i="5"/>
  <c r="BN319" i="5"/>
  <c r="BN318" i="5"/>
  <c r="BN317" i="5"/>
  <c r="BN316" i="5"/>
  <c r="BN315" i="5"/>
  <c r="BN314" i="5"/>
  <c r="BN313" i="5"/>
  <c r="BN312" i="5"/>
  <c r="BN311" i="5"/>
  <c r="BN310" i="5"/>
  <c r="BN309" i="5"/>
  <c r="BN308" i="5"/>
  <c r="BN307" i="5"/>
  <c r="BN306" i="5"/>
  <c r="BN305" i="5"/>
  <c r="BN304" i="5"/>
  <c r="BN303" i="5"/>
  <c r="BN302" i="5"/>
  <c r="BN301" i="5"/>
  <c r="BN300" i="5"/>
  <c r="BN299" i="5"/>
  <c r="BN298" i="5"/>
  <c r="BN297" i="5"/>
  <c r="BN296" i="5"/>
  <c r="BN295" i="5"/>
  <c r="BN294" i="5"/>
  <c r="BN293" i="5"/>
  <c r="BN292" i="5"/>
  <c r="BN291" i="5"/>
  <c r="BN290" i="5"/>
  <c r="BN289" i="5"/>
  <c r="BN288" i="5"/>
  <c r="BN287" i="5"/>
  <c r="BN286" i="5"/>
  <c r="BN285" i="5"/>
  <c r="BN284" i="5"/>
  <c r="BN283" i="5"/>
  <c r="BN282" i="5"/>
  <c r="BN281" i="5"/>
  <c r="BN280" i="5"/>
  <c r="BN279" i="5"/>
  <c r="BN278" i="5"/>
  <c r="BN277" i="5"/>
  <c r="BN276" i="5"/>
  <c r="BN275" i="5"/>
  <c r="BN274" i="5"/>
  <c r="BN273" i="5"/>
  <c r="BN272" i="5"/>
  <c r="BN271" i="5"/>
  <c r="BN270" i="5"/>
  <c r="BN269" i="5"/>
  <c r="BN268" i="5"/>
  <c r="BN267" i="5"/>
  <c r="BN266" i="5"/>
  <c r="BN265" i="5"/>
  <c r="BN264" i="5"/>
  <c r="BN263" i="5"/>
  <c r="BN262" i="5"/>
  <c r="BN261" i="5"/>
  <c r="BN260" i="5"/>
  <c r="BN259" i="5"/>
  <c r="BN258" i="5"/>
  <c r="BN257" i="5"/>
  <c r="BN256" i="5"/>
  <c r="BN255" i="5"/>
  <c r="BN254" i="5"/>
  <c r="BN253" i="5"/>
  <c r="BN252" i="5"/>
  <c r="BN251" i="5"/>
  <c r="BN250" i="5"/>
  <c r="BN249" i="5"/>
  <c r="BN248" i="5"/>
  <c r="BN247" i="5"/>
  <c r="BN246" i="5"/>
  <c r="BN245" i="5"/>
  <c r="BN244" i="5"/>
  <c r="BN243" i="5"/>
  <c r="BN242" i="5"/>
  <c r="BN241" i="5"/>
  <c r="BN240" i="5"/>
  <c r="BN239" i="5"/>
  <c r="BN238" i="5"/>
  <c r="BN237" i="5"/>
  <c r="BN236" i="5"/>
  <c r="BN235" i="5"/>
  <c r="BN234" i="5"/>
  <c r="BN233" i="5"/>
  <c r="BN232" i="5"/>
  <c r="BN231" i="5"/>
  <c r="BN230" i="5"/>
  <c r="BN229" i="5"/>
  <c r="BN228" i="5"/>
  <c r="BN227" i="5"/>
  <c r="BN226" i="5"/>
  <c r="BN225" i="5"/>
  <c r="BN224" i="5"/>
  <c r="BN223" i="5"/>
  <c r="BN222" i="5"/>
  <c r="BN221" i="5"/>
  <c r="BN220" i="5"/>
  <c r="BN219" i="5"/>
  <c r="BN218" i="5"/>
  <c r="BN217" i="5"/>
  <c r="BN216" i="5"/>
  <c r="BN215" i="5"/>
  <c r="BN214" i="5"/>
  <c r="BN213" i="5"/>
  <c r="BN212" i="5"/>
  <c r="BN211" i="5"/>
  <c r="BN210" i="5"/>
  <c r="BN209" i="5"/>
  <c r="BN208" i="5"/>
  <c r="BN207" i="5"/>
  <c r="BN206" i="5"/>
  <c r="BN205" i="5"/>
  <c r="BN204" i="5"/>
  <c r="BN203" i="5"/>
  <c r="BN202" i="5"/>
  <c r="BO201" i="5"/>
  <c r="BN201" i="5"/>
  <c r="BO200" i="5"/>
  <c r="BN200" i="5"/>
  <c r="BO199" i="5"/>
  <c r="BN199" i="5"/>
  <c r="BO198" i="5"/>
  <c r="BN198" i="5"/>
  <c r="BO197" i="5"/>
  <c r="BN197" i="5"/>
  <c r="BO196" i="5"/>
  <c r="BN196" i="5"/>
  <c r="BO195" i="5"/>
  <c r="BN195" i="5"/>
  <c r="BO194" i="5"/>
  <c r="BN194" i="5"/>
  <c r="BO193" i="5"/>
  <c r="BN193" i="5"/>
  <c r="BO192" i="5"/>
  <c r="BN192" i="5"/>
  <c r="BO191" i="5"/>
  <c r="BN191" i="5"/>
  <c r="BO190" i="5"/>
  <c r="BN190" i="5"/>
  <c r="BO189" i="5"/>
  <c r="BN189" i="5"/>
  <c r="BO188" i="5"/>
  <c r="BN188" i="5"/>
  <c r="BO187" i="5"/>
  <c r="BN187" i="5"/>
  <c r="BO186" i="5"/>
  <c r="BN186" i="5"/>
  <c r="BO185" i="5"/>
  <c r="BN185" i="5"/>
  <c r="BO184" i="5"/>
  <c r="BN184" i="5"/>
  <c r="BO183" i="5"/>
  <c r="BN183" i="5"/>
  <c r="BO182" i="5"/>
  <c r="BN182" i="5"/>
  <c r="BO181" i="5"/>
  <c r="BN181" i="5"/>
  <c r="BO180" i="5"/>
  <c r="BN180" i="5"/>
  <c r="BO179" i="5"/>
  <c r="BN179" i="5"/>
  <c r="BO178" i="5"/>
  <c r="BN178" i="5"/>
  <c r="BO177" i="5"/>
  <c r="BN177" i="5"/>
  <c r="BO176" i="5"/>
  <c r="BN176" i="5"/>
  <c r="BO175" i="5"/>
  <c r="BN175" i="5"/>
  <c r="BO174" i="5"/>
  <c r="BN174" i="5"/>
  <c r="BO173" i="5"/>
  <c r="BN173" i="5"/>
  <c r="BO172" i="5"/>
  <c r="BN172" i="5"/>
  <c r="BO171" i="5"/>
  <c r="BN171" i="5"/>
  <c r="BO170" i="5"/>
  <c r="BN170" i="5"/>
  <c r="BO169" i="5"/>
  <c r="BN169" i="5"/>
  <c r="BO168" i="5"/>
  <c r="BN168" i="5"/>
  <c r="BO167" i="5"/>
  <c r="BN167" i="5"/>
  <c r="BO166" i="5"/>
  <c r="BN166" i="5"/>
  <c r="BO165" i="5"/>
  <c r="BN165" i="5"/>
  <c r="BO164" i="5"/>
  <c r="BN164" i="5"/>
  <c r="BO163" i="5"/>
  <c r="BN163" i="5"/>
  <c r="BO162" i="5"/>
  <c r="BN162" i="5"/>
  <c r="BO161" i="5"/>
  <c r="BN161" i="5"/>
  <c r="BO160" i="5"/>
  <c r="BN160" i="5"/>
  <c r="BO159" i="5"/>
  <c r="BN159" i="5"/>
  <c r="BO158" i="5"/>
  <c r="BN158" i="5"/>
  <c r="BO157" i="5"/>
  <c r="BN157" i="5"/>
  <c r="BO156" i="5"/>
  <c r="BN156" i="5"/>
  <c r="BO155" i="5"/>
  <c r="BN155" i="5"/>
  <c r="BO154" i="5"/>
  <c r="BN154" i="5"/>
  <c r="BO153" i="5"/>
  <c r="BN153" i="5"/>
  <c r="BO152" i="5"/>
  <c r="BN152" i="5"/>
  <c r="BO151" i="5"/>
  <c r="BN151" i="5"/>
  <c r="BO150" i="5"/>
  <c r="BN150" i="5"/>
  <c r="BO149" i="5"/>
  <c r="BN149" i="5"/>
  <c r="BO148" i="5"/>
  <c r="BN148" i="5"/>
  <c r="BO147" i="5"/>
  <c r="BN147" i="5"/>
  <c r="BO146" i="5"/>
  <c r="BN146" i="5"/>
  <c r="BO145" i="5"/>
  <c r="BN145" i="5"/>
  <c r="BO144" i="5"/>
  <c r="BN144" i="5"/>
  <c r="BO143" i="5"/>
  <c r="BN143" i="5"/>
  <c r="BO142" i="5"/>
  <c r="BN142" i="5"/>
  <c r="BO141" i="5"/>
  <c r="BN141" i="5"/>
  <c r="BO140" i="5"/>
  <c r="BN140" i="5"/>
  <c r="BO139" i="5"/>
  <c r="BN139" i="5"/>
  <c r="BO138" i="5"/>
  <c r="BN138" i="5"/>
  <c r="BO137" i="5"/>
  <c r="BN137" i="5"/>
  <c r="BO136" i="5"/>
  <c r="BN136" i="5"/>
  <c r="BO135" i="5"/>
  <c r="BN135" i="5"/>
  <c r="BO134" i="5"/>
  <c r="BN134" i="5"/>
  <c r="BO133" i="5"/>
  <c r="BN133" i="5"/>
  <c r="BO132" i="5"/>
  <c r="BN132" i="5"/>
  <c r="BO131" i="5"/>
  <c r="BN131" i="5"/>
  <c r="BO130" i="5"/>
  <c r="BN130" i="5"/>
  <c r="BO129" i="5"/>
  <c r="BN129" i="5"/>
  <c r="BO128" i="5"/>
  <c r="BN128" i="5"/>
  <c r="BO127" i="5"/>
  <c r="BN127" i="5"/>
  <c r="BO126" i="5"/>
  <c r="BN126" i="5"/>
  <c r="BO125" i="5"/>
  <c r="BN125" i="5"/>
  <c r="BO124" i="5"/>
  <c r="BN124" i="5"/>
  <c r="BO123" i="5"/>
  <c r="BN123" i="5"/>
  <c r="BO122" i="5"/>
  <c r="BN122" i="5"/>
  <c r="BO121" i="5"/>
  <c r="BN121" i="5"/>
  <c r="BO120" i="5"/>
  <c r="BN120" i="5"/>
  <c r="BO119" i="5"/>
  <c r="BN119" i="5"/>
  <c r="BO118" i="5"/>
  <c r="BN118" i="5"/>
  <c r="BO117" i="5"/>
  <c r="BN117" i="5"/>
  <c r="BO116" i="5"/>
  <c r="BN116" i="5"/>
  <c r="BO115" i="5"/>
  <c r="BN115" i="5"/>
  <c r="BO114" i="5"/>
  <c r="BN114" i="5"/>
  <c r="BO113" i="5"/>
  <c r="BN113" i="5"/>
  <c r="BO112" i="5"/>
  <c r="BN112" i="5"/>
  <c r="BO111" i="5"/>
  <c r="BN111" i="5"/>
  <c r="BO110" i="5"/>
  <c r="BN110" i="5"/>
  <c r="BO109" i="5"/>
  <c r="BN109" i="5"/>
  <c r="BO108" i="5"/>
  <c r="BN108" i="5"/>
  <c r="BO107" i="5"/>
  <c r="BN107" i="5"/>
  <c r="BO106" i="5"/>
  <c r="BN106" i="5"/>
  <c r="BO105" i="5"/>
  <c r="BN105" i="5"/>
  <c r="BO104" i="5"/>
  <c r="BN104" i="5"/>
  <c r="BO103" i="5"/>
  <c r="BN103" i="5"/>
  <c r="BO102" i="5"/>
  <c r="BN102" i="5"/>
  <c r="BO101" i="5"/>
  <c r="BN101" i="5"/>
  <c r="BO100" i="5"/>
  <c r="BN100" i="5"/>
  <c r="BO99" i="5"/>
  <c r="BN99" i="5"/>
  <c r="BO98" i="5"/>
  <c r="BN98" i="5"/>
  <c r="BO97" i="5"/>
  <c r="BN97" i="5"/>
  <c r="BO96" i="5"/>
  <c r="BN96" i="5"/>
  <c r="BO95" i="5"/>
  <c r="BN95" i="5"/>
  <c r="BO94" i="5"/>
  <c r="BN94" i="5"/>
  <c r="BO93" i="5"/>
  <c r="BN93" i="5"/>
  <c r="BO92" i="5"/>
  <c r="BN92" i="5"/>
  <c r="BO91" i="5"/>
  <c r="BN91" i="5"/>
  <c r="BO90" i="5"/>
  <c r="BN90" i="5"/>
  <c r="BO89" i="5"/>
  <c r="BN89" i="5"/>
  <c r="BO88" i="5"/>
  <c r="BN88" i="5"/>
  <c r="BO87" i="5"/>
  <c r="BN87" i="5"/>
  <c r="BO86" i="5"/>
  <c r="BN86" i="5"/>
  <c r="BO85" i="5"/>
  <c r="BN85" i="5"/>
  <c r="BO84" i="5"/>
  <c r="BN84" i="5"/>
  <c r="BO83" i="5"/>
  <c r="BN83" i="5"/>
  <c r="BO82" i="5"/>
  <c r="BN82" i="5"/>
  <c r="BO81" i="5"/>
  <c r="BN81" i="5"/>
  <c r="BO80" i="5"/>
  <c r="BN80" i="5"/>
  <c r="BO79" i="5"/>
  <c r="BN79" i="5"/>
  <c r="BO78" i="5"/>
  <c r="BN78" i="5"/>
  <c r="BO77" i="5"/>
  <c r="BN77" i="5"/>
  <c r="BO76" i="5"/>
  <c r="BN76" i="5"/>
  <c r="BO75" i="5"/>
  <c r="BN75" i="5"/>
  <c r="BO74" i="5"/>
  <c r="BN74" i="5"/>
  <c r="BN73" i="5"/>
  <c r="BN72" i="5"/>
  <c r="BN71" i="5"/>
  <c r="BN70" i="5"/>
  <c r="BN69" i="5"/>
  <c r="BN68" i="5"/>
  <c r="BN67" i="5"/>
  <c r="BN66" i="5"/>
  <c r="BN65" i="5"/>
  <c r="BN64" i="5"/>
  <c r="BN63" i="5"/>
  <c r="BN62" i="5"/>
  <c r="BN61" i="5"/>
  <c r="BN60" i="5"/>
  <c r="BN59" i="5"/>
  <c r="BN58" i="5"/>
  <c r="BN57" i="5"/>
  <c r="BN56" i="5"/>
  <c r="BN55" i="5"/>
  <c r="BN54" i="5"/>
  <c r="BN53" i="5"/>
  <c r="BN52" i="5"/>
  <c r="BN51" i="5"/>
  <c r="BN50" i="5"/>
  <c r="BN49" i="5"/>
  <c r="BN48" i="5"/>
  <c r="BN47" i="5"/>
  <c r="BN46" i="5"/>
  <c r="BN45" i="5"/>
  <c r="BN44" i="5"/>
  <c r="BN43" i="5"/>
  <c r="BN42" i="5"/>
  <c r="BN41" i="5"/>
  <c r="BN40" i="5"/>
  <c r="BN39" i="5"/>
  <c r="BN38" i="5"/>
  <c r="BN37" i="5"/>
  <c r="BN36" i="5"/>
  <c r="BN35" i="5"/>
  <c r="BN34" i="5"/>
  <c r="BN33" i="5"/>
  <c r="BN32" i="5"/>
  <c r="BN31" i="5"/>
  <c r="BN30" i="5"/>
  <c r="BN29" i="5"/>
  <c r="BN28" i="5"/>
  <c r="BN27" i="5"/>
  <c r="BN26" i="5"/>
  <c r="BN25" i="5"/>
  <c r="BN24" i="5"/>
  <c r="BN23" i="5"/>
  <c r="BN22" i="5"/>
  <c r="BN21" i="5"/>
  <c r="BN20" i="5"/>
  <c r="BN19" i="5"/>
  <c r="BN18" i="5"/>
  <c r="BN17" i="5"/>
  <c r="BN16" i="5"/>
  <c r="BN15" i="5"/>
  <c r="BJ379" i="5"/>
  <c r="BJ378" i="5"/>
  <c r="BJ377" i="5"/>
  <c r="BJ376" i="5"/>
  <c r="BJ375" i="5"/>
  <c r="BJ374" i="5"/>
  <c r="BJ373" i="5"/>
  <c r="BJ372" i="5"/>
  <c r="BJ371" i="5"/>
  <c r="BJ370" i="5"/>
  <c r="BJ369" i="5"/>
  <c r="BJ368" i="5"/>
  <c r="BJ367" i="5"/>
  <c r="BJ366" i="5"/>
  <c r="BJ365" i="5"/>
  <c r="BJ364" i="5"/>
  <c r="BJ363" i="5"/>
  <c r="BJ362" i="5"/>
  <c r="BJ361" i="5"/>
  <c r="BJ360" i="5"/>
  <c r="BJ359" i="5"/>
  <c r="BJ358" i="5"/>
  <c r="BJ357" i="5"/>
  <c r="BJ356" i="5"/>
  <c r="BJ355" i="5"/>
  <c r="BJ354" i="5"/>
  <c r="BJ353" i="5"/>
  <c r="BJ352" i="5"/>
  <c r="BJ351" i="5"/>
  <c r="BJ350" i="5"/>
  <c r="BJ349" i="5"/>
  <c r="BJ348" i="5"/>
  <c r="BJ347" i="5"/>
  <c r="BJ346" i="5"/>
  <c r="BJ345" i="5"/>
  <c r="BJ344" i="5"/>
  <c r="BJ343" i="5"/>
  <c r="BJ342" i="5"/>
  <c r="BJ341" i="5"/>
  <c r="BJ340" i="5"/>
  <c r="BJ339" i="5"/>
  <c r="BJ338" i="5"/>
  <c r="BJ337" i="5"/>
  <c r="BJ336" i="5"/>
  <c r="BJ335" i="5"/>
  <c r="BJ334" i="5"/>
  <c r="BJ333" i="5"/>
  <c r="BJ332" i="5"/>
  <c r="BJ331" i="5"/>
  <c r="BJ330" i="5"/>
  <c r="BJ329" i="5"/>
  <c r="BJ328" i="5"/>
  <c r="BJ327" i="5"/>
  <c r="BJ326" i="5"/>
  <c r="BJ325" i="5"/>
  <c r="BJ324" i="5"/>
  <c r="BJ323" i="5"/>
  <c r="BJ322" i="5"/>
  <c r="BJ321" i="5"/>
  <c r="BJ320" i="5"/>
  <c r="BJ319" i="5"/>
  <c r="BJ318" i="5"/>
  <c r="BJ317" i="5"/>
  <c r="BJ316" i="5"/>
  <c r="BJ315" i="5"/>
  <c r="BJ314" i="5"/>
  <c r="BJ313" i="5"/>
  <c r="BJ312" i="5"/>
  <c r="BJ311" i="5"/>
  <c r="BJ310" i="5"/>
  <c r="BJ309" i="5"/>
  <c r="BJ308" i="5"/>
  <c r="BJ307" i="5"/>
  <c r="BJ306" i="5"/>
  <c r="BJ305" i="5"/>
  <c r="BJ304" i="5"/>
  <c r="BJ303" i="5"/>
  <c r="BJ302" i="5"/>
  <c r="BJ301" i="5"/>
  <c r="BJ300" i="5"/>
  <c r="BJ299" i="5"/>
  <c r="BJ298" i="5"/>
  <c r="BJ297" i="5"/>
  <c r="BJ296" i="5"/>
  <c r="BJ295" i="5"/>
  <c r="BJ294" i="5"/>
  <c r="BJ293" i="5"/>
  <c r="BJ292" i="5"/>
  <c r="BJ291" i="5"/>
  <c r="BJ290" i="5"/>
  <c r="BJ289" i="5"/>
  <c r="BJ288" i="5"/>
  <c r="BJ287" i="5"/>
  <c r="BJ286" i="5"/>
  <c r="BJ285" i="5"/>
  <c r="BJ284" i="5"/>
  <c r="BJ283" i="5"/>
  <c r="BJ282" i="5"/>
  <c r="BJ281" i="5"/>
  <c r="BJ280" i="5"/>
  <c r="BJ279" i="5"/>
  <c r="BJ278" i="5"/>
  <c r="BJ277" i="5"/>
  <c r="BJ276" i="5"/>
  <c r="BJ275" i="5"/>
  <c r="BJ274" i="5"/>
  <c r="BJ273" i="5"/>
  <c r="BJ272" i="5"/>
  <c r="BJ271" i="5"/>
  <c r="BJ270" i="5"/>
  <c r="BJ269" i="5"/>
  <c r="BJ268" i="5"/>
  <c r="BJ267" i="5"/>
  <c r="BJ266" i="5"/>
  <c r="BJ265" i="5"/>
  <c r="BJ264" i="5"/>
  <c r="BJ263" i="5"/>
  <c r="BJ262" i="5"/>
  <c r="BJ261" i="5"/>
  <c r="BJ260" i="5"/>
  <c r="BJ259" i="5"/>
  <c r="BJ258" i="5"/>
  <c r="BJ257" i="5"/>
  <c r="BJ256" i="5"/>
  <c r="BJ255" i="5"/>
  <c r="BJ254" i="5"/>
  <c r="BJ253" i="5"/>
  <c r="BJ252" i="5"/>
  <c r="BJ251" i="5"/>
  <c r="BJ250" i="5"/>
  <c r="BJ249" i="5"/>
  <c r="BJ248" i="5"/>
  <c r="BJ247" i="5"/>
  <c r="BJ246" i="5"/>
  <c r="BJ245" i="5"/>
  <c r="BJ244" i="5"/>
  <c r="BJ243" i="5"/>
  <c r="BJ242" i="5"/>
  <c r="BJ241" i="5"/>
  <c r="BJ240" i="5"/>
  <c r="BJ239" i="5"/>
  <c r="BJ238" i="5"/>
  <c r="BJ237" i="5"/>
  <c r="BJ236" i="5"/>
  <c r="BJ235" i="5"/>
  <c r="BJ234" i="5"/>
  <c r="BJ233" i="5"/>
  <c r="BJ232" i="5"/>
  <c r="BJ231" i="5"/>
  <c r="BJ230" i="5"/>
  <c r="BJ229" i="5"/>
  <c r="BJ228" i="5"/>
  <c r="BJ227" i="5"/>
  <c r="BJ226" i="5"/>
  <c r="BJ225" i="5"/>
  <c r="BJ224" i="5"/>
  <c r="BJ223" i="5"/>
  <c r="BJ222" i="5"/>
  <c r="BJ221" i="5"/>
  <c r="BJ220" i="5"/>
  <c r="BJ219" i="5"/>
  <c r="BJ218" i="5"/>
  <c r="BJ217" i="5"/>
  <c r="BJ216" i="5"/>
  <c r="BJ215" i="5"/>
  <c r="BJ214" i="5"/>
  <c r="BJ213" i="5"/>
  <c r="BJ212" i="5"/>
  <c r="BJ211" i="5"/>
  <c r="BJ210" i="5"/>
  <c r="BJ209" i="5"/>
  <c r="BJ208" i="5"/>
  <c r="BJ207" i="5"/>
  <c r="BJ206" i="5"/>
  <c r="BJ205" i="5"/>
  <c r="BJ204" i="5"/>
  <c r="BJ203" i="5"/>
  <c r="BJ202" i="5"/>
  <c r="BK201" i="5"/>
  <c r="BJ201" i="5"/>
  <c r="BK200" i="5"/>
  <c r="BJ200" i="5"/>
  <c r="BK199" i="5"/>
  <c r="BJ199" i="5"/>
  <c r="BK198" i="5"/>
  <c r="BJ198" i="5"/>
  <c r="BK197" i="5"/>
  <c r="BJ197" i="5"/>
  <c r="BK196" i="5"/>
  <c r="BJ196" i="5"/>
  <c r="BK195" i="5"/>
  <c r="BJ195" i="5"/>
  <c r="BK194" i="5"/>
  <c r="BJ194" i="5"/>
  <c r="BK193" i="5"/>
  <c r="BJ193" i="5"/>
  <c r="BK192" i="5"/>
  <c r="BJ192" i="5"/>
  <c r="BK191" i="5"/>
  <c r="BJ191" i="5"/>
  <c r="BK190" i="5"/>
  <c r="BJ190" i="5"/>
  <c r="BK189" i="5"/>
  <c r="BJ189" i="5"/>
  <c r="BK188" i="5"/>
  <c r="BJ188" i="5"/>
  <c r="BK187" i="5"/>
  <c r="BJ187" i="5"/>
  <c r="BK186" i="5"/>
  <c r="BJ186" i="5"/>
  <c r="BK185" i="5"/>
  <c r="BJ185" i="5"/>
  <c r="BK184" i="5"/>
  <c r="BJ184" i="5"/>
  <c r="BK183" i="5"/>
  <c r="BJ183" i="5"/>
  <c r="BK182" i="5"/>
  <c r="BJ182" i="5"/>
  <c r="BK181" i="5"/>
  <c r="BJ181" i="5"/>
  <c r="BK180" i="5"/>
  <c r="BJ180" i="5"/>
  <c r="BK179" i="5"/>
  <c r="BJ179" i="5"/>
  <c r="BK178" i="5"/>
  <c r="BJ178" i="5"/>
  <c r="BK177" i="5"/>
  <c r="BJ177" i="5"/>
  <c r="BK176" i="5"/>
  <c r="BJ176" i="5"/>
  <c r="BK175" i="5"/>
  <c r="BJ175" i="5"/>
  <c r="BK174" i="5"/>
  <c r="BJ174" i="5"/>
  <c r="BK173" i="5"/>
  <c r="BJ173" i="5"/>
  <c r="BK172" i="5"/>
  <c r="BJ172" i="5"/>
  <c r="BK171" i="5"/>
  <c r="BJ171" i="5"/>
  <c r="BK170" i="5"/>
  <c r="BJ170" i="5"/>
  <c r="BK169" i="5"/>
  <c r="BJ169" i="5"/>
  <c r="BK168" i="5"/>
  <c r="BJ168" i="5"/>
  <c r="BK167" i="5"/>
  <c r="BJ167" i="5"/>
  <c r="BK166" i="5"/>
  <c r="BJ166" i="5"/>
  <c r="BK165" i="5"/>
  <c r="BJ165" i="5"/>
  <c r="BK164" i="5"/>
  <c r="BJ164" i="5"/>
  <c r="BK163" i="5"/>
  <c r="BJ163" i="5"/>
  <c r="BK162" i="5"/>
  <c r="BJ162" i="5"/>
  <c r="BK161" i="5"/>
  <c r="BJ161" i="5"/>
  <c r="BK160" i="5"/>
  <c r="BJ160" i="5"/>
  <c r="BK159" i="5"/>
  <c r="BJ159" i="5"/>
  <c r="BK158" i="5"/>
  <c r="BJ158" i="5"/>
  <c r="BK157" i="5"/>
  <c r="BJ157" i="5"/>
  <c r="BK156" i="5"/>
  <c r="BJ156" i="5"/>
  <c r="BK155" i="5"/>
  <c r="BJ155" i="5"/>
  <c r="BK154" i="5"/>
  <c r="BJ154" i="5"/>
  <c r="BK153" i="5"/>
  <c r="BJ153" i="5"/>
  <c r="BK152" i="5"/>
  <c r="BJ152" i="5"/>
  <c r="BK151" i="5"/>
  <c r="BJ151" i="5"/>
  <c r="BK150" i="5"/>
  <c r="BJ150" i="5"/>
  <c r="BK149" i="5"/>
  <c r="BJ149" i="5"/>
  <c r="BK148" i="5"/>
  <c r="BJ148" i="5"/>
  <c r="BK147" i="5"/>
  <c r="BJ147" i="5"/>
  <c r="BK146" i="5"/>
  <c r="BJ146" i="5"/>
  <c r="BK145" i="5"/>
  <c r="BJ145" i="5"/>
  <c r="BK144" i="5"/>
  <c r="BJ144" i="5"/>
  <c r="BK143" i="5"/>
  <c r="BJ143" i="5"/>
  <c r="BK142" i="5"/>
  <c r="BJ142" i="5"/>
  <c r="BK141" i="5"/>
  <c r="BJ141" i="5"/>
  <c r="BK140" i="5"/>
  <c r="BJ140" i="5"/>
  <c r="BK139" i="5"/>
  <c r="BJ139" i="5"/>
  <c r="BK138" i="5"/>
  <c r="BJ138" i="5"/>
  <c r="BK137" i="5"/>
  <c r="BJ137" i="5"/>
  <c r="BK136" i="5"/>
  <c r="BJ136" i="5"/>
  <c r="BK135" i="5"/>
  <c r="BJ135" i="5"/>
  <c r="BK134" i="5"/>
  <c r="BJ134" i="5"/>
  <c r="BK133" i="5"/>
  <c r="BJ133" i="5"/>
  <c r="BK132" i="5"/>
  <c r="BJ132" i="5"/>
  <c r="BK131" i="5"/>
  <c r="BJ131" i="5"/>
  <c r="BK130" i="5"/>
  <c r="BJ130" i="5"/>
  <c r="BK129" i="5"/>
  <c r="BJ129" i="5"/>
  <c r="BK128" i="5"/>
  <c r="BJ128" i="5"/>
  <c r="BK127" i="5"/>
  <c r="BJ127" i="5"/>
  <c r="BK126" i="5"/>
  <c r="BJ126" i="5"/>
  <c r="BK125" i="5"/>
  <c r="BJ125" i="5"/>
  <c r="BK124" i="5"/>
  <c r="BJ124" i="5"/>
  <c r="BK123" i="5"/>
  <c r="BJ123" i="5"/>
  <c r="BK122" i="5"/>
  <c r="BJ122" i="5"/>
  <c r="BK121" i="5"/>
  <c r="BJ121" i="5"/>
  <c r="BK120" i="5"/>
  <c r="BJ120" i="5"/>
  <c r="BK119" i="5"/>
  <c r="BJ119" i="5"/>
  <c r="BK118" i="5"/>
  <c r="BJ118" i="5"/>
  <c r="BK117" i="5"/>
  <c r="BJ117" i="5"/>
  <c r="BK116" i="5"/>
  <c r="BJ116" i="5"/>
  <c r="BK115" i="5"/>
  <c r="BJ115" i="5"/>
  <c r="BK114" i="5"/>
  <c r="BJ114" i="5"/>
  <c r="BK113" i="5"/>
  <c r="BJ113" i="5"/>
  <c r="BK112" i="5"/>
  <c r="BJ112" i="5"/>
  <c r="BK111" i="5"/>
  <c r="BJ111" i="5"/>
  <c r="BK110" i="5"/>
  <c r="BJ110" i="5"/>
  <c r="BK109" i="5"/>
  <c r="BJ109" i="5"/>
  <c r="BK108" i="5"/>
  <c r="BJ108" i="5"/>
  <c r="BK107" i="5"/>
  <c r="BJ107" i="5"/>
  <c r="BK106" i="5"/>
  <c r="BJ106" i="5"/>
  <c r="BK105" i="5"/>
  <c r="BJ105" i="5"/>
  <c r="BK104" i="5"/>
  <c r="BJ104" i="5"/>
  <c r="BK103" i="5"/>
  <c r="BJ103" i="5"/>
  <c r="BK102" i="5"/>
  <c r="BJ102" i="5"/>
  <c r="BK101" i="5"/>
  <c r="BJ101" i="5"/>
  <c r="BK100" i="5"/>
  <c r="BJ100" i="5"/>
  <c r="BK99" i="5"/>
  <c r="BJ99" i="5"/>
  <c r="BK98" i="5"/>
  <c r="BJ98" i="5"/>
  <c r="BK97" i="5"/>
  <c r="BJ97" i="5"/>
  <c r="BK96" i="5"/>
  <c r="BJ96" i="5"/>
  <c r="BK95" i="5"/>
  <c r="BJ95" i="5"/>
  <c r="BK94" i="5"/>
  <c r="BJ94" i="5"/>
  <c r="BK93" i="5"/>
  <c r="BJ93" i="5"/>
  <c r="BK92" i="5"/>
  <c r="BJ92" i="5"/>
  <c r="BK91" i="5"/>
  <c r="BJ91" i="5"/>
  <c r="BK90" i="5"/>
  <c r="BJ90" i="5"/>
  <c r="BK89" i="5"/>
  <c r="BJ89" i="5"/>
  <c r="BK88" i="5"/>
  <c r="BJ88" i="5"/>
  <c r="BK87" i="5"/>
  <c r="BJ87" i="5"/>
  <c r="BK86" i="5"/>
  <c r="BJ86" i="5"/>
  <c r="BK85" i="5"/>
  <c r="BJ85" i="5"/>
  <c r="BK84" i="5"/>
  <c r="BJ84" i="5"/>
  <c r="BK83" i="5"/>
  <c r="BJ83" i="5"/>
  <c r="BK82" i="5"/>
  <c r="BJ82" i="5"/>
  <c r="BK81" i="5"/>
  <c r="BJ81" i="5"/>
  <c r="BK80" i="5"/>
  <c r="BJ80" i="5"/>
  <c r="BK79" i="5"/>
  <c r="BJ79" i="5"/>
  <c r="BK78" i="5"/>
  <c r="BJ78" i="5"/>
  <c r="BK77" i="5"/>
  <c r="BJ77" i="5"/>
  <c r="BK76" i="5"/>
  <c r="BJ76" i="5"/>
  <c r="BK75" i="5"/>
  <c r="BJ75" i="5"/>
  <c r="BK74" i="5"/>
  <c r="BJ74" i="5"/>
  <c r="BJ73" i="5"/>
  <c r="BJ72" i="5"/>
  <c r="BJ71" i="5"/>
  <c r="BJ70" i="5"/>
  <c r="BJ69" i="5"/>
  <c r="BJ68" i="5"/>
  <c r="BJ67" i="5"/>
  <c r="BJ66" i="5"/>
  <c r="BJ65" i="5"/>
  <c r="BJ64" i="5"/>
  <c r="BJ63" i="5"/>
  <c r="BJ62" i="5"/>
  <c r="BJ61" i="5"/>
  <c r="BJ60" i="5"/>
  <c r="BJ59" i="5"/>
  <c r="BJ58" i="5"/>
  <c r="BJ57" i="5"/>
  <c r="BJ56" i="5"/>
  <c r="BJ55" i="5"/>
  <c r="BJ54" i="5"/>
  <c r="BJ53" i="5"/>
  <c r="BJ52" i="5"/>
  <c r="BJ51" i="5"/>
  <c r="BJ50" i="5"/>
  <c r="BJ49" i="5"/>
  <c r="BJ48" i="5"/>
  <c r="BJ47" i="5"/>
  <c r="BJ46" i="5"/>
  <c r="BJ45" i="5"/>
  <c r="BJ44" i="5"/>
  <c r="BJ43" i="5"/>
  <c r="BJ42" i="5"/>
  <c r="BJ41" i="5"/>
  <c r="BJ40" i="5"/>
  <c r="BJ39" i="5"/>
  <c r="BJ38" i="5"/>
  <c r="BJ37" i="5"/>
  <c r="BJ36" i="5"/>
  <c r="BJ35" i="5"/>
  <c r="BJ34" i="5"/>
  <c r="BJ33" i="5"/>
  <c r="BJ32" i="5"/>
  <c r="BJ31" i="5"/>
  <c r="BJ30" i="5"/>
  <c r="BJ29" i="5"/>
  <c r="BJ28" i="5"/>
  <c r="BJ27" i="5"/>
  <c r="BJ26" i="5"/>
  <c r="BJ25" i="5"/>
  <c r="BJ24" i="5"/>
  <c r="BJ23" i="5"/>
  <c r="BJ22" i="5"/>
  <c r="BJ21" i="5"/>
  <c r="BJ20" i="5"/>
  <c r="BJ19" i="5"/>
  <c r="BJ18" i="5"/>
  <c r="BJ17" i="5"/>
  <c r="BJ16" i="5"/>
  <c r="BJ15" i="5"/>
  <c r="BF379" i="5"/>
  <c r="BF378" i="5"/>
  <c r="BF377" i="5"/>
  <c r="BF376" i="5"/>
  <c r="BF375" i="5"/>
  <c r="BF374" i="5"/>
  <c r="BF373" i="5"/>
  <c r="BF372" i="5"/>
  <c r="BF371" i="5"/>
  <c r="BF370" i="5"/>
  <c r="BF369" i="5"/>
  <c r="BF368" i="5"/>
  <c r="BF367" i="5"/>
  <c r="BF366" i="5"/>
  <c r="BF365" i="5"/>
  <c r="BF364" i="5"/>
  <c r="BF363" i="5"/>
  <c r="BF362" i="5"/>
  <c r="BF361" i="5"/>
  <c r="BF360" i="5"/>
  <c r="BF359" i="5"/>
  <c r="BF358" i="5"/>
  <c r="BF357" i="5"/>
  <c r="BF356" i="5"/>
  <c r="BF355" i="5"/>
  <c r="BF354" i="5"/>
  <c r="BF353" i="5"/>
  <c r="BF352" i="5"/>
  <c r="BF351" i="5"/>
  <c r="BF350" i="5"/>
  <c r="BF349" i="5"/>
  <c r="BF348" i="5"/>
  <c r="BF347" i="5"/>
  <c r="BF346" i="5"/>
  <c r="BF345" i="5"/>
  <c r="BF344" i="5"/>
  <c r="BF343" i="5"/>
  <c r="BF342" i="5"/>
  <c r="BF341" i="5"/>
  <c r="BF340" i="5"/>
  <c r="BF339" i="5"/>
  <c r="BF338" i="5"/>
  <c r="BF337" i="5"/>
  <c r="BF336" i="5"/>
  <c r="BF335" i="5"/>
  <c r="BF334" i="5"/>
  <c r="BF333" i="5"/>
  <c r="BF332" i="5"/>
  <c r="BF331" i="5"/>
  <c r="BF330" i="5"/>
  <c r="BF329" i="5"/>
  <c r="BF328" i="5"/>
  <c r="BF327" i="5"/>
  <c r="BF326" i="5"/>
  <c r="BF325" i="5"/>
  <c r="BF324" i="5"/>
  <c r="BF323" i="5"/>
  <c r="BF322" i="5"/>
  <c r="BF321" i="5"/>
  <c r="BF320" i="5"/>
  <c r="BF319" i="5"/>
  <c r="BF318" i="5"/>
  <c r="BF317" i="5"/>
  <c r="BF316" i="5"/>
  <c r="BF315" i="5"/>
  <c r="BF314" i="5"/>
  <c r="BF313" i="5"/>
  <c r="BF312" i="5"/>
  <c r="BF311" i="5"/>
  <c r="BF310" i="5"/>
  <c r="BF309" i="5"/>
  <c r="BF308" i="5"/>
  <c r="BF307" i="5"/>
  <c r="BF306" i="5"/>
  <c r="BF305" i="5"/>
  <c r="BF304" i="5"/>
  <c r="BF303" i="5"/>
  <c r="BF302" i="5"/>
  <c r="BF301" i="5"/>
  <c r="BF300" i="5"/>
  <c r="BF299" i="5"/>
  <c r="BF298" i="5"/>
  <c r="BF297" i="5"/>
  <c r="BF296" i="5"/>
  <c r="BF295" i="5"/>
  <c r="BF294" i="5"/>
  <c r="BF293" i="5"/>
  <c r="BF292" i="5"/>
  <c r="BF291" i="5"/>
  <c r="BF290" i="5"/>
  <c r="BF289" i="5"/>
  <c r="BF288" i="5"/>
  <c r="BF287" i="5"/>
  <c r="BF286" i="5"/>
  <c r="BF285" i="5"/>
  <c r="BF284" i="5"/>
  <c r="BF283" i="5"/>
  <c r="BF282" i="5"/>
  <c r="BF281" i="5"/>
  <c r="BF280" i="5"/>
  <c r="BF279" i="5"/>
  <c r="BF278" i="5"/>
  <c r="BF277" i="5"/>
  <c r="BF276" i="5"/>
  <c r="BF275" i="5"/>
  <c r="BF274" i="5"/>
  <c r="BF273" i="5"/>
  <c r="BF272" i="5"/>
  <c r="BF271" i="5"/>
  <c r="BF270" i="5"/>
  <c r="BF269" i="5"/>
  <c r="BF268" i="5"/>
  <c r="BF267" i="5"/>
  <c r="BF266" i="5"/>
  <c r="BF265" i="5"/>
  <c r="BF264" i="5"/>
  <c r="BF263" i="5"/>
  <c r="BF262" i="5"/>
  <c r="BF261" i="5"/>
  <c r="BF260" i="5"/>
  <c r="BF259" i="5"/>
  <c r="BF258" i="5"/>
  <c r="BF257" i="5"/>
  <c r="BF256" i="5"/>
  <c r="BF255" i="5"/>
  <c r="BF254" i="5"/>
  <c r="BF253" i="5"/>
  <c r="BF252" i="5"/>
  <c r="BF251" i="5"/>
  <c r="BF250" i="5"/>
  <c r="BF249" i="5"/>
  <c r="BF248" i="5"/>
  <c r="BF247" i="5"/>
  <c r="BF246" i="5"/>
  <c r="BF245" i="5"/>
  <c r="BF244" i="5"/>
  <c r="BF243" i="5"/>
  <c r="BF242" i="5"/>
  <c r="BF241" i="5"/>
  <c r="BF240" i="5"/>
  <c r="BF239" i="5"/>
  <c r="BF238" i="5"/>
  <c r="BF237" i="5"/>
  <c r="BF236" i="5"/>
  <c r="BF235" i="5"/>
  <c r="BF234" i="5"/>
  <c r="BF233" i="5"/>
  <c r="BF232" i="5"/>
  <c r="BF231" i="5"/>
  <c r="BF230" i="5"/>
  <c r="BF229" i="5"/>
  <c r="BF228" i="5"/>
  <c r="BF227" i="5"/>
  <c r="BF226" i="5"/>
  <c r="BF225" i="5"/>
  <c r="BF224" i="5"/>
  <c r="BF223" i="5"/>
  <c r="BF222" i="5"/>
  <c r="BF221" i="5"/>
  <c r="BF220" i="5"/>
  <c r="BF219" i="5"/>
  <c r="BF218" i="5"/>
  <c r="BF217" i="5"/>
  <c r="BF216" i="5"/>
  <c r="BF215" i="5"/>
  <c r="BF214" i="5"/>
  <c r="BF213" i="5"/>
  <c r="BF212" i="5"/>
  <c r="BF211" i="5"/>
  <c r="BF210" i="5"/>
  <c r="BF209" i="5"/>
  <c r="BF208" i="5"/>
  <c r="BF207" i="5"/>
  <c r="BF206" i="5"/>
  <c r="BF205" i="5"/>
  <c r="BF204" i="5"/>
  <c r="BF203" i="5"/>
  <c r="BF202" i="5"/>
  <c r="BG201" i="5"/>
  <c r="BF201" i="5"/>
  <c r="BG200" i="5"/>
  <c r="BF200" i="5"/>
  <c r="BG199" i="5"/>
  <c r="BF199" i="5"/>
  <c r="BG198" i="5"/>
  <c r="BF198" i="5"/>
  <c r="BG197" i="5"/>
  <c r="BF197" i="5"/>
  <c r="BG196" i="5"/>
  <c r="BF196" i="5"/>
  <c r="BG195" i="5"/>
  <c r="BF195" i="5"/>
  <c r="BG194" i="5"/>
  <c r="BF194" i="5"/>
  <c r="BG193" i="5"/>
  <c r="BF193" i="5"/>
  <c r="BG192" i="5"/>
  <c r="BF192" i="5"/>
  <c r="BG191" i="5"/>
  <c r="BF191" i="5"/>
  <c r="BG190" i="5"/>
  <c r="BF190" i="5"/>
  <c r="BG189" i="5"/>
  <c r="BF189" i="5"/>
  <c r="BG188" i="5"/>
  <c r="BF188" i="5"/>
  <c r="BG187" i="5"/>
  <c r="BF187" i="5"/>
  <c r="BG186" i="5"/>
  <c r="BF186" i="5"/>
  <c r="BG185" i="5"/>
  <c r="BF185" i="5"/>
  <c r="BG184" i="5"/>
  <c r="BF184" i="5"/>
  <c r="BG183" i="5"/>
  <c r="BF183" i="5"/>
  <c r="BG182" i="5"/>
  <c r="BF182" i="5"/>
  <c r="BG181" i="5"/>
  <c r="BF181" i="5"/>
  <c r="BG180" i="5"/>
  <c r="BF180" i="5"/>
  <c r="BG179" i="5"/>
  <c r="BF179" i="5"/>
  <c r="BG178" i="5"/>
  <c r="BF178" i="5"/>
  <c r="BG177" i="5"/>
  <c r="BF177" i="5"/>
  <c r="BG176" i="5"/>
  <c r="BF176" i="5"/>
  <c r="BG175" i="5"/>
  <c r="BF175" i="5"/>
  <c r="BG174" i="5"/>
  <c r="BF174" i="5"/>
  <c r="BG173" i="5"/>
  <c r="BF173" i="5"/>
  <c r="BG172" i="5"/>
  <c r="BF172" i="5"/>
  <c r="BG171" i="5"/>
  <c r="BF171" i="5"/>
  <c r="BG170" i="5"/>
  <c r="BF170" i="5"/>
  <c r="BG169" i="5"/>
  <c r="BF169" i="5"/>
  <c r="BG168" i="5"/>
  <c r="BF168" i="5"/>
  <c r="BG167" i="5"/>
  <c r="BF167" i="5"/>
  <c r="BG166" i="5"/>
  <c r="BF166" i="5"/>
  <c r="BG165" i="5"/>
  <c r="BF165" i="5"/>
  <c r="BG164" i="5"/>
  <c r="BF164" i="5"/>
  <c r="BG163" i="5"/>
  <c r="BF163" i="5"/>
  <c r="BG162" i="5"/>
  <c r="BF162" i="5"/>
  <c r="BG161" i="5"/>
  <c r="BF161" i="5"/>
  <c r="BG160" i="5"/>
  <c r="BF160" i="5"/>
  <c r="BG159" i="5"/>
  <c r="BF159" i="5"/>
  <c r="BG158" i="5"/>
  <c r="BF158" i="5"/>
  <c r="BG157" i="5"/>
  <c r="BF157" i="5"/>
  <c r="BG156" i="5"/>
  <c r="BF156" i="5"/>
  <c r="BG155" i="5"/>
  <c r="BF155" i="5"/>
  <c r="BG154" i="5"/>
  <c r="BF154" i="5"/>
  <c r="BG153" i="5"/>
  <c r="BF153" i="5"/>
  <c r="BG152" i="5"/>
  <c r="BF152" i="5"/>
  <c r="BG151" i="5"/>
  <c r="BF151" i="5"/>
  <c r="BG150" i="5"/>
  <c r="BF150" i="5"/>
  <c r="BG149" i="5"/>
  <c r="BF149" i="5"/>
  <c r="BG148" i="5"/>
  <c r="BF148" i="5"/>
  <c r="BG147" i="5"/>
  <c r="BF147" i="5"/>
  <c r="BG146" i="5"/>
  <c r="BF146" i="5"/>
  <c r="BG145" i="5"/>
  <c r="BF145" i="5"/>
  <c r="BG144" i="5"/>
  <c r="BF144" i="5"/>
  <c r="BG143" i="5"/>
  <c r="BF143" i="5"/>
  <c r="BG142" i="5"/>
  <c r="BF142" i="5"/>
  <c r="BG141" i="5"/>
  <c r="BF141" i="5"/>
  <c r="BG140" i="5"/>
  <c r="BF140" i="5"/>
  <c r="BG139" i="5"/>
  <c r="BF139" i="5"/>
  <c r="BG138" i="5"/>
  <c r="BF138" i="5"/>
  <c r="BG137" i="5"/>
  <c r="BF137" i="5"/>
  <c r="BG136" i="5"/>
  <c r="BF136" i="5"/>
  <c r="BG135" i="5"/>
  <c r="BF135" i="5"/>
  <c r="BG134" i="5"/>
  <c r="BF134" i="5"/>
  <c r="BG133" i="5"/>
  <c r="BF133" i="5"/>
  <c r="BG132" i="5"/>
  <c r="BF132" i="5"/>
  <c r="BG131" i="5"/>
  <c r="BF131" i="5"/>
  <c r="BG130" i="5"/>
  <c r="BF130" i="5"/>
  <c r="BG129" i="5"/>
  <c r="BF129" i="5"/>
  <c r="BG128" i="5"/>
  <c r="BF128" i="5"/>
  <c r="BG127" i="5"/>
  <c r="BF127" i="5"/>
  <c r="BG126" i="5"/>
  <c r="BF126" i="5"/>
  <c r="BG125" i="5"/>
  <c r="BF125" i="5"/>
  <c r="BG124" i="5"/>
  <c r="BF124" i="5"/>
  <c r="BG123" i="5"/>
  <c r="BF123" i="5"/>
  <c r="BG122" i="5"/>
  <c r="BF122" i="5"/>
  <c r="BG121" i="5"/>
  <c r="BF121" i="5"/>
  <c r="BG120" i="5"/>
  <c r="BF120" i="5"/>
  <c r="BG119" i="5"/>
  <c r="BF119" i="5"/>
  <c r="BG118" i="5"/>
  <c r="BF118" i="5"/>
  <c r="BG117" i="5"/>
  <c r="BF117" i="5"/>
  <c r="BG116" i="5"/>
  <c r="BF116" i="5"/>
  <c r="BG115" i="5"/>
  <c r="BF115" i="5"/>
  <c r="BG114" i="5"/>
  <c r="BF114" i="5"/>
  <c r="BG113" i="5"/>
  <c r="BF113" i="5"/>
  <c r="BG112" i="5"/>
  <c r="BF112" i="5"/>
  <c r="BG111" i="5"/>
  <c r="BF111" i="5"/>
  <c r="BG110" i="5"/>
  <c r="BF110" i="5"/>
  <c r="BG109" i="5"/>
  <c r="BF109" i="5"/>
  <c r="BG108" i="5"/>
  <c r="BF108" i="5"/>
  <c r="BG107" i="5"/>
  <c r="BF107" i="5"/>
  <c r="BG106" i="5"/>
  <c r="BF106" i="5"/>
  <c r="BG105" i="5"/>
  <c r="BF105" i="5"/>
  <c r="BG104" i="5"/>
  <c r="BF104" i="5"/>
  <c r="BG103" i="5"/>
  <c r="BF103" i="5"/>
  <c r="BG102" i="5"/>
  <c r="BF102" i="5"/>
  <c r="BG101" i="5"/>
  <c r="BF101" i="5"/>
  <c r="BG100" i="5"/>
  <c r="BF100" i="5"/>
  <c r="BG99" i="5"/>
  <c r="BF99" i="5"/>
  <c r="BG98" i="5"/>
  <c r="BF98" i="5"/>
  <c r="BG97" i="5"/>
  <c r="BF97" i="5"/>
  <c r="BG96" i="5"/>
  <c r="BF96" i="5"/>
  <c r="BG95" i="5"/>
  <c r="BF95" i="5"/>
  <c r="BG94" i="5"/>
  <c r="BF94" i="5"/>
  <c r="BG93" i="5"/>
  <c r="BF93" i="5"/>
  <c r="BG92" i="5"/>
  <c r="BF92" i="5"/>
  <c r="BG91" i="5"/>
  <c r="BF91" i="5"/>
  <c r="BG90" i="5"/>
  <c r="BF90" i="5"/>
  <c r="BG89" i="5"/>
  <c r="BF89" i="5"/>
  <c r="BG88" i="5"/>
  <c r="BF88" i="5"/>
  <c r="BG87" i="5"/>
  <c r="BF87" i="5"/>
  <c r="BG86" i="5"/>
  <c r="BF86" i="5"/>
  <c r="BG85" i="5"/>
  <c r="BF85" i="5"/>
  <c r="BG84" i="5"/>
  <c r="BF84" i="5"/>
  <c r="BG83" i="5"/>
  <c r="BF83" i="5"/>
  <c r="BG82" i="5"/>
  <c r="BF82" i="5"/>
  <c r="BG81" i="5"/>
  <c r="BF81" i="5"/>
  <c r="BG80" i="5"/>
  <c r="BF80" i="5"/>
  <c r="BG79" i="5"/>
  <c r="BF79" i="5"/>
  <c r="BG78" i="5"/>
  <c r="BF78" i="5"/>
  <c r="BG77" i="5"/>
  <c r="BF77" i="5"/>
  <c r="BG76" i="5"/>
  <c r="BF76" i="5"/>
  <c r="BG75" i="5"/>
  <c r="BF75" i="5"/>
  <c r="BG74" i="5"/>
  <c r="BF74" i="5"/>
  <c r="BF73" i="5"/>
  <c r="BF72" i="5"/>
  <c r="BF71" i="5"/>
  <c r="BF70" i="5"/>
  <c r="BF69" i="5"/>
  <c r="BF68" i="5"/>
  <c r="BF67" i="5"/>
  <c r="BF66" i="5"/>
  <c r="BF65" i="5"/>
  <c r="BF64" i="5"/>
  <c r="BF63" i="5"/>
  <c r="BF62" i="5"/>
  <c r="BF61" i="5"/>
  <c r="BF60" i="5"/>
  <c r="BF59" i="5"/>
  <c r="BF58" i="5"/>
  <c r="BF57" i="5"/>
  <c r="BF56" i="5"/>
  <c r="BF55" i="5"/>
  <c r="BF54" i="5"/>
  <c r="BF53" i="5"/>
  <c r="BF52" i="5"/>
  <c r="BF51" i="5"/>
  <c r="BF50" i="5"/>
  <c r="BF49" i="5"/>
  <c r="BF48" i="5"/>
  <c r="BF47" i="5"/>
  <c r="BF46" i="5"/>
  <c r="BF45" i="5"/>
  <c r="BF44" i="5"/>
  <c r="BF43" i="5"/>
  <c r="BF42" i="5"/>
  <c r="BF41" i="5"/>
  <c r="BF40" i="5"/>
  <c r="BF39" i="5"/>
  <c r="BF38" i="5"/>
  <c r="BF37" i="5"/>
  <c r="BF36" i="5"/>
  <c r="BF35" i="5"/>
  <c r="BF34" i="5"/>
  <c r="BF33" i="5"/>
  <c r="BF32" i="5"/>
  <c r="BF31" i="5"/>
  <c r="BF30" i="5"/>
  <c r="BF29" i="5"/>
  <c r="BF28" i="5"/>
  <c r="BF27" i="5"/>
  <c r="BF26" i="5"/>
  <c r="BF25" i="5"/>
  <c r="BF24" i="5"/>
  <c r="BF23" i="5"/>
  <c r="BF22" i="5"/>
  <c r="BF21" i="5"/>
  <c r="BF20" i="5"/>
  <c r="BF19" i="5"/>
  <c r="BF18" i="5"/>
  <c r="BF17" i="5"/>
  <c r="BF16" i="5"/>
  <c r="BF15" i="5"/>
  <c r="BB379" i="5"/>
  <c r="BB378" i="5"/>
  <c r="BB377" i="5"/>
  <c r="BB376" i="5"/>
  <c r="BB375" i="5"/>
  <c r="BB374" i="5"/>
  <c r="BB373" i="5"/>
  <c r="BB372" i="5"/>
  <c r="BB371" i="5"/>
  <c r="BB370" i="5"/>
  <c r="BB369" i="5"/>
  <c r="BB368" i="5"/>
  <c r="BB367" i="5"/>
  <c r="BB366" i="5"/>
  <c r="BB365" i="5"/>
  <c r="BB364" i="5"/>
  <c r="BB363" i="5"/>
  <c r="BB362" i="5"/>
  <c r="BB361" i="5"/>
  <c r="BB360" i="5"/>
  <c r="BB359" i="5"/>
  <c r="BB358" i="5"/>
  <c r="BB357" i="5"/>
  <c r="BB356" i="5"/>
  <c r="BB355" i="5"/>
  <c r="BB354" i="5"/>
  <c r="BB353" i="5"/>
  <c r="BB352" i="5"/>
  <c r="BB351" i="5"/>
  <c r="BB350" i="5"/>
  <c r="BB349" i="5"/>
  <c r="BB348" i="5"/>
  <c r="BB347" i="5"/>
  <c r="BB346" i="5"/>
  <c r="BB345" i="5"/>
  <c r="BB344" i="5"/>
  <c r="BB343" i="5"/>
  <c r="BB342" i="5"/>
  <c r="BB341" i="5"/>
  <c r="BB340" i="5"/>
  <c r="BB339" i="5"/>
  <c r="BB338" i="5"/>
  <c r="BB337" i="5"/>
  <c r="BB336" i="5"/>
  <c r="BB335" i="5"/>
  <c r="BB334" i="5"/>
  <c r="BB333" i="5"/>
  <c r="BB332" i="5"/>
  <c r="BB331" i="5"/>
  <c r="BB330" i="5"/>
  <c r="BB329" i="5"/>
  <c r="BB328" i="5"/>
  <c r="BB327" i="5"/>
  <c r="BB326" i="5"/>
  <c r="BB325" i="5"/>
  <c r="BB324" i="5"/>
  <c r="BB323" i="5"/>
  <c r="BB322" i="5"/>
  <c r="BB321" i="5"/>
  <c r="BB320" i="5"/>
  <c r="BB319" i="5"/>
  <c r="BB318" i="5"/>
  <c r="BB317" i="5"/>
  <c r="BB316" i="5"/>
  <c r="BB315" i="5"/>
  <c r="BB314" i="5"/>
  <c r="BB313" i="5"/>
  <c r="BB312" i="5"/>
  <c r="BB311" i="5"/>
  <c r="BB310" i="5"/>
  <c r="BB309" i="5"/>
  <c r="BB308" i="5"/>
  <c r="BB307" i="5"/>
  <c r="BB306" i="5"/>
  <c r="BB305" i="5"/>
  <c r="BB304" i="5"/>
  <c r="BB303" i="5"/>
  <c r="BB302" i="5"/>
  <c r="BB301" i="5"/>
  <c r="BB300" i="5"/>
  <c r="BB299" i="5"/>
  <c r="BB298" i="5"/>
  <c r="BB297" i="5"/>
  <c r="BB296" i="5"/>
  <c r="BB295" i="5"/>
  <c r="BB294" i="5"/>
  <c r="BB293" i="5"/>
  <c r="BB292" i="5"/>
  <c r="BB291" i="5"/>
  <c r="BB290" i="5"/>
  <c r="BB289" i="5"/>
  <c r="BB288" i="5"/>
  <c r="BB287" i="5"/>
  <c r="BB286" i="5"/>
  <c r="BB285" i="5"/>
  <c r="BB284" i="5"/>
  <c r="BB283" i="5"/>
  <c r="BB282" i="5"/>
  <c r="BB281" i="5"/>
  <c r="BB280" i="5"/>
  <c r="BB279" i="5"/>
  <c r="BB278" i="5"/>
  <c r="BB277" i="5"/>
  <c r="BB276" i="5"/>
  <c r="BB275" i="5"/>
  <c r="BB274" i="5"/>
  <c r="BB273" i="5"/>
  <c r="BB272" i="5"/>
  <c r="BB271" i="5"/>
  <c r="BB270" i="5"/>
  <c r="BB269" i="5"/>
  <c r="BB268" i="5"/>
  <c r="BB267" i="5"/>
  <c r="BB266" i="5"/>
  <c r="BB265" i="5"/>
  <c r="BB264" i="5"/>
  <c r="BB263" i="5"/>
  <c r="BB262" i="5"/>
  <c r="BB261" i="5"/>
  <c r="BB260" i="5"/>
  <c r="BB259" i="5"/>
  <c r="BB258" i="5"/>
  <c r="BB257" i="5"/>
  <c r="BB256" i="5"/>
  <c r="BB255" i="5"/>
  <c r="BB254" i="5"/>
  <c r="BB253" i="5"/>
  <c r="BB252" i="5"/>
  <c r="BB251" i="5"/>
  <c r="BB250" i="5"/>
  <c r="BB249" i="5"/>
  <c r="BB248" i="5"/>
  <c r="BB247" i="5"/>
  <c r="BB246" i="5"/>
  <c r="BB245" i="5"/>
  <c r="BB244" i="5"/>
  <c r="BB243" i="5"/>
  <c r="BB242" i="5"/>
  <c r="BB241" i="5"/>
  <c r="BB240" i="5"/>
  <c r="BB239" i="5"/>
  <c r="BB238" i="5"/>
  <c r="BB237" i="5"/>
  <c r="BB236" i="5"/>
  <c r="BB235" i="5"/>
  <c r="BB234" i="5"/>
  <c r="BB233" i="5"/>
  <c r="BB232" i="5"/>
  <c r="BB231" i="5"/>
  <c r="BB230" i="5"/>
  <c r="BB229" i="5"/>
  <c r="BB228" i="5"/>
  <c r="BB227" i="5"/>
  <c r="BB226" i="5"/>
  <c r="BB225" i="5"/>
  <c r="BB224" i="5"/>
  <c r="BB223" i="5"/>
  <c r="BB222" i="5"/>
  <c r="BB221" i="5"/>
  <c r="BB220" i="5"/>
  <c r="BB219" i="5"/>
  <c r="BB218" i="5"/>
  <c r="BB217" i="5"/>
  <c r="BB216" i="5"/>
  <c r="BB215" i="5"/>
  <c r="BB214" i="5"/>
  <c r="BB213" i="5"/>
  <c r="BB212" i="5"/>
  <c r="BB211" i="5"/>
  <c r="BB210" i="5"/>
  <c r="BB209" i="5"/>
  <c r="BB208" i="5"/>
  <c r="BB207" i="5"/>
  <c r="BB206" i="5"/>
  <c r="BB205" i="5"/>
  <c r="BB204" i="5"/>
  <c r="BB203" i="5"/>
  <c r="BB202" i="5"/>
  <c r="BC201" i="5"/>
  <c r="BB201" i="5"/>
  <c r="BC200" i="5"/>
  <c r="BB200" i="5"/>
  <c r="BC199" i="5"/>
  <c r="BB199" i="5"/>
  <c r="BC198" i="5"/>
  <c r="BB198" i="5"/>
  <c r="BC197" i="5"/>
  <c r="BB197" i="5"/>
  <c r="BC196" i="5"/>
  <c r="BB196" i="5"/>
  <c r="BC195" i="5"/>
  <c r="BB195" i="5"/>
  <c r="BC194" i="5"/>
  <c r="BB194" i="5"/>
  <c r="BC193" i="5"/>
  <c r="BB193" i="5"/>
  <c r="BC192" i="5"/>
  <c r="BB192" i="5"/>
  <c r="BC191" i="5"/>
  <c r="BB191" i="5"/>
  <c r="BC190" i="5"/>
  <c r="BB190" i="5"/>
  <c r="BC189" i="5"/>
  <c r="BB189" i="5"/>
  <c r="BC188" i="5"/>
  <c r="BB188" i="5"/>
  <c r="BC187" i="5"/>
  <c r="BB187" i="5"/>
  <c r="BC186" i="5"/>
  <c r="BB186" i="5"/>
  <c r="BC185" i="5"/>
  <c r="BB185" i="5"/>
  <c r="BC184" i="5"/>
  <c r="BB184" i="5"/>
  <c r="BC183" i="5"/>
  <c r="BB183" i="5"/>
  <c r="BC182" i="5"/>
  <c r="BB182" i="5"/>
  <c r="BC181" i="5"/>
  <c r="BB181" i="5"/>
  <c r="BC180" i="5"/>
  <c r="BB180" i="5"/>
  <c r="BC179" i="5"/>
  <c r="BB179" i="5"/>
  <c r="BC178" i="5"/>
  <c r="BB178" i="5"/>
  <c r="BC177" i="5"/>
  <c r="BB177" i="5"/>
  <c r="BC176" i="5"/>
  <c r="BB176" i="5"/>
  <c r="BC175" i="5"/>
  <c r="BB175" i="5"/>
  <c r="BC174" i="5"/>
  <c r="BB174" i="5"/>
  <c r="BC173" i="5"/>
  <c r="BB173" i="5"/>
  <c r="BC172" i="5"/>
  <c r="BB172" i="5"/>
  <c r="BC171" i="5"/>
  <c r="BB171" i="5"/>
  <c r="BC170" i="5"/>
  <c r="BB170" i="5"/>
  <c r="BC169" i="5"/>
  <c r="BB169" i="5"/>
  <c r="BC168" i="5"/>
  <c r="BB168" i="5"/>
  <c r="BC167" i="5"/>
  <c r="BB167" i="5"/>
  <c r="BC166" i="5"/>
  <c r="BB166" i="5"/>
  <c r="BC165" i="5"/>
  <c r="BB165" i="5"/>
  <c r="BC164" i="5"/>
  <c r="BB164" i="5"/>
  <c r="BC163" i="5"/>
  <c r="BB163" i="5"/>
  <c r="BC162" i="5"/>
  <c r="BB162" i="5"/>
  <c r="BC161" i="5"/>
  <c r="BB161" i="5"/>
  <c r="BC160" i="5"/>
  <c r="BB160" i="5"/>
  <c r="BC159" i="5"/>
  <c r="BB159" i="5"/>
  <c r="BC158" i="5"/>
  <c r="BB158" i="5"/>
  <c r="BC157" i="5"/>
  <c r="BB157" i="5"/>
  <c r="BC156" i="5"/>
  <c r="BB156" i="5"/>
  <c r="BC155" i="5"/>
  <c r="BB155" i="5"/>
  <c r="BC154" i="5"/>
  <c r="BB154" i="5"/>
  <c r="BC153" i="5"/>
  <c r="BB153" i="5"/>
  <c r="BC152" i="5"/>
  <c r="BB152" i="5"/>
  <c r="BC151" i="5"/>
  <c r="BB151" i="5"/>
  <c r="BC150" i="5"/>
  <c r="BB150" i="5"/>
  <c r="BC149" i="5"/>
  <c r="BB149" i="5"/>
  <c r="BC148" i="5"/>
  <c r="BB148" i="5"/>
  <c r="BC147" i="5"/>
  <c r="BB147" i="5"/>
  <c r="BC146" i="5"/>
  <c r="BB146" i="5"/>
  <c r="BC145" i="5"/>
  <c r="BB145" i="5"/>
  <c r="BC144" i="5"/>
  <c r="BB144" i="5"/>
  <c r="BC143" i="5"/>
  <c r="BB143" i="5"/>
  <c r="BC142" i="5"/>
  <c r="BB142" i="5"/>
  <c r="BC141" i="5"/>
  <c r="BB141" i="5"/>
  <c r="BC140" i="5"/>
  <c r="BB140" i="5"/>
  <c r="BC139" i="5"/>
  <c r="BB139" i="5"/>
  <c r="BC138" i="5"/>
  <c r="BB138" i="5"/>
  <c r="BC137" i="5"/>
  <c r="BB137" i="5"/>
  <c r="BC136" i="5"/>
  <c r="BB136" i="5"/>
  <c r="BC135" i="5"/>
  <c r="BB135" i="5"/>
  <c r="BC134" i="5"/>
  <c r="BB134" i="5"/>
  <c r="BC133" i="5"/>
  <c r="BB133" i="5"/>
  <c r="BC132" i="5"/>
  <c r="BB132" i="5"/>
  <c r="BC131" i="5"/>
  <c r="BB131" i="5"/>
  <c r="BC130" i="5"/>
  <c r="BB130" i="5"/>
  <c r="BC129" i="5"/>
  <c r="BB129" i="5"/>
  <c r="BC128" i="5"/>
  <c r="BB128" i="5"/>
  <c r="BC127" i="5"/>
  <c r="BB127" i="5"/>
  <c r="BC126" i="5"/>
  <c r="BB126" i="5"/>
  <c r="BC125" i="5"/>
  <c r="BB125" i="5"/>
  <c r="BC124" i="5"/>
  <c r="BB124" i="5"/>
  <c r="BC123" i="5"/>
  <c r="BB123" i="5"/>
  <c r="BC122" i="5"/>
  <c r="BB122" i="5"/>
  <c r="BC121" i="5"/>
  <c r="BB121" i="5"/>
  <c r="BC120" i="5"/>
  <c r="BB120" i="5"/>
  <c r="BC119" i="5"/>
  <c r="BB119" i="5"/>
  <c r="BC118" i="5"/>
  <c r="BB118" i="5"/>
  <c r="BC117" i="5"/>
  <c r="BB117" i="5"/>
  <c r="BC116" i="5"/>
  <c r="BB116" i="5"/>
  <c r="BC115" i="5"/>
  <c r="BB115" i="5"/>
  <c r="BC114" i="5"/>
  <c r="BB114" i="5"/>
  <c r="BC113" i="5"/>
  <c r="BB113" i="5"/>
  <c r="BC112" i="5"/>
  <c r="BB112" i="5"/>
  <c r="BC111" i="5"/>
  <c r="BB111" i="5"/>
  <c r="BC110" i="5"/>
  <c r="BB110" i="5"/>
  <c r="BC109" i="5"/>
  <c r="BB109" i="5"/>
  <c r="BC108" i="5"/>
  <c r="BB108" i="5"/>
  <c r="BC107" i="5"/>
  <c r="BB107" i="5"/>
  <c r="BC106" i="5"/>
  <c r="BB106" i="5"/>
  <c r="BC105" i="5"/>
  <c r="BB105" i="5"/>
  <c r="BC104" i="5"/>
  <c r="BB104" i="5"/>
  <c r="BC103" i="5"/>
  <c r="BB103" i="5"/>
  <c r="BC102" i="5"/>
  <c r="BB102" i="5"/>
  <c r="BC101" i="5"/>
  <c r="BB101" i="5"/>
  <c r="BC100" i="5"/>
  <c r="BB100" i="5"/>
  <c r="BC99" i="5"/>
  <c r="BB99" i="5"/>
  <c r="BC98" i="5"/>
  <c r="BB98" i="5"/>
  <c r="BC97" i="5"/>
  <c r="BB97" i="5"/>
  <c r="BC96" i="5"/>
  <c r="BB96" i="5"/>
  <c r="BC95" i="5"/>
  <c r="BB95" i="5"/>
  <c r="BC94" i="5"/>
  <c r="BB94" i="5"/>
  <c r="BC93" i="5"/>
  <c r="BB93" i="5"/>
  <c r="BC92" i="5"/>
  <c r="BB92" i="5"/>
  <c r="BC91" i="5"/>
  <c r="BB91" i="5"/>
  <c r="BC90" i="5"/>
  <c r="BB90" i="5"/>
  <c r="BC89" i="5"/>
  <c r="BB89" i="5"/>
  <c r="BC88" i="5"/>
  <c r="BB88" i="5"/>
  <c r="BC87" i="5"/>
  <c r="BB87" i="5"/>
  <c r="BC86" i="5"/>
  <c r="BB86" i="5"/>
  <c r="BC85" i="5"/>
  <c r="BB85" i="5"/>
  <c r="BC84" i="5"/>
  <c r="BB84" i="5"/>
  <c r="BC83" i="5"/>
  <c r="BB83" i="5"/>
  <c r="BC82" i="5"/>
  <c r="BB82" i="5"/>
  <c r="BC81" i="5"/>
  <c r="BB81" i="5"/>
  <c r="BC80" i="5"/>
  <c r="BB80" i="5"/>
  <c r="BC79" i="5"/>
  <c r="BB79" i="5"/>
  <c r="BC78" i="5"/>
  <c r="BB78" i="5"/>
  <c r="BC77" i="5"/>
  <c r="BB77" i="5"/>
  <c r="BC76" i="5"/>
  <c r="BB76" i="5"/>
  <c r="BC75" i="5"/>
  <c r="BB75" i="5"/>
  <c r="BC74" i="5"/>
  <c r="BB74" i="5"/>
  <c r="BB73" i="5"/>
  <c r="BB72" i="5"/>
  <c r="BB71" i="5"/>
  <c r="BB70" i="5"/>
  <c r="BB69" i="5"/>
  <c r="BB68" i="5"/>
  <c r="BB67" i="5"/>
  <c r="BB66" i="5"/>
  <c r="BB65" i="5"/>
  <c r="BB64" i="5"/>
  <c r="BB63" i="5"/>
  <c r="BB62" i="5"/>
  <c r="BB61" i="5"/>
  <c r="BB60" i="5"/>
  <c r="BB59" i="5"/>
  <c r="BB58" i="5"/>
  <c r="BB57" i="5"/>
  <c r="BB56" i="5"/>
  <c r="BB55" i="5"/>
  <c r="BB54" i="5"/>
  <c r="BB53" i="5"/>
  <c r="BB52" i="5"/>
  <c r="BB51" i="5"/>
  <c r="BB50" i="5"/>
  <c r="BB49" i="5"/>
  <c r="BB48" i="5"/>
  <c r="BB47" i="5"/>
  <c r="BB46" i="5"/>
  <c r="BB45" i="5"/>
  <c r="BB44" i="5"/>
  <c r="BB43" i="5"/>
  <c r="BB42" i="5"/>
  <c r="BB41" i="5"/>
  <c r="BB40" i="5"/>
  <c r="BB39" i="5"/>
  <c r="BB38" i="5"/>
  <c r="BB37" i="5"/>
  <c r="BB36" i="5"/>
  <c r="BB35" i="5"/>
  <c r="BB34" i="5"/>
  <c r="BB33" i="5"/>
  <c r="BB32" i="5"/>
  <c r="BB31" i="5"/>
  <c r="BB30" i="5"/>
  <c r="BB29" i="5"/>
  <c r="BB28" i="5"/>
  <c r="BB27" i="5"/>
  <c r="BB26" i="5"/>
  <c r="BB25" i="5"/>
  <c r="BB24" i="5"/>
  <c r="BB23" i="5"/>
  <c r="BB22" i="5"/>
  <c r="BB21" i="5"/>
  <c r="BB20" i="5"/>
  <c r="BB19" i="5"/>
  <c r="BB18" i="5"/>
  <c r="BB17" i="5"/>
  <c r="BB16" i="5"/>
  <c r="BB15" i="5"/>
  <c r="AX379" i="5"/>
  <c r="AX378" i="5"/>
  <c r="AX377" i="5"/>
  <c r="AX376" i="5"/>
  <c r="AX375" i="5"/>
  <c r="AX374" i="5"/>
  <c r="AX373" i="5"/>
  <c r="AX372" i="5"/>
  <c r="AX371" i="5"/>
  <c r="AX370" i="5"/>
  <c r="AX369" i="5"/>
  <c r="AX368" i="5"/>
  <c r="AX367" i="5"/>
  <c r="AX366" i="5"/>
  <c r="AX365" i="5"/>
  <c r="AX364" i="5"/>
  <c r="AX363" i="5"/>
  <c r="AX362" i="5"/>
  <c r="AX361" i="5"/>
  <c r="AX360" i="5"/>
  <c r="AX359" i="5"/>
  <c r="AX358" i="5"/>
  <c r="AX357" i="5"/>
  <c r="AX356" i="5"/>
  <c r="AX355" i="5"/>
  <c r="AX354" i="5"/>
  <c r="AX353" i="5"/>
  <c r="AX352" i="5"/>
  <c r="AX351" i="5"/>
  <c r="AX350" i="5"/>
  <c r="AX349" i="5"/>
  <c r="AX348" i="5"/>
  <c r="AX347" i="5"/>
  <c r="AX346" i="5"/>
  <c r="AX345" i="5"/>
  <c r="AX344" i="5"/>
  <c r="AX343" i="5"/>
  <c r="AX342" i="5"/>
  <c r="AX341" i="5"/>
  <c r="AX340" i="5"/>
  <c r="AX339" i="5"/>
  <c r="AX338" i="5"/>
  <c r="AX337" i="5"/>
  <c r="AX336" i="5"/>
  <c r="AX335" i="5"/>
  <c r="AX334" i="5"/>
  <c r="AX333" i="5"/>
  <c r="AX332" i="5"/>
  <c r="AX331" i="5"/>
  <c r="AX330" i="5"/>
  <c r="AX329" i="5"/>
  <c r="AX328" i="5"/>
  <c r="AX327" i="5"/>
  <c r="AX326" i="5"/>
  <c r="AX325" i="5"/>
  <c r="AX324" i="5"/>
  <c r="AX323" i="5"/>
  <c r="AX322" i="5"/>
  <c r="AX321" i="5"/>
  <c r="AX320" i="5"/>
  <c r="AX319" i="5"/>
  <c r="AX318" i="5"/>
  <c r="AX317" i="5"/>
  <c r="AX316" i="5"/>
  <c r="AX315" i="5"/>
  <c r="AX314" i="5"/>
  <c r="AX313" i="5"/>
  <c r="AX312" i="5"/>
  <c r="AX311" i="5"/>
  <c r="AX310" i="5"/>
  <c r="AX309" i="5"/>
  <c r="AX308" i="5"/>
  <c r="AX307" i="5"/>
  <c r="AX306" i="5"/>
  <c r="AX305" i="5"/>
  <c r="AX304" i="5"/>
  <c r="AX303" i="5"/>
  <c r="AX302" i="5"/>
  <c r="AX301" i="5"/>
  <c r="AX300" i="5"/>
  <c r="AX299" i="5"/>
  <c r="AX298" i="5"/>
  <c r="AX297" i="5"/>
  <c r="AX296" i="5"/>
  <c r="AX295" i="5"/>
  <c r="AX294" i="5"/>
  <c r="AX293" i="5"/>
  <c r="AX292" i="5"/>
  <c r="AX291" i="5"/>
  <c r="AX290" i="5"/>
  <c r="AX289" i="5"/>
  <c r="AX288" i="5"/>
  <c r="AX287" i="5"/>
  <c r="AX286" i="5"/>
  <c r="AX285" i="5"/>
  <c r="AX284" i="5"/>
  <c r="AX283" i="5"/>
  <c r="AX282" i="5"/>
  <c r="AX281" i="5"/>
  <c r="AX280" i="5"/>
  <c r="AX279" i="5"/>
  <c r="AX278" i="5"/>
  <c r="AX277" i="5"/>
  <c r="AX276" i="5"/>
  <c r="AX275" i="5"/>
  <c r="AX274" i="5"/>
  <c r="AX273" i="5"/>
  <c r="AX272" i="5"/>
  <c r="AX271" i="5"/>
  <c r="AX270" i="5"/>
  <c r="AX269" i="5"/>
  <c r="AX268" i="5"/>
  <c r="AX267" i="5"/>
  <c r="AX266" i="5"/>
  <c r="AX265" i="5"/>
  <c r="AX264" i="5"/>
  <c r="AX263" i="5"/>
  <c r="AX262" i="5"/>
  <c r="AX261" i="5"/>
  <c r="AX260" i="5"/>
  <c r="AX259" i="5"/>
  <c r="AX258" i="5"/>
  <c r="AX257" i="5"/>
  <c r="AX256" i="5"/>
  <c r="AX255" i="5"/>
  <c r="AX254" i="5"/>
  <c r="AX253" i="5"/>
  <c r="AX252" i="5"/>
  <c r="AX251" i="5"/>
  <c r="AX250" i="5"/>
  <c r="AX249" i="5"/>
  <c r="AX248" i="5"/>
  <c r="AX247" i="5"/>
  <c r="AX246" i="5"/>
  <c r="AX245" i="5"/>
  <c r="AX244" i="5"/>
  <c r="AX243" i="5"/>
  <c r="AX242" i="5"/>
  <c r="AX241" i="5"/>
  <c r="AX240" i="5"/>
  <c r="AX239" i="5"/>
  <c r="AX238" i="5"/>
  <c r="AX237" i="5"/>
  <c r="AX236" i="5"/>
  <c r="AX235" i="5"/>
  <c r="AX234" i="5"/>
  <c r="AX233" i="5"/>
  <c r="AX232" i="5"/>
  <c r="AX231" i="5"/>
  <c r="AX230" i="5"/>
  <c r="AX229" i="5"/>
  <c r="AX228" i="5"/>
  <c r="AX227" i="5"/>
  <c r="AX226" i="5"/>
  <c r="AX225" i="5"/>
  <c r="AX224" i="5"/>
  <c r="AX223" i="5"/>
  <c r="AX222" i="5"/>
  <c r="AX221" i="5"/>
  <c r="AX220" i="5"/>
  <c r="AX219" i="5"/>
  <c r="AX218" i="5"/>
  <c r="AX217" i="5"/>
  <c r="AX216" i="5"/>
  <c r="AX215" i="5"/>
  <c r="AX214" i="5"/>
  <c r="AX213" i="5"/>
  <c r="AX212" i="5"/>
  <c r="AX211" i="5"/>
  <c r="AX210" i="5"/>
  <c r="AX209" i="5"/>
  <c r="AX208" i="5"/>
  <c r="AX207" i="5"/>
  <c r="AX206" i="5"/>
  <c r="AX205" i="5"/>
  <c r="AX204" i="5"/>
  <c r="AX203" i="5"/>
  <c r="AX202" i="5"/>
  <c r="AY201" i="5"/>
  <c r="AX201" i="5"/>
  <c r="AY200" i="5"/>
  <c r="AX200" i="5"/>
  <c r="AY199" i="5"/>
  <c r="AX199" i="5"/>
  <c r="AY198" i="5"/>
  <c r="AX198" i="5"/>
  <c r="AY197" i="5"/>
  <c r="AX197" i="5"/>
  <c r="AY196" i="5"/>
  <c r="AX196" i="5"/>
  <c r="AY195" i="5"/>
  <c r="AX195" i="5"/>
  <c r="AY194" i="5"/>
  <c r="AX194" i="5"/>
  <c r="AY193" i="5"/>
  <c r="AX193" i="5"/>
  <c r="AY192" i="5"/>
  <c r="AX192" i="5"/>
  <c r="AY191" i="5"/>
  <c r="AX191" i="5"/>
  <c r="AY190" i="5"/>
  <c r="AX190" i="5"/>
  <c r="AY189" i="5"/>
  <c r="AX189" i="5"/>
  <c r="AY188" i="5"/>
  <c r="AX188" i="5"/>
  <c r="AY187" i="5"/>
  <c r="AX187" i="5"/>
  <c r="AY186" i="5"/>
  <c r="AX186" i="5"/>
  <c r="AY185" i="5"/>
  <c r="AX185" i="5"/>
  <c r="AY184" i="5"/>
  <c r="AX184" i="5"/>
  <c r="AY183" i="5"/>
  <c r="AX183" i="5"/>
  <c r="AY182" i="5"/>
  <c r="AX182" i="5"/>
  <c r="AY181" i="5"/>
  <c r="AX181" i="5"/>
  <c r="AY180" i="5"/>
  <c r="AX180" i="5"/>
  <c r="AY179" i="5"/>
  <c r="AX179" i="5"/>
  <c r="AY178" i="5"/>
  <c r="AX178" i="5"/>
  <c r="AY177" i="5"/>
  <c r="AX177" i="5"/>
  <c r="AY176" i="5"/>
  <c r="AX176" i="5"/>
  <c r="AY175" i="5"/>
  <c r="AX175" i="5"/>
  <c r="AY174" i="5"/>
  <c r="AX174" i="5"/>
  <c r="AY173" i="5"/>
  <c r="AX173" i="5"/>
  <c r="AY172" i="5"/>
  <c r="AX172" i="5"/>
  <c r="AY171" i="5"/>
  <c r="AX171" i="5"/>
  <c r="AY170" i="5"/>
  <c r="AX170" i="5"/>
  <c r="AY169" i="5"/>
  <c r="AX169" i="5"/>
  <c r="AY168" i="5"/>
  <c r="AX168" i="5"/>
  <c r="AY167" i="5"/>
  <c r="AX167" i="5"/>
  <c r="AY166" i="5"/>
  <c r="AX166" i="5"/>
  <c r="AY165" i="5"/>
  <c r="AX165" i="5"/>
  <c r="AY164" i="5"/>
  <c r="AX164" i="5"/>
  <c r="AY163" i="5"/>
  <c r="AX163" i="5"/>
  <c r="AY162" i="5"/>
  <c r="AX162" i="5"/>
  <c r="AY161" i="5"/>
  <c r="AX161" i="5"/>
  <c r="AY160" i="5"/>
  <c r="AX160" i="5"/>
  <c r="AY159" i="5"/>
  <c r="AX159" i="5"/>
  <c r="AY158" i="5"/>
  <c r="AX158" i="5"/>
  <c r="AY157" i="5"/>
  <c r="AX157" i="5"/>
  <c r="AY156" i="5"/>
  <c r="AX156" i="5"/>
  <c r="AY155" i="5"/>
  <c r="AX155" i="5"/>
  <c r="AY154" i="5"/>
  <c r="AX154" i="5"/>
  <c r="AY153" i="5"/>
  <c r="AX153" i="5"/>
  <c r="AY152" i="5"/>
  <c r="AX152" i="5"/>
  <c r="AY151" i="5"/>
  <c r="AX151" i="5"/>
  <c r="AY150" i="5"/>
  <c r="AX150" i="5"/>
  <c r="AY149" i="5"/>
  <c r="AX149" i="5"/>
  <c r="AY148" i="5"/>
  <c r="AX148" i="5"/>
  <c r="AY147" i="5"/>
  <c r="AX147" i="5"/>
  <c r="AY146" i="5"/>
  <c r="AX146" i="5"/>
  <c r="AY145" i="5"/>
  <c r="AX145" i="5"/>
  <c r="AY144" i="5"/>
  <c r="AX144" i="5"/>
  <c r="AY143" i="5"/>
  <c r="AX143" i="5"/>
  <c r="AY142" i="5"/>
  <c r="AX142" i="5"/>
  <c r="AY141" i="5"/>
  <c r="AX141" i="5"/>
  <c r="AY140" i="5"/>
  <c r="AX140" i="5"/>
  <c r="AY139" i="5"/>
  <c r="AX139" i="5"/>
  <c r="AY138" i="5"/>
  <c r="AX138" i="5"/>
  <c r="AY137" i="5"/>
  <c r="AX137" i="5"/>
  <c r="AY136" i="5"/>
  <c r="AX136" i="5"/>
  <c r="AY135" i="5"/>
  <c r="AX135" i="5"/>
  <c r="AY134" i="5"/>
  <c r="AX134" i="5"/>
  <c r="AY133" i="5"/>
  <c r="AX133" i="5"/>
  <c r="AY132" i="5"/>
  <c r="AX132" i="5"/>
  <c r="AY131" i="5"/>
  <c r="AX131" i="5"/>
  <c r="AY130" i="5"/>
  <c r="AX130" i="5"/>
  <c r="AY129" i="5"/>
  <c r="AX129" i="5"/>
  <c r="AY128" i="5"/>
  <c r="AX128" i="5"/>
  <c r="AY127" i="5"/>
  <c r="AX127" i="5"/>
  <c r="AY126" i="5"/>
  <c r="AX126" i="5"/>
  <c r="AY125" i="5"/>
  <c r="AX125" i="5"/>
  <c r="AY124" i="5"/>
  <c r="AX124" i="5"/>
  <c r="AY123" i="5"/>
  <c r="AX123" i="5"/>
  <c r="AY122" i="5"/>
  <c r="AX122" i="5"/>
  <c r="AY121" i="5"/>
  <c r="AX121" i="5"/>
  <c r="AY120" i="5"/>
  <c r="AX120" i="5"/>
  <c r="AY119" i="5"/>
  <c r="AX119" i="5"/>
  <c r="AY118" i="5"/>
  <c r="AX118" i="5"/>
  <c r="AY117" i="5"/>
  <c r="AX117" i="5"/>
  <c r="AY116" i="5"/>
  <c r="AX116" i="5"/>
  <c r="AY115" i="5"/>
  <c r="AX115" i="5"/>
  <c r="AY114" i="5"/>
  <c r="AX114" i="5"/>
  <c r="AY113" i="5"/>
  <c r="AX113" i="5"/>
  <c r="AY112" i="5"/>
  <c r="AX112" i="5"/>
  <c r="AY111" i="5"/>
  <c r="AX111" i="5"/>
  <c r="AY110" i="5"/>
  <c r="AX110" i="5"/>
  <c r="AY109" i="5"/>
  <c r="AX109" i="5"/>
  <c r="AY108" i="5"/>
  <c r="AX108" i="5"/>
  <c r="AY107" i="5"/>
  <c r="AX107" i="5"/>
  <c r="AY106" i="5"/>
  <c r="AX106" i="5"/>
  <c r="AY105" i="5"/>
  <c r="AX105" i="5"/>
  <c r="AY104" i="5"/>
  <c r="AX104" i="5"/>
  <c r="AY103" i="5"/>
  <c r="AX103" i="5"/>
  <c r="AY102" i="5"/>
  <c r="AX102" i="5"/>
  <c r="AY101" i="5"/>
  <c r="AX101" i="5"/>
  <c r="AY100" i="5"/>
  <c r="AX100" i="5"/>
  <c r="AY99" i="5"/>
  <c r="AX99" i="5"/>
  <c r="AY98" i="5"/>
  <c r="AX98" i="5"/>
  <c r="AY97" i="5"/>
  <c r="AX97" i="5"/>
  <c r="AY96" i="5"/>
  <c r="AX96" i="5"/>
  <c r="AY95" i="5"/>
  <c r="AX95" i="5"/>
  <c r="AY94" i="5"/>
  <c r="AX94" i="5"/>
  <c r="AY93" i="5"/>
  <c r="AX93" i="5"/>
  <c r="AY92" i="5"/>
  <c r="AX92" i="5"/>
  <c r="AY91" i="5"/>
  <c r="AX91" i="5"/>
  <c r="AY90" i="5"/>
  <c r="AX90" i="5"/>
  <c r="AY89" i="5"/>
  <c r="AX89" i="5"/>
  <c r="AY88" i="5"/>
  <c r="AX88" i="5"/>
  <c r="AY87" i="5"/>
  <c r="AX87" i="5"/>
  <c r="AY86" i="5"/>
  <c r="AX86" i="5"/>
  <c r="AY85" i="5"/>
  <c r="AX85" i="5"/>
  <c r="AY84" i="5"/>
  <c r="AX84" i="5"/>
  <c r="AY83" i="5"/>
  <c r="AX83" i="5"/>
  <c r="AY82" i="5"/>
  <c r="AX82" i="5"/>
  <c r="AY81" i="5"/>
  <c r="AX81" i="5"/>
  <c r="AY80" i="5"/>
  <c r="AX80" i="5"/>
  <c r="AY79" i="5"/>
  <c r="AX79" i="5"/>
  <c r="AY78" i="5"/>
  <c r="AX78" i="5"/>
  <c r="AY77" i="5"/>
  <c r="AX77" i="5"/>
  <c r="AY76" i="5"/>
  <c r="AX76" i="5"/>
  <c r="AY75" i="5"/>
  <c r="AX75" i="5"/>
  <c r="AY74" i="5"/>
  <c r="AX74" i="5"/>
  <c r="AX73" i="5"/>
  <c r="AX72" i="5"/>
  <c r="AX71" i="5"/>
  <c r="AX70" i="5"/>
  <c r="AX69" i="5"/>
  <c r="AX68" i="5"/>
  <c r="AX67" i="5"/>
  <c r="AX66" i="5"/>
  <c r="AX65" i="5"/>
  <c r="AX64" i="5"/>
  <c r="AX63" i="5"/>
  <c r="AX62" i="5"/>
  <c r="AX61" i="5"/>
  <c r="AX60" i="5"/>
  <c r="AX59" i="5"/>
  <c r="AX58" i="5"/>
  <c r="AX57" i="5"/>
  <c r="AX56" i="5"/>
  <c r="AX55" i="5"/>
  <c r="AX54" i="5"/>
  <c r="AX53" i="5"/>
  <c r="AX52" i="5"/>
  <c r="AX51" i="5"/>
  <c r="AX50" i="5"/>
  <c r="AX49" i="5"/>
  <c r="AX48" i="5"/>
  <c r="AX47" i="5"/>
  <c r="AX46" i="5"/>
  <c r="AX45" i="5"/>
  <c r="AX44" i="5"/>
  <c r="AX43" i="5"/>
  <c r="AX42" i="5"/>
  <c r="AX41" i="5"/>
  <c r="AX40" i="5"/>
  <c r="AX39" i="5"/>
  <c r="AX38" i="5"/>
  <c r="AX37" i="5"/>
  <c r="AX36" i="5"/>
  <c r="AX35" i="5"/>
  <c r="AX34" i="5"/>
  <c r="AX33" i="5"/>
  <c r="AX32" i="5"/>
  <c r="AX31" i="5"/>
  <c r="AX30" i="5"/>
  <c r="AX29" i="5"/>
  <c r="AX28" i="5"/>
  <c r="AX27" i="5"/>
  <c r="AX26" i="5"/>
  <c r="AX25" i="5"/>
  <c r="AX24" i="5"/>
  <c r="AX23" i="5"/>
  <c r="AX22" i="5"/>
  <c r="AX21" i="5"/>
  <c r="AX20" i="5"/>
  <c r="AX19" i="5"/>
  <c r="AX18" i="5"/>
  <c r="AX17" i="5"/>
  <c r="AX16" i="5"/>
  <c r="AX15" i="5"/>
  <c r="AT379" i="5"/>
  <c r="AT378" i="5"/>
  <c r="AT377" i="5"/>
  <c r="AT376" i="5"/>
  <c r="AT375" i="5"/>
  <c r="AT374" i="5"/>
  <c r="AT373" i="5"/>
  <c r="AT372" i="5"/>
  <c r="AT371" i="5"/>
  <c r="AT370" i="5"/>
  <c r="AT369" i="5"/>
  <c r="AT368" i="5"/>
  <c r="AT367" i="5"/>
  <c r="AT366" i="5"/>
  <c r="AT365" i="5"/>
  <c r="AT364" i="5"/>
  <c r="AT363" i="5"/>
  <c r="AT362" i="5"/>
  <c r="AT361" i="5"/>
  <c r="AT360" i="5"/>
  <c r="AT359" i="5"/>
  <c r="AT358" i="5"/>
  <c r="AT357" i="5"/>
  <c r="AT356" i="5"/>
  <c r="AT355" i="5"/>
  <c r="AT354" i="5"/>
  <c r="AT353" i="5"/>
  <c r="AT352" i="5"/>
  <c r="AT351" i="5"/>
  <c r="AT350" i="5"/>
  <c r="AT349" i="5"/>
  <c r="AT348" i="5"/>
  <c r="AT347" i="5"/>
  <c r="AT346" i="5"/>
  <c r="AT345" i="5"/>
  <c r="AT344" i="5"/>
  <c r="AT343" i="5"/>
  <c r="AT342" i="5"/>
  <c r="AT341" i="5"/>
  <c r="AT340" i="5"/>
  <c r="AT339" i="5"/>
  <c r="AT338" i="5"/>
  <c r="AT337" i="5"/>
  <c r="AT336" i="5"/>
  <c r="AT335" i="5"/>
  <c r="AT334" i="5"/>
  <c r="AT333" i="5"/>
  <c r="AT332" i="5"/>
  <c r="AT331" i="5"/>
  <c r="AT330" i="5"/>
  <c r="AT329" i="5"/>
  <c r="AT328" i="5"/>
  <c r="AT327" i="5"/>
  <c r="AT326" i="5"/>
  <c r="AT325" i="5"/>
  <c r="AT324" i="5"/>
  <c r="AT323" i="5"/>
  <c r="AT322" i="5"/>
  <c r="AT321" i="5"/>
  <c r="AT320" i="5"/>
  <c r="AT319" i="5"/>
  <c r="AT318" i="5"/>
  <c r="AT317" i="5"/>
  <c r="AT316" i="5"/>
  <c r="AT315" i="5"/>
  <c r="AT314" i="5"/>
  <c r="AT313" i="5"/>
  <c r="AT312" i="5"/>
  <c r="AT311" i="5"/>
  <c r="AT310" i="5"/>
  <c r="AT309" i="5"/>
  <c r="AT308" i="5"/>
  <c r="AT307" i="5"/>
  <c r="AT306" i="5"/>
  <c r="AT305" i="5"/>
  <c r="AT304" i="5"/>
  <c r="AT303" i="5"/>
  <c r="AT302" i="5"/>
  <c r="AT301" i="5"/>
  <c r="AT300" i="5"/>
  <c r="AT299" i="5"/>
  <c r="AT298" i="5"/>
  <c r="AT297" i="5"/>
  <c r="AT296" i="5"/>
  <c r="AT295" i="5"/>
  <c r="AT294" i="5"/>
  <c r="AT293" i="5"/>
  <c r="AT292" i="5"/>
  <c r="AT291" i="5"/>
  <c r="AT290" i="5"/>
  <c r="AT289" i="5"/>
  <c r="AT288" i="5"/>
  <c r="AT287" i="5"/>
  <c r="AT286" i="5"/>
  <c r="AT285" i="5"/>
  <c r="AT284" i="5"/>
  <c r="AT283" i="5"/>
  <c r="AT282" i="5"/>
  <c r="AT281" i="5"/>
  <c r="AT280" i="5"/>
  <c r="AT279" i="5"/>
  <c r="AT278" i="5"/>
  <c r="AT277" i="5"/>
  <c r="AT276" i="5"/>
  <c r="AT275" i="5"/>
  <c r="AT274" i="5"/>
  <c r="AT273" i="5"/>
  <c r="AT272" i="5"/>
  <c r="AT271" i="5"/>
  <c r="AT270" i="5"/>
  <c r="AT269" i="5"/>
  <c r="AT268" i="5"/>
  <c r="AT267" i="5"/>
  <c r="AT266" i="5"/>
  <c r="AT265" i="5"/>
  <c r="AT264" i="5"/>
  <c r="AT263" i="5"/>
  <c r="AT262" i="5"/>
  <c r="AT261" i="5"/>
  <c r="AT260" i="5"/>
  <c r="AT259" i="5"/>
  <c r="AT258" i="5"/>
  <c r="AT257" i="5"/>
  <c r="AT256" i="5"/>
  <c r="AT255" i="5"/>
  <c r="AT254" i="5"/>
  <c r="AT253" i="5"/>
  <c r="AT252" i="5"/>
  <c r="AT251" i="5"/>
  <c r="AT250" i="5"/>
  <c r="AT249" i="5"/>
  <c r="AT248" i="5"/>
  <c r="AT247" i="5"/>
  <c r="AT246" i="5"/>
  <c r="AT245" i="5"/>
  <c r="AT244" i="5"/>
  <c r="AT243" i="5"/>
  <c r="AT242" i="5"/>
  <c r="AT241" i="5"/>
  <c r="AT240" i="5"/>
  <c r="AT239" i="5"/>
  <c r="AT238" i="5"/>
  <c r="AT237" i="5"/>
  <c r="AT236" i="5"/>
  <c r="AT235" i="5"/>
  <c r="AT234" i="5"/>
  <c r="AT233" i="5"/>
  <c r="AT232" i="5"/>
  <c r="AT231" i="5"/>
  <c r="AT230" i="5"/>
  <c r="AT229" i="5"/>
  <c r="AT228" i="5"/>
  <c r="AT227" i="5"/>
  <c r="AT226" i="5"/>
  <c r="AT225" i="5"/>
  <c r="AT224" i="5"/>
  <c r="AT223" i="5"/>
  <c r="AT222" i="5"/>
  <c r="AT221" i="5"/>
  <c r="AT220" i="5"/>
  <c r="AT219" i="5"/>
  <c r="AT218" i="5"/>
  <c r="AT217" i="5"/>
  <c r="AT216" i="5"/>
  <c r="AT215" i="5"/>
  <c r="AT214" i="5"/>
  <c r="AT213" i="5"/>
  <c r="AT212" i="5"/>
  <c r="AT211" i="5"/>
  <c r="AT210" i="5"/>
  <c r="AT209" i="5"/>
  <c r="AT208" i="5"/>
  <c r="AT207" i="5"/>
  <c r="AT206" i="5"/>
  <c r="AT205" i="5"/>
  <c r="AT204" i="5"/>
  <c r="AT203" i="5"/>
  <c r="AT202" i="5"/>
  <c r="AU201" i="5"/>
  <c r="AT201" i="5"/>
  <c r="AU200" i="5"/>
  <c r="AT200" i="5"/>
  <c r="AU199" i="5"/>
  <c r="AT199" i="5"/>
  <c r="AU198" i="5"/>
  <c r="AT198" i="5"/>
  <c r="AU197" i="5"/>
  <c r="AT197" i="5"/>
  <c r="AU196" i="5"/>
  <c r="AT196" i="5"/>
  <c r="AU195" i="5"/>
  <c r="AT195" i="5"/>
  <c r="AU194" i="5"/>
  <c r="AT194" i="5"/>
  <c r="AU193" i="5"/>
  <c r="AT193" i="5"/>
  <c r="AU192" i="5"/>
  <c r="AT192" i="5"/>
  <c r="AU191" i="5"/>
  <c r="AT191" i="5"/>
  <c r="AU190" i="5"/>
  <c r="AT190" i="5"/>
  <c r="AU189" i="5"/>
  <c r="AT189" i="5"/>
  <c r="AU188" i="5"/>
  <c r="AT188" i="5"/>
  <c r="AU187" i="5"/>
  <c r="AT187" i="5"/>
  <c r="AU186" i="5"/>
  <c r="AT186" i="5"/>
  <c r="AU185" i="5"/>
  <c r="AT185" i="5"/>
  <c r="AU184" i="5"/>
  <c r="AT184" i="5"/>
  <c r="AU183" i="5"/>
  <c r="AT183" i="5"/>
  <c r="AU182" i="5"/>
  <c r="AT182" i="5"/>
  <c r="AU181" i="5"/>
  <c r="AT181" i="5"/>
  <c r="AU180" i="5"/>
  <c r="AT180" i="5"/>
  <c r="AU179" i="5"/>
  <c r="AT179" i="5"/>
  <c r="AU178" i="5"/>
  <c r="AT178" i="5"/>
  <c r="AU177" i="5"/>
  <c r="AT177" i="5"/>
  <c r="AU176" i="5"/>
  <c r="AT176" i="5"/>
  <c r="AU175" i="5"/>
  <c r="AT175" i="5"/>
  <c r="AU174" i="5"/>
  <c r="AT174" i="5"/>
  <c r="AU173" i="5"/>
  <c r="AT173" i="5"/>
  <c r="AU172" i="5"/>
  <c r="AT172" i="5"/>
  <c r="AU171" i="5"/>
  <c r="AT171" i="5"/>
  <c r="AU170" i="5"/>
  <c r="AT170" i="5"/>
  <c r="AU169" i="5"/>
  <c r="AT169" i="5"/>
  <c r="AU168" i="5"/>
  <c r="AT168" i="5"/>
  <c r="AU167" i="5"/>
  <c r="AT167" i="5"/>
  <c r="AU166" i="5"/>
  <c r="AT166" i="5"/>
  <c r="AU165" i="5"/>
  <c r="AT165" i="5"/>
  <c r="AU164" i="5"/>
  <c r="AT164" i="5"/>
  <c r="AU163" i="5"/>
  <c r="AT163" i="5"/>
  <c r="AU162" i="5"/>
  <c r="AT162" i="5"/>
  <c r="AU161" i="5"/>
  <c r="AT161" i="5"/>
  <c r="AU160" i="5"/>
  <c r="AT160" i="5"/>
  <c r="AU159" i="5"/>
  <c r="AT159" i="5"/>
  <c r="AU158" i="5"/>
  <c r="AT158" i="5"/>
  <c r="AU157" i="5"/>
  <c r="AT157" i="5"/>
  <c r="AU156" i="5"/>
  <c r="AT156" i="5"/>
  <c r="AU155" i="5"/>
  <c r="AT155" i="5"/>
  <c r="AU154" i="5"/>
  <c r="AT154" i="5"/>
  <c r="AU153" i="5"/>
  <c r="AT153" i="5"/>
  <c r="AU152" i="5"/>
  <c r="AT152" i="5"/>
  <c r="AU151" i="5"/>
  <c r="AT151" i="5"/>
  <c r="AU150" i="5"/>
  <c r="AT150" i="5"/>
  <c r="AU149" i="5"/>
  <c r="AT149" i="5"/>
  <c r="AU148" i="5"/>
  <c r="AT148" i="5"/>
  <c r="AU147" i="5"/>
  <c r="AT147" i="5"/>
  <c r="AU146" i="5"/>
  <c r="AT146" i="5"/>
  <c r="AU145" i="5"/>
  <c r="AT145" i="5"/>
  <c r="AU144" i="5"/>
  <c r="AT144" i="5"/>
  <c r="AU143" i="5"/>
  <c r="AT143" i="5"/>
  <c r="AU142" i="5"/>
  <c r="AT142" i="5"/>
  <c r="AU141" i="5"/>
  <c r="AT141" i="5"/>
  <c r="AU140" i="5"/>
  <c r="AT140" i="5"/>
  <c r="AU139" i="5"/>
  <c r="AT139" i="5"/>
  <c r="AU138" i="5"/>
  <c r="AT138" i="5"/>
  <c r="AU137" i="5"/>
  <c r="AT137" i="5"/>
  <c r="AU136" i="5"/>
  <c r="AT136" i="5"/>
  <c r="AU135" i="5"/>
  <c r="AT135" i="5"/>
  <c r="AU134" i="5"/>
  <c r="AT134" i="5"/>
  <c r="AU133" i="5"/>
  <c r="AT133" i="5"/>
  <c r="AU132" i="5"/>
  <c r="AT132" i="5"/>
  <c r="AU131" i="5"/>
  <c r="AT131" i="5"/>
  <c r="AU130" i="5"/>
  <c r="AT130" i="5"/>
  <c r="AU129" i="5"/>
  <c r="AT129" i="5"/>
  <c r="AU128" i="5"/>
  <c r="AT128" i="5"/>
  <c r="AU127" i="5"/>
  <c r="AT127" i="5"/>
  <c r="AU126" i="5"/>
  <c r="AT126" i="5"/>
  <c r="AU125" i="5"/>
  <c r="AT125" i="5"/>
  <c r="AU124" i="5"/>
  <c r="AT124" i="5"/>
  <c r="AU123" i="5"/>
  <c r="AT123" i="5"/>
  <c r="AU122" i="5"/>
  <c r="AT122" i="5"/>
  <c r="AU121" i="5"/>
  <c r="AT121" i="5"/>
  <c r="AU120" i="5"/>
  <c r="AT120" i="5"/>
  <c r="AU119" i="5"/>
  <c r="AT119" i="5"/>
  <c r="AU118" i="5"/>
  <c r="AT118" i="5"/>
  <c r="AU117" i="5"/>
  <c r="AT117" i="5"/>
  <c r="AU116" i="5"/>
  <c r="AT116" i="5"/>
  <c r="AU115" i="5"/>
  <c r="AT115" i="5"/>
  <c r="AU114" i="5"/>
  <c r="AT114" i="5"/>
  <c r="AU113" i="5"/>
  <c r="AT113" i="5"/>
  <c r="AU112" i="5"/>
  <c r="AT112" i="5"/>
  <c r="AU111" i="5"/>
  <c r="AT111" i="5"/>
  <c r="AU110" i="5"/>
  <c r="AT110" i="5"/>
  <c r="AU109" i="5"/>
  <c r="AT109" i="5"/>
  <c r="AU108" i="5"/>
  <c r="AT108" i="5"/>
  <c r="AU107" i="5"/>
  <c r="AT107" i="5"/>
  <c r="AU106" i="5"/>
  <c r="AT106" i="5"/>
  <c r="AU105" i="5"/>
  <c r="AT105" i="5"/>
  <c r="AU104" i="5"/>
  <c r="AT104" i="5"/>
  <c r="AU103" i="5"/>
  <c r="AT103" i="5"/>
  <c r="AU102" i="5"/>
  <c r="AT102" i="5"/>
  <c r="AU101" i="5"/>
  <c r="AT101" i="5"/>
  <c r="AU100" i="5"/>
  <c r="AT100" i="5"/>
  <c r="AU99" i="5"/>
  <c r="AT99" i="5"/>
  <c r="AU98" i="5"/>
  <c r="AT98" i="5"/>
  <c r="AU97" i="5"/>
  <c r="AT97" i="5"/>
  <c r="AU96" i="5"/>
  <c r="AT96" i="5"/>
  <c r="AU95" i="5"/>
  <c r="AT95" i="5"/>
  <c r="AU94" i="5"/>
  <c r="AT94" i="5"/>
  <c r="AU93" i="5"/>
  <c r="AT93" i="5"/>
  <c r="AU92" i="5"/>
  <c r="AT92" i="5"/>
  <c r="AU91" i="5"/>
  <c r="AT91" i="5"/>
  <c r="AU90" i="5"/>
  <c r="AT90" i="5"/>
  <c r="AU89" i="5"/>
  <c r="AT89" i="5"/>
  <c r="AU88" i="5"/>
  <c r="AT88" i="5"/>
  <c r="AU87" i="5"/>
  <c r="AT87" i="5"/>
  <c r="AU86" i="5"/>
  <c r="AT86" i="5"/>
  <c r="AU85" i="5"/>
  <c r="AT85" i="5"/>
  <c r="AU84" i="5"/>
  <c r="AT84" i="5"/>
  <c r="AU83" i="5"/>
  <c r="AT83" i="5"/>
  <c r="AU82" i="5"/>
  <c r="AT82" i="5"/>
  <c r="AU81" i="5"/>
  <c r="AT81" i="5"/>
  <c r="AU80" i="5"/>
  <c r="AT80" i="5"/>
  <c r="AU79" i="5"/>
  <c r="AT79" i="5"/>
  <c r="AU78" i="5"/>
  <c r="AT78" i="5"/>
  <c r="AU77" i="5"/>
  <c r="AT77" i="5"/>
  <c r="AU76" i="5"/>
  <c r="AT76" i="5"/>
  <c r="AU75" i="5"/>
  <c r="AT75" i="5"/>
  <c r="AU74" i="5"/>
  <c r="AT74" i="5"/>
  <c r="AT73" i="5"/>
  <c r="AT72" i="5"/>
  <c r="AT71" i="5"/>
  <c r="AT70" i="5"/>
  <c r="AT69" i="5"/>
  <c r="AT68" i="5"/>
  <c r="AT67" i="5"/>
  <c r="AT66" i="5"/>
  <c r="AT65" i="5"/>
  <c r="AT64" i="5"/>
  <c r="AT63" i="5"/>
  <c r="AT62" i="5"/>
  <c r="AT61" i="5"/>
  <c r="AT60" i="5"/>
  <c r="AT59" i="5"/>
  <c r="AT58" i="5"/>
  <c r="AT57" i="5"/>
  <c r="AT56" i="5"/>
  <c r="AT55" i="5"/>
  <c r="AT54" i="5"/>
  <c r="AT53" i="5"/>
  <c r="AT52" i="5"/>
  <c r="AT51" i="5"/>
  <c r="AT50" i="5"/>
  <c r="AT49" i="5"/>
  <c r="AT48" i="5"/>
  <c r="AT47" i="5"/>
  <c r="AT46" i="5"/>
  <c r="AT45" i="5"/>
  <c r="AT44" i="5"/>
  <c r="AT43" i="5"/>
  <c r="AT42" i="5"/>
  <c r="AT41" i="5"/>
  <c r="AT40" i="5"/>
  <c r="AT39" i="5"/>
  <c r="AT38" i="5"/>
  <c r="AT37" i="5"/>
  <c r="AT36" i="5"/>
  <c r="AT35" i="5"/>
  <c r="AT34" i="5"/>
  <c r="AT33" i="5"/>
  <c r="AT32" i="5"/>
  <c r="AT31" i="5"/>
  <c r="AT30" i="5"/>
  <c r="AT29" i="5"/>
  <c r="AT28" i="5"/>
  <c r="AT27" i="5"/>
  <c r="AT26" i="5"/>
  <c r="AT25" i="5"/>
  <c r="AT24" i="5"/>
  <c r="AT23" i="5"/>
  <c r="AT22" i="5"/>
  <c r="AT21" i="5"/>
  <c r="AT20" i="5"/>
  <c r="AT19" i="5"/>
  <c r="AT18" i="5"/>
  <c r="AT17" i="5"/>
  <c r="AT16" i="5"/>
  <c r="AT15" i="5"/>
  <c r="AP379" i="5"/>
  <c r="AP378" i="5"/>
  <c r="AP377" i="5"/>
  <c r="AP376" i="5"/>
  <c r="AP375" i="5"/>
  <c r="AP374" i="5"/>
  <c r="AP373" i="5"/>
  <c r="AP372" i="5"/>
  <c r="AP371" i="5"/>
  <c r="AP370" i="5"/>
  <c r="AP369" i="5"/>
  <c r="AP368" i="5"/>
  <c r="AP367" i="5"/>
  <c r="AP366" i="5"/>
  <c r="AP365" i="5"/>
  <c r="AP364" i="5"/>
  <c r="AP363" i="5"/>
  <c r="AP362" i="5"/>
  <c r="AP361" i="5"/>
  <c r="AP360" i="5"/>
  <c r="AP359" i="5"/>
  <c r="AP358" i="5"/>
  <c r="AP357" i="5"/>
  <c r="AP356" i="5"/>
  <c r="AP355" i="5"/>
  <c r="AP354" i="5"/>
  <c r="AP353" i="5"/>
  <c r="AP352" i="5"/>
  <c r="AP351" i="5"/>
  <c r="AP350" i="5"/>
  <c r="AP349" i="5"/>
  <c r="AP348" i="5"/>
  <c r="AP347" i="5"/>
  <c r="AP346" i="5"/>
  <c r="AP345" i="5"/>
  <c r="AP344" i="5"/>
  <c r="AP343" i="5"/>
  <c r="AP342" i="5"/>
  <c r="AP341" i="5"/>
  <c r="AP340" i="5"/>
  <c r="AP339" i="5"/>
  <c r="AP338" i="5"/>
  <c r="AP337" i="5"/>
  <c r="AP336" i="5"/>
  <c r="AP335" i="5"/>
  <c r="AP334" i="5"/>
  <c r="AP333" i="5"/>
  <c r="AP332" i="5"/>
  <c r="AP331" i="5"/>
  <c r="AP330" i="5"/>
  <c r="AP329" i="5"/>
  <c r="AP328" i="5"/>
  <c r="AP327" i="5"/>
  <c r="AP326" i="5"/>
  <c r="AP325" i="5"/>
  <c r="AP324" i="5"/>
  <c r="AP323" i="5"/>
  <c r="AP322" i="5"/>
  <c r="AP321" i="5"/>
  <c r="AP320" i="5"/>
  <c r="AP319" i="5"/>
  <c r="AP318" i="5"/>
  <c r="AP317" i="5"/>
  <c r="AP316" i="5"/>
  <c r="AP315" i="5"/>
  <c r="AP314" i="5"/>
  <c r="AP313" i="5"/>
  <c r="AP312" i="5"/>
  <c r="AP311" i="5"/>
  <c r="AP310" i="5"/>
  <c r="AP309" i="5"/>
  <c r="AP308" i="5"/>
  <c r="AP307" i="5"/>
  <c r="AP306" i="5"/>
  <c r="AP305" i="5"/>
  <c r="AP304" i="5"/>
  <c r="AP303" i="5"/>
  <c r="AP302" i="5"/>
  <c r="AP301" i="5"/>
  <c r="AP300" i="5"/>
  <c r="AP299" i="5"/>
  <c r="AP298" i="5"/>
  <c r="AP297" i="5"/>
  <c r="AP296" i="5"/>
  <c r="AP295" i="5"/>
  <c r="AP294" i="5"/>
  <c r="AP293" i="5"/>
  <c r="AP292" i="5"/>
  <c r="AP291" i="5"/>
  <c r="AP290" i="5"/>
  <c r="AP289" i="5"/>
  <c r="AP288" i="5"/>
  <c r="AP287" i="5"/>
  <c r="AP286" i="5"/>
  <c r="AP285" i="5"/>
  <c r="AP284" i="5"/>
  <c r="AP283" i="5"/>
  <c r="AP282" i="5"/>
  <c r="AP281" i="5"/>
  <c r="AP280" i="5"/>
  <c r="AP279" i="5"/>
  <c r="AP278" i="5"/>
  <c r="AP277" i="5"/>
  <c r="AP276" i="5"/>
  <c r="AP275" i="5"/>
  <c r="AP274" i="5"/>
  <c r="AP273" i="5"/>
  <c r="AP272" i="5"/>
  <c r="AP271" i="5"/>
  <c r="AP270" i="5"/>
  <c r="AP269" i="5"/>
  <c r="AP268" i="5"/>
  <c r="AP267" i="5"/>
  <c r="AP266" i="5"/>
  <c r="AP265" i="5"/>
  <c r="AP264" i="5"/>
  <c r="AP263" i="5"/>
  <c r="AP262" i="5"/>
  <c r="AP261" i="5"/>
  <c r="AP260" i="5"/>
  <c r="AP259" i="5"/>
  <c r="AP258" i="5"/>
  <c r="AP257" i="5"/>
  <c r="AP256" i="5"/>
  <c r="AP255" i="5"/>
  <c r="AP254" i="5"/>
  <c r="AP253" i="5"/>
  <c r="AP252" i="5"/>
  <c r="AP251" i="5"/>
  <c r="AP250" i="5"/>
  <c r="AP249" i="5"/>
  <c r="AP248" i="5"/>
  <c r="AP247" i="5"/>
  <c r="AP246" i="5"/>
  <c r="AP245" i="5"/>
  <c r="AP244" i="5"/>
  <c r="AP243" i="5"/>
  <c r="AP242" i="5"/>
  <c r="AP241" i="5"/>
  <c r="AP240" i="5"/>
  <c r="AP239" i="5"/>
  <c r="AP238" i="5"/>
  <c r="AP237" i="5"/>
  <c r="AP236" i="5"/>
  <c r="AP235" i="5"/>
  <c r="AP234" i="5"/>
  <c r="AP233" i="5"/>
  <c r="AP232" i="5"/>
  <c r="AP231" i="5"/>
  <c r="AP230" i="5"/>
  <c r="AP229" i="5"/>
  <c r="AP228" i="5"/>
  <c r="AP227" i="5"/>
  <c r="AP226" i="5"/>
  <c r="AP225" i="5"/>
  <c r="AP224" i="5"/>
  <c r="AP223" i="5"/>
  <c r="AP222" i="5"/>
  <c r="AP221" i="5"/>
  <c r="AP220" i="5"/>
  <c r="AP219" i="5"/>
  <c r="AP218" i="5"/>
  <c r="AP217" i="5"/>
  <c r="AP216" i="5"/>
  <c r="AP215" i="5"/>
  <c r="AP214" i="5"/>
  <c r="AP213" i="5"/>
  <c r="AP212" i="5"/>
  <c r="AP211" i="5"/>
  <c r="AP210" i="5"/>
  <c r="AP209" i="5"/>
  <c r="AP208" i="5"/>
  <c r="AP207" i="5"/>
  <c r="AP206" i="5"/>
  <c r="AP205" i="5"/>
  <c r="AP204" i="5"/>
  <c r="AP203" i="5"/>
  <c r="AP202" i="5"/>
  <c r="AQ201" i="5"/>
  <c r="AP201" i="5"/>
  <c r="AQ200" i="5"/>
  <c r="AP200" i="5"/>
  <c r="AQ199" i="5"/>
  <c r="AP199" i="5"/>
  <c r="AQ198" i="5"/>
  <c r="AP198" i="5"/>
  <c r="AQ197" i="5"/>
  <c r="AP197" i="5"/>
  <c r="AQ196" i="5"/>
  <c r="AP196" i="5"/>
  <c r="AQ195" i="5"/>
  <c r="AP195" i="5"/>
  <c r="AQ194" i="5"/>
  <c r="AP194" i="5"/>
  <c r="AQ193" i="5"/>
  <c r="AP193" i="5"/>
  <c r="AQ192" i="5"/>
  <c r="AP192" i="5"/>
  <c r="AQ191" i="5"/>
  <c r="AP191" i="5"/>
  <c r="AQ190" i="5"/>
  <c r="AP190" i="5"/>
  <c r="AQ189" i="5"/>
  <c r="AP189" i="5"/>
  <c r="AQ188" i="5"/>
  <c r="AP188" i="5"/>
  <c r="AQ187" i="5"/>
  <c r="AP187" i="5"/>
  <c r="AQ186" i="5"/>
  <c r="AP186" i="5"/>
  <c r="AQ185" i="5"/>
  <c r="AP185" i="5"/>
  <c r="AQ184" i="5"/>
  <c r="AP184" i="5"/>
  <c r="AQ183" i="5"/>
  <c r="AP183" i="5"/>
  <c r="AQ182" i="5"/>
  <c r="AP182" i="5"/>
  <c r="AQ181" i="5"/>
  <c r="AP181" i="5"/>
  <c r="AQ180" i="5"/>
  <c r="AP180" i="5"/>
  <c r="AQ179" i="5"/>
  <c r="AP179" i="5"/>
  <c r="AQ178" i="5"/>
  <c r="AP178" i="5"/>
  <c r="AQ177" i="5"/>
  <c r="AP177" i="5"/>
  <c r="AQ176" i="5"/>
  <c r="AP176" i="5"/>
  <c r="AQ175" i="5"/>
  <c r="AP175" i="5"/>
  <c r="AQ174" i="5"/>
  <c r="AP174" i="5"/>
  <c r="AQ173" i="5"/>
  <c r="AP173" i="5"/>
  <c r="AQ172" i="5"/>
  <c r="AP172" i="5"/>
  <c r="AQ171" i="5"/>
  <c r="AP171" i="5"/>
  <c r="AQ170" i="5"/>
  <c r="AP170" i="5"/>
  <c r="AQ169" i="5"/>
  <c r="AP169" i="5"/>
  <c r="AQ168" i="5"/>
  <c r="AP168" i="5"/>
  <c r="AQ167" i="5"/>
  <c r="AP167" i="5"/>
  <c r="AQ166" i="5"/>
  <c r="AP166" i="5"/>
  <c r="AQ165" i="5"/>
  <c r="AP165" i="5"/>
  <c r="AQ164" i="5"/>
  <c r="AP164" i="5"/>
  <c r="AQ163" i="5"/>
  <c r="AP163" i="5"/>
  <c r="AQ162" i="5"/>
  <c r="AP162" i="5"/>
  <c r="AQ161" i="5"/>
  <c r="AP161" i="5"/>
  <c r="AQ160" i="5"/>
  <c r="AP160" i="5"/>
  <c r="AQ159" i="5"/>
  <c r="AP159" i="5"/>
  <c r="AQ158" i="5"/>
  <c r="AP158" i="5"/>
  <c r="AQ157" i="5"/>
  <c r="AP157" i="5"/>
  <c r="AQ156" i="5"/>
  <c r="AP156" i="5"/>
  <c r="AQ155" i="5"/>
  <c r="AP155" i="5"/>
  <c r="AQ154" i="5"/>
  <c r="AP154" i="5"/>
  <c r="AQ153" i="5"/>
  <c r="AP153" i="5"/>
  <c r="AQ152" i="5"/>
  <c r="AP152" i="5"/>
  <c r="AQ151" i="5"/>
  <c r="AP151" i="5"/>
  <c r="AQ150" i="5"/>
  <c r="AP150" i="5"/>
  <c r="AQ149" i="5"/>
  <c r="AP149" i="5"/>
  <c r="AQ148" i="5"/>
  <c r="AP148" i="5"/>
  <c r="AQ147" i="5"/>
  <c r="AP147" i="5"/>
  <c r="AQ146" i="5"/>
  <c r="AP146" i="5"/>
  <c r="AQ145" i="5"/>
  <c r="AP145" i="5"/>
  <c r="AQ144" i="5"/>
  <c r="AP144" i="5"/>
  <c r="AQ143" i="5"/>
  <c r="AP143" i="5"/>
  <c r="AQ142" i="5"/>
  <c r="AP142" i="5"/>
  <c r="AQ141" i="5"/>
  <c r="AP141" i="5"/>
  <c r="AQ140" i="5"/>
  <c r="AP140" i="5"/>
  <c r="AQ139" i="5"/>
  <c r="AP139" i="5"/>
  <c r="AQ138" i="5"/>
  <c r="AP138" i="5"/>
  <c r="AQ137" i="5"/>
  <c r="AP137" i="5"/>
  <c r="AQ136" i="5"/>
  <c r="AP136" i="5"/>
  <c r="AQ135" i="5"/>
  <c r="AP135" i="5"/>
  <c r="AQ134" i="5"/>
  <c r="AP134" i="5"/>
  <c r="AQ133" i="5"/>
  <c r="AP133" i="5"/>
  <c r="AQ132" i="5"/>
  <c r="AP132" i="5"/>
  <c r="AQ131" i="5"/>
  <c r="AP131" i="5"/>
  <c r="AQ130" i="5"/>
  <c r="AP130" i="5"/>
  <c r="AQ129" i="5"/>
  <c r="AP129" i="5"/>
  <c r="AQ128" i="5"/>
  <c r="AP128" i="5"/>
  <c r="AQ127" i="5"/>
  <c r="AP127" i="5"/>
  <c r="AQ126" i="5"/>
  <c r="AP126" i="5"/>
  <c r="AQ125" i="5"/>
  <c r="AP125" i="5"/>
  <c r="AQ124" i="5"/>
  <c r="AP124" i="5"/>
  <c r="AQ123" i="5"/>
  <c r="AP123" i="5"/>
  <c r="AQ122" i="5"/>
  <c r="AP122" i="5"/>
  <c r="AQ121" i="5"/>
  <c r="AP121" i="5"/>
  <c r="AQ120" i="5"/>
  <c r="AP120" i="5"/>
  <c r="AQ119" i="5"/>
  <c r="AP119" i="5"/>
  <c r="AQ118" i="5"/>
  <c r="AP118" i="5"/>
  <c r="AQ117" i="5"/>
  <c r="AP117" i="5"/>
  <c r="AQ116" i="5"/>
  <c r="AP116" i="5"/>
  <c r="AQ115" i="5"/>
  <c r="AP115" i="5"/>
  <c r="AQ114" i="5"/>
  <c r="AP114" i="5"/>
  <c r="AQ113" i="5"/>
  <c r="AP113" i="5"/>
  <c r="AQ112" i="5"/>
  <c r="AP112" i="5"/>
  <c r="AQ111" i="5"/>
  <c r="AP111" i="5"/>
  <c r="AQ110" i="5"/>
  <c r="AP110" i="5"/>
  <c r="AQ109" i="5"/>
  <c r="AP109" i="5"/>
  <c r="AQ108" i="5"/>
  <c r="AP108" i="5"/>
  <c r="AQ107" i="5"/>
  <c r="AP107" i="5"/>
  <c r="AQ106" i="5"/>
  <c r="AP106" i="5"/>
  <c r="AQ105" i="5"/>
  <c r="AP105" i="5"/>
  <c r="AQ104" i="5"/>
  <c r="AP104" i="5"/>
  <c r="AQ103" i="5"/>
  <c r="AP103" i="5"/>
  <c r="AQ102" i="5"/>
  <c r="AP102" i="5"/>
  <c r="AQ101" i="5"/>
  <c r="AP101" i="5"/>
  <c r="AQ100" i="5"/>
  <c r="AP100" i="5"/>
  <c r="AQ99" i="5"/>
  <c r="AP99" i="5"/>
  <c r="AQ98" i="5"/>
  <c r="AP98" i="5"/>
  <c r="AQ97" i="5"/>
  <c r="AP97" i="5"/>
  <c r="AQ96" i="5"/>
  <c r="AP96" i="5"/>
  <c r="AQ95" i="5"/>
  <c r="AP95" i="5"/>
  <c r="AQ94" i="5"/>
  <c r="AP94" i="5"/>
  <c r="AQ93" i="5"/>
  <c r="AP93" i="5"/>
  <c r="AQ92" i="5"/>
  <c r="AP92" i="5"/>
  <c r="AQ91" i="5"/>
  <c r="AP91" i="5"/>
  <c r="AQ90" i="5"/>
  <c r="AP90" i="5"/>
  <c r="AQ89" i="5"/>
  <c r="AP89" i="5"/>
  <c r="AQ88" i="5"/>
  <c r="AP88" i="5"/>
  <c r="AQ87" i="5"/>
  <c r="AP87" i="5"/>
  <c r="AQ86" i="5"/>
  <c r="AP86" i="5"/>
  <c r="AQ85" i="5"/>
  <c r="AP85" i="5"/>
  <c r="AQ84" i="5"/>
  <c r="AP84" i="5"/>
  <c r="AQ83" i="5"/>
  <c r="AP83" i="5"/>
  <c r="AQ82" i="5"/>
  <c r="AP82" i="5"/>
  <c r="AQ81" i="5"/>
  <c r="AP81" i="5"/>
  <c r="AQ80" i="5"/>
  <c r="AP80" i="5"/>
  <c r="AQ79" i="5"/>
  <c r="AP79" i="5"/>
  <c r="AQ78" i="5"/>
  <c r="AP78" i="5"/>
  <c r="AQ77" i="5"/>
  <c r="AP77" i="5"/>
  <c r="AQ76" i="5"/>
  <c r="AP76" i="5"/>
  <c r="AQ75" i="5"/>
  <c r="AP75" i="5"/>
  <c r="AQ74" i="5"/>
  <c r="AP74" i="5"/>
  <c r="AP73" i="5"/>
  <c r="AP72" i="5"/>
  <c r="AP71" i="5"/>
  <c r="AP70" i="5"/>
  <c r="AP69" i="5"/>
  <c r="AP68" i="5"/>
  <c r="AP67" i="5"/>
  <c r="AP66" i="5"/>
  <c r="AP65" i="5"/>
  <c r="AP64" i="5"/>
  <c r="AP63" i="5"/>
  <c r="AP62" i="5"/>
  <c r="AP61" i="5"/>
  <c r="AP60" i="5"/>
  <c r="AP59" i="5"/>
  <c r="AP58" i="5"/>
  <c r="AP57" i="5"/>
  <c r="AP56" i="5"/>
  <c r="AP55" i="5"/>
  <c r="AP54" i="5"/>
  <c r="AP53" i="5"/>
  <c r="AP52" i="5"/>
  <c r="AP51" i="5"/>
  <c r="AP50" i="5"/>
  <c r="AP49" i="5"/>
  <c r="AP48" i="5"/>
  <c r="AP47" i="5"/>
  <c r="AP46" i="5"/>
  <c r="AP45" i="5"/>
  <c r="AP44" i="5"/>
  <c r="AP43" i="5"/>
  <c r="AP42" i="5"/>
  <c r="AP41" i="5"/>
  <c r="AP40" i="5"/>
  <c r="AP39" i="5"/>
  <c r="AP38" i="5"/>
  <c r="AP37" i="5"/>
  <c r="AP36" i="5"/>
  <c r="AP35" i="5"/>
  <c r="AP34" i="5"/>
  <c r="AP33" i="5"/>
  <c r="AP32" i="5"/>
  <c r="AP31" i="5"/>
  <c r="AP30" i="5"/>
  <c r="AP29" i="5"/>
  <c r="AP28" i="5"/>
  <c r="AP27" i="5"/>
  <c r="AP26" i="5"/>
  <c r="AP25" i="5"/>
  <c r="AP24" i="5"/>
  <c r="AP23" i="5"/>
  <c r="AP22" i="5"/>
  <c r="AP21" i="5"/>
  <c r="AP20" i="5"/>
  <c r="AP19" i="5"/>
  <c r="AP18" i="5"/>
  <c r="AP17" i="5"/>
  <c r="AP16" i="5"/>
  <c r="AP15" i="5"/>
  <c r="AL379" i="5"/>
  <c r="AL378" i="5"/>
  <c r="AL377" i="5"/>
  <c r="AL376" i="5"/>
  <c r="AL375" i="5"/>
  <c r="AL374" i="5"/>
  <c r="AL373" i="5"/>
  <c r="AL372" i="5"/>
  <c r="AL371" i="5"/>
  <c r="AL370" i="5"/>
  <c r="AL369" i="5"/>
  <c r="AL368" i="5"/>
  <c r="AL367" i="5"/>
  <c r="AL366" i="5"/>
  <c r="AL365" i="5"/>
  <c r="AL364" i="5"/>
  <c r="AL363" i="5"/>
  <c r="AL362" i="5"/>
  <c r="AL361" i="5"/>
  <c r="AL360" i="5"/>
  <c r="AL359" i="5"/>
  <c r="AL358" i="5"/>
  <c r="AL357" i="5"/>
  <c r="AL356" i="5"/>
  <c r="AL355" i="5"/>
  <c r="AL354" i="5"/>
  <c r="AL353" i="5"/>
  <c r="AL352" i="5"/>
  <c r="AL351" i="5"/>
  <c r="AL350" i="5"/>
  <c r="AL349" i="5"/>
  <c r="AL348" i="5"/>
  <c r="AL347" i="5"/>
  <c r="AL346" i="5"/>
  <c r="AL345" i="5"/>
  <c r="AL344" i="5"/>
  <c r="AL343" i="5"/>
  <c r="AL342" i="5"/>
  <c r="AL341" i="5"/>
  <c r="AL340" i="5"/>
  <c r="AL339" i="5"/>
  <c r="AL338" i="5"/>
  <c r="AL337" i="5"/>
  <c r="AL336" i="5"/>
  <c r="AL335" i="5"/>
  <c r="AL334" i="5"/>
  <c r="AL333" i="5"/>
  <c r="AL332" i="5"/>
  <c r="AL331" i="5"/>
  <c r="AL330" i="5"/>
  <c r="AL329" i="5"/>
  <c r="AL328" i="5"/>
  <c r="AL327" i="5"/>
  <c r="AL326" i="5"/>
  <c r="AL325" i="5"/>
  <c r="AL324" i="5"/>
  <c r="AL323" i="5"/>
  <c r="AL322" i="5"/>
  <c r="AL321" i="5"/>
  <c r="AL320" i="5"/>
  <c r="AL319" i="5"/>
  <c r="AL318" i="5"/>
  <c r="AL317" i="5"/>
  <c r="AL316" i="5"/>
  <c r="AL315" i="5"/>
  <c r="AL314" i="5"/>
  <c r="AL313" i="5"/>
  <c r="AL312" i="5"/>
  <c r="AL311" i="5"/>
  <c r="AL310" i="5"/>
  <c r="AL309" i="5"/>
  <c r="AL308" i="5"/>
  <c r="AL307" i="5"/>
  <c r="AL306" i="5"/>
  <c r="AL305" i="5"/>
  <c r="AL304" i="5"/>
  <c r="AL303" i="5"/>
  <c r="AL302" i="5"/>
  <c r="AL301" i="5"/>
  <c r="AL300" i="5"/>
  <c r="AL299" i="5"/>
  <c r="AL298" i="5"/>
  <c r="AL297" i="5"/>
  <c r="AL296" i="5"/>
  <c r="AL295" i="5"/>
  <c r="AL294" i="5"/>
  <c r="AL293" i="5"/>
  <c r="AL292" i="5"/>
  <c r="AL291" i="5"/>
  <c r="AL290" i="5"/>
  <c r="AL289" i="5"/>
  <c r="AL288" i="5"/>
  <c r="AL287" i="5"/>
  <c r="AL286" i="5"/>
  <c r="AL285" i="5"/>
  <c r="AL284" i="5"/>
  <c r="AL283" i="5"/>
  <c r="AL282" i="5"/>
  <c r="AL281" i="5"/>
  <c r="AL280" i="5"/>
  <c r="AL279" i="5"/>
  <c r="AL278" i="5"/>
  <c r="AL277" i="5"/>
  <c r="AL276" i="5"/>
  <c r="AL275" i="5"/>
  <c r="AL274" i="5"/>
  <c r="AL273" i="5"/>
  <c r="AL272" i="5"/>
  <c r="AL271" i="5"/>
  <c r="AL270" i="5"/>
  <c r="AL269" i="5"/>
  <c r="AL268" i="5"/>
  <c r="AL267" i="5"/>
  <c r="AL266" i="5"/>
  <c r="AL265" i="5"/>
  <c r="AL264" i="5"/>
  <c r="AL263" i="5"/>
  <c r="AL262" i="5"/>
  <c r="AL261" i="5"/>
  <c r="AL260" i="5"/>
  <c r="AL259" i="5"/>
  <c r="AL258" i="5"/>
  <c r="AL257" i="5"/>
  <c r="AL256" i="5"/>
  <c r="AL255" i="5"/>
  <c r="AL254" i="5"/>
  <c r="AL253" i="5"/>
  <c r="AL252" i="5"/>
  <c r="AL251" i="5"/>
  <c r="AL250" i="5"/>
  <c r="AL249" i="5"/>
  <c r="AL248" i="5"/>
  <c r="AL247" i="5"/>
  <c r="AL246" i="5"/>
  <c r="AL245" i="5"/>
  <c r="AL244" i="5"/>
  <c r="AL243" i="5"/>
  <c r="AL242" i="5"/>
  <c r="AL241" i="5"/>
  <c r="AL240" i="5"/>
  <c r="AL239" i="5"/>
  <c r="AL238" i="5"/>
  <c r="AL237" i="5"/>
  <c r="AL236" i="5"/>
  <c r="AL235" i="5"/>
  <c r="AL234" i="5"/>
  <c r="AL233" i="5"/>
  <c r="AL232" i="5"/>
  <c r="AL231" i="5"/>
  <c r="AL230" i="5"/>
  <c r="AL229" i="5"/>
  <c r="AL228" i="5"/>
  <c r="AL227" i="5"/>
  <c r="AL226" i="5"/>
  <c r="AL225" i="5"/>
  <c r="AL224" i="5"/>
  <c r="AL223" i="5"/>
  <c r="AL222" i="5"/>
  <c r="AL221" i="5"/>
  <c r="AL220" i="5"/>
  <c r="AL219" i="5"/>
  <c r="AL218" i="5"/>
  <c r="AL217" i="5"/>
  <c r="AL216" i="5"/>
  <c r="AL215" i="5"/>
  <c r="AL214" i="5"/>
  <c r="AL213" i="5"/>
  <c r="AL212" i="5"/>
  <c r="AL211" i="5"/>
  <c r="AL210" i="5"/>
  <c r="AL209" i="5"/>
  <c r="AL208" i="5"/>
  <c r="AL207" i="5"/>
  <c r="AL206" i="5"/>
  <c r="AL205" i="5"/>
  <c r="AL204" i="5"/>
  <c r="AL203" i="5"/>
  <c r="AL202" i="5"/>
  <c r="AM201" i="5"/>
  <c r="AL201" i="5"/>
  <c r="AM200" i="5"/>
  <c r="AL200" i="5"/>
  <c r="AM199" i="5"/>
  <c r="AL199" i="5"/>
  <c r="AM198" i="5"/>
  <c r="AL198" i="5"/>
  <c r="AM197" i="5"/>
  <c r="AL197" i="5"/>
  <c r="AM196" i="5"/>
  <c r="AL196" i="5"/>
  <c r="AM195" i="5"/>
  <c r="AL195" i="5"/>
  <c r="AM194" i="5"/>
  <c r="AL194" i="5"/>
  <c r="AM193" i="5"/>
  <c r="AL193" i="5"/>
  <c r="AM192" i="5"/>
  <c r="AL192" i="5"/>
  <c r="AM191" i="5"/>
  <c r="AL191" i="5"/>
  <c r="AM190" i="5"/>
  <c r="AL190" i="5"/>
  <c r="AM189" i="5"/>
  <c r="AL189" i="5"/>
  <c r="AM188" i="5"/>
  <c r="AL188" i="5"/>
  <c r="AM187" i="5"/>
  <c r="AL187" i="5"/>
  <c r="AM186" i="5"/>
  <c r="AL186" i="5"/>
  <c r="AM185" i="5"/>
  <c r="AL185" i="5"/>
  <c r="AM184" i="5"/>
  <c r="AL184" i="5"/>
  <c r="AM183" i="5"/>
  <c r="AL183" i="5"/>
  <c r="AM182" i="5"/>
  <c r="AL182" i="5"/>
  <c r="AM181" i="5"/>
  <c r="AL181" i="5"/>
  <c r="AM180" i="5"/>
  <c r="AL180" i="5"/>
  <c r="AM179" i="5"/>
  <c r="AL179" i="5"/>
  <c r="AM178" i="5"/>
  <c r="AL178" i="5"/>
  <c r="AM177" i="5"/>
  <c r="AL177" i="5"/>
  <c r="AM176" i="5"/>
  <c r="AL176" i="5"/>
  <c r="AM175" i="5"/>
  <c r="AL175" i="5"/>
  <c r="AM174" i="5"/>
  <c r="AL174" i="5"/>
  <c r="AM173" i="5"/>
  <c r="AL173" i="5"/>
  <c r="AM172" i="5"/>
  <c r="AL172" i="5"/>
  <c r="AM171" i="5"/>
  <c r="AL171" i="5"/>
  <c r="AM170" i="5"/>
  <c r="AL170" i="5"/>
  <c r="AM169" i="5"/>
  <c r="AL169" i="5"/>
  <c r="AM168" i="5"/>
  <c r="AL168" i="5"/>
  <c r="AM167" i="5"/>
  <c r="AL167" i="5"/>
  <c r="AM166" i="5"/>
  <c r="AL166" i="5"/>
  <c r="AM165" i="5"/>
  <c r="AL165" i="5"/>
  <c r="AM164" i="5"/>
  <c r="AL164" i="5"/>
  <c r="AM163" i="5"/>
  <c r="AL163" i="5"/>
  <c r="AM162" i="5"/>
  <c r="AL162" i="5"/>
  <c r="AM161" i="5"/>
  <c r="AL161" i="5"/>
  <c r="AM160" i="5"/>
  <c r="AL160" i="5"/>
  <c r="AM159" i="5"/>
  <c r="AL159" i="5"/>
  <c r="AM158" i="5"/>
  <c r="AL158" i="5"/>
  <c r="AM157" i="5"/>
  <c r="AL157" i="5"/>
  <c r="AM156" i="5"/>
  <c r="AL156" i="5"/>
  <c r="AM155" i="5"/>
  <c r="AL155" i="5"/>
  <c r="AM154" i="5"/>
  <c r="AL154" i="5"/>
  <c r="AM153" i="5"/>
  <c r="AL153" i="5"/>
  <c r="AM152" i="5"/>
  <c r="AL152" i="5"/>
  <c r="AM151" i="5"/>
  <c r="AL151" i="5"/>
  <c r="AM150" i="5"/>
  <c r="AL150" i="5"/>
  <c r="AM149" i="5"/>
  <c r="AL149" i="5"/>
  <c r="AM148" i="5"/>
  <c r="AL148" i="5"/>
  <c r="AM147" i="5"/>
  <c r="AL147" i="5"/>
  <c r="AM146" i="5"/>
  <c r="AL146" i="5"/>
  <c r="AM145" i="5"/>
  <c r="AL145" i="5"/>
  <c r="AM144" i="5"/>
  <c r="AL144" i="5"/>
  <c r="AM143" i="5"/>
  <c r="AL143" i="5"/>
  <c r="AM142" i="5"/>
  <c r="AL142" i="5"/>
  <c r="AM141" i="5"/>
  <c r="AL141" i="5"/>
  <c r="AM140" i="5"/>
  <c r="AL140" i="5"/>
  <c r="AM139" i="5"/>
  <c r="AL139" i="5"/>
  <c r="AM138" i="5"/>
  <c r="AL138" i="5"/>
  <c r="AM137" i="5"/>
  <c r="AL137" i="5"/>
  <c r="AM136" i="5"/>
  <c r="AL136" i="5"/>
  <c r="AM135" i="5"/>
  <c r="AL135" i="5"/>
  <c r="AM134" i="5"/>
  <c r="AL134" i="5"/>
  <c r="AM133" i="5"/>
  <c r="AL133" i="5"/>
  <c r="AM132" i="5"/>
  <c r="AL132" i="5"/>
  <c r="AM131" i="5"/>
  <c r="AL131" i="5"/>
  <c r="AM130" i="5"/>
  <c r="AL130" i="5"/>
  <c r="AM129" i="5"/>
  <c r="AL129" i="5"/>
  <c r="AM128" i="5"/>
  <c r="AL128" i="5"/>
  <c r="AM127" i="5"/>
  <c r="AL127" i="5"/>
  <c r="AM126" i="5"/>
  <c r="AL126" i="5"/>
  <c r="AM125" i="5"/>
  <c r="AL125" i="5"/>
  <c r="AM124" i="5"/>
  <c r="AL124" i="5"/>
  <c r="AM123" i="5"/>
  <c r="AL123" i="5"/>
  <c r="AM122" i="5"/>
  <c r="AL122" i="5"/>
  <c r="AM121" i="5"/>
  <c r="AL121" i="5"/>
  <c r="AM120" i="5"/>
  <c r="AL120" i="5"/>
  <c r="AM119" i="5"/>
  <c r="AL119" i="5"/>
  <c r="AM118" i="5"/>
  <c r="AL118" i="5"/>
  <c r="AM117" i="5"/>
  <c r="AL117" i="5"/>
  <c r="AM116" i="5"/>
  <c r="AL116" i="5"/>
  <c r="AM115" i="5"/>
  <c r="AL115" i="5"/>
  <c r="AM114" i="5"/>
  <c r="AL114" i="5"/>
  <c r="AM113" i="5"/>
  <c r="AL113" i="5"/>
  <c r="AM112" i="5"/>
  <c r="AL112" i="5"/>
  <c r="AM111" i="5"/>
  <c r="AL111" i="5"/>
  <c r="AM110" i="5"/>
  <c r="AL110" i="5"/>
  <c r="AM109" i="5"/>
  <c r="AL109" i="5"/>
  <c r="AM108" i="5"/>
  <c r="AL108" i="5"/>
  <c r="AM107" i="5"/>
  <c r="AL107" i="5"/>
  <c r="AM106" i="5"/>
  <c r="AL106" i="5"/>
  <c r="AM105" i="5"/>
  <c r="AL105" i="5"/>
  <c r="AM104" i="5"/>
  <c r="AL104" i="5"/>
  <c r="AM103" i="5"/>
  <c r="AL103" i="5"/>
  <c r="AM102" i="5"/>
  <c r="AL102" i="5"/>
  <c r="AM101" i="5"/>
  <c r="AL101" i="5"/>
  <c r="AM100" i="5"/>
  <c r="AL100" i="5"/>
  <c r="AM99" i="5"/>
  <c r="AL99" i="5"/>
  <c r="AM98" i="5"/>
  <c r="AL98" i="5"/>
  <c r="AM97" i="5"/>
  <c r="AL97" i="5"/>
  <c r="AM96" i="5"/>
  <c r="AL96" i="5"/>
  <c r="AM95" i="5"/>
  <c r="AL95" i="5"/>
  <c r="AM94" i="5"/>
  <c r="AL94" i="5"/>
  <c r="AM93" i="5"/>
  <c r="AL93" i="5"/>
  <c r="AM92" i="5"/>
  <c r="AL92" i="5"/>
  <c r="AM91" i="5"/>
  <c r="AL91" i="5"/>
  <c r="AM90" i="5"/>
  <c r="AL90" i="5"/>
  <c r="AM89" i="5"/>
  <c r="AL89" i="5"/>
  <c r="AM88" i="5"/>
  <c r="AL88" i="5"/>
  <c r="AM87" i="5"/>
  <c r="AL87" i="5"/>
  <c r="AM86" i="5"/>
  <c r="AL86" i="5"/>
  <c r="AM85" i="5"/>
  <c r="AL85" i="5"/>
  <c r="AM84" i="5"/>
  <c r="AL84" i="5"/>
  <c r="AM83" i="5"/>
  <c r="AL83" i="5"/>
  <c r="AM82" i="5"/>
  <c r="AL82" i="5"/>
  <c r="AM81" i="5"/>
  <c r="AL81" i="5"/>
  <c r="AM80" i="5"/>
  <c r="AL80" i="5"/>
  <c r="AM79" i="5"/>
  <c r="AL79" i="5"/>
  <c r="AM78" i="5"/>
  <c r="AL78" i="5"/>
  <c r="AM77" i="5"/>
  <c r="AL77" i="5"/>
  <c r="AM76" i="5"/>
  <c r="AL76" i="5"/>
  <c r="AM75" i="5"/>
  <c r="AL75" i="5"/>
  <c r="AM74" i="5"/>
  <c r="AL74" i="5"/>
  <c r="AL73" i="5"/>
  <c r="AL72" i="5"/>
  <c r="AL71" i="5"/>
  <c r="AL70" i="5"/>
  <c r="AL69" i="5"/>
  <c r="AL68" i="5"/>
  <c r="AL67" i="5"/>
  <c r="AL66" i="5"/>
  <c r="AL65" i="5"/>
  <c r="AL64" i="5"/>
  <c r="AL63" i="5"/>
  <c r="AL62" i="5"/>
  <c r="AL61" i="5"/>
  <c r="AL60" i="5"/>
  <c r="AL59" i="5"/>
  <c r="AL58" i="5"/>
  <c r="AL57" i="5"/>
  <c r="AL56" i="5"/>
  <c r="AL55" i="5"/>
  <c r="AL54" i="5"/>
  <c r="AL53" i="5"/>
  <c r="AL52" i="5"/>
  <c r="AL51" i="5"/>
  <c r="AL50" i="5"/>
  <c r="AL49" i="5"/>
  <c r="AL48" i="5"/>
  <c r="AL47" i="5"/>
  <c r="AL46" i="5"/>
  <c r="AL45" i="5"/>
  <c r="AL44" i="5"/>
  <c r="AL43" i="5"/>
  <c r="AL42" i="5"/>
  <c r="AL41" i="5"/>
  <c r="AL40" i="5"/>
  <c r="AL39" i="5"/>
  <c r="AL38" i="5"/>
  <c r="AL37" i="5"/>
  <c r="AL36" i="5"/>
  <c r="AL35" i="5"/>
  <c r="AL34" i="5"/>
  <c r="AL33" i="5"/>
  <c r="AL32" i="5"/>
  <c r="AL31" i="5"/>
  <c r="AL30" i="5"/>
  <c r="AL29" i="5"/>
  <c r="AL28" i="5"/>
  <c r="AL27" i="5"/>
  <c r="AL26" i="5"/>
  <c r="AL25" i="5"/>
  <c r="AL24" i="5"/>
  <c r="AL23" i="5"/>
  <c r="AL22" i="5"/>
  <c r="AL21" i="5"/>
  <c r="AL20" i="5"/>
  <c r="AL19" i="5"/>
  <c r="AL18" i="5"/>
  <c r="AL17" i="5"/>
  <c r="AL16" i="5"/>
  <c r="AL15" i="5"/>
  <c r="AH379" i="5"/>
  <c r="AH378" i="5"/>
  <c r="AH377" i="5"/>
  <c r="AH376" i="5"/>
  <c r="AH375" i="5"/>
  <c r="AH374" i="5"/>
  <c r="AH373" i="5"/>
  <c r="AH372" i="5"/>
  <c r="AH371" i="5"/>
  <c r="AH370" i="5"/>
  <c r="AH369" i="5"/>
  <c r="AH368" i="5"/>
  <c r="AH367" i="5"/>
  <c r="AH366" i="5"/>
  <c r="AH365" i="5"/>
  <c r="AH364" i="5"/>
  <c r="AH363" i="5"/>
  <c r="AH362" i="5"/>
  <c r="AH361" i="5"/>
  <c r="AH360" i="5"/>
  <c r="AH359" i="5"/>
  <c r="AH358" i="5"/>
  <c r="AH357" i="5"/>
  <c r="AH356" i="5"/>
  <c r="AH355" i="5"/>
  <c r="AH354" i="5"/>
  <c r="AH353" i="5"/>
  <c r="AH352" i="5"/>
  <c r="AH351" i="5"/>
  <c r="AH350" i="5"/>
  <c r="AH349" i="5"/>
  <c r="AH348" i="5"/>
  <c r="AH347" i="5"/>
  <c r="AH346" i="5"/>
  <c r="AH345" i="5"/>
  <c r="AH344" i="5"/>
  <c r="AH343" i="5"/>
  <c r="AH342" i="5"/>
  <c r="AH341" i="5"/>
  <c r="AH340" i="5"/>
  <c r="AH339" i="5"/>
  <c r="AH338" i="5"/>
  <c r="AH337" i="5"/>
  <c r="AH336" i="5"/>
  <c r="AH335" i="5"/>
  <c r="AH334" i="5"/>
  <c r="AH333" i="5"/>
  <c r="AH332" i="5"/>
  <c r="AH331" i="5"/>
  <c r="AH330" i="5"/>
  <c r="AH329" i="5"/>
  <c r="AH328" i="5"/>
  <c r="AH327" i="5"/>
  <c r="AH326" i="5"/>
  <c r="AH325" i="5"/>
  <c r="AH324" i="5"/>
  <c r="AH323" i="5"/>
  <c r="AH322" i="5"/>
  <c r="AH321" i="5"/>
  <c r="AH320" i="5"/>
  <c r="AH319" i="5"/>
  <c r="AH318" i="5"/>
  <c r="AH317" i="5"/>
  <c r="AH316" i="5"/>
  <c r="AH315" i="5"/>
  <c r="AH314" i="5"/>
  <c r="AH313" i="5"/>
  <c r="AH312" i="5"/>
  <c r="AH311" i="5"/>
  <c r="AH310" i="5"/>
  <c r="AH309" i="5"/>
  <c r="AH308" i="5"/>
  <c r="AH307" i="5"/>
  <c r="AH306" i="5"/>
  <c r="AH305" i="5"/>
  <c r="AH304" i="5"/>
  <c r="AH303" i="5"/>
  <c r="AH302" i="5"/>
  <c r="AH301" i="5"/>
  <c r="AH300" i="5"/>
  <c r="AH299" i="5"/>
  <c r="AH298" i="5"/>
  <c r="AH297" i="5"/>
  <c r="AH296" i="5"/>
  <c r="AH295" i="5"/>
  <c r="AH294" i="5"/>
  <c r="AH293" i="5"/>
  <c r="AH292" i="5"/>
  <c r="AH291" i="5"/>
  <c r="AH290" i="5"/>
  <c r="AH289" i="5"/>
  <c r="AH288" i="5"/>
  <c r="AH287" i="5"/>
  <c r="AH286" i="5"/>
  <c r="AH285" i="5"/>
  <c r="AH284" i="5"/>
  <c r="AH283" i="5"/>
  <c r="AH282" i="5"/>
  <c r="AH281" i="5"/>
  <c r="AH280" i="5"/>
  <c r="AH279" i="5"/>
  <c r="AH278" i="5"/>
  <c r="AH277" i="5"/>
  <c r="AH276" i="5"/>
  <c r="AH275" i="5"/>
  <c r="AH274" i="5"/>
  <c r="AH273" i="5"/>
  <c r="AH272" i="5"/>
  <c r="AH271" i="5"/>
  <c r="AH270" i="5"/>
  <c r="AH269" i="5"/>
  <c r="AH268" i="5"/>
  <c r="AH267" i="5"/>
  <c r="AH266" i="5"/>
  <c r="AH265" i="5"/>
  <c r="AH264" i="5"/>
  <c r="AH263" i="5"/>
  <c r="AH262" i="5"/>
  <c r="AH261" i="5"/>
  <c r="AH260" i="5"/>
  <c r="AH259" i="5"/>
  <c r="AH258" i="5"/>
  <c r="AH257" i="5"/>
  <c r="AH256" i="5"/>
  <c r="AH255" i="5"/>
  <c r="AH254" i="5"/>
  <c r="AH253" i="5"/>
  <c r="AH252" i="5"/>
  <c r="AH251" i="5"/>
  <c r="AH250" i="5"/>
  <c r="AH249" i="5"/>
  <c r="AH248" i="5"/>
  <c r="AH247" i="5"/>
  <c r="AH246" i="5"/>
  <c r="AH245" i="5"/>
  <c r="AH244" i="5"/>
  <c r="AH243" i="5"/>
  <c r="AH242" i="5"/>
  <c r="AH241" i="5"/>
  <c r="AH240" i="5"/>
  <c r="AH239" i="5"/>
  <c r="AH238" i="5"/>
  <c r="AH237" i="5"/>
  <c r="AH236" i="5"/>
  <c r="AH235" i="5"/>
  <c r="AH234" i="5"/>
  <c r="AH233" i="5"/>
  <c r="AH232" i="5"/>
  <c r="AH231" i="5"/>
  <c r="AH230" i="5"/>
  <c r="AH229" i="5"/>
  <c r="AH228" i="5"/>
  <c r="AH227" i="5"/>
  <c r="AH226" i="5"/>
  <c r="AH225" i="5"/>
  <c r="AH224" i="5"/>
  <c r="AH223" i="5"/>
  <c r="AH222" i="5"/>
  <c r="AH221" i="5"/>
  <c r="AH220" i="5"/>
  <c r="AH219" i="5"/>
  <c r="AH218" i="5"/>
  <c r="AH217" i="5"/>
  <c r="AH216" i="5"/>
  <c r="AH215" i="5"/>
  <c r="AH214" i="5"/>
  <c r="AH213" i="5"/>
  <c r="AH212" i="5"/>
  <c r="AH211" i="5"/>
  <c r="AH210" i="5"/>
  <c r="AH209" i="5"/>
  <c r="AH208" i="5"/>
  <c r="AH207" i="5"/>
  <c r="AH206" i="5"/>
  <c r="AH205" i="5"/>
  <c r="AH204" i="5"/>
  <c r="AH203" i="5"/>
  <c r="AH202" i="5"/>
  <c r="AI201" i="5"/>
  <c r="AH201" i="5"/>
  <c r="AI200" i="5"/>
  <c r="AH200" i="5"/>
  <c r="AI199" i="5"/>
  <c r="AH199" i="5"/>
  <c r="AI198" i="5"/>
  <c r="AH198" i="5"/>
  <c r="AI197" i="5"/>
  <c r="AH197" i="5"/>
  <c r="AI196" i="5"/>
  <c r="AH196" i="5"/>
  <c r="AI195" i="5"/>
  <c r="AH195" i="5"/>
  <c r="AI194" i="5"/>
  <c r="AH194" i="5"/>
  <c r="AI193" i="5"/>
  <c r="AH193" i="5"/>
  <c r="AI192" i="5"/>
  <c r="AH192" i="5"/>
  <c r="AI191" i="5"/>
  <c r="AH191" i="5"/>
  <c r="AI190" i="5"/>
  <c r="AH190" i="5"/>
  <c r="AI189" i="5"/>
  <c r="AH189" i="5"/>
  <c r="AI188" i="5"/>
  <c r="AH188" i="5"/>
  <c r="AI187" i="5"/>
  <c r="AH187" i="5"/>
  <c r="AI186" i="5"/>
  <c r="AH186" i="5"/>
  <c r="AI185" i="5"/>
  <c r="AH185" i="5"/>
  <c r="AI184" i="5"/>
  <c r="AH184" i="5"/>
  <c r="AI183" i="5"/>
  <c r="AH183" i="5"/>
  <c r="AI182" i="5"/>
  <c r="AH182" i="5"/>
  <c r="AI181" i="5"/>
  <c r="AH181" i="5"/>
  <c r="AI180" i="5"/>
  <c r="AH180" i="5"/>
  <c r="AI179" i="5"/>
  <c r="AH179" i="5"/>
  <c r="AI178" i="5"/>
  <c r="AH178" i="5"/>
  <c r="AI177" i="5"/>
  <c r="AH177" i="5"/>
  <c r="AI176" i="5"/>
  <c r="AH176" i="5"/>
  <c r="AI175" i="5"/>
  <c r="AH175" i="5"/>
  <c r="AI174" i="5"/>
  <c r="AH174" i="5"/>
  <c r="AI173" i="5"/>
  <c r="AH173" i="5"/>
  <c r="AI172" i="5"/>
  <c r="AH172" i="5"/>
  <c r="AI171" i="5"/>
  <c r="AH171" i="5"/>
  <c r="AI170" i="5"/>
  <c r="AH170" i="5"/>
  <c r="AI169" i="5"/>
  <c r="AH169" i="5"/>
  <c r="AI168" i="5"/>
  <c r="AH168" i="5"/>
  <c r="AI167" i="5"/>
  <c r="AH167" i="5"/>
  <c r="AI166" i="5"/>
  <c r="AH166" i="5"/>
  <c r="AI165" i="5"/>
  <c r="AH165" i="5"/>
  <c r="AI164" i="5"/>
  <c r="AH164" i="5"/>
  <c r="AI163" i="5"/>
  <c r="AH163" i="5"/>
  <c r="AI162" i="5"/>
  <c r="AH162" i="5"/>
  <c r="AI161" i="5"/>
  <c r="AH161" i="5"/>
  <c r="AI160" i="5"/>
  <c r="AH160" i="5"/>
  <c r="AI159" i="5"/>
  <c r="AH159" i="5"/>
  <c r="AI158" i="5"/>
  <c r="AH158" i="5"/>
  <c r="AI157" i="5"/>
  <c r="AH157" i="5"/>
  <c r="AI156" i="5"/>
  <c r="AH156" i="5"/>
  <c r="AI155" i="5"/>
  <c r="AH155" i="5"/>
  <c r="AI154" i="5"/>
  <c r="AH154" i="5"/>
  <c r="AI153" i="5"/>
  <c r="AH153" i="5"/>
  <c r="AI152" i="5"/>
  <c r="AH152" i="5"/>
  <c r="AI151" i="5"/>
  <c r="AH151" i="5"/>
  <c r="AI150" i="5"/>
  <c r="AH150" i="5"/>
  <c r="AI149" i="5"/>
  <c r="AH149" i="5"/>
  <c r="AI148" i="5"/>
  <c r="AH148" i="5"/>
  <c r="AI147" i="5"/>
  <c r="AH147" i="5"/>
  <c r="AI146" i="5"/>
  <c r="AH146" i="5"/>
  <c r="AI145" i="5"/>
  <c r="AH145" i="5"/>
  <c r="AI144" i="5"/>
  <c r="AH144" i="5"/>
  <c r="AI143" i="5"/>
  <c r="AH143" i="5"/>
  <c r="AI142" i="5"/>
  <c r="AH142" i="5"/>
  <c r="AI141" i="5"/>
  <c r="AH141" i="5"/>
  <c r="AI140" i="5"/>
  <c r="AH140" i="5"/>
  <c r="AI139" i="5"/>
  <c r="AH139" i="5"/>
  <c r="AI138" i="5"/>
  <c r="AH138" i="5"/>
  <c r="AI137" i="5"/>
  <c r="AH137" i="5"/>
  <c r="AI136" i="5"/>
  <c r="AH136" i="5"/>
  <c r="AI135" i="5"/>
  <c r="AH135" i="5"/>
  <c r="AI134" i="5"/>
  <c r="AH134" i="5"/>
  <c r="AI133" i="5"/>
  <c r="AH133" i="5"/>
  <c r="AI132" i="5"/>
  <c r="AH132" i="5"/>
  <c r="AI131" i="5"/>
  <c r="AH131" i="5"/>
  <c r="AI130" i="5"/>
  <c r="AH130" i="5"/>
  <c r="AI129" i="5"/>
  <c r="AH129" i="5"/>
  <c r="AI128" i="5"/>
  <c r="AH128" i="5"/>
  <c r="AI127" i="5"/>
  <c r="AH127" i="5"/>
  <c r="AI126" i="5"/>
  <c r="AH126" i="5"/>
  <c r="AI125" i="5"/>
  <c r="AH125" i="5"/>
  <c r="AI124" i="5"/>
  <c r="AH124" i="5"/>
  <c r="AI123" i="5"/>
  <c r="AH123" i="5"/>
  <c r="AI122" i="5"/>
  <c r="AH122" i="5"/>
  <c r="AI121" i="5"/>
  <c r="AH121" i="5"/>
  <c r="AI120" i="5"/>
  <c r="AH120" i="5"/>
  <c r="AI119" i="5"/>
  <c r="AH119" i="5"/>
  <c r="AI118" i="5"/>
  <c r="AH118" i="5"/>
  <c r="AI117" i="5"/>
  <c r="AH117" i="5"/>
  <c r="AI116" i="5"/>
  <c r="AH116" i="5"/>
  <c r="AI115" i="5"/>
  <c r="AH115" i="5"/>
  <c r="AI114" i="5"/>
  <c r="AH114" i="5"/>
  <c r="AI113" i="5"/>
  <c r="AH113" i="5"/>
  <c r="AI112" i="5"/>
  <c r="AH112" i="5"/>
  <c r="AI111" i="5"/>
  <c r="AH111" i="5"/>
  <c r="AI110" i="5"/>
  <c r="AH110" i="5"/>
  <c r="AI109" i="5"/>
  <c r="AH109" i="5"/>
  <c r="AI108" i="5"/>
  <c r="AH108" i="5"/>
  <c r="AI107" i="5"/>
  <c r="AH107" i="5"/>
  <c r="AI106" i="5"/>
  <c r="AH106" i="5"/>
  <c r="AI105" i="5"/>
  <c r="AH105" i="5"/>
  <c r="AI104" i="5"/>
  <c r="AH104" i="5"/>
  <c r="AI103" i="5"/>
  <c r="AH103" i="5"/>
  <c r="AI102" i="5"/>
  <c r="AH102" i="5"/>
  <c r="AI101" i="5"/>
  <c r="AH101" i="5"/>
  <c r="AI100" i="5"/>
  <c r="AH100" i="5"/>
  <c r="AI99" i="5"/>
  <c r="AH99" i="5"/>
  <c r="AI98" i="5"/>
  <c r="AH98" i="5"/>
  <c r="AI97" i="5"/>
  <c r="AH97" i="5"/>
  <c r="AI96" i="5"/>
  <c r="AH96" i="5"/>
  <c r="AI95" i="5"/>
  <c r="AH95" i="5"/>
  <c r="AI94" i="5"/>
  <c r="AH94" i="5"/>
  <c r="AI93" i="5"/>
  <c r="AH93" i="5"/>
  <c r="AI92" i="5"/>
  <c r="AH92" i="5"/>
  <c r="AI91" i="5"/>
  <c r="AH91" i="5"/>
  <c r="AI90" i="5"/>
  <c r="AH90" i="5"/>
  <c r="AI89" i="5"/>
  <c r="AH89" i="5"/>
  <c r="AI88" i="5"/>
  <c r="AH88" i="5"/>
  <c r="AI87" i="5"/>
  <c r="AH87" i="5"/>
  <c r="AI86" i="5"/>
  <c r="AH86" i="5"/>
  <c r="AI85" i="5"/>
  <c r="AH85" i="5"/>
  <c r="AI84" i="5"/>
  <c r="AH84" i="5"/>
  <c r="AI83" i="5"/>
  <c r="AH83" i="5"/>
  <c r="AI82" i="5"/>
  <c r="AH82" i="5"/>
  <c r="AI81" i="5"/>
  <c r="AH81" i="5"/>
  <c r="AI80" i="5"/>
  <c r="AH80" i="5"/>
  <c r="AI79" i="5"/>
  <c r="AH79" i="5"/>
  <c r="AI78" i="5"/>
  <c r="AH78" i="5"/>
  <c r="AI77" i="5"/>
  <c r="AH77" i="5"/>
  <c r="AI76" i="5"/>
  <c r="AH76" i="5"/>
  <c r="AI75" i="5"/>
  <c r="AH75" i="5"/>
  <c r="AI74" i="5"/>
  <c r="AH74" i="5"/>
  <c r="AH73" i="5"/>
  <c r="AH72" i="5"/>
  <c r="AH71" i="5"/>
  <c r="AH70" i="5"/>
  <c r="AH69" i="5"/>
  <c r="AH68" i="5"/>
  <c r="AH67" i="5"/>
  <c r="AH66" i="5"/>
  <c r="AH65" i="5"/>
  <c r="AH64" i="5"/>
  <c r="AH63" i="5"/>
  <c r="AH62" i="5"/>
  <c r="AH61" i="5"/>
  <c r="AH60" i="5"/>
  <c r="AH59" i="5"/>
  <c r="AH58" i="5"/>
  <c r="AH57" i="5"/>
  <c r="AH56" i="5"/>
  <c r="AH55" i="5"/>
  <c r="AH54" i="5"/>
  <c r="AH53" i="5"/>
  <c r="AH52" i="5"/>
  <c r="AH51" i="5"/>
  <c r="AH50" i="5"/>
  <c r="AH49" i="5"/>
  <c r="AH48" i="5"/>
  <c r="AH47" i="5"/>
  <c r="AH46" i="5"/>
  <c r="AH45" i="5"/>
  <c r="AH44" i="5"/>
  <c r="AH43" i="5"/>
  <c r="AH42" i="5"/>
  <c r="AH41" i="5"/>
  <c r="AH40" i="5"/>
  <c r="AH39" i="5"/>
  <c r="AH38" i="5"/>
  <c r="AH37" i="5"/>
  <c r="AH36" i="5"/>
  <c r="AH35" i="5"/>
  <c r="AH34" i="5"/>
  <c r="AH33" i="5"/>
  <c r="AH32" i="5"/>
  <c r="AH31" i="5"/>
  <c r="AH30" i="5"/>
  <c r="AH29" i="5"/>
  <c r="AH28" i="5"/>
  <c r="AH27" i="5"/>
  <c r="AH26" i="5"/>
  <c r="AH25" i="5"/>
  <c r="AH24" i="5"/>
  <c r="AH23" i="5"/>
  <c r="AH22" i="5"/>
  <c r="AH21" i="5"/>
  <c r="AH20" i="5"/>
  <c r="AH19" i="5"/>
  <c r="AH18" i="5"/>
  <c r="AH17" i="5"/>
  <c r="AH16" i="5"/>
  <c r="AH15" i="5"/>
  <c r="AD379" i="5"/>
  <c r="AD378" i="5"/>
  <c r="AD377" i="5"/>
  <c r="AD376" i="5"/>
  <c r="AD375" i="5"/>
  <c r="AD374" i="5"/>
  <c r="AD373" i="5"/>
  <c r="AD372" i="5"/>
  <c r="AD371" i="5"/>
  <c r="AD370" i="5"/>
  <c r="AD369" i="5"/>
  <c r="AD368" i="5"/>
  <c r="AD367" i="5"/>
  <c r="AD366" i="5"/>
  <c r="AD365" i="5"/>
  <c r="AD364" i="5"/>
  <c r="AD363" i="5"/>
  <c r="AD362" i="5"/>
  <c r="AD361" i="5"/>
  <c r="AD360" i="5"/>
  <c r="AD359" i="5"/>
  <c r="AD358" i="5"/>
  <c r="AD357" i="5"/>
  <c r="AD356" i="5"/>
  <c r="AD355" i="5"/>
  <c r="AD354" i="5"/>
  <c r="AD353" i="5"/>
  <c r="AD352" i="5"/>
  <c r="AD351" i="5"/>
  <c r="AD350" i="5"/>
  <c r="AD349" i="5"/>
  <c r="AD348" i="5"/>
  <c r="AD347" i="5"/>
  <c r="AD346" i="5"/>
  <c r="AD345" i="5"/>
  <c r="AD344" i="5"/>
  <c r="AD343" i="5"/>
  <c r="AD342" i="5"/>
  <c r="AD341" i="5"/>
  <c r="AD340" i="5"/>
  <c r="AD339" i="5"/>
  <c r="AD338" i="5"/>
  <c r="AD337" i="5"/>
  <c r="AD336" i="5"/>
  <c r="AD335" i="5"/>
  <c r="AD334" i="5"/>
  <c r="AD333" i="5"/>
  <c r="AD332" i="5"/>
  <c r="AD331" i="5"/>
  <c r="AD330" i="5"/>
  <c r="AD329" i="5"/>
  <c r="AD328" i="5"/>
  <c r="AD327" i="5"/>
  <c r="AD326" i="5"/>
  <c r="AD325" i="5"/>
  <c r="AD324" i="5"/>
  <c r="AD323" i="5"/>
  <c r="AD322" i="5"/>
  <c r="AD321" i="5"/>
  <c r="AD320" i="5"/>
  <c r="AD319" i="5"/>
  <c r="AD318" i="5"/>
  <c r="AD317" i="5"/>
  <c r="AD316" i="5"/>
  <c r="AD315" i="5"/>
  <c r="AD314" i="5"/>
  <c r="AD313" i="5"/>
  <c r="AD312" i="5"/>
  <c r="AD311" i="5"/>
  <c r="AD310" i="5"/>
  <c r="AD309" i="5"/>
  <c r="AD308" i="5"/>
  <c r="AD307" i="5"/>
  <c r="AD306" i="5"/>
  <c r="AD305" i="5"/>
  <c r="AD304" i="5"/>
  <c r="AD303" i="5"/>
  <c r="AD302" i="5"/>
  <c r="AD301" i="5"/>
  <c r="AD300" i="5"/>
  <c r="AD299" i="5"/>
  <c r="AD298" i="5"/>
  <c r="AD297" i="5"/>
  <c r="AD296" i="5"/>
  <c r="AD295" i="5"/>
  <c r="AD294" i="5"/>
  <c r="AD293" i="5"/>
  <c r="AD292" i="5"/>
  <c r="AD291" i="5"/>
  <c r="AD290" i="5"/>
  <c r="AD289" i="5"/>
  <c r="AD288" i="5"/>
  <c r="AD287" i="5"/>
  <c r="AD286" i="5"/>
  <c r="AD285" i="5"/>
  <c r="AD284" i="5"/>
  <c r="AD283" i="5"/>
  <c r="AD282" i="5"/>
  <c r="AD281" i="5"/>
  <c r="AD280" i="5"/>
  <c r="AD279" i="5"/>
  <c r="AD278" i="5"/>
  <c r="AD277" i="5"/>
  <c r="AD276" i="5"/>
  <c r="AD275" i="5"/>
  <c r="AD274" i="5"/>
  <c r="AD273" i="5"/>
  <c r="AD272" i="5"/>
  <c r="AD271" i="5"/>
  <c r="AD270" i="5"/>
  <c r="AD269" i="5"/>
  <c r="AD268" i="5"/>
  <c r="AD267" i="5"/>
  <c r="AD266" i="5"/>
  <c r="AD265" i="5"/>
  <c r="AD264" i="5"/>
  <c r="AD263" i="5"/>
  <c r="AD262" i="5"/>
  <c r="AD261" i="5"/>
  <c r="AD260" i="5"/>
  <c r="AD259" i="5"/>
  <c r="AD258" i="5"/>
  <c r="AD257" i="5"/>
  <c r="AD256" i="5"/>
  <c r="AD255" i="5"/>
  <c r="AD254" i="5"/>
  <c r="AD253" i="5"/>
  <c r="AD252" i="5"/>
  <c r="AD251" i="5"/>
  <c r="AD250" i="5"/>
  <c r="AD249" i="5"/>
  <c r="AD248" i="5"/>
  <c r="AD247" i="5"/>
  <c r="AD246" i="5"/>
  <c r="AD245" i="5"/>
  <c r="AD244" i="5"/>
  <c r="AD243" i="5"/>
  <c r="AD242" i="5"/>
  <c r="AD241" i="5"/>
  <c r="AD240" i="5"/>
  <c r="AD239" i="5"/>
  <c r="AD238" i="5"/>
  <c r="AD237" i="5"/>
  <c r="AD236" i="5"/>
  <c r="AD235" i="5"/>
  <c r="AD234" i="5"/>
  <c r="AD233" i="5"/>
  <c r="AD232" i="5"/>
  <c r="AD231" i="5"/>
  <c r="AD230" i="5"/>
  <c r="AD229" i="5"/>
  <c r="AD228" i="5"/>
  <c r="AD227" i="5"/>
  <c r="AD226" i="5"/>
  <c r="AD225" i="5"/>
  <c r="AD224" i="5"/>
  <c r="AD223" i="5"/>
  <c r="AD222" i="5"/>
  <c r="AD221" i="5"/>
  <c r="AD220" i="5"/>
  <c r="AD219" i="5"/>
  <c r="AD218" i="5"/>
  <c r="AD217" i="5"/>
  <c r="AD216" i="5"/>
  <c r="AD215" i="5"/>
  <c r="AD214" i="5"/>
  <c r="AD213" i="5"/>
  <c r="AD212" i="5"/>
  <c r="AD211" i="5"/>
  <c r="AD210" i="5"/>
  <c r="AD209" i="5"/>
  <c r="AD208" i="5"/>
  <c r="AD207" i="5"/>
  <c r="AD206" i="5"/>
  <c r="AD205" i="5"/>
  <c r="AD204" i="5"/>
  <c r="AD203" i="5"/>
  <c r="AD202" i="5"/>
  <c r="AE201" i="5"/>
  <c r="AD201" i="5"/>
  <c r="AE200" i="5"/>
  <c r="AD200" i="5"/>
  <c r="AE199" i="5"/>
  <c r="AD199" i="5"/>
  <c r="AE198" i="5"/>
  <c r="AD198" i="5"/>
  <c r="AE197" i="5"/>
  <c r="AD197" i="5"/>
  <c r="AE196" i="5"/>
  <c r="AD196" i="5"/>
  <c r="AE195" i="5"/>
  <c r="AD195" i="5"/>
  <c r="AE194" i="5"/>
  <c r="AD194" i="5"/>
  <c r="AE193" i="5"/>
  <c r="AD193" i="5"/>
  <c r="AE192" i="5"/>
  <c r="AD192" i="5"/>
  <c r="AE191" i="5"/>
  <c r="AD191" i="5"/>
  <c r="AE190" i="5"/>
  <c r="AD190" i="5"/>
  <c r="AE189" i="5"/>
  <c r="AD189" i="5"/>
  <c r="AE188" i="5"/>
  <c r="AD188" i="5"/>
  <c r="AE187" i="5"/>
  <c r="AD187" i="5"/>
  <c r="AE186" i="5"/>
  <c r="AD186" i="5"/>
  <c r="AE185" i="5"/>
  <c r="AD185" i="5"/>
  <c r="AE184" i="5"/>
  <c r="AD184" i="5"/>
  <c r="AE183" i="5"/>
  <c r="AD183" i="5"/>
  <c r="AE182" i="5"/>
  <c r="AD182" i="5"/>
  <c r="AE181" i="5"/>
  <c r="AD181" i="5"/>
  <c r="AE180" i="5"/>
  <c r="AD180" i="5"/>
  <c r="AE179" i="5"/>
  <c r="AD179" i="5"/>
  <c r="AE178" i="5"/>
  <c r="AD178" i="5"/>
  <c r="AE177" i="5"/>
  <c r="AD177" i="5"/>
  <c r="AE176" i="5"/>
  <c r="AD176" i="5"/>
  <c r="AE175" i="5"/>
  <c r="AD175" i="5"/>
  <c r="AE174" i="5"/>
  <c r="AD174" i="5"/>
  <c r="AE173" i="5"/>
  <c r="AD173" i="5"/>
  <c r="AE172" i="5"/>
  <c r="AD172" i="5"/>
  <c r="AE171" i="5"/>
  <c r="AD171" i="5"/>
  <c r="AE170" i="5"/>
  <c r="AD170" i="5"/>
  <c r="AE169" i="5"/>
  <c r="AD169" i="5"/>
  <c r="AE168" i="5"/>
  <c r="AD168" i="5"/>
  <c r="AE167" i="5"/>
  <c r="AD167" i="5"/>
  <c r="AE166" i="5"/>
  <c r="AD166" i="5"/>
  <c r="AE165" i="5"/>
  <c r="AD165" i="5"/>
  <c r="AE164" i="5"/>
  <c r="AD164" i="5"/>
  <c r="AE163" i="5"/>
  <c r="AD163" i="5"/>
  <c r="AE162" i="5"/>
  <c r="AD162" i="5"/>
  <c r="AE161" i="5"/>
  <c r="AD161" i="5"/>
  <c r="AE160" i="5"/>
  <c r="AD160" i="5"/>
  <c r="AE159" i="5"/>
  <c r="AD159" i="5"/>
  <c r="AE158" i="5"/>
  <c r="AD158" i="5"/>
  <c r="AE157" i="5"/>
  <c r="AD157" i="5"/>
  <c r="AE156" i="5"/>
  <c r="AD156" i="5"/>
  <c r="AE155" i="5"/>
  <c r="AD155" i="5"/>
  <c r="AE154" i="5"/>
  <c r="AD154" i="5"/>
  <c r="AE153" i="5"/>
  <c r="AD153" i="5"/>
  <c r="AE152" i="5"/>
  <c r="AD152" i="5"/>
  <c r="AE151" i="5"/>
  <c r="AD151" i="5"/>
  <c r="AE150" i="5"/>
  <c r="AD150" i="5"/>
  <c r="AE149" i="5"/>
  <c r="AD149" i="5"/>
  <c r="AE148" i="5"/>
  <c r="AD148" i="5"/>
  <c r="AE147" i="5"/>
  <c r="AD147" i="5"/>
  <c r="AE146" i="5"/>
  <c r="AD146" i="5"/>
  <c r="AE145" i="5"/>
  <c r="AD145" i="5"/>
  <c r="AE144" i="5"/>
  <c r="AD144" i="5"/>
  <c r="AE143" i="5"/>
  <c r="AD143" i="5"/>
  <c r="AE142" i="5"/>
  <c r="AD142" i="5"/>
  <c r="AE141" i="5"/>
  <c r="AD141" i="5"/>
  <c r="AE140" i="5"/>
  <c r="AD140" i="5"/>
  <c r="AE139" i="5"/>
  <c r="AD139" i="5"/>
  <c r="AE138" i="5"/>
  <c r="AD138" i="5"/>
  <c r="AE137" i="5"/>
  <c r="AD137" i="5"/>
  <c r="AE136" i="5"/>
  <c r="AD136" i="5"/>
  <c r="AE135" i="5"/>
  <c r="AD135" i="5"/>
  <c r="AE134" i="5"/>
  <c r="AD134" i="5"/>
  <c r="AE133" i="5"/>
  <c r="AD133" i="5"/>
  <c r="AE132" i="5"/>
  <c r="AD132" i="5"/>
  <c r="AE131" i="5"/>
  <c r="AD131" i="5"/>
  <c r="AE130" i="5"/>
  <c r="AD130" i="5"/>
  <c r="AE129" i="5"/>
  <c r="AD129" i="5"/>
  <c r="AE128" i="5"/>
  <c r="AD128" i="5"/>
  <c r="AE127" i="5"/>
  <c r="AD127" i="5"/>
  <c r="AE126" i="5"/>
  <c r="AD126" i="5"/>
  <c r="AE125" i="5"/>
  <c r="AD125" i="5"/>
  <c r="AE124" i="5"/>
  <c r="AD124" i="5"/>
  <c r="AE123" i="5"/>
  <c r="AD123" i="5"/>
  <c r="AE122" i="5"/>
  <c r="AD122" i="5"/>
  <c r="AE121" i="5"/>
  <c r="AD121" i="5"/>
  <c r="AE120" i="5"/>
  <c r="AD120" i="5"/>
  <c r="AE119" i="5"/>
  <c r="AD119" i="5"/>
  <c r="AE118" i="5"/>
  <c r="AD118" i="5"/>
  <c r="AE117" i="5"/>
  <c r="AD117" i="5"/>
  <c r="AE116" i="5"/>
  <c r="AD116" i="5"/>
  <c r="AE115" i="5"/>
  <c r="AD115" i="5"/>
  <c r="AE114" i="5"/>
  <c r="AD114" i="5"/>
  <c r="AE113" i="5"/>
  <c r="AD113" i="5"/>
  <c r="AE112" i="5"/>
  <c r="AD112" i="5"/>
  <c r="AE111" i="5"/>
  <c r="AD111" i="5"/>
  <c r="AE110" i="5"/>
  <c r="AD110" i="5"/>
  <c r="AE109" i="5"/>
  <c r="AD109" i="5"/>
  <c r="AE108" i="5"/>
  <c r="AD108" i="5"/>
  <c r="AE107" i="5"/>
  <c r="AD107" i="5"/>
  <c r="AE106" i="5"/>
  <c r="AD106" i="5"/>
  <c r="AE105" i="5"/>
  <c r="AD105" i="5"/>
  <c r="AE104" i="5"/>
  <c r="AD104" i="5"/>
  <c r="AE103" i="5"/>
  <c r="AD103" i="5"/>
  <c r="AE102" i="5"/>
  <c r="AD102" i="5"/>
  <c r="AE101" i="5"/>
  <c r="AD101" i="5"/>
  <c r="AE100" i="5"/>
  <c r="AD100" i="5"/>
  <c r="AE99" i="5"/>
  <c r="AD99" i="5"/>
  <c r="AE98" i="5"/>
  <c r="AD98" i="5"/>
  <c r="AE97" i="5"/>
  <c r="AD97" i="5"/>
  <c r="AE96" i="5"/>
  <c r="AD96" i="5"/>
  <c r="AE95" i="5"/>
  <c r="AD95" i="5"/>
  <c r="AE94" i="5"/>
  <c r="AD94" i="5"/>
  <c r="AE93" i="5"/>
  <c r="AD93" i="5"/>
  <c r="AE92" i="5"/>
  <c r="AD92" i="5"/>
  <c r="AE91" i="5"/>
  <c r="AD91" i="5"/>
  <c r="AE90" i="5"/>
  <c r="AD90" i="5"/>
  <c r="AE89" i="5"/>
  <c r="AD89" i="5"/>
  <c r="AE88" i="5"/>
  <c r="AD88" i="5"/>
  <c r="AE87" i="5"/>
  <c r="AD87" i="5"/>
  <c r="AE86" i="5"/>
  <c r="AD86" i="5"/>
  <c r="AE85" i="5"/>
  <c r="AD85" i="5"/>
  <c r="AE84" i="5"/>
  <c r="AD84" i="5"/>
  <c r="AE83" i="5"/>
  <c r="AD83" i="5"/>
  <c r="AE82" i="5"/>
  <c r="AD82" i="5"/>
  <c r="AE81" i="5"/>
  <c r="AD81" i="5"/>
  <c r="AE80" i="5"/>
  <c r="AD80" i="5"/>
  <c r="AE79" i="5"/>
  <c r="AD79" i="5"/>
  <c r="AE78" i="5"/>
  <c r="AD78" i="5"/>
  <c r="AE77" i="5"/>
  <c r="AD77" i="5"/>
  <c r="AE76" i="5"/>
  <c r="AD76" i="5"/>
  <c r="AE75" i="5"/>
  <c r="AD75" i="5"/>
  <c r="AE74" i="5"/>
  <c r="AD74" i="5"/>
  <c r="AD73" i="5"/>
  <c r="AD72" i="5"/>
  <c r="AD71" i="5"/>
  <c r="AD70" i="5"/>
  <c r="AD69" i="5"/>
  <c r="AD68" i="5"/>
  <c r="AD67" i="5"/>
  <c r="AD66" i="5"/>
  <c r="AD65" i="5"/>
  <c r="AD64" i="5"/>
  <c r="AD63" i="5"/>
  <c r="AD62" i="5"/>
  <c r="AD61" i="5"/>
  <c r="AD60" i="5"/>
  <c r="AD59" i="5"/>
  <c r="AD58" i="5"/>
  <c r="AD57" i="5"/>
  <c r="AD56" i="5"/>
  <c r="AD55" i="5"/>
  <c r="AD54" i="5"/>
  <c r="AD53" i="5"/>
  <c r="AD52" i="5"/>
  <c r="AD51" i="5"/>
  <c r="AD50" i="5"/>
  <c r="AD49" i="5"/>
  <c r="AD48" i="5"/>
  <c r="AD47" i="5"/>
  <c r="AD46" i="5"/>
  <c r="AD45" i="5"/>
  <c r="AD44" i="5"/>
  <c r="AD43" i="5"/>
  <c r="AD42" i="5"/>
  <c r="AD41" i="5"/>
  <c r="AD40" i="5"/>
  <c r="AD39" i="5"/>
  <c r="AD38" i="5"/>
  <c r="AD37" i="5"/>
  <c r="AD36" i="5"/>
  <c r="AD35" i="5"/>
  <c r="AD34" i="5"/>
  <c r="AD33" i="5"/>
  <c r="AD32" i="5"/>
  <c r="AD31" i="5"/>
  <c r="AD30" i="5"/>
  <c r="AD29" i="5"/>
  <c r="AD28" i="5"/>
  <c r="AD27" i="5"/>
  <c r="AD26" i="5"/>
  <c r="AD25" i="5"/>
  <c r="AD24" i="5"/>
  <c r="AD23" i="5"/>
  <c r="AD22" i="5"/>
  <c r="AD21" i="5"/>
  <c r="AD20" i="5"/>
  <c r="AD19" i="5"/>
  <c r="AD18" i="5"/>
  <c r="AD17" i="5"/>
  <c r="AD16" i="5"/>
  <c r="AD15" i="5"/>
  <c r="Z379" i="5"/>
  <c r="Z378" i="5"/>
  <c r="Z377" i="5"/>
  <c r="Z376" i="5"/>
  <c r="Z375" i="5"/>
  <c r="Z374" i="5"/>
  <c r="Z373" i="5"/>
  <c r="Z372" i="5"/>
  <c r="Z371" i="5"/>
  <c r="Z370" i="5"/>
  <c r="Z369" i="5"/>
  <c r="Z368" i="5"/>
  <c r="Z367" i="5"/>
  <c r="Z366" i="5"/>
  <c r="Z365" i="5"/>
  <c r="Z364" i="5"/>
  <c r="Z363" i="5"/>
  <c r="Z362" i="5"/>
  <c r="Z361" i="5"/>
  <c r="Z360" i="5"/>
  <c r="Z359" i="5"/>
  <c r="Z358" i="5"/>
  <c r="Z357" i="5"/>
  <c r="Z356" i="5"/>
  <c r="Z355" i="5"/>
  <c r="Z354" i="5"/>
  <c r="Z353" i="5"/>
  <c r="Z352" i="5"/>
  <c r="Z351" i="5"/>
  <c r="Z350" i="5"/>
  <c r="Z349" i="5"/>
  <c r="Z348" i="5"/>
  <c r="Z347" i="5"/>
  <c r="Z346" i="5"/>
  <c r="Z345" i="5"/>
  <c r="Z344" i="5"/>
  <c r="Z343" i="5"/>
  <c r="Z342" i="5"/>
  <c r="Z341" i="5"/>
  <c r="Z340" i="5"/>
  <c r="Z339" i="5"/>
  <c r="Z338" i="5"/>
  <c r="Z337" i="5"/>
  <c r="Z336" i="5"/>
  <c r="Z335" i="5"/>
  <c r="Z334" i="5"/>
  <c r="Z333" i="5"/>
  <c r="Z332" i="5"/>
  <c r="Z331" i="5"/>
  <c r="Z330" i="5"/>
  <c r="Z329" i="5"/>
  <c r="Z328" i="5"/>
  <c r="Z327" i="5"/>
  <c r="Z326" i="5"/>
  <c r="Z325" i="5"/>
  <c r="Z324" i="5"/>
  <c r="Z323" i="5"/>
  <c r="Z322" i="5"/>
  <c r="Z321" i="5"/>
  <c r="Z320" i="5"/>
  <c r="Z319" i="5"/>
  <c r="Z318" i="5"/>
  <c r="Z317" i="5"/>
  <c r="Z316" i="5"/>
  <c r="Z315" i="5"/>
  <c r="Z314" i="5"/>
  <c r="Z313" i="5"/>
  <c r="Z312" i="5"/>
  <c r="Z311" i="5"/>
  <c r="Z310" i="5"/>
  <c r="Z309" i="5"/>
  <c r="Z308" i="5"/>
  <c r="Z307" i="5"/>
  <c r="Z306" i="5"/>
  <c r="Z305" i="5"/>
  <c r="Z304" i="5"/>
  <c r="Z303" i="5"/>
  <c r="Z302" i="5"/>
  <c r="Z301" i="5"/>
  <c r="Z300" i="5"/>
  <c r="Z299" i="5"/>
  <c r="Z298" i="5"/>
  <c r="Z297" i="5"/>
  <c r="Z296" i="5"/>
  <c r="Z295" i="5"/>
  <c r="Z294" i="5"/>
  <c r="Z293" i="5"/>
  <c r="Z292" i="5"/>
  <c r="Z291" i="5"/>
  <c r="Z290" i="5"/>
  <c r="Z289" i="5"/>
  <c r="Z288" i="5"/>
  <c r="Z287" i="5"/>
  <c r="Z286" i="5"/>
  <c r="Z285" i="5"/>
  <c r="Z284" i="5"/>
  <c r="Z283" i="5"/>
  <c r="Z282" i="5"/>
  <c r="Z281" i="5"/>
  <c r="Z280" i="5"/>
  <c r="Z279" i="5"/>
  <c r="Z278" i="5"/>
  <c r="Z277" i="5"/>
  <c r="Z276" i="5"/>
  <c r="Z275" i="5"/>
  <c r="Z274" i="5"/>
  <c r="Z273" i="5"/>
  <c r="Z272" i="5"/>
  <c r="Z271" i="5"/>
  <c r="Z270" i="5"/>
  <c r="Z269" i="5"/>
  <c r="Z268" i="5"/>
  <c r="Z267" i="5"/>
  <c r="Z266" i="5"/>
  <c r="Z265" i="5"/>
  <c r="Z264" i="5"/>
  <c r="Z263" i="5"/>
  <c r="Z262" i="5"/>
  <c r="Z261" i="5"/>
  <c r="Z260" i="5"/>
  <c r="Z259" i="5"/>
  <c r="Z258" i="5"/>
  <c r="Z257" i="5"/>
  <c r="Z256" i="5"/>
  <c r="Z255" i="5"/>
  <c r="Z254" i="5"/>
  <c r="Z253" i="5"/>
  <c r="Z252" i="5"/>
  <c r="Z251" i="5"/>
  <c r="Z250" i="5"/>
  <c r="Z249" i="5"/>
  <c r="Z248" i="5"/>
  <c r="Z247" i="5"/>
  <c r="Z246" i="5"/>
  <c r="Z245" i="5"/>
  <c r="Z244" i="5"/>
  <c r="Z243" i="5"/>
  <c r="Z242" i="5"/>
  <c r="Z241" i="5"/>
  <c r="Z240" i="5"/>
  <c r="Z239" i="5"/>
  <c r="Z238" i="5"/>
  <c r="Z237" i="5"/>
  <c r="Z236" i="5"/>
  <c r="Z235" i="5"/>
  <c r="Z234" i="5"/>
  <c r="Z233" i="5"/>
  <c r="Z232" i="5"/>
  <c r="Z231" i="5"/>
  <c r="Z230" i="5"/>
  <c r="Z229" i="5"/>
  <c r="Z228" i="5"/>
  <c r="Z227" i="5"/>
  <c r="Z226" i="5"/>
  <c r="Z225" i="5"/>
  <c r="Z224" i="5"/>
  <c r="Z223" i="5"/>
  <c r="Z222" i="5"/>
  <c r="Z221" i="5"/>
  <c r="Z220" i="5"/>
  <c r="Z219" i="5"/>
  <c r="Z218" i="5"/>
  <c r="Z217" i="5"/>
  <c r="Z216" i="5"/>
  <c r="Z215" i="5"/>
  <c r="Z214" i="5"/>
  <c r="Z213" i="5"/>
  <c r="Z212" i="5"/>
  <c r="Z211" i="5"/>
  <c r="Z210" i="5"/>
  <c r="Z209" i="5"/>
  <c r="Z208" i="5"/>
  <c r="Z207" i="5"/>
  <c r="Z206" i="5"/>
  <c r="Z205" i="5"/>
  <c r="Z204" i="5"/>
  <c r="Z203" i="5"/>
  <c r="Z202" i="5"/>
  <c r="AA201" i="5"/>
  <c r="Z201" i="5"/>
  <c r="AA200" i="5"/>
  <c r="Z200" i="5"/>
  <c r="AA199" i="5"/>
  <c r="Z199" i="5"/>
  <c r="AA198" i="5"/>
  <c r="Z198" i="5"/>
  <c r="AA197" i="5"/>
  <c r="Z197" i="5"/>
  <c r="AA196" i="5"/>
  <c r="Z196" i="5"/>
  <c r="AA195" i="5"/>
  <c r="Z195" i="5"/>
  <c r="AA194" i="5"/>
  <c r="Z194" i="5"/>
  <c r="AA193" i="5"/>
  <c r="Z193" i="5"/>
  <c r="AA192" i="5"/>
  <c r="Z192" i="5"/>
  <c r="AA191" i="5"/>
  <c r="Z191" i="5"/>
  <c r="AA190" i="5"/>
  <c r="Z190" i="5"/>
  <c r="AA189" i="5"/>
  <c r="Z189" i="5"/>
  <c r="AA188" i="5"/>
  <c r="Z188" i="5"/>
  <c r="AA187" i="5"/>
  <c r="Z187" i="5"/>
  <c r="AA186" i="5"/>
  <c r="Z186" i="5"/>
  <c r="AA185" i="5"/>
  <c r="Z185" i="5"/>
  <c r="AA184" i="5"/>
  <c r="Z184" i="5"/>
  <c r="AA183" i="5"/>
  <c r="Z183" i="5"/>
  <c r="AA182" i="5"/>
  <c r="Z182" i="5"/>
  <c r="AA181" i="5"/>
  <c r="Z181" i="5"/>
  <c r="AA180" i="5"/>
  <c r="Z180" i="5"/>
  <c r="AA179" i="5"/>
  <c r="Z179" i="5"/>
  <c r="AA178" i="5"/>
  <c r="Z178" i="5"/>
  <c r="AA177" i="5"/>
  <c r="Z177" i="5"/>
  <c r="AA176" i="5"/>
  <c r="Z176" i="5"/>
  <c r="AA175" i="5"/>
  <c r="Z175" i="5"/>
  <c r="AA174" i="5"/>
  <c r="Z174" i="5"/>
  <c r="AA173" i="5"/>
  <c r="Z173" i="5"/>
  <c r="AA172" i="5"/>
  <c r="Z172" i="5"/>
  <c r="AA171" i="5"/>
  <c r="Z171" i="5"/>
  <c r="AA170" i="5"/>
  <c r="Z170" i="5"/>
  <c r="AA169" i="5"/>
  <c r="Z169" i="5"/>
  <c r="AA168" i="5"/>
  <c r="Z168" i="5"/>
  <c r="AA167" i="5"/>
  <c r="Z167" i="5"/>
  <c r="AA166" i="5"/>
  <c r="Z166" i="5"/>
  <c r="AA165" i="5"/>
  <c r="Z165" i="5"/>
  <c r="AA164" i="5"/>
  <c r="Z164" i="5"/>
  <c r="AA163" i="5"/>
  <c r="Z163" i="5"/>
  <c r="AA162" i="5"/>
  <c r="Z162" i="5"/>
  <c r="AA161" i="5"/>
  <c r="Z161" i="5"/>
  <c r="AA160" i="5"/>
  <c r="Z160" i="5"/>
  <c r="AA159" i="5"/>
  <c r="Z159" i="5"/>
  <c r="AA158" i="5"/>
  <c r="Z158" i="5"/>
  <c r="AA157" i="5"/>
  <c r="Z157" i="5"/>
  <c r="AA156" i="5"/>
  <c r="Z156" i="5"/>
  <c r="AA155" i="5"/>
  <c r="Z155" i="5"/>
  <c r="AA154" i="5"/>
  <c r="Z154" i="5"/>
  <c r="AA153" i="5"/>
  <c r="Z153" i="5"/>
  <c r="AA152" i="5"/>
  <c r="Z152" i="5"/>
  <c r="AA151" i="5"/>
  <c r="Z151" i="5"/>
  <c r="AA150" i="5"/>
  <c r="Z150" i="5"/>
  <c r="AA149" i="5"/>
  <c r="Z149" i="5"/>
  <c r="AA148" i="5"/>
  <c r="Z148" i="5"/>
  <c r="AA147" i="5"/>
  <c r="Z147" i="5"/>
  <c r="AA146" i="5"/>
  <c r="Z146" i="5"/>
  <c r="AA145" i="5"/>
  <c r="Z145" i="5"/>
  <c r="AA144" i="5"/>
  <c r="Z144" i="5"/>
  <c r="AA143" i="5"/>
  <c r="Z143" i="5"/>
  <c r="AA142" i="5"/>
  <c r="Z142" i="5"/>
  <c r="AA141" i="5"/>
  <c r="Z141" i="5"/>
  <c r="AA140" i="5"/>
  <c r="Z140" i="5"/>
  <c r="AA139" i="5"/>
  <c r="Z139" i="5"/>
  <c r="AA138" i="5"/>
  <c r="Z138" i="5"/>
  <c r="AA137" i="5"/>
  <c r="Z137" i="5"/>
  <c r="AA136" i="5"/>
  <c r="Z136" i="5"/>
  <c r="AA135" i="5"/>
  <c r="Z135" i="5"/>
  <c r="AA134" i="5"/>
  <c r="Z134" i="5"/>
  <c r="AA133" i="5"/>
  <c r="Z133" i="5"/>
  <c r="AA132" i="5"/>
  <c r="Z132" i="5"/>
  <c r="AA131" i="5"/>
  <c r="Z131" i="5"/>
  <c r="AA130" i="5"/>
  <c r="Z130" i="5"/>
  <c r="AA129" i="5"/>
  <c r="Z129" i="5"/>
  <c r="AA128" i="5"/>
  <c r="Z128" i="5"/>
  <c r="AA127" i="5"/>
  <c r="Z127" i="5"/>
  <c r="AA126" i="5"/>
  <c r="Z126" i="5"/>
  <c r="AA125" i="5"/>
  <c r="Z125" i="5"/>
  <c r="AA124" i="5"/>
  <c r="Z124" i="5"/>
  <c r="AA123" i="5"/>
  <c r="Z123" i="5"/>
  <c r="AA122" i="5"/>
  <c r="Z122" i="5"/>
  <c r="AA121" i="5"/>
  <c r="Z121" i="5"/>
  <c r="AA120" i="5"/>
  <c r="Z120" i="5"/>
  <c r="AA119" i="5"/>
  <c r="Z119" i="5"/>
  <c r="AA118" i="5"/>
  <c r="Z118" i="5"/>
  <c r="AA117" i="5"/>
  <c r="Z117" i="5"/>
  <c r="AA116" i="5"/>
  <c r="Z116" i="5"/>
  <c r="AA115" i="5"/>
  <c r="Z115" i="5"/>
  <c r="AA114" i="5"/>
  <c r="Z114" i="5"/>
  <c r="AA113" i="5"/>
  <c r="Z113" i="5"/>
  <c r="AA112" i="5"/>
  <c r="Z112" i="5"/>
  <c r="AA111" i="5"/>
  <c r="Z111" i="5"/>
  <c r="AA110" i="5"/>
  <c r="Z110" i="5"/>
  <c r="AA109" i="5"/>
  <c r="Z109" i="5"/>
  <c r="AA108" i="5"/>
  <c r="Z108" i="5"/>
  <c r="AA107" i="5"/>
  <c r="Z107" i="5"/>
  <c r="AA106" i="5"/>
  <c r="Z106" i="5"/>
  <c r="AA105" i="5"/>
  <c r="Z105" i="5"/>
  <c r="AA104" i="5"/>
  <c r="Z104" i="5"/>
  <c r="AA103" i="5"/>
  <c r="Z103" i="5"/>
  <c r="AA102" i="5"/>
  <c r="Z102" i="5"/>
  <c r="AA101" i="5"/>
  <c r="Z101" i="5"/>
  <c r="AA100" i="5"/>
  <c r="Z100" i="5"/>
  <c r="AA99" i="5"/>
  <c r="Z99" i="5"/>
  <c r="AA98" i="5"/>
  <c r="Z98" i="5"/>
  <c r="AA97" i="5"/>
  <c r="Z97" i="5"/>
  <c r="AA96" i="5"/>
  <c r="Z96" i="5"/>
  <c r="AA95" i="5"/>
  <c r="Z95" i="5"/>
  <c r="AA94" i="5"/>
  <c r="Z94" i="5"/>
  <c r="AA93" i="5"/>
  <c r="Z93" i="5"/>
  <c r="AA92" i="5"/>
  <c r="Z92" i="5"/>
  <c r="AA91" i="5"/>
  <c r="Z91" i="5"/>
  <c r="AA90" i="5"/>
  <c r="Z90" i="5"/>
  <c r="AA89" i="5"/>
  <c r="Z89" i="5"/>
  <c r="AA88" i="5"/>
  <c r="Z88" i="5"/>
  <c r="AA87" i="5"/>
  <c r="Z87" i="5"/>
  <c r="AA86" i="5"/>
  <c r="Z86" i="5"/>
  <c r="AA85" i="5"/>
  <c r="Z85" i="5"/>
  <c r="AA84" i="5"/>
  <c r="Z84" i="5"/>
  <c r="AA83" i="5"/>
  <c r="Z83" i="5"/>
  <c r="AA82" i="5"/>
  <c r="Z82" i="5"/>
  <c r="AA81" i="5"/>
  <c r="Z81" i="5"/>
  <c r="AA80" i="5"/>
  <c r="Z80" i="5"/>
  <c r="AA79" i="5"/>
  <c r="Z79" i="5"/>
  <c r="AA78" i="5"/>
  <c r="Z78" i="5"/>
  <c r="AA77" i="5"/>
  <c r="Z77" i="5"/>
  <c r="AA76" i="5"/>
  <c r="Z76" i="5"/>
  <c r="AA75" i="5"/>
  <c r="Z75" i="5"/>
  <c r="AA74" i="5"/>
  <c r="Z74" i="5"/>
  <c r="Z73" i="5"/>
  <c r="Z72" i="5"/>
  <c r="Z71" i="5"/>
  <c r="Z70" i="5"/>
  <c r="Z69" i="5"/>
  <c r="Z68" i="5"/>
  <c r="Z67" i="5"/>
  <c r="Z66" i="5"/>
  <c r="Z65" i="5"/>
  <c r="Z64" i="5"/>
  <c r="Z63" i="5"/>
  <c r="Z62" i="5"/>
  <c r="Z61" i="5"/>
  <c r="Z60" i="5"/>
  <c r="Z59" i="5"/>
  <c r="Z58" i="5"/>
  <c r="Z57" i="5"/>
  <c r="Z56" i="5"/>
  <c r="Z55" i="5"/>
  <c r="Z54" i="5"/>
  <c r="Z53" i="5"/>
  <c r="Z52" i="5"/>
  <c r="Z51" i="5"/>
  <c r="Z50" i="5"/>
  <c r="Z49" i="5"/>
  <c r="Z48" i="5"/>
  <c r="Z47" i="5"/>
  <c r="Z46" i="5"/>
  <c r="Z45" i="5"/>
  <c r="Z44" i="5"/>
  <c r="Z43" i="5"/>
  <c r="Z42" i="5"/>
  <c r="Z41" i="5"/>
  <c r="Z40" i="5"/>
  <c r="Z39" i="5"/>
  <c r="Z38" i="5"/>
  <c r="Z37" i="5"/>
  <c r="Z36" i="5"/>
  <c r="Z35" i="5"/>
  <c r="Z34" i="5"/>
  <c r="Z33" i="5"/>
  <c r="Z32" i="5"/>
  <c r="Z31" i="5"/>
  <c r="Z30" i="5"/>
  <c r="Z29" i="5"/>
  <c r="Z28" i="5"/>
  <c r="Z27" i="5"/>
  <c r="Z26" i="5"/>
  <c r="Z25" i="5"/>
  <c r="Z24" i="5"/>
  <c r="Z23" i="5"/>
  <c r="Z22" i="5"/>
  <c r="Z21" i="5"/>
  <c r="Z20" i="5"/>
  <c r="Z19" i="5"/>
  <c r="Z18" i="5"/>
  <c r="Z17" i="5"/>
  <c r="Z16" i="5"/>
  <c r="Z15" i="5"/>
  <c r="V379" i="5"/>
  <c r="V378" i="5"/>
  <c r="V377" i="5"/>
  <c r="V376" i="5"/>
  <c r="V375" i="5"/>
  <c r="V374" i="5"/>
  <c r="V373" i="5"/>
  <c r="V372" i="5"/>
  <c r="V371" i="5"/>
  <c r="V370" i="5"/>
  <c r="V369" i="5"/>
  <c r="V368" i="5"/>
  <c r="V367" i="5"/>
  <c r="V366" i="5"/>
  <c r="V365" i="5"/>
  <c r="V364" i="5"/>
  <c r="V363" i="5"/>
  <c r="V362" i="5"/>
  <c r="V361" i="5"/>
  <c r="V360" i="5"/>
  <c r="V359" i="5"/>
  <c r="V358" i="5"/>
  <c r="V357" i="5"/>
  <c r="V356" i="5"/>
  <c r="V355" i="5"/>
  <c r="V354" i="5"/>
  <c r="V353" i="5"/>
  <c r="V352" i="5"/>
  <c r="V351" i="5"/>
  <c r="V350" i="5"/>
  <c r="V349" i="5"/>
  <c r="V348" i="5"/>
  <c r="V347" i="5"/>
  <c r="V346" i="5"/>
  <c r="V345" i="5"/>
  <c r="V344" i="5"/>
  <c r="V343" i="5"/>
  <c r="V342" i="5"/>
  <c r="V341" i="5"/>
  <c r="V340" i="5"/>
  <c r="V339" i="5"/>
  <c r="V338" i="5"/>
  <c r="V337" i="5"/>
  <c r="V336" i="5"/>
  <c r="V335" i="5"/>
  <c r="V334" i="5"/>
  <c r="V333" i="5"/>
  <c r="V332" i="5"/>
  <c r="V331" i="5"/>
  <c r="V330" i="5"/>
  <c r="V329" i="5"/>
  <c r="V328" i="5"/>
  <c r="V327" i="5"/>
  <c r="V326" i="5"/>
  <c r="V325" i="5"/>
  <c r="V324" i="5"/>
  <c r="V323" i="5"/>
  <c r="V322" i="5"/>
  <c r="V321" i="5"/>
  <c r="V320" i="5"/>
  <c r="V319" i="5"/>
  <c r="V318" i="5"/>
  <c r="V317" i="5"/>
  <c r="V316" i="5"/>
  <c r="V315" i="5"/>
  <c r="V314" i="5"/>
  <c r="V313" i="5"/>
  <c r="V312" i="5"/>
  <c r="V311" i="5"/>
  <c r="V310" i="5"/>
  <c r="V309" i="5"/>
  <c r="V308" i="5"/>
  <c r="V307" i="5"/>
  <c r="V306" i="5"/>
  <c r="V305" i="5"/>
  <c r="V304" i="5"/>
  <c r="V303" i="5"/>
  <c r="V302" i="5"/>
  <c r="V301" i="5"/>
  <c r="V300" i="5"/>
  <c r="V299" i="5"/>
  <c r="V298" i="5"/>
  <c r="V297" i="5"/>
  <c r="V296" i="5"/>
  <c r="V295" i="5"/>
  <c r="V294" i="5"/>
  <c r="V293" i="5"/>
  <c r="V292" i="5"/>
  <c r="V291" i="5"/>
  <c r="V290" i="5"/>
  <c r="V289" i="5"/>
  <c r="V288" i="5"/>
  <c r="V287" i="5"/>
  <c r="V286" i="5"/>
  <c r="V285" i="5"/>
  <c r="V284" i="5"/>
  <c r="V283" i="5"/>
  <c r="V282" i="5"/>
  <c r="V281" i="5"/>
  <c r="V280" i="5"/>
  <c r="V279" i="5"/>
  <c r="V278" i="5"/>
  <c r="V277" i="5"/>
  <c r="V276" i="5"/>
  <c r="V275" i="5"/>
  <c r="V274" i="5"/>
  <c r="V273" i="5"/>
  <c r="V272" i="5"/>
  <c r="V271" i="5"/>
  <c r="V270" i="5"/>
  <c r="V269" i="5"/>
  <c r="V268" i="5"/>
  <c r="V267" i="5"/>
  <c r="V266" i="5"/>
  <c r="V265" i="5"/>
  <c r="V264" i="5"/>
  <c r="V263" i="5"/>
  <c r="V262" i="5"/>
  <c r="V261" i="5"/>
  <c r="V260" i="5"/>
  <c r="V259" i="5"/>
  <c r="V258" i="5"/>
  <c r="V257" i="5"/>
  <c r="V256" i="5"/>
  <c r="V255" i="5"/>
  <c r="V254" i="5"/>
  <c r="V253" i="5"/>
  <c r="V252" i="5"/>
  <c r="V251" i="5"/>
  <c r="V250" i="5"/>
  <c r="V249" i="5"/>
  <c r="V248" i="5"/>
  <c r="V247" i="5"/>
  <c r="V246" i="5"/>
  <c r="V245" i="5"/>
  <c r="V244" i="5"/>
  <c r="V243" i="5"/>
  <c r="V242" i="5"/>
  <c r="V241" i="5"/>
  <c r="V240" i="5"/>
  <c r="V239" i="5"/>
  <c r="V238" i="5"/>
  <c r="V237" i="5"/>
  <c r="V236" i="5"/>
  <c r="V235" i="5"/>
  <c r="V234" i="5"/>
  <c r="V233" i="5"/>
  <c r="V232" i="5"/>
  <c r="V231" i="5"/>
  <c r="V230" i="5"/>
  <c r="V229" i="5"/>
  <c r="V228" i="5"/>
  <c r="V227" i="5"/>
  <c r="V226" i="5"/>
  <c r="V225" i="5"/>
  <c r="V224" i="5"/>
  <c r="V223" i="5"/>
  <c r="V222" i="5"/>
  <c r="V221" i="5"/>
  <c r="V220" i="5"/>
  <c r="V219" i="5"/>
  <c r="V218" i="5"/>
  <c r="V217" i="5"/>
  <c r="V216" i="5"/>
  <c r="V215" i="5"/>
  <c r="V214" i="5"/>
  <c r="V213" i="5"/>
  <c r="V212" i="5"/>
  <c r="V211" i="5"/>
  <c r="V210" i="5"/>
  <c r="V209" i="5"/>
  <c r="V208" i="5"/>
  <c r="V207" i="5"/>
  <c r="V206" i="5"/>
  <c r="V205" i="5"/>
  <c r="V204" i="5"/>
  <c r="V203" i="5"/>
  <c r="V202" i="5"/>
  <c r="W201" i="5"/>
  <c r="V201" i="5"/>
  <c r="W200" i="5"/>
  <c r="V200" i="5"/>
  <c r="W199" i="5"/>
  <c r="V199" i="5"/>
  <c r="W198" i="5"/>
  <c r="V198" i="5"/>
  <c r="W197" i="5"/>
  <c r="V197" i="5"/>
  <c r="W196" i="5"/>
  <c r="V196" i="5"/>
  <c r="W195" i="5"/>
  <c r="V195" i="5"/>
  <c r="W194" i="5"/>
  <c r="V194" i="5"/>
  <c r="W193" i="5"/>
  <c r="V193" i="5"/>
  <c r="W192" i="5"/>
  <c r="V192" i="5"/>
  <c r="W191" i="5"/>
  <c r="V191" i="5"/>
  <c r="W190" i="5"/>
  <c r="V190" i="5"/>
  <c r="W189" i="5"/>
  <c r="V189" i="5"/>
  <c r="W188" i="5"/>
  <c r="V188" i="5"/>
  <c r="W187" i="5"/>
  <c r="V187" i="5"/>
  <c r="W186" i="5"/>
  <c r="V186" i="5"/>
  <c r="W185" i="5"/>
  <c r="V185" i="5"/>
  <c r="W184" i="5"/>
  <c r="V184" i="5"/>
  <c r="W183" i="5"/>
  <c r="V183" i="5"/>
  <c r="W182" i="5"/>
  <c r="V182" i="5"/>
  <c r="W181" i="5"/>
  <c r="V181" i="5"/>
  <c r="W180" i="5"/>
  <c r="V180" i="5"/>
  <c r="W179" i="5"/>
  <c r="V179" i="5"/>
  <c r="W178" i="5"/>
  <c r="V178" i="5"/>
  <c r="W177" i="5"/>
  <c r="V177" i="5"/>
  <c r="W176" i="5"/>
  <c r="V176" i="5"/>
  <c r="W175" i="5"/>
  <c r="V175" i="5"/>
  <c r="W174" i="5"/>
  <c r="V174" i="5"/>
  <c r="W173" i="5"/>
  <c r="V173" i="5"/>
  <c r="W172" i="5"/>
  <c r="V172" i="5"/>
  <c r="W171" i="5"/>
  <c r="V171" i="5"/>
  <c r="W170" i="5"/>
  <c r="V170" i="5"/>
  <c r="W169" i="5"/>
  <c r="V169" i="5"/>
  <c r="W168" i="5"/>
  <c r="V168" i="5"/>
  <c r="W167" i="5"/>
  <c r="V167" i="5"/>
  <c r="W166" i="5"/>
  <c r="V166" i="5"/>
  <c r="W165" i="5"/>
  <c r="V165" i="5"/>
  <c r="W164" i="5"/>
  <c r="V164" i="5"/>
  <c r="W163" i="5"/>
  <c r="V163" i="5"/>
  <c r="W162" i="5"/>
  <c r="V162" i="5"/>
  <c r="W161" i="5"/>
  <c r="V161" i="5"/>
  <c r="W160" i="5"/>
  <c r="V160" i="5"/>
  <c r="W159" i="5"/>
  <c r="V159" i="5"/>
  <c r="W158" i="5"/>
  <c r="V158" i="5"/>
  <c r="W157" i="5"/>
  <c r="V157" i="5"/>
  <c r="W156" i="5"/>
  <c r="V156" i="5"/>
  <c r="W155" i="5"/>
  <c r="V155" i="5"/>
  <c r="W154" i="5"/>
  <c r="V154" i="5"/>
  <c r="W153" i="5"/>
  <c r="V153" i="5"/>
  <c r="W152" i="5"/>
  <c r="V152" i="5"/>
  <c r="W151" i="5"/>
  <c r="V151" i="5"/>
  <c r="W150" i="5"/>
  <c r="V150" i="5"/>
  <c r="W149" i="5"/>
  <c r="V149" i="5"/>
  <c r="W148" i="5"/>
  <c r="V148" i="5"/>
  <c r="W147" i="5"/>
  <c r="V147" i="5"/>
  <c r="W146" i="5"/>
  <c r="V146" i="5"/>
  <c r="W145" i="5"/>
  <c r="V145" i="5"/>
  <c r="W144" i="5"/>
  <c r="V144" i="5"/>
  <c r="W143" i="5"/>
  <c r="V143" i="5"/>
  <c r="W142" i="5"/>
  <c r="V142" i="5"/>
  <c r="W141" i="5"/>
  <c r="V141" i="5"/>
  <c r="W140" i="5"/>
  <c r="V140" i="5"/>
  <c r="W139" i="5"/>
  <c r="V139" i="5"/>
  <c r="W138" i="5"/>
  <c r="V138" i="5"/>
  <c r="W137" i="5"/>
  <c r="V137" i="5"/>
  <c r="W136" i="5"/>
  <c r="V136" i="5"/>
  <c r="W135" i="5"/>
  <c r="V135" i="5"/>
  <c r="W134" i="5"/>
  <c r="V134" i="5"/>
  <c r="W133" i="5"/>
  <c r="V133" i="5"/>
  <c r="W132" i="5"/>
  <c r="V132" i="5"/>
  <c r="W131" i="5"/>
  <c r="V131" i="5"/>
  <c r="W130" i="5"/>
  <c r="V130" i="5"/>
  <c r="W129" i="5"/>
  <c r="V129" i="5"/>
  <c r="W128" i="5"/>
  <c r="V128" i="5"/>
  <c r="W127" i="5"/>
  <c r="V127" i="5"/>
  <c r="W126" i="5"/>
  <c r="V126" i="5"/>
  <c r="W125" i="5"/>
  <c r="V125" i="5"/>
  <c r="W124" i="5"/>
  <c r="V124" i="5"/>
  <c r="W123" i="5"/>
  <c r="V123" i="5"/>
  <c r="W122" i="5"/>
  <c r="V122" i="5"/>
  <c r="W121" i="5"/>
  <c r="V121" i="5"/>
  <c r="W120" i="5"/>
  <c r="V120" i="5"/>
  <c r="W119" i="5"/>
  <c r="V119" i="5"/>
  <c r="W118" i="5"/>
  <c r="V118" i="5"/>
  <c r="W117" i="5"/>
  <c r="V117" i="5"/>
  <c r="W116" i="5"/>
  <c r="V116" i="5"/>
  <c r="W115" i="5"/>
  <c r="V115" i="5"/>
  <c r="W114" i="5"/>
  <c r="V114" i="5"/>
  <c r="W113" i="5"/>
  <c r="V113" i="5"/>
  <c r="W112" i="5"/>
  <c r="V112" i="5"/>
  <c r="W111" i="5"/>
  <c r="V111" i="5"/>
  <c r="W110" i="5"/>
  <c r="V110" i="5"/>
  <c r="W109" i="5"/>
  <c r="V109" i="5"/>
  <c r="W108" i="5"/>
  <c r="V108" i="5"/>
  <c r="W107" i="5"/>
  <c r="V107" i="5"/>
  <c r="W106" i="5"/>
  <c r="V106" i="5"/>
  <c r="W105" i="5"/>
  <c r="V105" i="5"/>
  <c r="W104" i="5"/>
  <c r="V104" i="5"/>
  <c r="W103" i="5"/>
  <c r="V103" i="5"/>
  <c r="W102" i="5"/>
  <c r="V102" i="5"/>
  <c r="W101" i="5"/>
  <c r="V101" i="5"/>
  <c r="W100" i="5"/>
  <c r="V100" i="5"/>
  <c r="W99" i="5"/>
  <c r="V99" i="5"/>
  <c r="W98" i="5"/>
  <c r="V98" i="5"/>
  <c r="W97" i="5"/>
  <c r="V97" i="5"/>
  <c r="W96" i="5"/>
  <c r="V96" i="5"/>
  <c r="W95" i="5"/>
  <c r="V95" i="5"/>
  <c r="W94" i="5"/>
  <c r="V94" i="5"/>
  <c r="W93" i="5"/>
  <c r="V93" i="5"/>
  <c r="W92" i="5"/>
  <c r="V92" i="5"/>
  <c r="W91" i="5"/>
  <c r="V91" i="5"/>
  <c r="W90" i="5"/>
  <c r="V90" i="5"/>
  <c r="W89" i="5"/>
  <c r="V89" i="5"/>
  <c r="W88" i="5"/>
  <c r="V88" i="5"/>
  <c r="W87" i="5"/>
  <c r="V87" i="5"/>
  <c r="W86" i="5"/>
  <c r="V86" i="5"/>
  <c r="W85" i="5"/>
  <c r="V85" i="5"/>
  <c r="W84" i="5"/>
  <c r="V84" i="5"/>
  <c r="W83" i="5"/>
  <c r="V83" i="5"/>
  <c r="W82" i="5"/>
  <c r="V82" i="5"/>
  <c r="W81" i="5"/>
  <c r="V81" i="5"/>
  <c r="W80" i="5"/>
  <c r="V80" i="5"/>
  <c r="W79" i="5"/>
  <c r="V79" i="5"/>
  <c r="W78" i="5"/>
  <c r="V78" i="5"/>
  <c r="W77" i="5"/>
  <c r="V77" i="5"/>
  <c r="W76" i="5"/>
  <c r="V76" i="5"/>
  <c r="W75" i="5"/>
  <c r="V75" i="5"/>
  <c r="W74" i="5"/>
  <c r="V74" i="5"/>
  <c r="V73" i="5"/>
  <c r="V72" i="5"/>
  <c r="V71" i="5"/>
  <c r="V70" i="5"/>
  <c r="V69" i="5"/>
  <c r="V68" i="5"/>
  <c r="V67" i="5"/>
  <c r="V66" i="5"/>
  <c r="V65" i="5"/>
  <c r="V64" i="5"/>
  <c r="V63" i="5"/>
  <c r="V62" i="5"/>
  <c r="V61" i="5"/>
  <c r="V60" i="5"/>
  <c r="V59" i="5"/>
  <c r="V58" i="5"/>
  <c r="V57" i="5"/>
  <c r="V56" i="5"/>
  <c r="V55" i="5"/>
  <c r="V54" i="5"/>
  <c r="V53" i="5"/>
  <c r="V52" i="5"/>
  <c r="V51" i="5"/>
  <c r="V50" i="5"/>
  <c r="V49" i="5"/>
  <c r="V48" i="5"/>
  <c r="V47" i="5"/>
  <c r="V46" i="5"/>
  <c r="V45" i="5"/>
  <c r="V44" i="5"/>
  <c r="V43" i="5"/>
  <c r="V42" i="5"/>
  <c r="V41" i="5"/>
  <c r="V40" i="5"/>
  <c r="V39" i="5"/>
  <c r="V38" i="5"/>
  <c r="V37" i="5"/>
  <c r="V36" i="5"/>
  <c r="V35" i="5"/>
  <c r="V34" i="5"/>
  <c r="V33" i="5"/>
  <c r="V32" i="5"/>
  <c r="V31" i="5"/>
  <c r="V30" i="5"/>
  <c r="V29" i="5"/>
  <c r="V28" i="5"/>
  <c r="V27" i="5"/>
  <c r="V26" i="5"/>
  <c r="V25" i="5"/>
  <c r="V24" i="5"/>
  <c r="V23" i="5"/>
  <c r="V22" i="5"/>
  <c r="V21" i="5"/>
  <c r="V20" i="5"/>
  <c r="V19" i="5"/>
  <c r="V18" i="5"/>
  <c r="V17" i="5"/>
  <c r="V16" i="5"/>
  <c r="V15" i="5"/>
  <c r="R379" i="5"/>
  <c r="R378" i="5"/>
  <c r="R377" i="5"/>
  <c r="R376" i="5"/>
  <c r="R375" i="5"/>
  <c r="R374" i="5"/>
  <c r="R373" i="5"/>
  <c r="R372" i="5"/>
  <c r="R371" i="5"/>
  <c r="R370" i="5"/>
  <c r="R369" i="5"/>
  <c r="R368" i="5"/>
  <c r="R367" i="5"/>
  <c r="R366" i="5"/>
  <c r="R365" i="5"/>
  <c r="R364" i="5"/>
  <c r="R363" i="5"/>
  <c r="R362" i="5"/>
  <c r="R361" i="5"/>
  <c r="R360" i="5"/>
  <c r="R359" i="5"/>
  <c r="R358" i="5"/>
  <c r="R357" i="5"/>
  <c r="R356" i="5"/>
  <c r="R355" i="5"/>
  <c r="R354" i="5"/>
  <c r="R353" i="5"/>
  <c r="R352" i="5"/>
  <c r="R351" i="5"/>
  <c r="R350" i="5"/>
  <c r="R349" i="5"/>
  <c r="R348" i="5"/>
  <c r="R347" i="5"/>
  <c r="R346" i="5"/>
  <c r="R345" i="5"/>
  <c r="R344" i="5"/>
  <c r="R343" i="5"/>
  <c r="R342" i="5"/>
  <c r="R341" i="5"/>
  <c r="R340" i="5"/>
  <c r="R339" i="5"/>
  <c r="R338" i="5"/>
  <c r="R337" i="5"/>
  <c r="R336" i="5"/>
  <c r="R335" i="5"/>
  <c r="R334" i="5"/>
  <c r="R333" i="5"/>
  <c r="R332" i="5"/>
  <c r="R331" i="5"/>
  <c r="R330" i="5"/>
  <c r="R329" i="5"/>
  <c r="R328" i="5"/>
  <c r="R327" i="5"/>
  <c r="R326" i="5"/>
  <c r="R325" i="5"/>
  <c r="R324" i="5"/>
  <c r="R323" i="5"/>
  <c r="R322" i="5"/>
  <c r="R321" i="5"/>
  <c r="R320" i="5"/>
  <c r="R319" i="5"/>
  <c r="R318" i="5"/>
  <c r="R317" i="5"/>
  <c r="R316" i="5"/>
  <c r="R315" i="5"/>
  <c r="R314" i="5"/>
  <c r="R313" i="5"/>
  <c r="R312" i="5"/>
  <c r="R311" i="5"/>
  <c r="R310" i="5"/>
  <c r="R309" i="5"/>
  <c r="R308" i="5"/>
  <c r="R307" i="5"/>
  <c r="R306" i="5"/>
  <c r="R305" i="5"/>
  <c r="R304" i="5"/>
  <c r="R303" i="5"/>
  <c r="R302" i="5"/>
  <c r="R301" i="5"/>
  <c r="R300" i="5"/>
  <c r="R299" i="5"/>
  <c r="R298" i="5"/>
  <c r="R297" i="5"/>
  <c r="R296" i="5"/>
  <c r="R295" i="5"/>
  <c r="R294" i="5"/>
  <c r="R293" i="5"/>
  <c r="R292" i="5"/>
  <c r="R291" i="5"/>
  <c r="R290" i="5"/>
  <c r="R289" i="5"/>
  <c r="R288" i="5"/>
  <c r="R287" i="5"/>
  <c r="R286" i="5"/>
  <c r="R285" i="5"/>
  <c r="R284" i="5"/>
  <c r="R283" i="5"/>
  <c r="R282" i="5"/>
  <c r="R281" i="5"/>
  <c r="R280" i="5"/>
  <c r="R279" i="5"/>
  <c r="R278" i="5"/>
  <c r="R277" i="5"/>
  <c r="R276" i="5"/>
  <c r="R275" i="5"/>
  <c r="R274" i="5"/>
  <c r="R273" i="5"/>
  <c r="R272" i="5"/>
  <c r="R271" i="5"/>
  <c r="R270" i="5"/>
  <c r="R269" i="5"/>
  <c r="R268" i="5"/>
  <c r="R267" i="5"/>
  <c r="R266" i="5"/>
  <c r="R265" i="5"/>
  <c r="R264" i="5"/>
  <c r="R263" i="5"/>
  <c r="R262" i="5"/>
  <c r="R261" i="5"/>
  <c r="R260" i="5"/>
  <c r="R259" i="5"/>
  <c r="R258" i="5"/>
  <c r="R257" i="5"/>
  <c r="R256" i="5"/>
  <c r="R255" i="5"/>
  <c r="R254" i="5"/>
  <c r="R253" i="5"/>
  <c r="R252" i="5"/>
  <c r="R251" i="5"/>
  <c r="R250" i="5"/>
  <c r="R249" i="5"/>
  <c r="R248" i="5"/>
  <c r="R247" i="5"/>
  <c r="R246" i="5"/>
  <c r="R245" i="5"/>
  <c r="R244" i="5"/>
  <c r="R243" i="5"/>
  <c r="R242" i="5"/>
  <c r="R241" i="5"/>
  <c r="R240" i="5"/>
  <c r="R239" i="5"/>
  <c r="R238" i="5"/>
  <c r="R237" i="5"/>
  <c r="R236" i="5"/>
  <c r="R235" i="5"/>
  <c r="R234" i="5"/>
  <c r="R233" i="5"/>
  <c r="R232" i="5"/>
  <c r="R231" i="5"/>
  <c r="R230" i="5"/>
  <c r="R229" i="5"/>
  <c r="R228" i="5"/>
  <c r="R227" i="5"/>
  <c r="R226" i="5"/>
  <c r="R225" i="5"/>
  <c r="R224" i="5"/>
  <c r="R223" i="5"/>
  <c r="R222" i="5"/>
  <c r="R221" i="5"/>
  <c r="R220" i="5"/>
  <c r="R219" i="5"/>
  <c r="R218" i="5"/>
  <c r="R217" i="5"/>
  <c r="R216" i="5"/>
  <c r="R215" i="5"/>
  <c r="R214" i="5"/>
  <c r="R213" i="5"/>
  <c r="R212" i="5"/>
  <c r="R211" i="5"/>
  <c r="R210" i="5"/>
  <c r="R209" i="5"/>
  <c r="R208" i="5"/>
  <c r="R207" i="5"/>
  <c r="R206" i="5"/>
  <c r="R205" i="5"/>
  <c r="R204" i="5"/>
  <c r="R203" i="5"/>
  <c r="R202" i="5"/>
  <c r="S201" i="5"/>
  <c r="R201" i="5"/>
  <c r="S200" i="5"/>
  <c r="R200" i="5"/>
  <c r="S199" i="5"/>
  <c r="R199" i="5"/>
  <c r="S198" i="5"/>
  <c r="R198" i="5"/>
  <c r="S197" i="5"/>
  <c r="R197" i="5"/>
  <c r="S196" i="5"/>
  <c r="R196" i="5"/>
  <c r="S195" i="5"/>
  <c r="R195" i="5"/>
  <c r="S194" i="5"/>
  <c r="R194" i="5"/>
  <c r="S193" i="5"/>
  <c r="R193" i="5"/>
  <c r="S192" i="5"/>
  <c r="R192" i="5"/>
  <c r="S191" i="5"/>
  <c r="R191" i="5"/>
  <c r="S190" i="5"/>
  <c r="R190" i="5"/>
  <c r="S189" i="5"/>
  <c r="R189" i="5"/>
  <c r="S188" i="5"/>
  <c r="R188" i="5"/>
  <c r="S187" i="5"/>
  <c r="R187" i="5"/>
  <c r="S186" i="5"/>
  <c r="R186" i="5"/>
  <c r="S185" i="5"/>
  <c r="R185" i="5"/>
  <c r="S184" i="5"/>
  <c r="R184" i="5"/>
  <c r="S183" i="5"/>
  <c r="R183" i="5"/>
  <c r="S182" i="5"/>
  <c r="R182" i="5"/>
  <c r="S181" i="5"/>
  <c r="R181" i="5"/>
  <c r="S180" i="5"/>
  <c r="R180" i="5"/>
  <c r="S179" i="5"/>
  <c r="R179" i="5"/>
  <c r="S178" i="5"/>
  <c r="R178" i="5"/>
  <c r="S177" i="5"/>
  <c r="R177" i="5"/>
  <c r="S176" i="5"/>
  <c r="R176" i="5"/>
  <c r="S175" i="5"/>
  <c r="R175" i="5"/>
  <c r="S174" i="5"/>
  <c r="R174" i="5"/>
  <c r="S173" i="5"/>
  <c r="R173" i="5"/>
  <c r="S172" i="5"/>
  <c r="R172" i="5"/>
  <c r="S171" i="5"/>
  <c r="R171" i="5"/>
  <c r="S170" i="5"/>
  <c r="R170" i="5"/>
  <c r="S169" i="5"/>
  <c r="R169" i="5"/>
  <c r="S168" i="5"/>
  <c r="R168" i="5"/>
  <c r="S167" i="5"/>
  <c r="R167" i="5"/>
  <c r="S166" i="5"/>
  <c r="R166" i="5"/>
  <c r="S165" i="5"/>
  <c r="R165" i="5"/>
  <c r="S164" i="5"/>
  <c r="R164" i="5"/>
  <c r="S163" i="5"/>
  <c r="R163" i="5"/>
  <c r="S162" i="5"/>
  <c r="R162" i="5"/>
  <c r="S161" i="5"/>
  <c r="R161" i="5"/>
  <c r="S160" i="5"/>
  <c r="R160" i="5"/>
  <c r="S159" i="5"/>
  <c r="R159" i="5"/>
  <c r="S158" i="5"/>
  <c r="R158" i="5"/>
  <c r="S157" i="5"/>
  <c r="R157" i="5"/>
  <c r="S156" i="5"/>
  <c r="R156" i="5"/>
  <c r="S155" i="5"/>
  <c r="R155" i="5"/>
  <c r="S154" i="5"/>
  <c r="R154" i="5"/>
  <c r="S153" i="5"/>
  <c r="R153" i="5"/>
  <c r="S152" i="5"/>
  <c r="R152" i="5"/>
  <c r="S151" i="5"/>
  <c r="R151" i="5"/>
  <c r="S150" i="5"/>
  <c r="R150" i="5"/>
  <c r="S149" i="5"/>
  <c r="R149" i="5"/>
  <c r="S148" i="5"/>
  <c r="R148" i="5"/>
  <c r="S147" i="5"/>
  <c r="R147" i="5"/>
  <c r="S146" i="5"/>
  <c r="R146" i="5"/>
  <c r="S145" i="5"/>
  <c r="R145" i="5"/>
  <c r="S144" i="5"/>
  <c r="R144" i="5"/>
  <c r="S143" i="5"/>
  <c r="R143" i="5"/>
  <c r="S142" i="5"/>
  <c r="R142" i="5"/>
  <c r="S141" i="5"/>
  <c r="R141" i="5"/>
  <c r="S140" i="5"/>
  <c r="R140" i="5"/>
  <c r="S139" i="5"/>
  <c r="R139" i="5"/>
  <c r="S138" i="5"/>
  <c r="R138" i="5"/>
  <c r="S137" i="5"/>
  <c r="R137" i="5"/>
  <c r="S136" i="5"/>
  <c r="R136" i="5"/>
  <c r="S135" i="5"/>
  <c r="R135" i="5"/>
  <c r="S134" i="5"/>
  <c r="R134" i="5"/>
  <c r="S133" i="5"/>
  <c r="R133" i="5"/>
  <c r="S132" i="5"/>
  <c r="R132" i="5"/>
  <c r="S131" i="5"/>
  <c r="R131" i="5"/>
  <c r="S130" i="5"/>
  <c r="R130" i="5"/>
  <c r="S129" i="5"/>
  <c r="R129" i="5"/>
  <c r="S128" i="5"/>
  <c r="R128" i="5"/>
  <c r="S127" i="5"/>
  <c r="R127" i="5"/>
  <c r="S126" i="5"/>
  <c r="R126" i="5"/>
  <c r="S125" i="5"/>
  <c r="R125" i="5"/>
  <c r="S124" i="5"/>
  <c r="R124" i="5"/>
  <c r="S123" i="5"/>
  <c r="R123" i="5"/>
  <c r="S122" i="5"/>
  <c r="R122" i="5"/>
  <c r="S121" i="5"/>
  <c r="R121" i="5"/>
  <c r="S120" i="5"/>
  <c r="R120" i="5"/>
  <c r="S119" i="5"/>
  <c r="R119" i="5"/>
  <c r="S118" i="5"/>
  <c r="R118" i="5"/>
  <c r="S117" i="5"/>
  <c r="R117" i="5"/>
  <c r="S116" i="5"/>
  <c r="R116" i="5"/>
  <c r="S115" i="5"/>
  <c r="R115" i="5"/>
  <c r="S114" i="5"/>
  <c r="R114" i="5"/>
  <c r="S113" i="5"/>
  <c r="R113" i="5"/>
  <c r="S112" i="5"/>
  <c r="R112" i="5"/>
  <c r="S111" i="5"/>
  <c r="R111" i="5"/>
  <c r="S110" i="5"/>
  <c r="R110" i="5"/>
  <c r="S109" i="5"/>
  <c r="R109" i="5"/>
  <c r="S108" i="5"/>
  <c r="R108" i="5"/>
  <c r="S107" i="5"/>
  <c r="R107" i="5"/>
  <c r="S106" i="5"/>
  <c r="R106" i="5"/>
  <c r="S105" i="5"/>
  <c r="R105" i="5"/>
  <c r="S104" i="5"/>
  <c r="R104" i="5"/>
  <c r="S103" i="5"/>
  <c r="R103" i="5"/>
  <c r="S102" i="5"/>
  <c r="R102" i="5"/>
  <c r="S101" i="5"/>
  <c r="R101" i="5"/>
  <c r="S100" i="5"/>
  <c r="R100" i="5"/>
  <c r="S99" i="5"/>
  <c r="R99" i="5"/>
  <c r="S98" i="5"/>
  <c r="R98" i="5"/>
  <c r="S97" i="5"/>
  <c r="R97" i="5"/>
  <c r="S96" i="5"/>
  <c r="R96" i="5"/>
  <c r="S95" i="5"/>
  <c r="R95" i="5"/>
  <c r="S94" i="5"/>
  <c r="R94" i="5"/>
  <c r="S93" i="5"/>
  <c r="R93" i="5"/>
  <c r="S92" i="5"/>
  <c r="R92" i="5"/>
  <c r="S91" i="5"/>
  <c r="R91" i="5"/>
  <c r="S90" i="5"/>
  <c r="R90" i="5"/>
  <c r="S89" i="5"/>
  <c r="R89" i="5"/>
  <c r="S88" i="5"/>
  <c r="R88" i="5"/>
  <c r="S87" i="5"/>
  <c r="R87" i="5"/>
  <c r="S86" i="5"/>
  <c r="R86" i="5"/>
  <c r="S85" i="5"/>
  <c r="R85" i="5"/>
  <c r="S84" i="5"/>
  <c r="R84" i="5"/>
  <c r="S83" i="5"/>
  <c r="R83" i="5"/>
  <c r="S82" i="5"/>
  <c r="R82" i="5"/>
  <c r="S81" i="5"/>
  <c r="R81" i="5"/>
  <c r="S80" i="5"/>
  <c r="R80" i="5"/>
  <c r="S79" i="5"/>
  <c r="R79" i="5"/>
  <c r="S78" i="5"/>
  <c r="R78" i="5"/>
  <c r="S77" i="5"/>
  <c r="R77" i="5"/>
  <c r="S76" i="5"/>
  <c r="R76" i="5"/>
  <c r="S75" i="5"/>
  <c r="R75" i="5"/>
  <c r="S74" i="5"/>
  <c r="R74" i="5"/>
  <c r="R73" i="5"/>
  <c r="R72" i="5"/>
  <c r="R71" i="5"/>
  <c r="R70" i="5"/>
  <c r="R69" i="5"/>
  <c r="R68" i="5"/>
  <c r="R67" i="5"/>
  <c r="R66" i="5"/>
  <c r="R65" i="5"/>
  <c r="R64" i="5"/>
  <c r="R63" i="5"/>
  <c r="R62" i="5"/>
  <c r="R61" i="5"/>
  <c r="R60" i="5"/>
  <c r="R59" i="5"/>
  <c r="R58" i="5"/>
  <c r="R57" i="5"/>
  <c r="R56" i="5"/>
  <c r="R55" i="5"/>
  <c r="R54" i="5"/>
  <c r="R53" i="5"/>
  <c r="R52" i="5"/>
  <c r="R51" i="5"/>
  <c r="R50" i="5"/>
  <c r="R49" i="5"/>
  <c r="R48" i="5"/>
  <c r="R47" i="5"/>
  <c r="R46" i="5"/>
  <c r="R45" i="5"/>
  <c r="R44" i="5"/>
  <c r="R43" i="5"/>
  <c r="R42" i="5"/>
  <c r="R41" i="5"/>
  <c r="R40" i="5"/>
  <c r="R39" i="5"/>
  <c r="R38" i="5"/>
  <c r="R37" i="5"/>
  <c r="R36" i="5"/>
  <c r="R35" i="5"/>
  <c r="R34" i="5"/>
  <c r="R33" i="5"/>
  <c r="R32" i="5"/>
  <c r="R31" i="5"/>
  <c r="R30" i="5"/>
  <c r="R29" i="5"/>
  <c r="R28" i="5"/>
  <c r="R27" i="5"/>
  <c r="R26" i="5"/>
  <c r="R25" i="5"/>
  <c r="R24" i="5"/>
  <c r="R23" i="5"/>
  <c r="R22" i="5"/>
  <c r="R21" i="5"/>
  <c r="R20" i="5"/>
  <c r="R19" i="5"/>
  <c r="R18" i="5"/>
  <c r="R17" i="5"/>
  <c r="R16" i="5"/>
  <c r="R15" i="5"/>
  <c r="N379" i="5"/>
  <c r="N378" i="5"/>
  <c r="N377" i="5"/>
  <c r="N376" i="5"/>
  <c r="N375" i="5"/>
  <c r="N374" i="5"/>
  <c r="N373" i="5"/>
  <c r="N372" i="5"/>
  <c r="N371" i="5"/>
  <c r="N370" i="5"/>
  <c r="N369" i="5"/>
  <c r="N368" i="5"/>
  <c r="N367" i="5"/>
  <c r="N366" i="5"/>
  <c r="N365" i="5"/>
  <c r="N364" i="5"/>
  <c r="N363" i="5"/>
  <c r="N362" i="5"/>
  <c r="N361" i="5"/>
  <c r="N360" i="5"/>
  <c r="N359" i="5"/>
  <c r="N358" i="5"/>
  <c r="N357" i="5"/>
  <c r="N356" i="5"/>
  <c r="N355" i="5"/>
  <c r="N354" i="5"/>
  <c r="N353" i="5"/>
  <c r="N352" i="5"/>
  <c r="N351" i="5"/>
  <c r="N350" i="5"/>
  <c r="N349" i="5"/>
  <c r="N348" i="5"/>
  <c r="N347" i="5"/>
  <c r="N346" i="5"/>
  <c r="N345" i="5"/>
  <c r="N344" i="5"/>
  <c r="N343" i="5"/>
  <c r="N342" i="5"/>
  <c r="N341" i="5"/>
  <c r="N340" i="5"/>
  <c r="N339" i="5"/>
  <c r="N338" i="5"/>
  <c r="N337" i="5"/>
  <c r="N336" i="5"/>
  <c r="N335" i="5"/>
  <c r="N334" i="5"/>
  <c r="N333" i="5"/>
  <c r="N332" i="5"/>
  <c r="N331" i="5"/>
  <c r="N330" i="5"/>
  <c r="N329" i="5"/>
  <c r="N328" i="5"/>
  <c r="N327" i="5"/>
  <c r="N326" i="5"/>
  <c r="N325" i="5"/>
  <c r="N324" i="5"/>
  <c r="N323" i="5"/>
  <c r="N322" i="5"/>
  <c r="N321" i="5"/>
  <c r="N320" i="5"/>
  <c r="N319" i="5"/>
  <c r="N318" i="5"/>
  <c r="N317" i="5"/>
  <c r="N316" i="5"/>
  <c r="N315" i="5"/>
  <c r="N314" i="5"/>
  <c r="N313" i="5"/>
  <c r="N312" i="5"/>
  <c r="N311" i="5"/>
  <c r="N310" i="5"/>
  <c r="N309" i="5"/>
  <c r="N308" i="5"/>
  <c r="N307" i="5"/>
  <c r="N306" i="5"/>
  <c r="N305" i="5"/>
  <c r="N304" i="5"/>
  <c r="N303" i="5"/>
  <c r="N302" i="5"/>
  <c r="N301" i="5"/>
  <c r="N300" i="5"/>
  <c r="N299" i="5"/>
  <c r="N298" i="5"/>
  <c r="N297" i="5"/>
  <c r="N296" i="5"/>
  <c r="N295" i="5"/>
  <c r="N294" i="5"/>
  <c r="N293" i="5"/>
  <c r="N292" i="5"/>
  <c r="N291" i="5"/>
  <c r="N290" i="5"/>
  <c r="N289" i="5"/>
  <c r="N288" i="5"/>
  <c r="N287" i="5"/>
  <c r="N286" i="5"/>
  <c r="N285" i="5"/>
  <c r="N284" i="5"/>
  <c r="N283" i="5"/>
  <c r="N282" i="5"/>
  <c r="N281" i="5"/>
  <c r="N280" i="5"/>
  <c r="N279" i="5"/>
  <c r="N278" i="5"/>
  <c r="N277" i="5"/>
  <c r="N276" i="5"/>
  <c r="N275" i="5"/>
  <c r="N274" i="5"/>
  <c r="N273" i="5"/>
  <c r="N272" i="5"/>
  <c r="N271" i="5"/>
  <c r="N270" i="5"/>
  <c r="N269" i="5"/>
  <c r="N268" i="5"/>
  <c r="N267" i="5"/>
  <c r="N266" i="5"/>
  <c r="N265" i="5"/>
  <c r="N264" i="5"/>
  <c r="N263" i="5"/>
  <c r="N262" i="5"/>
  <c r="N261" i="5"/>
  <c r="N260" i="5"/>
  <c r="N259" i="5"/>
  <c r="N258" i="5"/>
  <c r="N257" i="5"/>
  <c r="N256" i="5"/>
  <c r="N255" i="5"/>
  <c r="N254" i="5"/>
  <c r="N253" i="5"/>
  <c r="N252" i="5"/>
  <c r="N251" i="5"/>
  <c r="N250" i="5"/>
  <c r="N249" i="5"/>
  <c r="N248" i="5"/>
  <c r="N247" i="5"/>
  <c r="N246" i="5"/>
  <c r="N245" i="5"/>
  <c r="N244" i="5"/>
  <c r="N243" i="5"/>
  <c r="N242" i="5"/>
  <c r="N241" i="5"/>
  <c r="N240" i="5"/>
  <c r="N239" i="5"/>
  <c r="N238" i="5"/>
  <c r="N237" i="5"/>
  <c r="N236" i="5"/>
  <c r="N235" i="5"/>
  <c r="N234" i="5"/>
  <c r="N233" i="5"/>
  <c r="N232" i="5"/>
  <c r="N231" i="5"/>
  <c r="N230" i="5"/>
  <c r="N229" i="5"/>
  <c r="N228" i="5"/>
  <c r="N227" i="5"/>
  <c r="N226" i="5"/>
  <c r="N225" i="5"/>
  <c r="N224" i="5"/>
  <c r="N223" i="5"/>
  <c r="N222" i="5"/>
  <c r="N221" i="5"/>
  <c r="N220" i="5"/>
  <c r="N219" i="5"/>
  <c r="N218" i="5"/>
  <c r="N217" i="5"/>
  <c r="N216" i="5"/>
  <c r="N215" i="5"/>
  <c r="N214" i="5"/>
  <c r="N213" i="5"/>
  <c r="N212" i="5"/>
  <c r="N211" i="5"/>
  <c r="N210" i="5"/>
  <c r="N209" i="5"/>
  <c r="N208" i="5"/>
  <c r="N207" i="5"/>
  <c r="N206" i="5"/>
  <c r="N205" i="5"/>
  <c r="N204" i="5"/>
  <c r="N203" i="5"/>
  <c r="N202" i="5"/>
  <c r="O201" i="5"/>
  <c r="N201" i="5"/>
  <c r="O200" i="5"/>
  <c r="N200" i="5"/>
  <c r="O199" i="5"/>
  <c r="N199" i="5"/>
  <c r="O198" i="5"/>
  <c r="N198" i="5"/>
  <c r="O197" i="5"/>
  <c r="N197" i="5"/>
  <c r="O196" i="5"/>
  <c r="N196" i="5"/>
  <c r="O195" i="5"/>
  <c r="N195" i="5"/>
  <c r="O194" i="5"/>
  <c r="N194" i="5"/>
  <c r="O193" i="5"/>
  <c r="N193" i="5"/>
  <c r="O192" i="5"/>
  <c r="N192" i="5"/>
  <c r="O191" i="5"/>
  <c r="N191" i="5"/>
  <c r="O190" i="5"/>
  <c r="N190" i="5"/>
  <c r="O189" i="5"/>
  <c r="N189" i="5"/>
  <c r="O188" i="5"/>
  <c r="N188" i="5"/>
  <c r="O187" i="5"/>
  <c r="N187" i="5"/>
  <c r="O186" i="5"/>
  <c r="N186" i="5"/>
  <c r="O185" i="5"/>
  <c r="N185" i="5"/>
  <c r="O184" i="5"/>
  <c r="N184" i="5"/>
  <c r="O183" i="5"/>
  <c r="N183" i="5"/>
  <c r="O182" i="5"/>
  <c r="N182" i="5"/>
  <c r="O181" i="5"/>
  <c r="N181" i="5"/>
  <c r="O180" i="5"/>
  <c r="N180" i="5"/>
  <c r="O179" i="5"/>
  <c r="N179" i="5"/>
  <c r="O178" i="5"/>
  <c r="N178" i="5"/>
  <c r="O177" i="5"/>
  <c r="N177" i="5"/>
  <c r="O176" i="5"/>
  <c r="N176" i="5"/>
  <c r="O175" i="5"/>
  <c r="N175" i="5"/>
  <c r="O174" i="5"/>
  <c r="N174" i="5"/>
  <c r="O173" i="5"/>
  <c r="N173" i="5"/>
  <c r="O172" i="5"/>
  <c r="N172" i="5"/>
  <c r="O171" i="5"/>
  <c r="N171" i="5"/>
  <c r="O170" i="5"/>
  <c r="N170" i="5"/>
  <c r="O169" i="5"/>
  <c r="N169" i="5"/>
  <c r="O168" i="5"/>
  <c r="N168" i="5"/>
  <c r="O167" i="5"/>
  <c r="N167" i="5"/>
  <c r="O166" i="5"/>
  <c r="N166" i="5"/>
  <c r="O165" i="5"/>
  <c r="N165" i="5"/>
  <c r="O164" i="5"/>
  <c r="N164" i="5"/>
  <c r="O163" i="5"/>
  <c r="N163" i="5"/>
  <c r="O162" i="5"/>
  <c r="N162" i="5"/>
  <c r="O161" i="5"/>
  <c r="N161" i="5"/>
  <c r="O160" i="5"/>
  <c r="N160" i="5"/>
  <c r="O159" i="5"/>
  <c r="N159" i="5"/>
  <c r="O158" i="5"/>
  <c r="N158" i="5"/>
  <c r="O157" i="5"/>
  <c r="N157" i="5"/>
  <c r="O156" i="5"/>
  <c r="N156" i="5"/>
  <c r="O155" i="5"/>
  <c r="N155" i="5"/>
  <c r="O154" i="5"/>
  <c r="N154" i="5"/>
  <c r="O153" i="5"/>
  <c r="N153" i="5"/>
  <c r="O152" i="5"/>
  <c r="N152" i="5"/>
  <c r="O151" i="5"/>
  <c r="N151" i="5"/>
  <c r="O150" i="5"/>
  <c r="N150" i="5"/>
  <c r="O149" i="5"/>
  <c r="N149" i="5"/>
  <c r="O148" i="5"/>
  <c r="N148" i="5"/>
  <c r="O147" i="5"/>
  <c r="N147" i="5"/>
  <c r="O146" i="5"/>
  <c r="N146" i="5"/>
  <c r="O145" i="5"/>
  <c r="N145" i="5"/>
  <c r="O144" i="5"/>
  <c r="N144" i="5"/>
  <c r="O143" i="5"/>
  <c r="N143" i="5"/>
  <c r="O142" i="5"/>
  <c r="N142" i="5"/>
  <c r="O141" i="5"/>
  <c r="N141" i="5"/>
  <c r="O140" i="5"/>
  <c r="N140" i="5"/>
  <c r="O139" i="5"/>
  <c r="N139" i="5"/>
  <c r="O138" i="5"/>
  <c r="N138" i="5"/>
  <c r="O137" i="5"/>
  <c r="N137" i="5"/>
  <c r="O136" i="5"/>
  <c r="N136" i="5"/>
  <c r="O135" i="5"/>
  <c r="N135" i="5"/>
  <c r="O134" i="5"/>
  <c r="N134" i="5"/>
  <c r="O133" i="5"/>
  <c r="N133" i="5"/>
  <c r="O132" i="5"/>
  <c r="N132" i="5"/>
  <c r="O131" i="5"/>
  <c r="N131" i="5"/>
  <c r="O130" i="5"/>
  <c r="N130" i="5"/>
  <c r="O129" i="5"/>
  <c r="N129" i="5"/>
  <c r="O128" i="5"/>
  <c r="N128" i="5"/>
  <c r="O127" i="5"/>
  <c r="N127" i="5"/>
  <c r="O126" i="5"/>
  <c r="N126" i="5"/>
  <c r="O125" i="5"/>
  <c r="N125" i="5"/>
  <c r="O124" i="5"/>
  <c r="N124" i="5"/>
  <c r="O123" i="5"/>
  <c r="N123" i="5"/>
  <c r="O122" i="5"/>
  <c r="N122" i="5"/>
  <c r="O121" i="5"/>
  <c r="N121" i="5"/>
  <c r="O120" i="5"/>
  <c r="N120" i="5"/>
  <c r="O119" i="5"/>
  <c r="N119" i="5"/>
  <c r="O118" i="5"/>
  <c r="N118" i="5"/>
  <c r="O117" i="5"/>
  <c r="N117" i="5"/>
  <c r="O116" i="5"/>
  <c r="N116" i="5"/>
  <c r="O115" i="5"/>
  <c r="N115" i="5"/>
  <c r="O114" i="5"/>
  <c r="N114" i="5"/>
  <c r="O113" i="5"/>
  <c r="N113" i="5"/>
  <c r="O112" i="5"/>
  <c r="N112" i="5"/>
  <c r="O111" i="5"/>
  <c r="N111" i="5"/>
  <c r="O110" i="5"/>
  <c r="N110" i="5"/>
  <c r="O109" i="5"/>
  <c r="N109" i="5"/>
  <c r="O108" i="5"/>
  <c r="N108" i="5"/>
  <c r="O107" i="5"/>
  <c r="N107" i="5"/>
  <c r="O106" i="5"/>
  <c r="N106" i="5"/>
  <c r="O105" i="5"/>
  <c r="N105" i="5"/>
  <c r="O104" i="5"/>
  <c r="N104" i="5"/>
  <c r="O103" i="5"/>
  <c r="N103" i="5"/>
  <c r="O102" i="5"/>
  <c r="N102" i="5"/>
  <c r="O101" i="5"/>
  <c r="N101" i="5"/>
  <c r="O100" i="5"/>
  <c r="N100" i="5"/>
  <c r="O99" i="5"/>
  <c r="N99" i="5"/>
  <c r="O98" i="5"/>
  <c r="N98" i="5"/>
  <c r="O97" i="5"/>
  <c r="N97" i="5"/>
  <c r="O96" i="5"/>
  <c r="N96" i="5"/>
  <c r="O95" i="5"/>
  <c r="N95" i="5"/>
  <c r="O94" i="5"/>
  <c r="N94" i="5"/>
  <c r="O93" i="5"/>
  <c r="N93" i="5"/>
  <c r="O92" i="5"/>
  <c r="N92" i="5"/>
  <c r="O91" i="5"/>
  <c r="N91" i="5"/>
  <c r="O90" i="5"/>
  <c r="N90" i="5"/>
  <c r="O89" i="5"/>
  <c r="N89" i="5"/>
  <c r="O88" i="5"/>
  <c r="N88" i="5"/>
  <c r="O87" i="5"/>
  <c r="N87" i="5"/>
  <c r="O86" i="5"/>
  <c r="N86" i="5"/>
  <c r="O85" i="5"/>
  <c r="N85" i="5"/>
  <c r="O84" i="5"/>
  <c r="N84" i="5"/>
  <c r="O83" i="5"/>
  <c r="N83" i="5"/>
  <c r="O82" i="5"/>
  <c r="N82" i="5"/>
  <c r="O81" i="5"/>
  <c r="N81" i="5"/>
  <c r="O80" i="5"/>
  <c r="N80" i="5"/>
  <c r="O79" i="5"/>
  <c r="N79" i="5"/>
  <c r="O78" i="5"/>
  <c r="N78" i="5"/>
  <c r="O77" i="5"/>
  <c r="N77" i="5"/>
  <c r="O76" i="5"/>
  <c r="N76" i="5"/>
  <c r="O75" i="5"/>
  <c r="N75" i="5"/>
  <c r="O74" i="5"/>
  <c r="N74" i="5"/>
  <c r="N73" i="5"/>
  <c r="N72" i="5"/>
  <c r="N71" i="5"/>
  <c r="N70" i="5"/>
  <c r="N69" i="5"/>
  <c r="N68" i="5"/>
  <c r="N67" i="5"/>
  <c r="N66" i="5"/>
  <c r="N65" i="5"/>
  <c r="N64" i="5"/>
  <c r="N63" i="5"/>
  <c r="N62" i="5"/>
  <c r="N61" i="5"/>
  <c r="N60" i="5"/>
  <c r="N59" i="5"/>
  <c r="N58" i="5"/>
  <c r="N57" i="5"/>
  <c r="N56" i="5"/>
  <c r="N55" i="5"/>
  <c r="N54" i="5"/>
  <c r="N53" i="5"/>
  <c r="N52" i="5"/>
  <c r="N51" i="5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N30" i="5"/>
  <c r="N29" i="5"/>
  <c r="N28" i="5"/>
  <c r="N27" i="5"/>
  <c r="N26" i="5"/>
  <c r="N25" i="5"/>
  <c r="N24" i="5"/>
  <c r="N23" i="5"/>
  <c r="N22" i="5"/>
  <c r="N21" i="5"/>
  <c r="N20" i="5"/>
  <c r="N19" i="5"/>
  <c r="N18" i="5"/>
  <c r="N17" i="5"/>
  <c r="N16" i="5"/>
  <c r="N15" i="5"/>
  <c r="J379" i="5"/>
  <c r="J378" i="5"/>
  <c r="J377" i="5"/>
  <c r="J376" i="5"/>
  <c r="J375" i="5"/>
  <c r="J374" i="5"/>
  <c r="J373" i="5"/>
  <c r="J372" i="5"/>
  <c r="J371" i="5"/>
  <c r="J370" i="5"/>
  <c r="J369" i="5"/>
  <c r="J368" i="5"/>
  <c r="J367" i="5"/>
  <c r="J366" i="5"/>
  <c r="J365" i="5"/>
  <c r="J364" i="5"/>
  <c r="J363" i="5"/>
  <c r="J362" i="5"/>
  <c r="J361" i="5"/>
  <c r="J360" i="5"/>
  <c r="J359" i="5"/>
  <c r="J358" i="5"/>
  <c r="J357" i="5"/>
  <c r="J356" i="5"/>
  <c r="J355" i="5"/>
  <c r="J354" i="5"/>
  <c r="J353" i="5"/>
  <c r="J352" i="5"/>
  <c r="J351" i="5"/>
  <c r="J350" i="5"/>
  <c r="J349" i="5"/>
  <c r="J348" i="5"/>
  <c r="J347" i="5"/>
  <c r="J346" i="5"/>
  <c r="J345" i="5"/>
  <c r="J344" i="5"/>
  <c r="J343" i="5"/>
  <c r="J342" i="5"/>
  <c r="J341" i="5"/>
  <c r="J340" i="5"/>
  <c r="J339" i="5"/>
  <c r="J338" i="5"/>
  <c r="J337" i="5"/>
  <c r="J336" i="5"/>
  <c r="J335" i="5"/>
  <c r="J334" i="5"/>
  <c r="J333" i="5"/>
  <c r="J332" i="5"/>
  <c r="J331" i="5"/>
  <c r="J330" i="5"/>
  <c r="J329" i="5"/>
  <c r="J328" i="5"/>
  <c r="J327" i="5"/>
  <c r="J326" i="5"/>
  <c r="J325" i="5"/>
  <c r="J324" i="5"/>
  <c r="J323" i="5"/>
  <c r="J322" i="5"/>
  <c r="J321" i="5"/>
  <c r="J320" i="5"/>
  <c r="J319" i="5"/>
  <c r="J318" i="5"/>
  <c r="J317" i="5"/>
  <c r="J316" i="5"/>
  <c r="J315" i="5"/>
  <c r="J314" i="5"/>
  <c r="J313" i="5"/>
  <c r="J312" i="5"/>
  <c r="J311" i="5"/>
  <c r="J310" i="5"/>
  <c r="J309" i="5"/>
  <c r="J308" i="5"/>
  <c r="J307" i="5"/>
  <c r="J306" i="5"/>
  <c r="J305" i="5"/>
  <c r="J304" i="5"/>
  <c r="J303" i="5"/>
  <c r="J302" i="5"/>
  <c r="J301" i="5"/>
  <c r="J300" i="5"/>
  <c r="J299" i="5"/>
  <c r="J298" i="5"/>
  <c r="J297" i="5"/>
  <c r="J296" i="5"/>
  <c r="J295" i="5"/>
  <c r="J294" i="5"/>
  <c r="J293" i="5"/>
  <c r="J292" i="5"/>
  <c r="J291" i="5"/>
  <c r="J290" i="5"/>
  <c r="J289" i="5"/>
  <c r="J288" i="5"/>
  <c r="J287" i="5"/>
  <c r="J286" i="5"/>
  <c r="J285" i="5"/>
  <c r="J284" i="5"/>
  <c r="J283" i="5"/>
  <c r="J282" i="5"/>
  <c r="J281" i="5"/>
  <c r="J280" i="5"/>
  <c r="J279" i="5"/>
  <c r="J278" i="5"/>
  <c r="J277" i="5"/>
  <c r="J276" i="5"/>
  <c r="J275" i="5"/>
  <c r="J274" i="5"/>
  <c r="J273" i="5"/>
  <c r="J272" i="5"/>
  <c r="J271" i="5"/>
  <c r="J270" i="5"/>
  <c r="J269" i="5"/>
  <c r="J268" i="5"/>
  <c r="J267" i="5"/>
  <c r="J266" i="5"/>
  <c r="J265" i="5"/>
  <c r="J264" i="5"/>
  <c r="J263" i="5"/>
  <c r="J262" i="5"/>
  <c r="J261" i="5"/>
  <c r="J260" i="5"/>
  <c r="J259" i="5"/>
  <c r="J258" i="5"/>
  <c r="J257" i="5"/>
  <c r="J256" i="5"/>
  <c r="J255" i="5"/>
  <c r="J254" i="5"/>
  <c r="J253" i="5"/>
  <c r="J252" i="5"/>
  <c r="J251" i="5"/>
  <c r="J250" i="5"/>
  <c r="J249" i="5"/>
  <c r="J248" i="5"/>
  <c r="J247" i="5"/>
  <c r="J246" i="5"/>
  <c r="J245" i="5"/>
  <c r="J244" i="5"/>
  <c r="J243" i="5"/>
  <c r="J242" i="5"/>
  <c r="J241" i="5"/>
  <c r="J240" i="5"/>
  <c r="J239" i="5"/>
  <c r="J238" i="5"/>
  <c r="J237" i="5"/>
  <c r="J236" i="5"/>
  <c r="J235" i="5"/>
  <c r="J234" i="5"/>
  <c r="J233" i="5"/>
  <c r="J232" i="5"/>
  <c r="J231" i="5"/>
  <c r="J230" i="5"/>
  <c r="J229" i="5"/>
  <c r="J228" i="5"/>
  <c r="J227" i="5"/>
  <c r="J226" i="5"/>
  <c r="J225" i="5"/>
  <c r="J224" i="5"/>
  <c r="J223" i="5"/>
  <c r="J222" i="5"/>
  <c r="J221" i="5"/>
  <c r="J220" i="5"/>
  <c r="J219" i="5"/>
  <c r="J218" i="5"/>
  <c r="J217" i="5"/>
  <c r="J216" i="5"/>
  <c r="J215" i="5"/>
  <c r="J214" i="5"/>
  <c r="J213" i="5"/>
  <c r="J212" i="5"/>
  <c r="J211" i="5"/>
  <c r="J210" i="5"/>
  <c r="J209" i="5"/>
  <c r="J208" i="5"/>
  <c r="J207" i="5"/>
  <c r="J206" i="5"/>
  <c r="J205" i="5"/>
  <c r="J204" i="5"/>
  <c r="J203" i="5"/>
  <c r="J202" i="5"/>
  <c r="K201" i="5"/>
  <c r="J201" i="5"/>
  <c r="K200" i="5"/>
  <c r="J200" i="5"/>
  <c r="K199" i="5"/>
  <c r="J199" i="5"/>
  <c r="K198" i="5"/>
  <c r="J198" i="5"/>
  <c r="K197" i="5"/>
  <c r="J197" i="5"/>
  <c r="K196" i="5"/>
  <c r="J196" i="5"/>
  <c r="K195" i="5"/>
  <c r="J195" i="5"/>
  <c r="K194" i="5"/>
  <c r="J194" i="5"/>
  <c r="K193" i="5"/>
  <c r="J193" i="5"/>
  <c r="K192" i="5"/>
  <c r="J192" i="5"/>
  <c r="K191" i="5"/>
  <c r="J191" i="5"/>
  <c r="K190" i="5"/>
  <c r="J190" i="5"/>
  <c r="K189" i="5"/>
  <c r="J189" i="5"/>
  <c r="K188" i="5"/>
  <c r="J188" i="5"/>
  <c r="K187" i="5"/>
  <c r="J187" i="5"/>
  <c r="K186" i="5"/>
  <c r="J186" i="5"/>
  <c r="K185" i="5"/>
  <c r="J185" i="5"/>
  <c r="K184" i="5"/>
  <c r="J184" i="5"/>
  <c r="K183" i="5"/>
  <c r="J183" i="5"/>
  <c r="K182" i="5"/>
  <c r="J182" i="5"/>
  <c r="K181" i="5"/>
  <c r="J181" i="5"/>
  <c r="K180" i="5"/>
  <c r="J180" i="5"/>
  <c r="K179" i="5"/>
  <c r="J179" i="5"/>
  <c r="K178" i="5"/>
  <c r="J178" i="5"/>
  <c r="K177" i="5"/>
  <c r="J177" i="5"/>
  <c r="K176" i="5"/>
  <c r="J176" i="5"/>
  <c r="K175" i="5"/>
  <c r="J175" i="5"/>
  <c r="K174" i="5"/>
  <c r="J174" i="5"/>
  <c r="K173" i="5"/>
  <c r="J173" i="5"/>
  <c r="K172" i="5"/>
  <c r="J172" i="5"/>
  <c r="K171" i="5"/>
  <c r="J171" i="5"/>
  <c r="K170" i="5"/>
  <c r="J170" i="5"/>
  <c r="K169" i="5"/>
  <c r="J169" i="5"/>
  <c r="K168" i="5"/>
  <c r="J168" i="5"/>
  <c r="K167" i="5"/>
  <c r="J167" i="5"/>
  <c r="K166" i="5"/>
  <c r="J166" i="5"/>
  <c r="K165" i="5"/>
  <c r="J165" i="5"/>
  <c r="K164" i="5"/>
  <c r="J164" i="5"/>
  <c r="K163" i="5"/>
  <c r="J163" i="5"/>
  <c r="K162" i="5"/>
  <c r="J162" i="5"/>
  <c r="K161" i="5"/>
  <c r="J161" i="5"/>
  <c r="K160" i="5"/>
  <c r="J160" i="5"/>
  <c r="K159" i="5"/>
  <c r="J159" i="5"/>
  <c r="K158" i="5"/>
  <c r="J158" i="5"/>
  <c r="K157" i="5"/>
  <c r="J157" i="5"/>
  <c r="K156" i="5"/>
  <c r="J156" i="5"/>
  <c r="K155" i="5"/>
  <c r="J155" i="5"/>
  <c r="K154" i="5"/>
  <c r="J154" i="5"/>
  <c r="K153" i="5"/>
  <c r="J153" i="5"/>
  <c r="K152" i="5"/>
  <c r="J152" i="5"/>
  <c r="K151" i="5"/>
  <c r="J151" i="5"/>
  <c r="K150" i="5"/>
  <c r="J150" i="5"/>
  <c r="K149" i="5"/>
  <c r="J149" i="5"/>
  <c r="K148" i="5"/>
  <c r="J148" i="5"/>
  <c r="K147" i="5"/>
  <c r="J147" i="5"/>
  <c r="K146" i="5"/>
  <c r="J146" i="5"/>
  <c r="K145" i="5"/>
  <c r="J145" i="5"/>
  <c r="K144" i="5"/>
  <c r="J144" i="5"/>
  <c r="K143" i="5"/>
  <c r="J143" i="5"/>
  <c r="K142" i="5"/>
  <c r="J142" i="5"/>
  <c r="K141" i="5"/>
  <c r="J141" i="5"/>
  <c r="K140" i="5"/>
  <c r="J140" i="5"/>
  <c r="K139" i="5"/>
  <c r="J139" i="5"/>
  <c r="K138" i="5"/>
  <c r="J138" i="5"/>
  <c r="K137" i="5"/>
  <c r="J137" i="5"/>
  <c r="K136" i="5"/>
  <c r="J136" i="5"/>
  <c r="K135" i="5"/>
  <c r="J135" i="5"/>
  <c r="K134" i="5"/>
  <c r="J134" i="5"/>
  <c r="K133" i="5"/>
  <c r="J133" i="5"/>
  <c r="K132" i="5"/>
  <c r="J132" i="5"/>
  <c r="K131" i="5"/>
  <c r="J131" i="5"/>
  <c r="K130" i="5"/>
  <c r="J130" i="5"/>
  <c r="K129" i="5"/>
  <c r="J129" i="5"/>
  <c r="K128" i="5"/>
  <c r="J128" i="5"/>
  <c r="K127" i="5"/>
  <c r="J127" i="5"/>
  <c r="K126" i="5"/>
  <c r="J126" i="5"/>
  <c r="K125" i="5"/>
  <c r="J125" i="5"/>
  <c r="K124" i="5"/>
  <c r="J124" i="5"/>
  <c r="K123" i="5"/>
  <c r="J123" i="5"/>
  <c r="K122" i="5"/>
  <c r="J122" i="5"/>
  <c r="K121" i="5"/>
  <c r="J121" i="5"/>
  <c r="K120" i="5"/>
  <c r="J120" i="5"/>
  <c r="K119" i="5"/>
  <c r="J119" i="5"/>
  <c r="K118" i="5"/>
  <c r="J118" i="5"/>
  <c r="K117" i="5"/>
  <c r="J117" i="5"/>
  <c r="K116" i="5"/>
  <c r="J116" i="5"/>
  <c r="K115" i="5"/>
  <c r="J115" i="5"/>
  <c r="K114" i="5"/>
  <c r="J114" i="5"/>
  <c r="K113" i="5"/>
  <c r="J113" i="5"/>
  <c r="K112" i="5"/>
  <c r="J112" i="5"/>
  <c r="K111" i="5"/>
  <c r="J111" i="5"/>
  <c r="K110" i="5"/>
  <c r="J110" i="5"/>
  <c r="K109" i="5"/>
  <c r="J109" i="5"/>
  <c r="K108" i="5"/>
  <c r="J108" i="5"/>
  <c r="K107" i="5"/>
  <c r="J107" i="5"/>
  <c r="K106" i="5"/>
  <c r="J106" i="5"/>
  <c r="K105" i="5"/>
  <c r="J105" i="5"/>
  <c r="K104" i="5"/>
  <c r="J104" i="5"/>
  <c r="K103" i="5"/>
  <c r="J103" i="5"/>
  <c r="K102" i="5"/>
  <c r="J102" i="5"/>
  <c r="K101" i="5"/>
  <c r="J101" i="5"/>
  <c r="K100" i="5"/>
  <c r="J100" i="5"/>
  <c r="K99" i="5"/>
  <c r="J99" i="5"/>
  <c r="K98" i="5"/>
  <c r="J98" i="5"/>
  <c r="K97" i="5"/>
  <c r="J97" i="5"/>
  <c r="K96" i="5"/>
  <c r="J96" i="5"/>
  <c r="K95" i="5"/>
  <c r="J95" i="5"/>
  <c r="K94" i="5"/>
  <c r="J94" i="5"/>
  <c r="K93" i="5"/>
  <c r="J93" i="5"/>
  <c r="K92" i="5"/>
  <c r="J92" i="5"/>
  <c r="K91" i="5"/>
  <c r="J91" i="5"/>
  <c r="K90" i="5"/>
  <c r="J90" i="5"/>
  <c r="K89" i="5"/>
  <c r="J89" i="5"/>
  <c r="K88" i="5"/>
  <c r="J88" i="5"/>
  <c r="K87" i="5"/>
  <c r="J87" i="5"/>
  <c r="K86" i="5"/>
  <c r="J86" i="5"/>
  <c r="K85" i="5"/>
  <c r="J85" i="5"/>
  <c r="K84" i="5"/>
  <c r="J84" i="5"/>
  <c r="K83" i="5"/>
  <c r="J83" i="5"/>
  <c r="K82" i="5"/>
  <c r="J82" i="5"/>
  <c r="K81" i="5"/>
  <c r="J81" i="5"/>
  <c r="K80" i="5"/>
  <c r="J80" i="5"/>
  <c r="K79" i="5"/>
  <c r="J79" i="5"/>
  <c r="K78" i="5"/>
  <c r="J78" i="5"/>
  <c r="K77" i="5"/>
  <c r="J77" i="5"/>
  <c r="K76" i="5"/>
  <c r="J76" i="5"/>
  <c r="K75" i="5"/>
  <c r="J75" i="5"/>
  <c r="K74" i="5"/>
  <c r="J74" i="5"/>
  <c r="J73" i="5"/>
  <c r="J72" i="5"/>
  <c r="J71" i="5"/>
  <c r="J70" i="5"/>
  <c r="J69" i="5"/>
  <c r="J68" i="5"/>
  <c r="J67" i="5"/>
  <c r="J66" i="5"/>
  <c r="J65" i="5"/>
  <c r="J64" i="5"/>
  <c r="J63" i="5"/>
  <c r="J62" i="5"/>
  <c r="J61" i="5"/>
  <c r="J60" i="5"/>
  <c r="J59" i="5"/>
  <c r="J58" i="5"/>
  <c r="J57" i="5"/>
  <c r="J56" i="5"/>
  <c r="J55" i="5"/>
  <c r="J54" i="5"/>
  <c r="J53" i="5"/>
  <c r="J52" i="5"/>
  <c r="J5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J31" i="5"/>
  <c r="J30" i="5"/>
  <c r="J29" i="5"/>
  <c r="J28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BS2" i="5"/>
  <c r="BO2" i="5"/>
  <c r="BK2" i="5"/>
  <c r="BG2" i="5"/>
  <c r="BC2" i="5"/>
  <c r="AY2" i="5"/>
  <c r="AU2" i="5"/>
  <c r="AQ2" i="5"/>
  <c r="AM2" i="5"/>
  <c r="AI2" i="5"/>
  <c r="AE2" i="5"/>
  <c r="AA2" i="5"/>
  <c r="W2" i="5"/>
  <c r="S2" i="5"/>
  <c r="O2" i="5"/>
  <c r="K2" i="5"/>
  <c r="G2" i="5"/>
  <c r="F379" i="5"/>
  <c r="F378" i="5"/>
  <c r="F377" i="5"/>
  <c r="F376" i="5"/>
  <c r="F375" i="5"/>
  <c r="F374" i="5"/>
  <c r="F373" i="5"/>
  <c r="F372" i="5"/>
  <c r="F371" i="5"/>
  <c r="F370" i="5"/>
  <c r="F369" i="5"/>
  <c r="F368" i="5"/>
  <c r="F367" i="5"/>
  <c r="F366" i="5"/>
  <c r="F365" i="5"/>
  <c r="F364" i="5"/>
  <c r="F363" i="5"/>
  <c r="F362" i="5"/>
  <c r="F361" i="5"/>
  <c r="F360" i="5"/>
  <c r="F359" i="5"/>
  <c r="F358" i="5"/>
  <c r="F357" i="5"/>
  <c r="F356" i="5"/>
  <c r="F355" i="5"/>
  <c r="F354" i="5"/>
  <c r="F353" i="5"/>
  <c r="F352" i="5"/>
  <c r="F351" i="5"/>
  <c r="F350" i="5"/>
  <c r="F349" i="5"/>
  <c r="F348" i="5"/>
  <c r="F347" i="5"/>
  <c r="F346" i="5"/>
  <c r="F345" i="5"/>
  <c r="F344" i="5"/>
  <c r="F343" i="5"/>
  <c r="F342" i="5"/>
  <c r="F341" i="5"/>
  <c r="F340" i="5"/>
  <c r="F339" i="5"/>
  <c r="F338" i="5"/>
  <c r="F337" i="5"/>
  <c r="F336" i="5"/>
  <c r="F335" i="5"/>
  <c r="F334" i="5"/>
  <c r="F333" i="5"/>
  <c r="F332" i="5"/>
  <c r="F331" i="5"/>
  <c r="F330" i="5"/>
  <c r="F329" i="5"/>
  <c r="F328" i="5"/>
  <c r="F327" i="5"/>
  <c r="F326" i="5"/>
  <c r="F325" i="5"/>
  <c r="F324" i="5"/>
  <c r="F323" i="5"/>
  <c r="F322" i="5"/>
  <c r="F321" i="5"/>
  <c r="F320" i="5"/>
  <c r="F319" i="5"/>
  <c r="F318" i="5"/>
  <c r="F317" i="5"/>
  <c r="F316" i="5"/>
  <c r="F315" i="5"/>
  <c r="F314" i="5"/>
  <c r="F313" i="5"/>
  <c r="F312" i="5"/>
  <c r="F311" i="5"/>
  <c r="F310" i="5"/>
  <c r="F309" i="5"/>
  <c r="F308" i="5"/>
  <c r="F307" i="5"/>
  <c r="F306" i="5"/>
  <c r="F305" i="5"/>
  <c r="F304" i="5"/>
  <c r="F303" i="5"/>
  <c r="F302" i="5"/>
  <c r="F301" i="5"/>
  <c r="F300" i="5"/>
  <c r="F299" i="5"/>
  <c r="F298" i="5"/>
  <c r="F297" i="5"/>
  <c r="F296" i="5"/>
  <c r="F295" i="5"/>
  <c r="F294" i="5"/>
  <c r="F293" i="5"/>
  <c r="F292" i="5"/>
  <c r="F291" i="5"/>
  <c r="F290" i="5"/>
  <c r="F289" i="5"/>
  <c r="F288" i="5"/>
  <c r="F287" i="5"/>
  <c r="F286" i="5"/>
  <c r="F285" i="5"/>
  <c r="F284" i="5"/>
  <c r="F283" i="5"/>
  <c r="F282" i="5"/>
  <c r="F281" i="5"/>
  <c r="F280" i="5"/>
  <c r="F279" i="5"/>
  <c r="F278" i="5"/>
  <c r="F277" i="5"/>
  <c r="F276" i="5"/>
  <c r="F275" i="5"/>
  <c r="F274" i="5"/>
  <c r="F273" i="5"/>
  <c r="F272" i="5"/>
  <c r="F271" i="5"/>
  <c r="F270" i="5"/>
  <c r="F269" i="5"/>
  <c r="F268" i="5"/>
  <c r="F267" i="5"/>
  <c r="F266" i="5"/>
  <c r="F265" i="5"/>
  <c r="F264" i="5"/>
  <c r="F263" i="5"/>
  <c r="F262" i="5"/>
  <c r="F261" i="5"/>
  <c r="F260" i="5"/>
  <c r="F259" i="5"/>
  <c r="F258" i="5"/>
  <c r="F257" i="5"/>
  <c r="F256" i="5"/>
  <c r="F255" i="5"/>
  <c r="F254" i="5"/>
  <c r="F253" i="5"/>
  <c r="F252" i="5"/>
  <c r="F251" i="5"/>
  <c r="F250" i="5"/>
  <c r="F249" i="5"/>
  <c r="F248" i="5"/>
  <c r="F247" i="5"/>
  <c r="F246" i="5"/>
  <c r="F245" i="5"/>
  <c r="F244" i="5"/>
  <c r="F243" i="5"/>
  <c r="F242" i="5"/>
  <c r="F241" i="5"/>
  <c r="F240" i="5"/>
  <c r="F239" i="5"/>
  <c r="F238" i="5"/>
  <c r="F237" i="5"/>
  <c r="F236" i="5"/>
  <c r="F235" i="5"/>
  <c r="F234" i="5"/>
  <c r="F233" i="5"/>
  <c r="F232" i="5"/>
  <c r="F231" i="5"/>
  <c r="F230" i="5"/>
  <c r="F229" i="5"/>
  <c r="F228" i="5"/>
  <c r="F227" i="5"/>
  <c r="F226" i="5"/>
  <c r="F225" i="5"/>
  <c r="F224" i="5"/>
  <c r="F223" i="5"/>
  <c r="F222" i="5"/>
  <c r="F221" i="5"/>
  <c r="F220" i="5"/>
  <c r="F219" i="5"/>
  <c r="F218" i="5"/>
  <c r="F217" i="5"/>
  <c r="F216" i="5"/>
  <c r="F215" i="5"/>
  <c r="F214" i="5"/>
  <c r="F213" i="5"/>
  <c r="F212" i="5"/>
  <c r="F211" i="5"/>
  <c r="F210" i="5"/>
  <c r="F209" i="5"/>
  <c r="F208" i="5"/>
  <c r="F207" i="5"/>
  <c r="F206" i="5"/>
  <c r="F205" i="5"/>
  <c r="F204" i="5"/>
  <c r="F203" i="5"/>
  <c r="F202" i="5"/>
  <c r="G201" i="5"/>
  <c r="F201" i="5"/>
  <c r="G200" i="5"/>
  <c r="F200" i="5"/>
  <c r="G199" i="5"/>
  <c r="F199" i="5"/>
  <c r="G198" i="5"/>
  <c r="F198" i="5"/>
  <c r="G197" i="5"/>
  <c r="F197" i="5"/>
  <c r="G196" i="5"/>
  <c r="F196" i="5"/>
  <c r="G195" i="5"/>
  <c r="F195" i="5"/>
  <c r="G194" i="5"/>
  <c r="F194" i="5"/>
  <c r="G193" i="5"/>
  <c r="F193" i="5"/>
  <c r="G192" i="5"/>
  <c r="F192" i="5"/>
  <c r="G191" i="5"/>
  <c r="F191" i="5"/>
  <c r="G190" i="5"/>
  <c r="F190" i="5"/>
  <c r="G189" i="5"/>
  <c r="F189" i="5"/>
  <c r="G188" i="5"/>
  <c r="F188" i="5"/>
  <c r="G187" i="5"/>
  <c r="F187" i="5"/>
  <c r="G186" i="5"/>
  <c r="F186" i="5"/>
  <c r="G185" i="5"/>
  <c r="F185" i="5"/>
  <c r="G184" i="5"/>
  <c r="F184" i="5"/>
  <c r="G183" i="5"/>
  <c r="F183" i="5"/>
  <c r="G182" i="5"/>
  <c r="F182" i="5"/>
  <c r="G181" i="5"/>
  <c r="F181" i="5"/>
  <c r="G180" i="5"/>
  <c r="F180" i="5"/>
  <c r="G179" i="5"/>
  <c r="F179" i="5"/>
  <c r="G178" i="5"/>
  <c r="F178" i="5"/>
  <c r="G177" i="5"/>
  <c r="F177" i="5"/>
  <c r="G176" i="5"/>
  <c r="F176" i="5"/>
  <c r="G175" i="5"/>
  <c r="F175" i="5"/>
  <c r="G174" i="5"/>
  <c r="F174" i="5"/>
  <c r="G173" i="5"/>
  <c r="F173" i="5"/>
  <c r="G172" i="5"/>
  <c r="F172" i="5"/>
  <c r="G171" i="5"/>
  <c r="F171" i="5"/>
  <c r="G170" i="5"/>
  <c r="F170" i="5"/>
  <c r="G169" i="5"/>
  <c r="F169" i="5"/>
  <c r="G168" i="5"/>
  <c r="F168" i="5"/>
  <c r="G167" i="5"/>
  <c r="F167" i="5"/>
  <c r="G166" i="5"/>
  <c r="F166" i="5"/>
  <c r="G165" i="5"/>
  <c r="F165" i="5"/>
  <c r="G164" i="5"/>
  <c r="F164" i="5"/>
  <c r="G163" i="5"/>
  <c r="F163" i="5"/>
  <c r="G162" i="5"/>
  <c r="F162" i="5"/>
  <c r="G161" i="5"/>
  <c r="F161" i="5"/>
  <c r="G160" i="5"/>
  <c r="F160" i="5"/>
  <c r="G159" i="5"/>
  <c r="F159" i="5"/>
  <c r="G158" i="5"/>
  <c r="F158" i="5"/>
  <c r="G157" i="5"/>
  <c r="F157" i="5"/>
  <c r="G156" i="5"/>
  <c r="F156" i="5"/>
  <c r="G155" i="5"/>
  <c r="F155" i="5"/>
  <c r="G154" i="5"/>
  <c r="F154" i="5"/>
  <c r="G153" i="5"/>
  <c r="F153" i="5"/>
  <c r="G152" i="5"/>
  <c r="F152" i="5"/>
  <c r="G151" i="5"/>
  <c r="F151" i="5"/>
  <c r="G150" i="5"/>
  <c r="F150" i="5"/>
  <c r="G149" i="5"/>
  <c r="F149" i="5"/>
  <c r="G148" i="5"/>
  <c r="F148" i="5"/>
  <c r="G147" i="5"/>
  <c r="F147" i="5"/>
  <c r="G146" i="5"/>
  <c r="F146" i="5"/>
  <c r="G145" i="5"/>
  <c r="F145" i="5"/>
  <c r="G144" i="5"/>
  <c r="F144" i="5"/>
  <c r="G143" i="5"/>
  <c r="F143" i="5"/>
  <c r="G142" i="5"/>
  <c r="F142" i="5"/>
  <c r="G141" i="5"/>
  <c r="F141" i="5"/>
  <c r="G140" i="5"/>
  <c r="F140" i="5"/>
  <c r="G139" i="5"/>
  <c r="F139" i="5"/>
  <c r="G138" i="5"/>
  <c r="F138" i="5"/>
  <c r="G137" i="5"/>
  <c r="F137" i="5"/>
  <c r="G136" i="5"/>
  <c r="F136" i="5"/>
  <c r="G135" i="5"/>
  <c r="F135" i="5"/>
  <c r="G134" i="5"/>
  <c r="F134" i="5"/>
  <c r="G133" i="5"/>
  <c r="F133" i="5"/>
  <c r="G132" i="5"/>
  <c r="F132" i="5"/>
  <c r="G131" i="5"/>
  <c r="F131" i="5"/>
  <c r="G130" i="5"/>
  <c r="F130" i="5"/>
  <c r="G129" i="5"/>
  <c r="F129" i="5"/>
  <c r="G128" i="5"/>
  <c r="F128" i="5"/>
  <c r="G127" i="5"/>
  <c r="F127" i="5"/>
  <c r="G126" i="5"/>
  <c r="F126" i="5"/>
  <c r="G125" i="5"/>
  <c r="F125" i="5"/>
  <c r="G124" i="5"/>
  <c r="F124" i="5"/>
  <c r="G123" i="5"/>
  <c r="F123" i="5"/>
  <c r="G122" i="5"/>
  <c r="F122" i="5"/>
  <c r="G121" i="5"/>
  <c r="F121" i="5"/>
  <c r="G120" i="5"/>
  <c r="F120" i="5"/>
  <c r="G119" i="5"/>
  <c r="F119" i="5"/>
  <c r="G118" i="5"/>
  <c r="F118" i="5"/>
  <c r="G117" i="5"/>
  <c r="F117" i="5"/>
  <c r="G116" i="5"/>
  <c r="F116" i="5"/>
  <c r="G115" i="5"/>
  <c r="F115" i="5"/>
  <c r="G114" i="5"/>
  <c r="F114" i="5"/>
  <c r="G113" i="5"/>
  <c r="F113" i="5"/>
  <c r="G112" i="5"/>
  <c r="F112" i="5"/>
  <c r="G111" i="5"/>
  <c r="F111" i="5"/>
  <c r="G110" i="5"/>
  <c r="F110" i="5"/>
  <c r="G109" i="5"/>
  <c r="F109" i="5"/>
  <c r="G108" i="5"/>
  <c r="F108" i="5"/>
  <c r="G107" i="5"/>
  <c r="F107" i="5"/>
  <c r="G106" i="5"/>
  <c r="F106" i="5"/>
  <c r="G105" i="5"/>
  <c r="F105" i="5"/>
  <c r="G104" i="5"/>
  <c r="F104" i="5"/>
  <c r="G103" i="5"/>
  <c r="F103" i="5"/>
  <c r="G102" i="5"/>
  <c r="F102" i="5"/>
  <c r="G101" i="5"/>
  <c r="F101" i="5"/>
  <c r="G100" i="5"/>
  <c r="F100" i="5"/>
  <c r="G99" i="5"/>
  <c r="F99" i="5"/>
  <c r="G98" i="5"/>
  <c r="F98" i="5"/>
  <c r="G97" i="5"/>
  <c r="F97" i="5"/>
  <c r="G96" i="5"/>
  <c r="F96" i="5"/>
  <c r="G95" i="5"/>
  <c r="F95" i="5"/>
  <c r="G94" i="5"/>
  <c r="F94" i="5"/>
  <c r="G93" i="5"/>
  <c r="F93" i="5"/>
  <c r="G92" i="5"/>
  <c r="F92" i="5"/>
  <c r="G91" i="5"/>
  <c r="F91" i="5"/>
  <c r="G90" i="5"/>
  <c r="F90" i="5"/>
  <c r="G89" i="5"/>
  <c r="F89" i="5"/>
  <c r="G88" i="5"/>
  <c r="F88" i="5"/>
  <c r="G87" i="5"/>
  <c r="F87" i="5"/>
  <c r="G86" i="5"/>
  <c r="F86" i="5"/>
  <c r="G85" i="5"/>
  <c r="F85" i="5"/>
  <c r="G84" i="5"/>
  <c r="F84" i="5"/>
  <c r="G83" i="5"/>
  <c r="F83" i="5"/>
  <c r="G82" i="5"/>
  <c r="F82" i="5"/>
  <c r="G81" i="5"/>
  <c r="F81" i="5"/>
  <c r="G80" i="5"/>
  <c r="F80" i="5"/>
  <c r="G79" i="5"/>
  <c r="F79" i="5"/>
  <c r="G78" i="5"/>
  <c r="F78" i="5"/>
  <c r="G77" i="5"/>
  <c r="F77" i="5"/>
  <c r="G76" i="5"/>
  <c r="F76" i="5"/>
  <c r="G75" i="5"/>
  <c r="F75" i="5"/>
  <c r="G74" i="5"/>
  <c r="F74" i="5"/>
  <c r="F73" i="5"/>
  <c r="F72" i="5"/>
  <c r="F71" i="5"/>
  <c r="F70" i="5"/>
  <c r="F69" i="5"/>
  <c r="F68" i="5"/>
  <c r="F67" i="5"/>
  <c r="F66" i="5"/>
  <c r="F65" i="5"/>
  <c r="F64" i="5"/>
  <c r="F63" i="5"/>
  <c r="F62" i="5"/>
  <c r="F61" i="5"/>
  <c r="F60" i="5"/>
  <c r="F59" i="5"/>
  <c r="F58" i="5"/>
  <c r="F57" i="5"/>
  <c r="F56" i="5"/>
  <c r="F55" i="5"/>
  <c r="F54" i="5"/>
  <c r="F53" i="5"/>
  <c r="F52" i="5"/>
  <c r="F51" i="5"/>
  <c r="F50" i="5"/>
  <c r="F49" i="5"/>
  <c r="F48" i="5"/>
  <c r="F47" i="5"/>
  <c r="F46" i="5"/>
  <c r="F45" i="5"/>
  <c r="F44" i="5"/>
  <c r="F43" i="5"/>
  <c r="F42" i="5"/>
  <c r="F41" i="5"/>
  <c r="F40" i="5"/>
  <c r="F39" i="5"/>
  <c r="F38" i="5"/>
  <c r="F37" i="5"/>
  <c r="F36" i="5"/>
  <c r="F35" i="5"/>
  <c r="F34" i="5"/>
  <c r="F33" i="5"/>
  <c r="F32" i="5"/>
  <c r="F31" i="5"/>
  <c r="F30" i="5"/>
  <c r="F29" i="5"/>
  <c r="F28" i="5"/>
  <c r="F27" i="5"/>
  <c r="F26" i="5"/>
  <c r="F25" i="5"/>
  <c r="F24" i="5"/>
  <c r="F23" i="5"/>
  <c r="F22" i="5"/>
  <c r="F21" i="5"/>
  <c r="F20" i="5"/>
  <c r="F19" i="5"/>
  <c r="F18" i="5"/>
  <c r="F17" i="5"/>
  <c r="F16" i="5"/>
  <c r="F15" i="5"/>
  <c r="C106" i="5" l="1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105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74" i="5"/>
  <c r="C2" i="5"/>
  <c r="C6" i="5" s="1"/>
  <c r="C14" i="1"/>
  <c r="C12" i="1"/>
  <c r="C13" i="1" s="1"/>
  <c r="C10" i="1"/>
  <c r="C8" i="1"/>
  <c r="BS3" i="5"/>
  <c r="BO3" i="5"/>
  <c r="BK3" i="5"/>
  <c r="BG3" i="5"/>
  <c r="BC3" i="5"/>
  <c r="AY3" i="5"/>
  <c r="AU3" i="5"/>
  <c r="AQ3" i="5"/>
  <c r="AM3" i="5"/>
  <c r="AI3" i="5"/>
  <c r="AE3" i="5"/>
  <c r="AA3" i="5"/>
  <c r="W3" i="5"/>
  <c r="S3" i="5"/>
  <c r="O3" i="5"/>
  <c r="K3" i="5"/>
  <c r="BS6" i="5"/>
  <c r="BO6" i="5"/>
  <c r="BK6" i="5"/>
  <c r="BG4" i="5"/>
  <c r="BC4" i="5"/>
  <c r="AY6" i="5"/>
  <c r="AU4" i="5"/>
  <c r="AQ6" i="5"/>
  <c r="AM6" i="5"/>
  <c r="AI6" i="5"/>
  <c r="AE6" i="5"/>
  <c r="AA6" i="5"/>
  <c r="AA8" i="5" s="1"/>
  <c r="W4" i="5"/>
  <c r="S6" i="5"/>
  <c r="O4" i="5"/>
  <c r="K6" i="5"/>
  <c r="G6" i="5"/>
  <c r="B13" i="5"/>
  <c r="B379" i="5"/>
  <c r="B378" i="5"/>
  <c r="B377" i="5"/>
  <c r="B376" i="5"/>
  <c r="B375" i="5"/>
  <c r="B374" i="5"/>
  <c r="B373" i="5"/>
  <c r="B372" i="5"/>
  <c r="B371" i="5"/>
  <c r="B370" i="5"/>
  <c r="B369" i="5"/>
  <c r="B368" i="5"/>
  <c r="B367" i="5"/>
  <c r="B366" i="5"/>
  <c r="B365" i="5"/>
  <c r="B364" i="5"/>
  <c r="B363" i="5"/>
  <c r="B362" i="5"/>
  <c r="B361" i="5"/>
  <c r="B360" i="5"/>
  <c r="B359" i="5"/>
  <c r="B358" i="5"/>
  <c r="B357" i="5"/>
  <c r="B356" i="5"/>
  <c r="B355" i="5"/>
  <c r="B354" i="5"/>
  <c r="B353" i="5"/>
  <c r="B352" i="5"/>
  <c r="B351" i="5"/>
  <c r="B350" i="5"/>
  <c r="B349" i="5"/>
  <c r="B348" i="5"/>
  <c r="B347" i="5"/>
  <c r="B346" i="5"/>
  <c r="B345" i="5"/>
  <c r="B344" i="5"/>
  <c r="B343" i="5"/>
  <c r="B342" i="5"/>
  <c r="B341" i="5"/>
  <c r="B340" i="5"/>
  <c r="B339" i="5"/>
  <c r="B338" i="5"/>
  <c r="B337" i="5"/>
  <c r="B336" i="5"/>
  <c r="B335" i="5"/>
  <c r="B334" i="5"/>
  <c r="B333" i="5"/>
  <c r="B332" i="5"/>
  <c r="B331" i="5"/>
  <c r="B330" i="5"/>
  <c r="B329" i="5"/>
  <c r="B328" i="5"/>
  <c r="B327" i="5"/>
  <c r="B326" i="5"/>
  <c r="B325" i="5"/>
  <c r="B324" i="5"/>
  <c r="B323" i="5"/>
  <c r="B322" i="5"/>
  <c r="B321" i="5"/>
  <c r="B320" i="5"/>
  <c r="B319" i="5"/>
  <c r="B318" i="5"/>
  <c r="B317" i="5"/>
  <c r="B316" i="5"/>
  <c r="B315" i="5"/>
  <c r="B314" i="5"/>
  <c r="B313" i="5"/>
  <c r="B312" i="5"/>
  <c r="B311" i="5"/>
  <c r="B310" i="5"/>
  <c r="B309" i="5"/>
  <c r="B308" i="5"/>
  <c r="B307" i="5"/>
  <c r="B306" i="5"/>
  <c r="B305" i="5"/>
  <c r="B304" i="5"/>
  <c r="B303" i="5"/>
  <c r="B302" i="5"/>
  <c r="B301" i="5"/>
  <c r="B300" i="5"/>
  <c r="B299" i="5"/>
  <c r="B298" i="5"/>
  <c r="B297" i="5"/>
  <c r="B296" i="5"/>
  <c r="B295" i="5"/>
  <c r="B294" i="5"/>
  <c r="B293" i="5"/>
  <c r="B292" i="5"/>
  <c r="B291" i="5"/>
  <c r="B290" i="5"/>
  <c r="B289" i="5"/>
  <c r="B288" i="5"/>
  <c r="B287" i="5"/>
  <c r="B286" i="5"/>
  <c r="B285" i="5"/>
  <c r="B284" i="5"/>
  <c r="B283" i="5"/>
  <c r="B282" i="5"/>
  <c r="B281" i="5"/>
  <c r="B280" i="5"/>
  <c r="B279" i="5"/>
  <c r="B278" i="5"/>
  <c r="B277" i="5"/>
  <c r="B276" i="5"/>
  <c r="B275" i="5"/>
  <c r="B274" i="5"/>
  <c r="B273" i="5"/>
  <c r="B272" i="5"/>
  <c r="B271" i="5"/>
  <c r="B270" i="5"/>
  <c r="B269" i="5"/>
  <c r="B268" i="5"/>
  <c r="B267" i="5"/>
  <c r="B266" i="5"/>
  <c r="B265" i="5"/>
  <c r="B264" i="5"/>
  <c r="B263" i="5"/>
  <c r="B262" i="5"/>
  <c r="B261" i="5"/>
  <c r="B260" i="5"/>
  <c r="B259" i="5"/>
  <c r="B258" i="5"/>
  <c r="B257" i="5"/>
  <c r="B256" i="5"/>
  <c r="B255" i="5"/>
  <c r="B254" i="5"/>
  <c r="B253" i="5"/>
  <c r="B252" i="5"/>
  <c r="B251" i="5"/>
  <c r="B250" i="5"/>
  <c r="B249" i="5"/>
  <c r="B248" i="5"/>
  <c r="B247" i="5"/>
  <c r="B246" i="5"/>
  <c r="B245" i="5"/>
  <c r="B244" i="5"/>
  <c r="B243" i="5"/>
  <c r="B242" i="5"/>
  <c r="B241" i="5"/>
  <c r="B240" i="5"/>
  <c r="B239" i="5"/>
  <c r="B238" i="5"/>
  <c r="B237" i="5"/>
  <c r="B236" i="5"/>
  <c r="B235" i="5"/>
  <c r="B234" i="5"/>
  <c r="B233" i="5"/>
  <c r="B232" i="5"/>
  <c r="B231" i="5"/>
  <c r="B230" i="5"/>
  <c r="B229" i="5"/>
  <c r="B228" i="5"/>
  <c r="B227" i="5"/>
  <c r="B226" i="5"/>
  <c r="B225" i="5"/>
  <c r="B224" i="5"/>
  <c r="B223" i="5"/>
  <c r="B222" i="5"/>
  <c r="B221" i="5"/>
  <c r="B220" i="5"/>
  <c r="B219" i="5"/>
  <c r="B218" i="5"/>
  <c r="B217" i="5"/>
  <c r="B216" i="5"/>
  <c r="B215" i="5"/>
  <c r="B214" i="5"/>
  <c r="B213" i="5"/>
  <c r="B212" i="5"/>
  <c r="B211" i="5"/>
  <c r="B210" i="5"/>
  <c r="B209" i="5"/>
  <c r="B208" i="5"/>
  <c r="B207" i="5"/>
  <c r="B206" i="5"/>
  <c r="B205" i="5"/>
  <c r="B204" i="5"/>
  <c r="B203" i="5"/>
  <c r="B202" i="5"/>
  <c r="B201" i="5"/>
  <c r="B200" i="5"/>
  <c r="B199" i="5"/>
  <c r="B198" i="5"/>
  <c r="B197" i="5"/>
  <c r="B196" i="5"/>
  <c r="B195" i="5"/>
  <c r="B194" i="5"/>
  <c r="B193" i="5"/>
  <c r="B192" i="5"/>
  <c r="B191" i="5"/>
  <c r="B190" i="5"/>
  <c r="B189" i="5"/>
  <c r="B188" i="5"/>
  <c r="B187" i="5"/>
  <c r="B186" i="5"/>
  <c r="B185" i="5"/>
  <c r="B184" i="5"/>
  <c r="B183" i="5"/>
  <c r="B182" i="5"/>
  <c r="B181" i="5"/>
  <c r="B180" i="5"/>
  <c r="B179" i="5"/>
  <c r="B178" i="5"/>
  <c r="B177" i="5"/>
  <c r="B176" i="5"/>
  <c r="B175" i="5"/>
  <c r="B174" i="5"/>
  <c r="B173" i="5"/>
  <c r="B172" i="5"/>
  <c r="B171" i="5"/>
  <c r="B170" i="5"/>
  <c r="B169" i="5"/>
  <c r="B168" i="5"/>
  <c r="B167" i="5"/>
  <c r="B166" i="5"/>
  <c r="B165" i="5"/>
  <c r="B164" i="5"/>
  <c r="B163" i="5"/>
  <c r="B162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B148" i="5"/>
  <c r="B147" i="5"/>
  <c r="B146" i="5"/>
  <c r="B145" i="5"/>
  <c r="B144" i="5"/>
  <c r="B143" i="5"/>
  <c r="B142" i="5"/>
  <c r="B141" i="5"/>
  <c r="B140" i="5"/>
  <c r="B139" i="5"/>
  <c r="B138" i="5"/>
  <c r="B137" i="5"/>
  <c r="B136" i="5"/>
  <c r="B135" i="5"/>
  <c r="B134" i="5"/>
  <c r="B133" i="5"/>
  <c r="B132" i="5"/>
  <c r="B131" i="5"/>
  <c r="B130" i="5"/>
  <c r="B129" i="5"/>
  <c r="B128" i="5"/>
  <c r="B127" i="5"/>
  <c r="B126" i="5"/>
  <c r="B125" i="5"/>
  <c r="B124" i="5"/>
  <c r="B123" i="5"/>
  <c r="B122" i="5"/>
  <c r="B121" i="5"/>
  <c r="B120" i="5"/>
  <c r="B119" i="5"/>
  <c r="B118" i="5"/>
  <c r="B117" i="5"/>
  <c r="B116" i="5"/>
  <c r="B115" i="5"/>
  <c r="B114" i="5"/>
  <c r="B113" i="5"/>
  <c r="B112" i="5"/>
  <c r="B111" i="5"/>
  <c r="B110" i="5"/>
  <c r="B109" i="5"/>
  <c r="B108" i="5"/>
  <c r="B107" i="5"/>
  <c r="B106" i="5"/>
  <c r="B105" i="5"/>
  <c r="B104" i="5"/>
  <c r="B103" i="5"/>
  <c r="B102" i="5"/>
  <c r="B101" i="5"/>
  <c r="B100" i="5"/>
  <c r="B99" i="5"/>
  <c r="B98" i="5"/>
  <c r="B97" i="5"/>
  <c r="B96" i="5"/>
  <c r="B95" i="5"/>
  <c r="B94" i="5"/>
  <c r="B93" i="5"/>
  <c r="B92" i="5"/>
  <c r="B91" i="5"/>
  <c r="B90" i="5"/>
  <c r="B89" i="5"/>
  <c r="B88" i="5"/>
  <c r="B87" i="5"/>
  <c r="B86" i="5"/>
  <c r="B85" i="5"/>
  <c r="B84" i="5"/>
  <c r="B83" i="5"/>
  <c r="B82" i="5"/>
  <c r="B81" i="5"/>
  <c r="B80" i="5"/>
  <c r="B79" i="5"/>
  <c r="B78" i="5"/>
  <c r="B77" i="5"/>
  <c r="B76" i="5"/>
  <c r="B75" i="5"/>
  <c r="B74" i="5"/>
  <c r="B73" i="5"/>
  <c r="B72" i="5"/>
  <c r="B71" i="5"/>
  <c r="B70" i="5"/>
  <c r="B69" i="5"/>
  <c r="B68" i="5"/>
  <c r="B67" i="5"/>
  <c r="B66" i="5"/>
  <c r="B65" i="5"/>
  <c r="B64" i="5"/>
  <c r="B63" i="5"/>
  <c r="B62" i="5"/>
  <c r="B61" i="5"/>
  <c r="B60" i="5"/>
  <c r="B59" i="5"/>
  <c r="B58" i="5"/>
  <c r="B57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P346" i="5" l="1"/>
  <c r="P320" i="5"/>
  <c r="P300" i="5"/>
  <c r="P164" i="5"/>
  <c r="P145" i="5"/>
  <c r="P189" i="5"/>
  <c r="P262" i="5"/>
  <c r="P328" i="5"/>
  <c r="P161" i="5"/>
  <c r="P143" i="5"/>
  <c r="P194" i="5"/>
  <c r="P172" i="5"/>
  <c r="P279" i="5"/>
  <c r="P280" i="5"/>
  <c r="P281" i="5"/>
  <c r="P40" i="5"/>
  <c r="P285" i="5"/>
  <c r="P318" i="5"/>
  <c r="P154" i="5"/>
  <c r="P155" i="5"/>
  <c r="P104" i="5"/>
  <c r="P67" i="5"/>
  <c r="P60" i="5"/>
  <c r="P344" i="5"/>
  <c r="P126" i="5"/>
  <c r="P351" i="5"/>
  <c r="P149" i="5"/>
  <c r="P34" i="5"/>
  <c r="P343" i="5"/>
  <c r="P113" i="5"/>
  <c r="P129" i="5"/>
  <c r="P201" i="5"/>
  <c r="P94" i="5"/>
  <c r="P111" i="5"/>
  <c r="P191" i="5"/>
  <c r="P278" i="5"/>
  <c r="P162" i="5"/>
  <c r="P273" i="5"/>
  <c r="P160" i="5"/>
  <c r="P112" i="5"/>
  <c r="P133" i="5"/>
  <c r="P347" i="5"/>
  <c r="P170" i="5"/>
  <c r="P187" i="5"/>
  <c r="P72" i="5"/>
  <c r="P62" i="5"/>
  <c r="AV299" i="5"/>
  <c r="AV267" i="5"/>
  <c r="AV179" i="5"/>
  <c r="AV331" i="5"/>
  <c r="AV279" i="5"/>
  <c r="AV283" i="5"/>
  <c r="AV269" i="5"/>
  <c r="AV284" i="5"/>
  <c r="AV295" i="5"/>
  <c r="AV177" i="5"/>
  <c r="AV48" i="5"/>
  <c r="AV34" i="5"/>
  <c r="AV91" i="5"/>
  <c r="AV293" i="5"/>
  <c r="AV264" i="5"/>
  <c r="AV160" i="5"/>
  <c r="AV37" i="5"/>
  <c r="AV263" i="5"/>
  <c r="AV291" i="5"/>
  <c r="AV273" i="5"/>
  <c r="AV109" i="5"/>
  <c r="AV125" i="5"/>
  <c r="AV137" i="5"/>
  <c r="AV93" i="5"/>
  <c r="AV45" i="5"/>
  <c r="AV107" i="5"/>
  <c r="AV288" i="5"/>
  <c r="AV266" i="5"/>
  <c r="AV356" i="5"/>
  <c r="AV149" i="5"/>
  <c r="AV42" i="5"/>
  <c r="AV290" i="5"/>
  <c r="AV143" i="5"/>
  <c r="AV334" i="5"/>
  <c r="AV300" i="5"/>
  <c r="AV44" i="5"/>
  <c r="AV292" i="5"/>
  <c r="AV127" i="5"/>
  <c r="AV129" i="5"/>
  <c r="AV168" i="5"/>
  <c r="AV192" i="5"/>
  <c r="AV62" i="5"/>
  <c r="AV136" i="5"/>
  <c r="AV349" i="5"/>
  <c r="AV61" i="5"/>
  <c r="AV77" i="5"/>
  <c r="AV354" i="5"/>
  <c r="AV341" i="5"/>
  <c r="AV73" i="5"/>
  <c r="AV150" i="5"/>
  <c r="AV156" i="5"/>
  <c r="P184" i="5"/>
  <c r="AV317" i="5"/>
  <c r="AV327" i="5"/>
  <c r="AV138" i="5"/>
  <c r="AV124" i="5"/>
  <c r="AV26" i="5"/>
  <c r="AV276" i="5"/>
  <c r="AV298" i="5"/>
  <c r="P70" i="5"/>
  <c r="P291" i="5"/>
  <c r="P361" i="5"/>
  <c r="P138" i="5"/>
  <c r="P61" i="5"/>
  <c r="AV340" i="5"/>
  <c r="AV23" i="5"/>
  <c r="AV69" i="5"/>
  <c r="AV358" i="5"/>
  <c r="AV98" i="5"/>
  <c r="AV195" i="5"/>
  <c r="AV50" i="5"/>
  <c r="P317" i="5"/>
  <c r="P359" i="5"/>
  <c r="P293" i="5"/>
  <c r="AV186" i="5"/>
  <c r="AV270" i="5"/>
  <c r="AV47" i="5"/>
  <c r="AV83" i="5"/>
  <c r="AV144" i="5"/>
  <c r="AV111" i="5"/>
  <c r="AV90" i="5"/>
  <c r="AV25" i="5"/>
  <c r="P275" i="5"/>
  <c r="P45" i="5"/>
  <c r="D339" i="5"/>
  <c r="P131" i="5"/>
  <c r="P108" i="5"/>
  <c r="AV158" i="5"/>
  <c r="AV338" i="5"/>
  <c r="AV346" i="5"/>
  <c r="AV39" i="5"/>
  <c r="AV75" i="5"/>
  <c r="AV140" i="5"/>
  <c r="AV333" i="5"/>
  <c r="AV32" i="5"/>
  <c r="P259" i="5"/>
  <c r="P19" i="5"/>
  <c r="P322" i="5"/>
  <c r="P134" i="5"/>
  <c r="AV361" i="5"/>
  <c r="AV355" i="5"/>
  <c r="AV64" i="5"/>
  <c r="AV294" i="5"/>
  <c r="AV167" i="5"/>
  <c r="AV60" i="5"/>
  <c r="AV21" i="5"/>
  <c r="AV315" i="5"/>
  <c r="AV95" i="5"/>
  <c r="AV66" i="5"/>
  <c r="P362" i="5"/>
  <c r="P69" i="5"/>
  <c r="P50" i="5"/>
  <c r="AU6" i="5"/>
  <c r="AV289" i="5" s="1"/>
  <c r="S4" i="5"/>
  <c r="BC6" i="5"/>
  <c r="BD131" i="5" s="1"/>
  <c r="AA4" i="5"/>
  <c r="BG6" i="5"/>
  <c r="BH127" i="5" s="1"/>
  <c r="AY4" i="5"/>
  <c r="O6" i="5"/>
  <c r="P348" i="5" s="1"/>
  <c r="W6" i="5"/>
  <c r="W8" i="5" s="1"/>
  <c r="C8" i="5"/>
  <c r="C7" i="5"/>
  <c r="C4" i="5"/>
  <c r="D195" i="5" s="1"/>
  <c r="AE8" i="5"/>
  <c r="AE7" i="5"/>
  <c r="BK8" i="5"/>
  <c r="BK7" i="5"/>
  <c r="AI8" i="5"/>
  <c r="AI7" i="5"/>
  <c r="BO8" i="5"/>
  <c r="BO7" i="5"/>
  <c r="G8" i="5"/>
  <c r="G7" i="5"/>
  <c r="AM8" i="5"/>
  <c r="AM7" i="5"/>
  <c r="BS8" i="5"/>
  <c r="BS7" i="5"/>
  <c r="K7" i="5"/>
  <c r="K8" i="5"/>
  <c r="AQ7" i="5"/>
  <c r="AQ8" i="5"/>
  <c r="S8" i="5"/>
  <c r="S7" i="5"/>
  <c r="AY8" i="5"/>
  <c r="AY7" i="5"/>
  <c r="AE4" i="5"/>
  <c r="BK4" i="5"/>
  <c r="BC7" i="5"/>
  <c r="AI4" i="5"/>
  <c r="BO4" i="5"/>
  <c r="AA7" i="5"/>
  <c r="G4" i="5"/>
  <c r="AM4" i="5"/>
  <c r="BS4" i="5"/>
  <c r="K4" i="5"/>
  <c r="AQ4" i="5"/>
  <c r="BR13" i="5"/>
  <c r="BN13" i="5"/>
  <c r="BJ13" i="5"/>
  <c r="BF13" i="5"/>
  <c r="BB13" i="5"/>
  <c r="AX13" i="5"/>
  <c r="AT13" i="5"/>
  <c r="AP13" i="5"/>
  <c r="AL13" i="5"/>
  <c r="AH13" i="5"/>
  <c r="AD13" i="5"/>
  <c r="Z13" i="5"/>
  <c r="V13" i="5"/>
  <c r="R13" i="5"/>
  <c r="N13" i="5"/>
  <c r="J13" i="5"/>
  <c r="F13" i="5"/>
  <c r="BH166" i="5" l="1"/>
  <c r="BH183" i="5"/>
  <c r="BH274" i="5"/>
  <c r="BH196" i="5"/>
  <c r="BH37" i="5"/>
  <c r="BH144" i="5"/>
  <c r="BH343" i="5"/>
  <c r="BH165" i="5"/>
  <c r="BH316" i="5"/>
  <c r="BH294" i="5"/>
  <c r="BH28" i="5"/>
  <c r="BH269" i="5"/>
  <c r="BH40" i="5"/>
  <c r="BH159" i="5"/>
  <c r="BH318" i="5"/>
  <c r="BH36" i="5"/>
  <c r="BH88" i="5"/>
  <c r="AV70" i="5"/>
  <c r="AV135" i="5"/>
  <c r="AV86" i="5"/>
  <c r="AV189" i="5"/>
  <c r="AV80" i="5"/>
  <c r="AV142" i="5"/>
  <c r="AV85" i="5"/>
  <c r="AV286" i="5"/>
  <c r="AV92" i="5"/>
  <c r="P101" i="5"/>
  <c r="AV174" i="5"/>
  <c r="P100" i="5"/>
  <c r="AV182" i="5"/>
  <c r="AV38" i="5"/>
  <c r="AV148" i="5"/>
  <c r="AV359" i="5"/>
  <c r="AV313" i="5"/>
  <c r="AV101" i="5"/>
  <c r="AV259" i="5"/>
  <c r="AV154" i="5"/>
  <c r="AV301" i="5"/>
  <c r="AV362" i="5"/>
  <c r="P35" i="5"/>
  <c r="P190" i="5"/>
  <c r="P139" i="5"/>
  <c r="P321" i="5"/>
  <c r="P329" i="5"/>
  <c r="P182" i="5"/>
  <c r="P319" i="5"/>
  <c r="P336" i="5"/>
  <c r="P364" i="5"/>
  <c r="BH152" i="5"/>
  <c r="BH273" i="5"/>
  <c r="BH182" i="5"/>
  <c r="BH340" i="5"/>
  <c r="BH181" i="5"/>
  <c r="BH174" i="5"/>
  <c r="BH75" i="5"/>
  <c r="BH141" i="5"/>
  <c r="BH285" i="5"/>
  <c r="BH41" i="5"/>
  <c r="BH38" i="5"/>
  <c r="BH180" i="5"/>
  <c r="BH278" i="5"/>
  <c r="BH359" i="5"/>
  <c r="BH282" i="5"/>
  <c r="BH271" i="5"/>
  <c r="BH162" i="5"/>
  <c r="BG7" i="5"/>
  <c r="BH268" i="5"/>
  <c r="BH356" i="5"/>
  <c r="BH341" i="5"/>
  <c r="BH366" i="5"/>
  <c r="BH331" i="5"/>
  <c r="BH322" i="5"/>
  <c r="BH321" i="5"/>
  <c r="BH18" i="5"/>
  <c r="BH284" i="5"/>
  <c r="BH193" i="5"/>
  <c r="BH110" i="5"/>
  <c r="BH175" i="5"/>
  <c r="BH266" i="5"/>
  <c r="P21" i="5"/>
  <c r="AV357" i="5"/>
  <c r="P127" i="5"/>
  <c r="AV103" i="5"/>
  <c r="AV198" i="5"/>
  <c r="P186" i="5"/>
  <c r="AV363" i="5"/>
  <c r="P132" i="5"/>
  <c r="AV131" i="5"/>
  <c r="P31" i="5"/>
  <c r="AV163" i="5"/>
  <c r="AV36" i="5"/>
  <c r="AV180" i="5"/>
  <c r="AV170" i="5"/>
  <c r="AV328" i="5"/>
  <c r="AV105" i="5"/>
  <c r="AV79" i="5"/>
  <c r="AV280" i="5"/>
  <c r="AV342" i="5"/>
  <c r="AV281" i="5"/>
  <c r="AV261" i="5"/>
  <c r="AV297" i="5"/>
  <c r="P148" i="5"/>
  <c r="P150" i="5"/>
  <c r="P165" i="5"/>
  <c r="P95" i="5"/>
  <c r="P180" i="5"/>
  <c r="P301" i="5"/>
  <c r="P355" i="5"/>
  <c r="P68" i="5"/>
  <c r="P330" i="5"/>
  <c r="P360" i="5"/>
  <c r="BH173" i="5"/>
  <c r="BH104" i="5"/>
  <c r="BH93" i="5"/>
  <c r="BH81" i="5"/>
  <c r="BH332" i="5"/>
  <c r="BH34" i="5"/>
  <c r="BH184" i="5"/>
  <c r="BH335" i="5"/>
  <c r="BH60" i="5"/>
  <c r="BH24" i="5"/>
  <c r="BH109" i="5"/>
  <c r="BH20" i="5"/>
  <c r="BH154" i="5"/>
  <c r="BH70" i="5"/>
  <c r="BH72" i="5"/>
  <c r="BH106" i="5"/>
  <c r="BH79" i="5"/>
  <c r="BH158" i="5"/>
  <c r="BH45" i="5"/>
  <c r="P91" i="5"/>
  <c r="AV84" i="5"/>
  <c r="AV171" i="5"/>
  <c r="P48" i="5"/>
  <c r="AV364" i="5"/>
  <c r="P295" i="5"/>
  <c r="AV41" i="5"/>
  <c r="P316" i="5"/>
  <c r="AV152" i="5"/>
  <c r="AV89" i="5"/>
  <c r="AV330" i="5"/>
  <c r="AV46" i="5"/>
  <c r="AV184" i="5"/>
  <c r="AV97" i="5"/>
  <c r="AV155" i="5"/>
  <c r="AV190" i="5"/>
  <c r="AV296" i="5"/>
  <c r="AV287" i="5"/>
  <c r="AV277" i="5"/>
  <c r="P66" i="5"/>
  <c r="P337" i="5"/>
  <c r="P153" i="5"/>
  <c r="P42" i="5"/>
  <c r="P267" i="5"/>
  <c r="P22" i="5"/>
  <c r="P296" i="5"/>
  <c r="P299" i="5"/>
  <c r="P28" i="5"/>
  <c r="BD298" i="5"/>
  <c r="BH187" i="5"/>
  <c r="BH361" i="5"/>
  <c r="BH82" i="5"/>
  <c r="BH176" i="5"/>
  <c r="BH50" i="5"/>
  <c r="BH300" i="5"/>
  <c r="BH25" i="5"/>
  <c r="BH297" i="5"/>
  <c r="BH279" i="5"/>
  <c r="BH337" i="5"/>
  <c r="BH43" i="5"/>
  <c r="BH146" i="5"/>
  <c r="BH160" i="5"/>
  <c r="BH275" i="5"/>
  <c r="BH33" i="5"/>
  <c r="BH178" i="5"/>
  <c r="BH78" i="5"/>
  <c r="BH179" i="5"/>
  <c r="BH49" i="5"/>
  <c r="BH320" i="5"/>
  <c r="BH346" i="5"/>
  <c r="BH105" i="5"/>
  <c r="BH101" i="5"/>
  <c r="BH86" i="5"/>
  <c r="BH342" i="5"/>
  <c r="BH39" i="5"/>
  <c r="BH65" i="5"/>
  <c r="BH352" i="5"/>
  <c r="BH177" i="5"/>
  <c r="BH287" i="5"/>
  <c r="BH333" i="5"/>
  <c r="BH189" i="5"/>
  <c r="BH135" i="5"/>
  <c r="BH76" i="5"/>
  <c r="BH77" i="5"/>
  <c r="BH48" i="5"/>
  <c r="BH151" i="5"/>
  <c r="BH334" i="5"/>
  <c r="BH142" i="5"/>
  <c r="BH46" i="5"/>
  <c r="BH313" i="5"/>
  <c r="BH265" i="5"/>
  <c r="BH44" i="5"/>
  <c r="BH128" i="5"/>
  <c r="BH145" i="5"/>
  <c r="BH130" i="5"/>
  <c r="BH64" i="5"/>
  <c r="BH147" i="5"/>
  <c r="BD265" i="5"/>
  <c r="BH140" i="5"/>
  <c r="BH364" i="5"/>
  <c r="BH365" i="5"/>
  <c r="BH358" i="5"/>
  <c r="BH344" i="5"/>
  <c r="BH163" i="5"/>
  <c r="BH134" i="5"/>
  <c r="BH97" i="5"/>
  <c r="BH136" i="5"/>
  <c r="BH363" i="5"/>
  <c r="BH96" i="5"/>
  <c r="BH156" i="5"/>
  <c r="BH302" i="5"/>
  <c r="BH80" i="5"/>
  <c r="BH100" i="5"/>
  <c r="BH290" i="5"/>
  <c r="D267" i="5"/>
  <c r="D299" i="5"/>
  <c r="D303" i="5"/>
  <c r="D323" i="5"/>
  <c r="BD96" i="5"/>
  <c r="D354" i="5"/>
  <c r="D282" i="5"/>
  <c r="D154" i="5"/>
  <c r="D74" i="5"/>
  <c r="X162" i="5"/>
  <c r="X74" i="5"/>
  <c r="X298" i="5"/>
  <c r="X19" i="5"/>
  <c r="X66" i="5"/>
  <c r="X174" i="5"/>
  <c r="X23" i="5"/>
  <c r="X294" i="5"/>
  <c r="X336" i="5"/>
  <c r="X334" i="5"/>
  <c r="X356" i="5"/>
  <c r="X282" i="5"/>
  <c r="X101" i="5"/>
  <c r="X280" i="5"/>
  <c r="X281" i="5"/>
  <c r="X273" i="5"/>
  <c r="X339" i="5"/>
  <c r="X126" i="5"/>
  <c r="X132" i="5"/>
  <c r="X35" i="5"/>
  <c r="X287" i="5"/>
  <c r="X323" i="5"/>
  <c r="X134" i="5"/>
  <c r="X78" i="5"/>
  <c r="X168" i="5"/>
  <c r="X319" i="5"/>
  <c r="X67" i="5"/>
  <c r="X128" i="5"/>
  <c r="X331" i="5"/>
  <c r="X313" i="5"/>
  <c r="X44" i="5"/>
  <c r="D321" i="5"/>
  <c r="D145" i="5"/>
  <c r="BD137" i="5"/>
  <c r="BD348" i="5"/>
  <c r="BD154" i="5"/>
  <c r="BD340" i="5"/>
  <c r="BD36" i="5"/>
  <c r="BD72" i="5"/>
  <c r="BD172" i="5"/>
  <c r="BD171" i="5"/>
  <c r="BD157" i="5"/>
  <c r="BD166" i="5"/>
  <c r="BD88" i="5"/>
  <c r="BD271" i="5"/>
  <c r="BD350" i="5"/>
  <c r="BD188" i="5"/>
  <c r="BD285" i="5"/>
  <c r="BD69" i="5"/>
  <c r="BD323" i="5"/>
  <c r="BD266" i="5"/>
  <c r="BD363" i="5"/>
  <c r="BD186" i="5"/>
  <c r="BD40" i="5"/>
  <c r="BD46" i="5"/>
  <c r="BD65" i="5"/>
  <c r="BD42" i="5"/>
  <c r="D313" i="5"/>
  <c r="D97" i="5"/>
  <c r="BD345" i="5"/>
  <c r="D296" i="5"/>
  <c r="D176" i="5"/>
  <c r="D104" i="5"/>
  <c r="D32" i="5"/>
  <c r="D151" i="5"/>
  <c r="D102" i="5"/>
  <c r="D269" i="5"/>
  <c r="D45" i="5"/>
  <c r="BD272" i="5"/>
  <c r="D79" i="5"/>
  <c r="D22" i="5"/>
  <c r="D157" i="5"/>
  <c r="X327" i="5"/>
  <c r="X97" i="5"/>
  <c r="D334" i="5"/>
  <c r="D262" i="5"/>
  <c r="D126" i="5"/>
  <c r="D277" i="5"/>
  <c r="BD39" i="5"/>
  <c r="D69" i="5"/>
  <c r="BD93" i="5"/>
  <c r="D300" i="5"/>
  <c r="D180" i="5"/>
  <c r="D108" i="5"/>
  <c r="D36" i="5"/>
  <c r="BD30" i="5"/>
  <c r="D179" i="5"/>
  <c r="AU8" i="5"/>
  <c r="AV318" i="5"/>
  <c r="AV82" i="5"/>
  <c r="AV31" i="5"/>
  <c r="AV352" i="5"/>
  <c r="AV22" i="5"/>
  <c r="AV320" i="5"/>
  <c r="AV191" i="5"/>
  <c r="AV282" i="5"/>
  <c r="AV40" i="5"/>
  <c r="AV316" i="5"/>
  <c r="AV72" i="5"/>
  <c r="AV146" i="5"/>
  <c r="AV351" i="5"/>
  <c r="AV133" i="5"/>
  <c r="AV76" i="5"/>
  <c r="AV71" i="5"/>
  <c r="AV28" i="5"/>
  <c r="AV365" i="5"/>
  <c r="AV339" i="5"/>
  <c r="AV100" i="5"/>
  <c r="AV321" i="5"/>
  <c r="AV169" i="5"/>
  <c r="AV162" i="5"/>
  <c r="AV181" i="5"/>
  <c r="AV360" i="5"/>
  <c r="AV128" i="5"/>
  <c r="AV262" i="5"/>
  <c r="AV108" i="5"/>
  <c r="AV348" i="5"/>
  <c r="AV324" i="5"/>
  <c r="AV132" i="5"/>
  <c r="AV102" i="5"/>
  <c r="AV126" i="5"/>
  <c r="AV112" i="5"/>
  <c r="AV325" i="5"/>
  <c r="AV326" i="5"/>
  <c r="AV134" i="5"/>
  <c r="AV194" i="5"/>
  <c r="AV94" i="5"/>
  <c r="AV130" i="5"/>
  <c r="AV159" i="5"/>
  <c r="AV172" i="5"/>
  <c r="AV110" i="5"/>
  <c r="AV197" i="5"/>
  <c r="AV335" i="5"/>
  <c r="AV33" i="5"/>
  <c r="AV153" i="5"/>
  <c r="AV347" i="5"/>
  <c r="AV185" i="5"/>
  <c r="AV199" i="5"/>
  <c r="AV187" i="5"/>
  <c r="AV151" i="5"/>
  <c r="AV201" i="5"/>
  <c r="AV141" i="5"/>
  <c r="AV30" i="5"/>
  <c r="AV322" i="5"/>
  <c r="AV68" i="5"/>
  <c r="AV175" i="5"/>
  <c r="AV161" i="5"/>
  <c r="AV99" i="5"/>
  <c r="AV106" i="5"/>
  <c r="AV366" i="5"/>
  <c r="AV29" i="5"/>
  <c r="AV65" i="5"/>
  <c r="AV173" i="5"/>
  <c r="AV260" i="5"/>
  <c r="AV19" i="5"/>
  <c r="AV178" i="5"/>
  <c r="AV49" i="5"/>
  <c r="AV123" i="5"/>
  <c r="AV323" i="5"/>
  <c r="AV157" i="5"/>
  <c r="AV24" i="5"/>
  <c r="AV200" i="5"/>
  <c r="AV337" i="5"/>
  <c r="P106" i="5"/>
  <c r="AV20" i="5"/>
  <c r="AV81" i="5"/>
  <c r="AV88" i="5"/>
  <c r="D315" i="5"/>
  <c r="P80" i="5"/>
  <c r="AV164" i="5"/>
  <c r="AV336" i="5"/>
  <c r="P107" i="5"/>
  <c r="AV176" i="5"/>
  <c r="AV302" i="5"/>
  <c r="P90" i="5"/>
  <c r="P183" i="5"/>
  <c r="AV353" i="5"/>
  <c r="AV104" i="5"/>
  <c r="P195" i="5"/>
  <c r="AV165" i="5"/>
  <c r="AV35" i="5"/>
  <c r="AV74" i="5"/>
  <c r="AV43" i="5"/>
  <c r="AV96" i="5"/>
  <c r="AV63" i="5"/>
  <c r="AV319" i="5"/>
  <c r="AV193" i="5"/>
  <c r="AV145" i="5"/>
  <c r="AV271" i="5"/>
  <c r="AV272" i="5"/>
  <c r="AV265" i="5"/>
  <c r="AV285" i="5"/>
  <c r="P345" i="5"/>
  <c r="P89" i="5"/>
  <c r="P287" i="5"/>
  <c r="P32" i="5"/>
  <c r="P265" i="5"/>
  <c r="P78" i="5"/>
  <c r="P151" i="5"/>
  <c r="P44" i="5"/>
  <c r="P313" i="5"/>
  <c r="P96" i="5"/>
  <c r="P199" i="5"/>
  <c r="P49" i="5"/>
  <c r="P292" i="5"/>
  <c r="P29" i="5"/>
  <c r="P38" i="5"/>
  <c r="P93" i="5"/>
  <c r="P354" i="5"/>
  <c r="P99" i="5"/>
  <c r="P141" i="5"/>
  <c r="P25" i="5"/>
  <c r="P81" i="5"/>
  <c r="P324" i="5"/>
  <c r="P157" i="5"/>
  <c r="P332" i="5"/>
  <c r="D295" i="5"/>
  <c r="BH328" i="5"/>
  <c r="BD18" i="5"/>
  <c r="BD322" i="5"/>
  <c r="BD79" i="5"/>
  <c r="BH295" i="5"/>
  <c r="BH191" i="5"/>
  <c r="BH91" i="5"/>
  <c r="BH277" i="5"/>
  <c r="BH339" i="5"/>
  <c r="BH351" i="5"/>
  <c r="BH338" i="5"/>
  <c r="BH350" i="5"/>
  <c r="BH99" i="5"/>
  <c r="BH353" i="5"/>
  <c r="BH29" i="5"/>
  <c r="BH276" i="5"/>
  <c r="BH190" i="5"/>
  <c r="BH327" i="5"/>
  <c r="BH185" i="5"/>
  <c r="BH66" i="5"/>
  <c r="BH362" i="5"/>
  <c r="BH149" i="5"/>
  <c r="BH299" i="5"/>
  <c r="BH148" i="5"/>
  <c r="D346" i="5"/>
  <c r="D274" i="5"/>
  <c r="D146" i="5"/>
  <c r="D66" i="5"/>
  <c r="X354" i="5"/>
  <c r="X36" i="5"/>
  <c r="X295" i="5"/>
  <c r="X72" i="5"/>
  <c r="X293" i="5"/>
  <c r="X182" i="5"/>
  <c r="X29" i="5"/>
  <c r="X192" i="5"/>
  <c r="X155" i="5"/>
  <c r="X76" i="5"/>
  <c r="X296" i="5"/>
  <c r="X34" i="5"/>
  <c r="X184" i="5"/>
  <c r="X167" i="5"/>
  <c r="X110" i="5"/>
  <c r="X345" i="5"/>
  <c r="X75" i="5"/>
  <c r="X197" i="5"/>
  <c r="X352" i="5"/>
  <c r="X290" i="5"/>
  <c r="X152" i="5"/>
  <c r="X277" i="5"/>
  <c r="X332" i="5"/>
  <c r="X181" i="5"/>
  <c r="X262" i="5"/>
  <c r="X137" i="5"/>
  <c r="X125" i="5"/>
  <c r="X30" i="5"/>
  <c r="X18" i="5"/>
  <c r="X347" i="5"/>
  <c r="X50" i="5"/>
  <c r="D297" i="5"/>
  <c r="D129" i="5"/>
  <c r="BD132" i="5"/>
  <c r="BD339" i="5"/>
  <c r="BD102" i="5"/>
  <c r="BD180" i="5"/>
  <c r="BD259" i="5"/>
  <c r="BD197" i="5"/>
  <c r="BD38" i="5"/>
  <c r="BD359" i="5"/>
  <c r="BD32" i="5"/>
  <c r="BD106" i="5"/>
  <c r="BD136" i="5"/>
  <c r="BD263" i="5"/>
  <c r="BD74" i="5"/>
  <c r="BD101" i="5"/>
  <c r="BD77" i="5"/>
  <c r="BD290" i="5"/>
  <c r="BD170" i="5"/>
  <c r="BD26" i="5"/>
  <c r="BD167" i="5"/>
  <c r="BD124" i="5"/>
  <c r="BD147" i="5"/>
  <c r="BD33" i="5"/>
  <c r="BD112" i="5"/>
  <c r="BD63" i="5"/>
  <c r="D289" i="5"/>
  <c r="D81" i="5"/>
  <c r="BD70" i="5"/>
  <c r="BH260" i="5"/>
  <c r="BD145" i="5"/>
  <c r="D288" i="5"/>
  <c r="D168" i="5"/>
  <c r="D96" i="5"/>
  <c r="D24" i="5"/>
  <c r="D135" i="5"/>
  <c r="D78" i="5"/>
  <c r="D189" i="5"/>
  <c r="D21" i="5"/>
  <c r="BH133" i="5"/>
  <c r="BH281" i="5"/>
  <c r="BH74" i="5"/>
  <c r="D63" i="5"/>
  <c r="BD84" i="5"/>
  <c r="D141" i="5"/>
  <c r="BD143" i="5"/>
  <c r="BH61" i="5"/>
  <c r="BH288" i="5"/>
  <c r="X188" i="5"/>
  <c r="D326" i="5"/>
  <c r="D198" i="5"/>
  <c r="D110" i="5"/>
  <c r="D139" i="5"/>
  <c r="BD275" i="5"/>
  <c r="D37" i="5"/>
  <c r="BH315" i="5"/>
  <c r="BD71" i="5"/>
  <c r="BD85" i="5"/>
  <c r="D364" i="5"/>
  <c r="D292" i="5"/>
  <c r="D172" i="5"/>
  <c r="D100" i="5"/>
  <c r="D28" i="5"/>
  <c r="BD92" i="5"/>
  <c r="D155" i="5"/>
  <c r="AF193" i="5"/>
  <c r="AF175" i="5"/>
  <c r="AF142" i="5"/>
  <c r="AF359" i="5"/>
  <c r="AF336" i="5"/>
  <c r="AF324" i="5"/>
  <c r="AF319" i="5"/>
  <c r="AF268" i="5"/>
  <c r="AF127" i="5"/>
  <c r="AF352" i="5"/>
  <c r="AF340" i="5"/>
  <c r="AF335" i="5"/>
  <c r="AF328" i="5"/>
  <c r="AF323" i="5"/>
  <c r="AF318" i="5"/>
  <c r="AF292" i="5"/>
  <c r="AF286" i="5"/>
  <c r="AF192" i="5"/>
  <c r="AF185" i="5"/>
  <c r="AF166" i="5"/>
  <c r="AF141" i="5"/>
  <c r="AF69" i="5"/>
  <c r="AF64" i="5"/>
  <c r="AF32" i="5"/>
  <c r="AF18" i="5"/>
  <c r="AF346" i="5"/>
  <c r="AF297" i="5"/>
  <c r="AF137" i="5"/>
  <c r="AF110" i="5"/>
  <c r="AF49" i="5"/>
  <c r="AF37" i="5"/>
  <c r="AF356" i="5"/>
  <c r="AF351" i="5"/>
  <c r="AF339" i="5"/>
  <c r="AF327" i="5"/>
  <c r="AF285" i="5"/>
  <c r="AF265" i="5"/>
  <c r="AF68" i="5"/>
  <c r="AF42" i="5"/>
  <c r="AF109" i="5"/>
  <c r="AF67" i="5"/>
  <c r="AF360" i="5"/>
  <c r="AF269" i="5"/>
  <c r="AF320" i="5"/>
  <c r="AF289" i="5"/>
  <c r="AF350" i="5"/>
  <c r="AF197" i="5"/>
  <c r="AF98" i="5"/>
  <c r="AF161" i="5"/>
  <c r="AF355" i="5"/>
  <c r="AF91" i="5"/>
  <c r="AF201" i="5"/>
  <c r="AF84" i="5"/>
  <c r="AF86" i="5"/>
  <c r="AF301" i="5"/>
  <c r="AF99" i="5"/>
  <c r="AF270" i="5"/>
  <c r="AF92" i="5"/>
  <c r="AF195" i="5"/>
  <c r="AF334" i="5"/>
  <c r="AF75" i="5"/>
  <c r="AF199" i="5"/>
  <c r="AF152" i="5"/>
  <c r="AF358" i="5"/>
  <c r="AF61" i="5"/>
  <c r="AF326" i="5"/>
  <c r="AF344" i="5"/>
  <c r="AF77" i="5"/>
  <c r="AF73" i="5"/>
  <c r="AF125" i="5"/>
  <c r="AF140" i="5"/>
  <c r="AF261" i="5"/>
  <c r="AF277" i="5"/>
  <c r="AF36" i="5"/>
  <c r="AF173" i="5"/>
  <c r="AF316" i="5"/>
  <c r="AF63" i="5"/>
  <c r="AF148" i="5"/>
  <c r="AF291" i="5"/>
  <c r="AF163" i="5"/>
  <c r="AF280" i="5"/>
  <c r="AF26" i="5"/>
  <c r="AF267" i="5"/>
  <c r="AF264" i="5"/>
  <c r="AF30" i="5"/>
  <c r="AF281" i="5"/>
  <c r="AF81" i="5"/>
  <c r="AF315" i="5"/>
  <c r="AF74" i="5"/>
  <c r="AF295" i="5"/>
  <c r="AF314" i="5"/>
  <c r="AF90" i="5"/>
  <c r="AF106" i="5"/>
  <c r="AF133" i="5"/>
  <c r="AF24" i="5"/>
  <c r="AF159" i="5"/>
  <c r="AF322" i="5"/>
  <c r="AF100" i="5"/>
  <c r="AF303" i="5"/>
  <c r="AF123" i="5"/>
  <c r="AF45" i="5"/>
  <c r="AF135" i="5"/>
  <c r="AF293" i="5"/>
  <c r="AF28" i="5"/>
  <c r="AF146" i="5"/>
  <c r="AF330" i="5"/>
  <c r="AF47" i="5"/>
  <c r="AF150" i="5"/>
  <c r="AF337" i="5"/>
  <c r="AF365" i="5"/>
  <c r="AF361" i="5"/>
  <c r="AF48" i="5"/>
  <c r="AF149" i="5"/>
  <c r="AF165" i="5"/>
  <c r="AF191" i="5"/>
  <c r="AF300" i="5"/>
  <c r="AF332" i="5"/>
  <c r="AF176" i="5"/>
  <c r="AF78" i="5"/>
  <c r="AF181" i="5"/>
  <c r="AF174" i="5"/>
  <c r="AF363" i="5"/>
  <c r="AF178" i="5"/>
  <c r="AF70" i="5"/>
  <c r="AF164" i="5"/>
  <c r="AF39" i="5"/>
  <c r="AF183" i="5"/>
  <c r="AF349" i="5"/>
  <c r="AF72" i="5"/>
  <c r="AF172" i="5"/>
  <c r="AF299" i="5"/>
  <c r="AF158" i="5"/>
  <c r="AF180" i="5"/>
  <c r="AF23" i="5"/>
  <c r="AF198" i="5"/>
  <c r="AF89" i="5"/>
  <c r="AF271" i="5"/>
  <c r="AF189" i="5"/>
  <c r="AF273" i="5"/>
  <c r="AF83" i="5"/>
  <c r="AF186" i="5"/>
  <c r="AF66" i="5"/>
  <c r="AF262" i="5"/>
  <c r="AF366" i="5"/>
  <c r="AF21" i="5"/>
  <c r="AF124" i="5"/>
  <c r="AF276" i="5"/>
  <c r="AF329" i="5"/>
  <c r="AF22" i="5"/>
  <c r="AF156" i="5"/>
  <c r="AF184" i="5"/>
  <c r="AF126" i="5"/>
  <c r="AF43" i="5"/>
  <c r="AF27" i="5"/>
  <c r="AF167" i="5"/>
  <c r="AF200" i="5"/>
  <c r="AF94" i="5"/>
  <c r="AF331" i="5"/>
  <c r="AF348" i="5"/>
  <c r="AF38" i="5"/>
  <c r="AF50" i="5"/>
  <c r="AF278" i="5"/>
  <c r="AF169" i="5"/>
  <c r="AF82" i="5"/>
  <c r="AF44" i="5"/>
  <c r="AF33" i="5"/>
  <c r="AF190" i="5"/>
  <c r="AF20" i="5"/>
  <c r="AF275" i="5"/>
  <c r="AF128" i="5"/>
  <c r="AF343" i="5"/>
  <c r="AF353" i="5"/>
  <c r="AF284" i="5"/>
  <c r="AF290" i="5"/>
  <c r="AF259" i="5"/>
  <c r="AF134" i="5"/>
  <c r="AF108" i="5"/>
  <c r="AF65" i="5"/>
  <c r="AF274" i="5"/>
  <c r="AF34" i="5"/>
  <c r="AF282" i="5"/>
  <c r="AF132" i="5"/>
  <c r="AF87" i="5"/>
  <c r="AF187" i="5"/>
  <c r="AF171" i="5"/>
  <c r="AF170" i="5"/>
  <c r="AF338" i="5"/>
  <c r="AF296" i="5"/>
  <c r="AF279" i="5"/>
  <c r="AF177" i="5"/>
  <c r="AF160" i="5"/>
  <c r="AF76" i="5"/>
  <c r="AF287" i="5"/>
  <c r="AF46" i="5"/>
  <c r="AF288" i="5"/>
  <c r="AF136" i="5"/>
  <c r="AF102" i="5"/>
  <c r="AF31" i="5"/>
  <c r="AF302" i="5"/>
  <c r="AF260" i="5"/>
  <c r="AF182" i="5"/>
  <c r="AF93" i="5"/>
  <c r="AF71" i="5"/>
  <c r="AF342" i="5"/>
  <c r="AF29" i="5"/>
  <c r="AF154" i="5"/>
  <c r="AF321" i="5"/>
  <c r="AF62" i="5"/>
  <c r="AF85" i="5"/>
  <c r="AF317" i="5"/>
  <c r="AF266" i="5"/>
  <c r="AF298" i="5"/>
  <c r="AF97" i="5"/>
  <c r="AF80" i="5"/>
  <c r="AF354" i="5"/>
  <c r="AF35" i="5"/>
  <c r="AF263" i="5"/>
  <c r="AF143" i="5"/>
  <c r="AF129" i="5"/>
  <c r="AF103" i="5"/>
  <c r="AF362" i="5"/>
  <c r="AF272" i="5"/>
  <c r="AF347" i="5"/>
  <c r="AF131" i="5"/>
  <c r="AF112" i="5"/>
  <c r="AF40" i="5"/>
  <c r="AF283" i="5"/>
  <c r="AF313" i="5"/>
  <c r="AF345" i="5"/>
  <c r="AF144" i="5"/>
  <c r="AF95" i="5"/>
  <c r="AF19" i="5"/>
  <c r="AF113" i="5"/>
  <c r="AF104" i="5"/>
  <c r="AF139" i="5"/>
  <c r="AF179" i="5"/>
  <c r="AF145" i="5"/>
  <c r="AF153" i="5"/>
  <c r="AF168" i="5"/>
  <c r="AF105" i="5"/>
  <c r="AF151" i="5"/>
  <c r="AF294" i="5"/>
  <c r="AF364" i="5"/>
  <c r="AF101" i="5"/>
  <c r="AF196" i="5"/>
  <c r="AF111" i="5"/>
  <c r="AF41" i="5"/>
  <c r="AF107" i="5"/>
  <c r="AF60" i="5"/>
  <c r="AF188" i="5"/>
  <c r="AF79" i="5"/>
  <c r="AF325" i="5"/>
  <c r="AF88" i="5"/>
  <c r="AF162" i="5"/>
  <c r="AF333" i="5"/>
  <c r="AF25" i="5"/>
  <c r="AF157" i="5"/>
  <c r="AF194" i="5"/>
  <c r="AF130" i="5"/>
  <c r="AF138" i="5"/>
  <c r="AF357" i="5"/>
  <c r="AF341" i="5"/>
  <c r="AF96" i="5"/>
  <c r="AF155" i="5"/>
  <c r="AF147" i="5"/>
  <c r="T363" i="5"/>
  <c r="T297" i="5"/>
  <c r="T186" i="5"/>
  <c r="T175" i="5"/>
  <c r="T100" i="5"/>
  <c r="T45" i="5"/>
  <c r="T39" i="5"/>
  <c r="T269" i="5"/>
  <c r="T103" i="5"/>
  <c r="T96" i="5"/>
  <c r="T66" i="5"/>
  <c r="T361" i="5"/>
  <c r="T329" i="5"/>
  <c r="T323" i="5"/>
  <c r="T301" i="5"/>
  <c r="T281" i="5"/>
  <c r="T170" i="5"/>
  <c r="T159" i="5"/>
  <c r="T80" i="5"/>
  <c r="T43" i="5"/>
  <c r="T347" i="5"/>
  <c r="T335" i="5"/>
  <c r="T315" i="5"/>
  <c r="T162" i="5"/>
  <c r="T155" i="5"/>
  <c r="T87" i="5"/>
  <c r="T29" i="5"/>
  <c r="T23" i="5"/>
  <c r="T259" i="5"/>
  <c r="T191" i="5"/>
  <c r="T108" i="5"/>
  <c r="T47" i="5"/>
  <c r="T35" i="5"/>
  <c r="T339" i="5"/>
  <c r="T345" i="5"/>
  <c r="T291" i="5"/>
  <c r="T351" i="5"/>
  <c r="T27" i="5"/>
  <c r="T355" i="5"/>
  <c r="T320" i="5"/>
  <c r="T198" i="5"/>
  <c r="T298" i="5"/>
  <c r="T112" i="5"/>
  <c r="T272" i="5"/>
  <c r="T346" i="5"/>
  <c r="T70" i="5"/>
  <c r="T177" i="5"/>
  <c r="T293" i="5"/>
  <c r="T48" i="5"/>
  <c r="T148" i="5"/>
  <c r="T156" i="5"/>
  <c r="T295" i="5"/>
  <c r="T25" i="5"/>
  <c r="T182" i="5"/>
  <c r="T330" i="5"/>
  <c r="T164" i="5"/>
  <c r="T303" i="5"/>
  <c r="T126" i="5"/>
  <c r="T332" i="5"/>
  <c r="T127" i="5"/>
  <c r="T287" i="5"/>
  <c r="T50" i="5"/>
  <c r="T136" i="5"/>
  <c r="T302" i="5"/>
  <c r="T165" i="5"/>
  <c r="T358" i="5"/>
  <c r="T68" i="5"/>
  <c r="T46" i="5"/>
  <c r="T143" i="5"/>
  <c r="T292" i="5"/>
  <c r="T359" i="5"/>
  <c r="T102" i="5"/>
  <c r="T195" i="5"/>
  <c r="T322" i="5"/>
  <c r="T71" i="5"/>
  <c r="T174" i="5"/>
  <c r="T37" i="5"/>
  <c r="T167" i="5"/>
  <c r="T348" i="5"/>
  <c r="T24" i="5"/>
  <c r="T85" i="5"/>
  <c r="T262" i="5"/>
  <c r="T349" i="5"/>
  <c r="T19" i="5"/>
  <c r="T190" i="5"/>
  <c r="T325" i="5"/>
  <c r="T20" i="5"/>
  <c r="T154" i="5"/>
  <c r="T62" i="5"/>
  <c r="T157" i="5"/>
  <c r="T338" i="5"/>
  <c r="T364" i="5"/>
  <c r="T131" i="5"/>
  <c r="T285" i="5"/>
  <c r="T176" i="5"/>
  <c r="T151" i="5"/>
  <c r="T314" i="5"/>
  <c r="T124" i="5"/>
  <c r="T266" i="5"/>
  <c r="T360" i="5"/>
  <c r="T91" i="5"/>
  <c r="T192" i="5"/>
  <c r="T65" i="5"/>
  <c r="T200" i="5"/>
  <c r="T141" i="5"/>
  <c r="T289" i="5"/>
  <c r="T78" i="5"/>
  <c r="T263" i="5"/>
  <c r="T60" i="5"/>
  <c r="T172" i="5"/>
  <c r="T79" i="5"/>
  <c r="T189" i="5"/>
  <c r="T350" i="5"/>
  <c r="T92" i="5"/>
  <c r="T264" i="5"/>
  <c r="T365" i="5"/>
  <c r="T313" i="5"/>
  <c r="T184" i="5"/>
  <c r="T42" i="5"/>
  <c r="T199" i="5"/>
  <c r="T36" i="5"/>
  <c r="T294" i="5"/>
  <c r="T261" i="5"/>
  <c r="T110" i="5"/>
  <c r="T324" i="5"/>
  <c r="T32" i="5"/>
  <c r="T290" i="5"/>
  <c r="T179" i="5"/>
  <c r="T260" i="5"/>
  <c r="T343" i="5"/>
  <c r="T150" i="5"/>
  <c r="T21" i="5"/>
  <c r="T104" i="5"/>
  <c r="T22" i="5"/>
  <c r="T299" i="5"/>
  <c r="T76" i="5"/>
  <c r="T280" i="5"/>
  <c r="T84" i="5"/>
  <c r="T354" i="5"/>
  <c r="T49" i="5"/>
  <c r="T288" i="5"/>
  <c r="T149" i="5"/>
  <c r="T93" i="5"/>
  <c r="T331" i="5"/>
  <c r="T33" i="5"/>
  <c r="T319" i="5"/>
  <c r="T69" i="5"/>
  <c r="T274" i="5"/>
  <c r="T99" i="5"/>
  <c r="T284" i="5"/>
  <c r="T275" i="5"/>
  <c r="T123" i="5"/>
  <c r="T278" i="5"/>
  <c r="T28" i="5"/>
  <c r="T321" i="5"/>
  <c r="T105" i="5"/>
  <c r="T286" i="5"/>
  <c r="T109" i="5"/>
  <c r="T72" i="5"/>
  <c r="T336" i="5"/>
  <c r="T160" i="5"/>
  <c r="T130" i="5"/>
  <c r="T67" i="5"/>
  <c r="T357" i="5"/>
  <c r="T94" i="5"/>
  <c r="T326" i="5"/>
  <c r="T135" i="5"/>
  <c r="T61" i="5"/>
  <c r="T333" i="5"/>
  <c r="T139" i="5"/>
  <c r="T334" i="5"/>
  <c r="T128" i="5"/>
  <c r="T300" i="5"/>
  <c r="T113" i="5"/>
  <c r="T77" i="5"/>
  <c r="T193" i="5"/>
  <c r="T168" i="5"/>
  <c r="T86" i="5"/>
  <c r="T101" i="5"/>
  <c r="T344" i="5"/>
  <c r="T26" i="5"/>
  <c r="T129" i="5"/>
  <c r="T341" i="5"/>
  <c r="T40" i="5"/>
  <c r="T178" i="5"/>
  <c r="T158" i="5"/>
  <c r="T352" i="5"/>
  <c r="T166" i="5"/>
  <c r="T366" i="5"/>
  <c r="T152" i="5"/>
  <c r="T163" i="5"/>
  <c r="T18" i="5"/>
  <c r="T296" i="5"/>
  <c r="T276" i="5"/>
  <c r="T146" i="5"/>
  <c r="T138" i="5"/>
  <c r="T362" i="5"/>
  <c r="T44" i="5"/>
  <c r="T173" i="5"/>
  <c r="T34" i="5"/>
  <c r="T142" i="5"/>
  <c r="T279" i="5"/>
  <c r="T63" i="5"/>
  <c r="T342" i="5"/>
  <c r="T282" i="5"/>
  <c r="T283" i="5"/>
  <c r="T111" i="5"/>
  <c r="T38" i="5"/>
  <c r="T277" i="5"/>
  <c r="T194" i="5"/>
  <c r="T340" i="5"/>
  <c r="T132" i="5"/>
  <c r="T317" i="5"/>
  <c r="T318" i="5"/>
  <c r="T97" i="5"/>
  <c r="T171" i="5"/>
  <c r="T73" i="5"/>
  <c r="T316" i="5"/>
  <c r="T188" i="5"/>
  <c r="T337" i="5"/>
  <c r="T161" i="5"/>
  <c r="T267" i="5"/>
  <c r="T81" i="5"/>
  <c r="T353" i="5"/>
  <c r="T95" i="5"/>
  <c r="T185" i="5"/>
  <c r="T271" i="5"/>
  <c r="T273" i="5"/>
  <c r="T183" i="5"/>
  <c r="T356" i="5"/>
  <c r="T88" i="5"/>
  <c r="T328" i="5"/>
  <c r="T30" i="5"/>
  <c r="T125" i="5"/>
  <c r="T64" i="5"/>
  <c r="T133" i="5"/>
  <c r="T140" i="5"/>
  <c r="T265" i="5"/>
  <c r="T147" i="5"/>
  <c r="T144" i="5"/>
  <c r="T196" i="5"/>
  <c r="T31" i="5"/>
  <c r="T89" i="5"/>
  <c r="T187" i="5"/>
  <c r="T181" i="5"/>
  <c r="T134" i="5"/>
  <c r="T90" i="5"/>
  <c r="T201" i="5"/>
  <c r="T327" i="5"/>
  <c r="T106" i="5"/>
  <c r="T180" i="5"/>
  <c r="T268" i="5"/>
  <c r="T98" i="5"/>
  <c r="T41" i="5"/>
  <c r="T75" i="5"/>
  <c r="T137" i="5"/>
  <c r="T82" i="5"/>
  <c r="T145" i="5"/>
  <c r="T270" i="5"/>
  <c r="T83" i="5"/>
  <c r="T153" i="5"/>
  <c r="T197" i="5"/>
  <c r="T107" i="5"/>
  <c r="T74" i="5"/>
  <c r="T169" i="5"/>
  <c r="D287" i="5"/>
  <c r="BD347" i="5"/>
  <c r="D338" i="5"/>
  <c r="D266" i="5"/>
  <c r="D138" i="5"/>
  <c r="D50" i="5"/>
  <c r="X129" i="5"/>
  <c r="X342" i="5"/>
  <c r="X24" i="5"/>
  <c r="X191" i="5"/>
  <c r="X146" i="5"/>
  <c r="X142" i="5"/>
  <c r="X85" i="5"/>
  <c r="X179" i="5"/>
  <c r="X41" i="5"/>
  <c r="X127" i="5"/>
  <c r="X147" i="5"/>
  <c r="X95" i="5"/>
  <c r="X169" i="5"/>
  <c r="X39" i="5"/>
  <c r="X340" i="5"/>
  <c r="X163" i="5"/>
  <c r="X322" i="5"/>
  <c r="X45" i="5"/>
  <c r="X271" i="5"/>
  <c r="X172" i="5"/>
  <c r="X90" i="5"/>
  <c r="X112" i="5"/>
  <c r="X145" i="5"/>
  <c r="X196" i="5"/>
  <c r="X31" i="5"/>
  <c r="X338" i="5"/>
  <c r="X292" i="5"/>
  <c r="X177" i="5"/>
  <c r="X86" i="5"/>
  <c r="X353" i="5"/>
  <c r="X315" i="5"/>
  <c r="D281" i="5"/>
  <c r="D105" i="5"/>
  <c r="BD267" i="5"/>
  <c r="BD198" i="5"/>
  <c r="BD192" i="5"/>
  <c r="BD50" i="5"/>
  <c r="BD182" i="5"/>
  <c r="BD181" i="5"/>
  <c r="BD296" i="5"/>
  <c r="BD174" i="5"/>
  <c r="BD283" i="5"/>
  <c r="BD262" i="5"/>
  <c r="BD366" i="5"/>
  <c r="BD362" i="5"/>
  <c r="BD128" i="5"/>
  <c r="BD163" i="5"/>
  <c r="BD279" i="5"/>
  <c r="BD47" i="5"/>
  <c r="BD61" i="5"/>
  <c r="BD284" i="5"/>
  <c r="BD297" i="5"/>
  <c r="BD133" i="5"/>
  <c r="BD201" i="5"/>
  <c r="BD34" i="5"/>
  <c r="BD45" i="5"/>
  <c r="BD98" i="5"/>
  <c r="D273" i="5"/>
  <c r="D49" i="5"/>
  <c r="D360" i="5"/>
  <c r="D280" i="5"/>
  <c r="D160" i="5"/>
  <c r="D88" i="5"/>
  <c r="X91" i="5"/>
  <c r="D103" i="5"/>
  <c r="D30" i="5"/>
  <c r="D173" i="5"/>
  <c r="D187" i="5"/>
  <c r="BD326" i="5"/>
  <c r="D183" i="5"/>
  <c r="D47" i="5"/>
  <c r="X194" i="5"/>
  <c r="D93" i="5"/>
  <c r="BD176" i="5"/>
  <c r="BD300" i="5"/>
  <c r="D318" i="5"/>
  <c r="D190" i="5"/>
  <c r="D86" i="5"/>
  <c r="D83" i="5"/>
  <c r="BD351" i="5"/>
  <c r="D163" i="5"/>
  <c r="BD355" i="5"/>
  <c r="BD299" i="5"/>
  <c r="BD127" i="5"/>
  <c r="D356" i="5"/>
  <c r="D284" i="5"/>
  <c r="D164" i="5"/>
  <c r="D92" i="5"/>
  <c r="D20" i="5"/>
  <c r="BD327" i="5"/>
  <c r="D131" i="5"/>
  <c r="P260" i="5"/>
  <c r="P105" i="5"/>
  <c r="P76" i="5"/>
  <c r="P147" i="5"/>
  <c r="P197" i="5"/>
  <c r="P92" i="5"/>
  <c r="P163" i="5"/>
  <c r="P302" i="5"/>
  <c r="P47" i="5"/>
  <c r="P179" i="5"/>
  <c r="P358" i="5"/>
  <c r="P85" i="5"/>
  <c r="P136" i="5"/>
  <c r="P84" i="5"/>
  <c r="P200" i="5"/>
  <c r="P282" i="5"/>
  <c r="P356" i="5"/>
  <c r="P178" i="5"/>
  <c r="D363" i="5"/>
  <c r="D291" i="5"/>
  <c r="P264" i="5"/>
  <c r="P77" i="5"/>
  <c r="P357" i="5"/>
  <c r="P65" i="5"/>
  <c r="P271" i="5"/>
  <c r="P277" i="5"/>
  <c r="P272" i="5"/>
  <c r="P185" i="5"/>
  <c r="P123" i="5"/>
  <c r="P270" i="5"/>
  <c r="P135" i="5"/>
  <c r="P283" i="5"/>
  <c r="P130" i="5"/>
  <c r="P297" i="5"/>
  <c r="P176" i="5"/>
  <c r="P71" i="5"/>
  <c r="P298" i="5"/>
  <c r="P173" i="5"/>
  <c r="P23" i="5"/>
  <c r="P37" i="5"/>
  <c r="P174" i="5"/>
  <c r="P128" i="5"/>
  <c r="P98" i="5"/>
  <c r="P86" i="5"/>
  <c r="P284" i="5"/>
  <c r="P20" i="5"/>
  <c r="P340" i="5"/>
  <c r="P125" i="5"/>
  <c r="D351" i="5"/>
  <c r="D279" i="5"/>
  <c r="BD125" i="5"/>
  <c r="BH360" i="5"/>
  <c r="BH263" i="5"/>
  <c r="BD110" i="5"/>
  <c r="BH102" i="5"/>
  <c r="BH198" i="5"/>
  <c r="BH261" i="5"/>
  <c r="BH192" i="5"/>
  <c r="BH30" i="5"/>
  <c r="BH47" i="5"/>
  <c r="BH42" i="5"/>
  <c r="BH200" i="5"/>
  <c r="BH103" i="5"/>
  <c r="BH296" i="5"/>
  <c r="BH68" i="5"/>
  <c r="BH124" i="5"/>
  <c r="BH355" i="5"/>
  <c r="BH262" i="5"/>
  <c r="BH95" i="5"/>
  <c r="BH27" i="5"/>
  <c r="BH125" i="5"/>
  <c r="BH270" i="5"/>
  <c r="BH137" i="5"/>
  <c r="BH354" i="5"/>
  <c r="D330" i="5"/>
  <c r="D194" i="5"/>
  <c r="D130" i="5"/>
  <c r="D42" i="5"/>
  <c r="X364" i="5"/>
  <c r="X87" i="5"/>
  <c r="X363" i="5"/>
  <c r="X297" i="5"/>
  <c r="X107" i="5"/>
  <c r="X266" i="5"/>
  <c r="X199" i="5"/>
  <c r="X351" i="5"/>
  <c r="X278" i="5"/>
  <c r="X359" i="5"/>
  <c r="X358" i="5"/>
  <c r="X288" i="5"/>
  <c r="X175" i="5"/>
  <c r="X344" i="5"/>
  <c r="X164" i="5"/>
  <c r="X302" i="5"/>
  <c r="X100" i="5"/>
  <c r="X60" i="5"/>
  <c r="X70" i="5"/>
  <c r="X20" i="5"/>
  <c r="X193" i="5"/>
  <c r="X283" i="5"/>
  <c r="X272" i="5"/>
  <c r="X139" i="5"/>
  <c r="X260" i="5"/>
  <c r="X178" i="5"/>
  <c r="X131" i="5"/>
  <c r="X337" i="5"/>
  <c r="X201" i="5"/>
  <c r="X42" i="5"/>
  <c r="X321" i="5"/>
  <c r="D265" i="5"/>
  <c r="D89" i="5"/>
  <c r="BD148" i="5"/>
  <c r="BD179" i="5"/>
  <c r="BD200" i="5"/>
  <c r="BD344" i="5"/>
  <c r="BD67" i="5"/>
  <c r="BD317" i="5"/>
  <c r="BD29" i="5"/>
  <c r="BD113" i="5"/>
  <c r="BD313" i="5"/>
  <c r="BD291" i="5"/>
  <c r="BD268" i="5"/>
  <c r="BD103" i="5"/>
  <c r="BD293" i="5"/>
  <c r="BD319" i="5"/>
  <c r="BD97" i="5"/>
  <c r="BD269" i="5"/>
  <c r="BD342" i="5"/>
  <c r="BD281" i="5"/>
  <c r="BD349" i="5"/>
  <c r="BD356" i="5"/>
  <c r="BD193" i="5"/>
  <c r="BD41" i="5"/>
  <c r="BD364" i="5"/>
  <c r="BD287" i="5"/>
  <c r="D193" i="5"/>
  <c r="D33" i="5"/>
  <c r="BD108" i="5"/>
  <c r="BD126" i="5"/>
  <c r="D352" i="5"/>
  <c r="D272" i="5"/>
  <c r="D152" i="5"/>
  <c r="D80" i="5"/>
  <c r="BH83" i="5"/>
  <c r="D87" i="5"/>
  <c r="X103" i="5"/>
  <c r="D149" i="5"/>
  <c r="D147" i="5"/>
  <c r="BD99" i="5"/>
  <c r="BH286" i="5"/>
  <c r="D159" i="5"/>
  <c r="D23" i="5"/>
  <c r="D357" i="5"/>
  <c r="D77" i="5"/>
  <c r="BD358" i="5"/>
  <c r="BH126" i="5"/>
  <c r="BH303" i="5"/>
  <c r="BH87" i="5"/>
  <c r="D302" i="5"/>
  <c r="D182" i="5"/>
  <c r="D62" i="5"/>
  <c r="D35" i="5"/>
  <c r="D333" i="5"/>
  <c r="D107" i="5"/>
  <c r="BH186" i="5"/>
  <c r="BH111" i="5"/>
  <c r="BH172" i="5"/>
  <c r="D348" i="5"/>
  <c r="D276" i="5"/>
  <c r="D156" i="5"/>
  <c r="D84" i="5"/>
  <c r="X366" i="5"/>
  <c r="BD75" i="5"/>
  <c r="D99" i="5"/>
  <c r="D359" i="5"/>
  <c r="BP183" i="5"/>
  <c r="BP163" i="5"/>
  <c r="BP140" i="5"/>
  <c r="BP137" i="5"/>
  <c r="BP290" i="5"/>
  <c r="BP80" i="5"/>
  <c r="BP40" i="5"/>
  <c r="BP61" i="5"/>
  <c r="BP266" i="5"/>
  <c r="BP81" i="5"/>
  <c r="BP74" i="5"/>
  <c r="BP31" i="5"/>
  <c r="BP28" i="5"/>
  <c r="BP22" i="5"/>
  <c r="BP34" i="5"/>
  <c r="BP27" i="5"/>
  <c r="BP175" i="5"/>
  <c r="BP30" i="5"/>
  <c r="BP292" i="5"/>
  <c r="BP33" i="5"/>
  <c r="BP41" i="5"/>
  <c r="BP141" i="5"/>
  <c r="BP165" i="5"/>
  <c r="BP272" i="5"/>
  <c r="BP155" i="5"/>
  <c r="BP37" i="5"/>
  <c r="BP194" i="5"/>
  <c r="BP68" i="5"/>
  <c r="BP46" i="5"/>
  <c r="BP315" i="5"/>
  <c r="BP176" i="5"/>
  <c r="BP333" i="5"/>
  <c r="BP193" i="5"/>
  <c r="BP351" i="5"/>
  <c r="BP125" i="5"/>
  <c r="BP267" i="5"/>
  <c r="BP360" i="5"/>
  <c r="BP313" i="5"/>
  <c r="BP91" i="5"/>
  <c r="BP189" i="5"/>
  <c r="BP314" i="5"/>
  <c r="BP60" i="5"/>
  <c r="BP131" i="5"/>
  <c r="BP264" i="5"/>
  <c r="BP332" i="5"/>
  <c r="BP280" i="5"/>
  <c r="BP350" i="5"/>
  <c r="BP132" i="5"/>
  <c r="BP99" i="5"/>
  <c r="BP130" i="5"/>
  <c r="BP146" i="5"/>
  <c r="BP111" i="5"/>
  <c r="BP24" i="5"/>
  <c r="BP145" i="5"/>
  <c r="BP169" i="5"/>
  <c r="BP157" i="5"/>
  <c r="BP149" i="5"/>
  <c r="BP173" i="5"/>
  <c r="BP265" i="5"/>
  <c r="BP67" i="5"/>
  <c r="BP289" i="5"/>
  <c r="BP144" i="5"/>
  <c r="BP82" i="5"/>
  <c r="BP331" i="5"/>
  <c r="BP188" i="5"/>
  <c r="BP349" i="5"/>
  <c r="BP29" i="5"/>
  <c r="BP287" i="5"/>
  <c r="BP49" i="5"/>
  <c r="BP133" i="5"/>
  <c r="BP297" i="5"/>
  <c r="BP185" i="5"/>
  <c r="BP329" i="5"/>
  <c r="BP102" i="5"/>
  <c r="BP200" i="5"/>
  <c r="BP330" i="5"/>
  <c r="BP92" i="5"/>
  <c r="BP161" i="5"/>
  <c r="BP278" i="5"/>
  <c r="BP348" i="5"/>
  <c r="BP295" i="5"/>
  <c r="BP366" i="5"/>
  <c r="BP62" i="5"/>
  <c r="BP164" i="5"/>
  <c r="BP270" i="5"/>
  <c r="BP66" i="5"/>
  <c r="BP139" i="5"/>
  <c r="BP85" i="5"/>
  <c r="BP171" i="5"/>
  <c r="BP187" i="5"/>
  <c r="BP347" i="5"/>
  <c r="BP71" i="5"/>
  <c r="BP285" i="5"/>
  <c r="BP365" i="5"/>
  <c r="BP42" i="5"/>
  <c r="BP319" i="5"/>
  <c r="BP70" i="5"/>
  <c r="BP177" i="5"/>
  <c r="BP328" i="5"/>
  <c r="BP261" i="5"/>
  <c r="BP345" i="5"/>
  <c r="BP38" i="5"/>
  <c r="BP110" i="5"/>
  <c r="BP269" i="5"/>
  <c r="BP346" i="5"/>
  <c r="BP103" i="5"/>
  <c r="BP179" i="5"/>
  <c r="BP293" i="5"/>
  <c r="BP364" i="5"/>
  <c r="BP318" i="5"/>
  <c r="BP162" i="5"/>
  <c r="BP166" i="5"/>
  <c r="BP198" i="5"/>
  <c r="BP105" i="5"/>
  <c r="BP86" i="5"/>
  <c r="BP36" i="5"/>
  <c r="BP112" i="5"/>
  <c r="BP274" i="5"/>
  <c r="BP89" i="5"/>
  <c r="BP48" i="5"/>
  <c r="BP325" i="5"/>
  <c r="BP279" i="5"/>
  <c r="BP109" i="5"/>
  <c r="BP336" i="5"/>
  <c r="BP337" i="5"/>
  <c r="BP167" i="5"/>
  <c r="BP338" i="5"/>
  <c r="BP168" i="5"/>
  <c r="BP324" i="5"/>
  <c r="BP302" i="5"/>
  <c r="BP160" i="5"/>
  <c r="BP128" i="5"/>
  <c r="BP134" i="5"/>
  <c r="BP263" i="5"/>
  <c r="BP98" i="5"/>
  <c r="BP143" i="5"/>
  <c r="BP186" i="5"/>
  <c r="BP298" i="5"/>
  <c r="BP191" i="5"/>
  <c r="BP76" i="5"/>
  <c r="BP341" i="5"/>
  <c r="BP303" i="5"/>
  <c r="BP129" i="5"/>
  <c r="BP344" i="5"/>
  <c r="BP353" i="5"/>
  <c r="BP32" i="5"/>
  <c r="BP178" i="5"/>
  <c r="BP354" i="5"/>
  <c r="BP45" i="5"/>
  <c r="BP190" i="5"/>
  <c r="BP340" i="5"/>
  <c r="BP326" i="5"/>
  <c r="BP113" i="5"/>
  <c r="BP75" i="5"/>
  <c r="BP18" i="5"/>
  <c r="BP150" i="5"/>
  <c r="BP147" i="5"/>
  <c r="BP281" i="5"/>
  <c r="BP195" i="5"/>
  <c r="BP90" i="5"/>
  <c r="BP357" i="5"/>
  <c r="BP327" i="5"/>
  <c r="BP170" i="5"/>
  <c r="BP352" i="5"/>
  <c r="BP361" i="5"/>
  <c r="BP65" i="5"/>
  <c r="BP196" i="5"/>
  <c r="BP362" i="5"/>
  <c r="BP88" i="5"/>
  <c r="BP197" i="5"/>
  <c r="BP356" i="5"/>
  <c r="BP334" i="5"/>
  <c r="BP156" i="5"/>
  <c r="BP174" i="5"/>
  <c r="BP152" i="5"/>
  <c r="BP286" i="5"/>
  <c r="BP124" i="5"/>
  <c r="BP100" i="5"/>
  <c r="BP47" i="5"/>
  <c r="BP296" i="5"/>
  <c r="BP151" i="5"/>
  <c r="BP19" i="5"/>
  <c r="BP299" i="5"/>
  <c r="BP138" i="5"/>
  <c r="BP23" i="5"/>
  <c r="BP335" i="5"/>
  <c r="BP181" i="5"/>
  <c r="BP192" i="5"/>
  <c r="BP72" i="5"/>
  <c r="BP262" i="5"/>
  <c r="BP96" i="5"/>
  <c r="BP201" i="5"/>
  <c r="BP342" i="5"/>
  <c r="BP79" i="5"/>
  <c r="BP83" i="5"/>
  <c r="BP158" i="5"/>
  <c r="BP180" i="5"/>
  <c r="BP142" i="5"/>
  <c r="BP172" i="5"/>
  <c r="BP26" i="5"/>
  <c r="BP323" i="5"/>
  <c r="BP184" i="5"/>
  <c r="BP35" i="5"/>
  <c r="BP343" i="5"/>
  <c r="BP25" i="5"/>
  <c r="BP199" i="5"/>
  <c r="BP268" i="5"/>
  <c r="BP87" i="5"/>
  <c r="BP276" i="5"/>
  <c r="BP107" i="5"/>
  <c r="BP271" i="5"/>
  <c r="BP358" i="5"/>
  <c r="BP108" i="5"/>
  <c r="BP159" i="5"/>
  <c r="BP136" i="5"/>
  <c r="BP64" i="5"/>
  <c r="BP44" i="5"/>
  <c r="BP97" i="5"/>
  <c r="BP20" i="5"/>
  <c r="BP339" i="5"/>
  <c r="BP277" i="5"/>
  <c r="BP50" i="5"/>
  <c r="BP359" i="5"/>
  <c r="BP63" i="5"/>
  <c r="BP260" i="5"/>
  <c r="BP275" i="5"/>
  <c r="BP95" i="5"/>
  <c r="BP284" i="5"/>
  <c r="BP123" i="5"/>
  <c r="BP153" i="5"/>
  <c r="BP78" i="5"/>
  <c r="BP148" i="5"/>
  <c r="BP39" i="5"/>
  <c r="BP355" i="5"/>
  <c r="BP301" i="5"/>
  <c r="BP73" i="5"/>
  <c r="BP94" i="5"/>
  <c r="BP282" i="5"/>
  <c r="BP283" i="5"/>
  <c r="BP106" i="5"/>
  <c r="BP291" i="5"/>
  <c r="BP127" i="5"/>
  <c r="BP300" i="5"/>
  <c r="BP273" i="5"/>
  <c r="BP77" i="5"/>
  <c r="BP182" i="5"/>
  <c r="BP294" i="5"/>
  <c r="BP21" i="5"/>
  <c r="BP43" i="5"/>
  <c r="BP104" i="5"/>
  <c r="BP259" i="5"/>
  <c r="BP69" i="5"/>
  <c r="BP363" i="5"/>
  <c r="BP317" i="5"/>
  <c r="BP84" i="5"/>
  <c r="BP101" i="5"/>
  <c r="BP320" i="5"/>
  <c r="BP321" i="5"/>
  <c r="BP126" i="5"/>
  <c r="BP322" i="5"/>
  <c r="BP135" i="5"/>
  <c r="BP316" i="5"/>
  <c r="BP288" i="5"/>
  <c r="BP154" i="5"/>
  <c r="BP93" i="5"/>
  <c r="AZ359" i="5"/>
  <c r="AZ339" i="5"/>
  <c r="AZ327" i="5"/>
  <c r="AZ291" i="5"/>
  <c r="AZ91" i="5"/>
  <c r="AZ326" i="5"/>
  <c r="AZ319" i="5"/>
  <c r="AZ102" i="5"/>
  <c r="AZ338" i="5"/>
  <c r="AZ331" i="5"/>
  <c r="AZ158" i="5"/>
  <c r="AZ25" i="5"/>
  <c r="AZ363" i="5"/>
  <c r="AZ330" i="5"/>
  <c r="AZ78" i="5"/>
  <c r="AZ350" i="5"/>
  <c r="AZ85" i="5"/>
  <c r="AZ169" i="5"/>
  <c r="AZ111" i="5"/>
  <c r="AZ358" i="5"/>
  <c r="AZ351" i="5"/>
  <c r="AZ134" i="5"/>
  <c r="AZ281" i="5"/>
  <c r="AZ259" i="5"/>
  <c r="AZ145" i="5"/>
  <c r="AZ318" i="5"/>
  <c r="AZ303" i="5"/>
  <c r="AZ152" i="5"/>
  <c r="AZ362" i="5"/>
  <c r="AZ182" i="5"/>
  <c r="AZ201" i="5"/>
  <c r="AZ178" i="5"/>
  <c r="AZ136" i="5"/>
  <c r="AZ263" i="5"/>
  <c r="AZ279" i="5"/>
  <c r="AZ296" i="5"/>
  <c r="AZ142" i="5"/>
  <c r="AZ39" i="5"/>
  <c r="AZ37" i="5"/>
  <c r="AZ153" i="5"/>
  <c r="AZ105" i="5"/>
  <c r="AZ19" i="5"/>
  <c r="AZ200" i="5"/>
  <c r="AZ49" i="5"/>
  <c r="AZ269" i="5"/>
  <c r="AZ65" i="5"/>
  <c r="AZ361" i="5"/>
  <c r="AZ113" i="5"/>
  <c r="AZ277" i="5"/>
  <c r="AZ34" i="5"/>
  <c r="AZ148" i="5"/>
  <c r="AZ286" i="5"/>
  <c r="AZ365" i="5"/>
  <c r="AZ199" i="5"/>
  <c r="AZ328" i="5"/>
  <c r="AZ272" i="5"/>
  <c r="AZ352" i="5"/>
  <c r="AZ66" i="5"/>
  <c r="AZ28" i="5"/>
  <c r="AZ29" i="5"/>
  <c r="AZ267" i="5"/>
  <c r="AZ325" i="5"/>
  <c r="AZ67" i="5"/>
  <c r="AZ68" i="5"/>
  <c r="AZ289" i="5"/>
  <c r="AZ131" i="5"/>
  <c r="AZ108" i="5"/>
  <c r="AZ97" i="5"/>
  <c r="AZ317" i="5"/>
  <c r="AZ62" i="5"/>
  <c r="AZ288" i="5"/>
  <c r="AZ110" i="5"/>
  <c r="AZ282" i="5"/>
  <c r="AZ99" i="5"/>
  <c r="AZ171" i="5"/>
  <c r="AZ31" i="5"/>
  <c r="AZ183" i="5"/>
  <c r="AZ96" i="5"/>
  <c r="AZ174" i="5"/>
  <c r="AZ321" i="5"/>
  <c r="AZ35" i="5"/>
  <c r="AZ294" i="5"/>
  <c r="AZ354" i="5"/>
  <c r="AZ314" i="5"/>
  <c r="AZ264" i="5"/>
  <c r="AZ168" i="5"/>
  <c r="AZ149" i="5"/>
  <c r="AZ345" i="5"/>
  <c r="AZ61" i="5"/>
  <c r="AZ323" i="5"/>
  <c r="AZ75" i="5"/>
  <c r="AZ196" i="5"/>
  <c r="AZ41" i="5"/>
  <c r="AZ298" i="5"/>
  <c r="AZ284" i="5"/>
  <c r="AZ186" i="5"/>
  <c r="AZ137" i="5"/>
  <c r="AZ300" i="5"/>
  <c r="AZ167" i="5"/>
  <c r="AZ340" i="5"/>
  <c r="AZ320" i="5"/>
  <c r="AZ355" i="5"/>
  <c r="AZ341" i="5"/>
  <c r="AZ349" i="5"/>
  <c r="AZ176" i="5"/>
  <c r="AZ79" i="5"/>
  <c r="AZ32" i="5"/>
  <c r="AZ135" i="5"/>
  <c r="AZ357" i="5"/>
  <c r="AZ90" i="5"/>
  <c r="AZ268" i="5"/>
  <c r="AZ71" i="5"/>
  <c r="AZ50" i="5"/>
  <c r="AZ44" i="5"/>
  <c r="AZ270" i="5"/>
  <c r="AZ21" i="5"/>
  <c r="AZ163" i="5"/>
  <c r="AZ333" i="5"/>
  <c r="AZ273" i="5"/>
  <c r="AZ360" i="5"/>
  <c r="AZ346" i="5"/>
  <c r="AZ336" i="5"/>
  <c r="AZ192" i="5"/>
  <c r="AZ161" i="5"/>
  <c r="AZ101" i="5"/>
  <c r="AZ156" i="5"/>
  <c r="AZ83" i="5"/>
  <c r="AZ63" i="5"/>
  <c r="AZ146" i="5"/>
  <c r="AZ109" i="5"/>
  <c r="AZ33" i="5"/>
  <c r="AZ275" i="5"/>
  <c r="AZ84" i="5"/>
  <c r="AZ72" i="5"/>
  <c r="AZ70" i="5"/>
  <c r="AZ283" i="5"/>
  <c r="AZ73" i="5"/>
  <c r="AZ170" i="5"/>
  <c r="AZ347" i="5"/>
  <c r="AZ287" i="5"/>
  <c r="AZ366" i="5"/>
  <c r="AZ364" i="5"/>
  <c r="AZ342" i="5"/>
  <c r="AZ278" i="5"/>
  <c r="AZ138" i="5"/>
  <c r="AZ69" i="5"/>
  <c r="AZ23" i="5"/>
  <c r="AZ151" i="5"/>
  <c r="AZ150" i="5"/>
  <c r="AZ180" i="5"/>
  <c r="AZ40" i="5"/>
  <c r="AZ290" i="5"/>
  <c r="AZ126" i="5"/>
  <c r="AZ77" i="5"/>
  <c r="AZ76" i="5"/>
  <c r="AZ344" i="5"/>
  <c r="AZ81" i="5"/>
  <c r="AZ181" i="5"/>
  <c r="AZ353" i="5"/>
  <c r="AZ22" i="5"/>
  <c r="AZ301" i="5"/>
  <c r="AZ356" i="5"/>
  <c r="AZ271" i="5"/>
  <c r="AZ36" i="5"/>
  <c r="AZ190" i="5"/>
  <c r="AZ274" i="5"/>
  <c r="AZ177" i="5"/>
  <c r="AZ166" i="5"/>
  <c r="AZ30" i="5"/>
  <c r="AZ280" i="5"/>
  <c r="AZ38" i="5"/>
  <c r="AZ295" i="5"/>
  <c r="AZ140" i="5"/>
  <c r="AZ20" i="5"/>
  <c r="AZ261" i="5"/>
  <c r="AZ175" i="5"/>
  <c r="AZ139" i="5"/>
  <c r="AZ103" i="5"/>
  <c r="AZ265" i="5"/>
  <c r="AZ47" i="5"/>
  <c r="AZ322" i="5"/>
  <c r="AZ292" i="5"/>
  <c r="AZ133" i="5"/>
  <c r="AZ87" i="5"/>
  <c r="AZ106" i="5"/>
  <c r="AZ164" i="5"/>
  <c r="AZ89" i="5"/>
  <c r="AZ86" i="5"/>
  <c r="AZ276" i="5"/>
  <c r="AZ348" i="5"/>
  <c r="AZ193" i="5"/>
  <c r="AZ165" i="5"/>
  <c r="AZ155" i="5"/>
  <c r="AZ60" i="5"/>
  <c r="AZ191" i="5"/>
  <c r="AZ313" i="5"/>
  <c r="AZ92" i="5"/>
  <c r="AZ197" i="5"/>
  <c r="AZ194" i="5"/>
  <c r="AZ157" i="5"/>
  <c r="AZ127" i="5"/>
  <c r="AZ45" i="5"/>
  <c r="AZ337" i="5"/>
  <c r="AZ48" i="5"/>
  <c r="AZ107" i="5"/>
  <c r="AZ123" i="5"/>
  <c r="AZ80" i="5"/>
  <c r="AZ335" i="5"/>
  <c r="AZ184" i="5"/>
  <c r="AZ82" i="5"/>
  <c r="AZ144" i="5"/>
  <c r="AZ18" i="5"/>
  <c r="AZ159" i="5"/>
  <c r="AZ27" i="5"/>
  <c r="AZ285" i="5"/>
  <c r="AZ324" i="5"/>
  <c r="AZ95" i="5"/>
  <c r="AZ173" i="5"/>
  <c r="AZ112" i="5"/>
  <c r="AZ93" i="5"/>
  <c r="AZ147" i="5"/>
  <c r="AZ104" i="5"/>
  <c r="AZ24" i="5"/>
  <c r="AZ187" i="5"/>
  <c r="AZ260" i="5"/>
  <c r="AZ42" i="5"/>
  <c r="AZ125" i="5"/>
  <c r="AZ195" i="5"/>
  <c r="AZ100" i="5"/>
  <c r="AZ299" i="5"/>
  <c r="AZ162" i="5"/>
  <c r="AZ124" i="5"/>
  <c r="AZ128" i="5"/>
  <c r="AZ329" i="5"/>
  <c r="AZ154" i="5"/>
  <c r="AZ302" i="5"/>
  <c r="AZ297" i="5"/>
  <c r="AZ26" i="5"/>
  <c r="AZ88" i="5"/>
  <c r="AZ143" i="5"/>
  <c r="AZ293" i="5"/>
  <c r="AZ266" i="5"/>
  <c r="AZ332" i="5"/>
  <c r="AZ94" i="5"/>
  <c r="AZ198" i="5"/>
  <c r="AZ43" i="5"/>
  <c r="AZ343" i="5"/>
  <c r="AZ64" i="5"/>
  <c r="AZ185" i="5"/>
  <c r="AZ262" i="5"/>
  <c r="AZ315" i="5"/>
  <c r="AZ316" i="5"/>
  <c r="AZ129" i="5"/>
  <c r="AZ98" i="5"/>
  <c r="AZ74" i="5"/>
  <c r="AZ179" i="5"/>
  <c r="AZ172" i="5"/>
  <c r="AZ46" i="5"/>
  <c r="AZ189" i="5"/>
  <c r="AZ334" i="5"/>
  <c r="AZ160" i="5"/>
  <c r="AZ130" i="5"/>
  <c r="AZ141" i="5"/>
  <c r="AZ132" i="5"/>
  <c r="AZ188" i="5"/>
  <c r="D355" i="5"/>
  <c r="P159" i="5"/>
  <c r="P327" i="5"/>
  <c r="P73" i="5"/>
  <c r="P290" i="5"/>
  <c r="P269" i="5"/>
  <c r="P97" i="5"/>
  <c r="P39" i="5"/>
  <c r="P88" i="5"/>
  <c r="P181" i="5"/>
  <c r="P263" i="5"/>
  <c r="P27" i="5"/>
  <c r="D343" i="5"/>
  <c r="D322" i="5"/>
  <c r="D186" i="5"/>
  <c r="D106" i="5"/>
  <c r="D34" i="5"/>
  <c r="X124" i="5"/>
  <c r="X346" i="5"/>
  <c r="X43" i="5"/>
  <c r="X264" i="5"/>
  <c r="X326" i="5"/>
  <c r="X286" i="5"/>
  <c r="X263" i="5"/>
  <c r="X314" i="5"/>
  <c r="X32" i="5"/>
  <c r="X69" i="5"/>
  <c r="X186" i="5"/>
  <c r="X40" i="5"/>
  <c r="X165" i="5"/>
  <c r="X93" i="5"/>
  <c r="X171" i="5"/>
  <c r="X82" i="5"/>
  <c r="X187" i="5"/>
  <c r="X261" i="5"/>
  <c r="X300" i="5"/>
  <c r="X320" i="5"/>
  <c r="X89" i="5"/>
  <c r="X104" i="5"/>
  <c r="X133" i="5"/>
  <c r="X324" i="5"/>
  <c r="X96" i="5"/>
  <c r="X106" i="5"/>
  <c r="X276" i="5"/>
  <c r="X61" i="5"/>
  <c r="X365" i="5"/>
  <c r="X183" i="5"/>
  <c r="X333" i="5"/>
  <c r="D201" i="5"/>
  <c r="D73" i="5"/>
  <c r="BD37" i="5"/>
  <c r="BD111" i="5"/>
  <c r="BD333" i="5"/>
  <c r="BD68" i="5"/>
  <c r="BD335" i="5"/>
  <c r="BD316" i="5"/>
  <c r="BD336" i="5"/>
  <c r="BD270" i="5"/>
  <c r="BD164" i="5"/>
  <c r="BD134" i="5"/>
  <c r="BD82" i="5"/>
  <c r="BD156" i="5"/>
  <c r="BD123" i="5"/>
  <c r="BD83" i="5"/>
  <c r="BD331" i="5"/>
  <c r="BD64" i="5"/>
  <c r="BD109" i="5"/>
  <c r="BD189" i="5"/>
  <c r="BD160" i="5"/>
  <c r="BD89" i="5"/>
  <c r="BD185" i="5"/>
  <c r="BD329" i="5"/>
  <c r="BD139" i="5"/>
  <c r="BD341" i="5"/>
  <c r="D169" i="5"/>
  <c r="BD178" i="5"/>
  <c r="BH23" i="5"/>
  <c r="X79" i="5"/>
  <c r="D344" i="5"/>
  <c r="D264" i="5"/>
  <c r="D144" i="5"/>
  <c r="D72" i="5"/>
  <c r="D199" i="5"/>
  <c r="D71" i="5"/>
  <c r="BD169" i="5"/>
  <c r="D125" i="5"/>
  <c r="D123" i="5"/>
  <c r="BH67" i="5"/>
  <c r="BD357" i="5"/>
  <c r="D143" i="5"/>
  <c r="D134" i="5"/>
  <c r="D317" i="5"/>
  <c r="D29" i="5"/>
  <c r="BD292" i="5"/>
  <c r="BD19" i="5"/>
  <c r="BH32" i="5"/>
  <c r="D366" i="5"/>
  <c r="D294" i="5"/>
  <c r="D174" i="5"/>
  <c r="D38" i="5"/>
  <c r="BD324" i="5"/>
  <c r="D197" i="5"/>
  <c r="D67" i="5"/>
  <c r="BD35" i="5"/>
  <c r="X154" i="5"/>
  <c r="D340" i="5"/>
  <c r="D268" i="5"/>
  <c r="D148" i="5"/>
  <c r="D76" i="5"/>
  <c r="BD158" i="5"/>
  <c r="BD321" i="5"/>
  <c r="D19" i="5"/>
  <c r="L345" i="5"/>
  <c r="L320" i="5"/>
  <c r="L365" i="5"/>
  <c r="L46" i="5"/>
  <c r="L353" i="5"/>
  <c r="L318" i="5"/>
  <c r="L24" i="5"/>
  <c r="L356" i="5"/>
  <c r="L21" i="5"/>
  <c r="L346" i="5"/>
  <c r="L271" i="5"/>
  <c r="L44" i="5"/>
  <c r="L360" i="5"/>
  <c r="L65" i="5"/>
  <c r="L201" i="5"/>
  <c r="L161" i="5"/>
  <c r="L281" i="5"/>
  <c r="L37" i="5"/>
  <c r="L82" i="5"/>
  <c r="L28" i="5"/>
  <c r="L166" i="5"/>
  <c r="L195" i="5"/>
  <c r="L316" i="5"/>
  <c r="L62" i="5"/>
  <c r="L269" i="5"/>
  <c r="L76" i="5"/>
  <c r="L140" i="5"/>
  <c r="L325" i="5"/>
  <c r="L60" i="5"/>
  <c r="L274" i="5"/>
  <c r="L364" i="5"/>
  <c r="L26" i="5"/>
  <c r="L107" i="5"/>
  <c r="L151" i="5"/>
  <c r="L275" i="5"/>
  <c r="L352" i="5"/>
  <c r="L72" i="5"/>
  <c r="L286" i="5"/>
  <c r="L361" i="5"/>
  <c r="L173" i="5"/>
  <c r="L341" i="5"/>
  <c r="L366" i="5"/>
  <c r="L344" i="5"/>
  <c r="L177" i="5"/>
  <c r="L272" i="5"/>
  <c r="L98" i="5"/>
  <c r="L66" i="5"/>
  <c r="L348" i="5"/>
  <c r="L321" i="5"/>
  <c r="L106" i="5"/>
  <c r="L129" i="5"/>
  <c r="L315" i="5"/>
  <c r="L260" i="5"/>
  <c r="L331" i="5"/>
  <c r="L133" i="5"/>
  <c r="L92" i="5"/>
  <c r="L285" i="5"/>
  <c r="L153" i="5"/>
  <c r="L88" i="5"/>
  <c r="L164" i="5"/>
  <c r="L75" i="5"/>
  <c r="L290" i="5"/>
  <c r="L39" i="5"/>
  <c r="L127" i="5"/>
  <c r="L159" i="5"/>
  <c r="L291" i="5"/>
  <c r="L180" i="5"/>
  <c r="L302" i="5"/>
  <c r="L338" i="5"/>
  <c r="L137" i="5"/>
  <c r="L29" i="5"/>
  <c r="L185" i="5"/>
  <c r="L288" i="5"/>
  <c r="L141" i="5"/>
  <c r="L289" i="5"/>
  <c r="L102" i="5"/>
  <c r="L337" i="5"/>
  <c r="L297" i="5"/>
  <c r="L74" i="5"/>
  <c r="L350" i="5"/>
  <c r="L179" i="5"/>
  <c r="L276" i="5"/>
  <c r="L169" i="5"/>
  <c r="L108" i="5"/>
  <c r="L301" i="5"/>
  <c r="L303" i="5"/>
  <c r="L104" i="5"/>
  <c r="L41" i="5"/>
  <c r="L25" i="5"/>
  <c r="L182" i="5"/>
  <c r="L326" i="5"/>
  <c r="L69" i="5"/>
  <c r="L135" i="5"/>
  <c r="L167" i="5"/>
  <c r="L314" i="5"/>
  <c r="L34" i="5"/>
  <c r="L196" i="5"/>
  <c r="L336" i="5"/>
  <c r="L181" i="5"/>
  <c r="L335" i="5"/>
  <c r="L78" i="5"/>
  <c r="L86" i="5"/>
  <c r="L322" i="5"/>
  <c r="L363" i="5"/>
  <c r="L199" i="5"/>
  <c r="L149" i="5"/>
  <c r="L261" i="5"/>
  <c r="L125" i="5"/>
  <c r="L124" i="5"/>
  <c r="L31" i="5"/>
  <c r="L282" i="5"/>
  <c r="L61" i="5"/>
  <c r="L147" i="5"/>
  <c r="L327" i="5"/>
  <c r="L64" i="5"/>
  <c r="L342" i="5"/>
  <c r="L33" i="5"/>
  <c r="L362" i="5"/>
  <c r="L193" i="5"/>
  <c r="L313" i="5"/>
  <c r="L142" i="5"/>
  <c r="L329" i="5"/>
  <c r="L36" i="5"/>
  <c r="L284" i="5"/>
  <c r="L293" i="5"/>
  <c r="L156" i="5"/>
  <c r="L45" i="5"/>
  <c r="L339" i="5"/>
  <c r="L91" i="5"/>
  <c r="L163" i="5"/>
  <c r="L340" i="5"/>
  <c r="L188" i="5"/>
  <c r="L354" i="5"/>
  <c r="L197" i="5"/>
  <c r="L355" i="5"/>
  <c r="L265" i="5"/>
  <c r="L343" i="5"/>
  <c r="L145" i="5"/>
  <c r="L90" i="5"/>
  <c r="L292" i="5"/>
  <c r="L324" i="5"/>
  <c r="L40" i="5"/>
  <c r="L27" i="5"/>
  <c r="L68" i="5"/>
  <c r="L351" i="5"/>
  <c r="L99" i="5"/>
  <c r="L171" i="5"/>
  <c r="L358" i="5"/>
  <c r="L262" i="5"/>
  <c r="L30" i="5"/>
  <c r="L35" i="5"/>
  <c r="L264" i="5"/>
  <c r="L105" i="5"/>
  <c r="L328" i="5"/>
  <c r="L349" i="5"/>
  <c r="L23" i="5"/>
  <c r="L110" i="5"/>
  <c r="L175" i="5"/>
  <c r="L300" i="5"/>
  <c r="L80" i="5"/>
  <c r="L332" i="5"/>
  <c r="L70" i="5"/>
  <c r="L47" i="5"/>
  <c r="L174" i="5"/>
  <c r="L357" i="5"/>
  <c r="L123" i="5"/>
  <c r="L259" i="5"/>
  <c r="L270" i="5"/>
  <c r="L165" i="5"/>
  <c r="L295" i="5"/>
  <c r="L49" i="5"/>
  <c r="L296" i="5"/>
  <c r="L279" i="5"/>
  <c r="L89" i="5"/>
  <c r="L134" i="5"/>
  <c r="L273" i="5"/>
  <c r="L187" i="5"/>
  <c r="L148" i="5"/>
  <c r="L96" i="5"/>
  <c r="L71" i="5"/>
  <c r="L198" i="5"/>
  <c r="L20" i="5"/>
  <c r="L139" i="5"/>
  <c r="L283" i="5"/>
  <c r="L42" i="5"/>
  <c r="L294" i="5"/>
  <c r="L43" i="5"/>
  <c r="L50" i="5"/>
  <c r="L191" i="5"/>
  <c r="L100" i="5"/>
  <c r="L263" i="5"/>
  <c r="L267" i="5"/>
  <c r="L73" i="5"/>
  <c r="L157" i="5"/>
  <c r="L126" i="5"/>
  <c r="L268" i="5"/>
  <c r="L172" i="5"/>
  <c r="L84" i="5"/>
  <c r="L299" i="5"/>
  <c r="L22" i="5"/>
  <c r="L189" i="5"/>
  <c r="L334" i="5"/>
  <c r="L323" i="5"/>
  <c r="L277" i="5"/>
  <c r="L112" i="5"/>
  <c r="L333" i="5"/>
  <c r="L48" i="5"/>
  <c r="L170" i="5"/>
  <c r="L178" i="5"/>
  <c r="L200" i="5"/>
  <c r="L194" i="5"/>
  <c r="L280" i="5"/>
  <c r="L158" i="5"/>
  <c r="L94" i="5"/>
  <c r="L97" i="5"/>
  <c r="L132" i="5"/>
  <c r="L19" i="5"/>
  <c r="L32" i="5"/>
  <c r="L81" i="5"/>
  <c r="L319" i="5"/>
  <c r="L67" i="5"/>
  <c r="L18" i="5"/>
  <c r="L150" i="5"/>
  <c r="L63" i="5"/>
  <c r="L38" i="5"/>
  <c r="L83" i="5"/>
  <c r="L278" i="5"/>
  <c r="L330" i="5"/>
  <c r="L359" i="5"/>
  <c r="L190" i="5"/>
  <c r="L131" i="5"/>
  <c r="L317" i="5"/>
  <c r="L113" i="5"/>
  <c r="L266" i="5"/>
  <c r="L143" i="5"/>
  <c r="L347" i="5"/>
  <c r="L87" i="5"/>
  <c r="L109" i="5"/>
  <c r="L136" i="5"/>
  <c r="L130" i="5"/>
  <c r="L95" i="5"/>
  <c r="L168" i="5"/>
  <c r="L186" i="5"/>
  <c r="L298" i="5"/>
  <c r="L128" i="5"/>
  <c r="L146" i="5"/>
  <c r="L79" i="5"/>
  <c r="L101" i="5"/>
  <c r="L93" i="5"/>
  <c r="L152" i="5"/>
  <c r="L160" i="5"/>
  <c r="L85" i="5"/>
  <c r="L155" i="5"/>
  <c r="L138" i="5"/>
  <c r="L192" i="5"/>
  <c r="L111" i="5"/>
  <c r="L144" i="5"/>
  <c r="L183" i="5"/>
  <c r="L287" i="5"/>
  <c r="L184" i="5"/>
  <c r="L103" i="5"/>
  <c r="L162" i="5"/>
  <c r="L77" i="5"/>
  <c r="L154" i="5"/>
  <c r="L176" i="5"/>
  <c r="AB358" i="5"/>
  <c r="AB345" i="5"/>
  <c r="AB339" i="5"/>
  <c r="AB357" i="5"/>
  <c r="AB331" i="5"/>
  <c r="AB318" i="5"/>
  <c r="AB323" i="5"/>
  <c r="AB313" i="5"/>
  <c r="AB299" i="5"/>
  <c r="AB366" i="5"/>
  <c r="AB342" i="5"/>
  <c r="AB317" i="5"/>
  <c r="AB316" i="5"/>
  <c r="AB301" i="5"/>
  <c r="AB287" i="5"/>
  <c r="AB182" i="5"/>
  <c r="AB171" i="5"/>
  <c r="AB293" i="5"/>
  <c r="AB189" i="5"/>
  <c r="AB91" i="5"/>
  <c r="AB44" i="5"/>
  <c r="AB104" i="5"/>
  <c r="AB94" i="5"/>
  <c r="AB30" i="5"/>
  <c r="AB24" i="5"/>
  <c r="AB359" i="5"/>
  <c r="AB75" i="5"/>
  <c r="AB48" i="5"/>
  <c r="AB36" i="5"/>
  <c r="AB365" i="5"/>
  <c r="AB284" i="5"/>
  <c r="AB261" i="5"/>
  <c r="AB86" i="5"/>
  <c r="AB334" i="5"/>
  <c r="AB68" i="5"/>
  <c r="AB28" i="5"/>
  <c r="AB133" i="5"/>
  <c r="AB99" i="5"/>
  <c r="AB60" i="5"/>
  <c r="AB46" i="5"/>
  <c r="AB40" i="5"/>
  <c r="AB102" i="5"/>
  <c r="AB179" i="5"/>
  <c r="AB20" i="5"/>
  <c r="AB34" i="5"/>
  <c r="AB275" i="5"/>
  <c r="AB61" i="5"/>
  <c r="AB188" i="5"/>
  <c r="AB131" i="5"/>
  <c r="AB135" i="5"/>
  <c r="AB314" i="5"/>
  <c r="AB64" i="5"/>
  <c r="AB163" i="5"/>
  <c r="AB322" i="5"/>
  <c r="AB25" i="5"/>
  <c r="AB148" i="5"/>
  <c r="AB19" i="5"/>
  <c r="AB198" i="5"/>
  <c r="AB27" i="5"/>
  <c r="AB162" i="5"/>
  <c r="AB298" i="5"/>
  <c r="AB33" i="5"/>
  <c r="AB155" i="5"/>
  <c r="AB267" i="5"/>
  <c r="AB356" i="5"/>
  <c r="AB324" i="5"/>
  <c r="AB62" i="5"/>
  <c r="AB185" i="5"/>
  <c r="AB351" i="5"/>
  <c r="AB96" i="5"/>
  <c r="AB137" i="5"/>
  <c r="AB153" i="5"/>
  <c r="AB103" i="5"/>
  <c r="AB289" i="5"/>
  <c r="AB100" i="5"/>
  <c r="AB276" i="5"/>
  <c r="AB23" i="5"/>
  <c r="AB200" i="5"/>
  <c r="AB143" i="5"/>
  <c r="AB76" i="5"/>
  <c r="AB193" i="5"/>
  <c r="AB38" i="5"/>
  <c r="AB175" i="5"/>
  <c r="AB32" i="5"/>
  <c r="AB273" i="5"/>
  <c r="AB45" i="5"/>
  <c r="AB180" i="5"/>
  <c r="AB335" i="5"/>
  <c r="AB112" i="5"/>
  <c r="AB145" i="5"/>
  <c r="AB130" i="5"/>
  <c r="AB341" i="5"/>
  <c r="AB22" i="5"/>
  <c r="AB142" i="5"/>
  <c r="AB297" i="5"/>
  <c r="AB79" i="5"/>
  <c r="AB277" i="5"/>
  <c r="AB43" i="5"/>
  <c r="AB174" i="5"/>
  <c r="AB98" i="5"/>
  <c r="AB263" i="5"/>
  <c r="AB65" i="5"/>
  <c r="AB201" i="5"/>
  <c r="AB113" i="5"/>
  <c r="AB73" i="5"/>
  <c r="AB187" i="5"/>
  <c r="AB360" i="5"/>
  <c r="AB111" i="5"/>
  <c r="AB191" i="5"/>
  <c r="AB292" i="5"/>
  <c r="AB349" i="5"/>
  <c r="AB134" i="5"/>
  <c r="AB294" i="5"/>
  <c r="AB78" i="5"/>
  <c r="AB90" i="5"/>
  <c r="AB269" i="5"/>
  <c r="AB70" i="5"/>
  <c r="AB167" i="5"/>
  <c r="AB31" i="5"/>
  <c r="AB272" i="5"/>
  <c r="AB347" i="5"/>
  <c r="AB183" i="5"/>
  <c r="AB161" i="5"/>
  <c r="AB146" i="5"/>
  <c r="AB328" i="5"/>
  <c r="AB139" i="5"/>
  <c r="AB49" i="5"/>
  <c r="AB271" i="5"/>
  <c r="AB72" i="5"/>
  <c r="AB26" i="5"/>
  <c r="AB39" i="5"/>
  <c r="AB266" i="5"/>
  <c r="AB129" i="5"/>
  <c r="AB260" i="5"/>
  <c r="AB42" i="5"/>
  <c r="AB270" i="5"/>
  <c r="AB327" i="5"/>
  <c r="AB363" i="5"/>
  <c r="AB165" i="5"/>
  <c r="AB150" i="5"/>
  <c r="AB29" i="5"/>
  <c r="AB147" i="5"/>
  <c r="AB71" i="5"/>
  <c r="AB279" i="5"/>
  <c r="AB88" i="5"/>
  <c r="AB81" i="5"/>
  <c r="AB66" i="5"/>
  <c r="AB280" i="5"/>
  <c r="AB172" i="5"/>
  <c r="AB169" i="5"/>
  <c r="AB154" i="5"/>
  <c r="AB83" i="5"/>
  <c r="AB178" i="5"/>
  <c r="AB80" i="5"/>
  <c r="AB300" i="5"/>
  <c r="AB95" i="5"/>
  <c r="AB125" i="5"/>
  <c r="AB87" i="5"/>
  <c r="AB329" i="5"/>
  <c r="AB151" i="5"/>
  <c r="AB281" i="5"/>
  <c r="AB337" i="5"/>
  <c r="AB82" i="5"/>
  <c r="AB319" i="5"/>
  <c r="AB320" i="5"/>
  <c r="AB346" i="5"/>
  <c r="AB157" i="5"/>
  <c r="AB106" i="5"/>
  <c r="AB282" i="5"/>
  <c r="AB303" i="5"/>
  <c r="AB41" i="5"/>
  <c r="AB290" i="5"/>
  <c r="AB127" i="5"/>
  <c r="AB285" i="5"/>
  <c r="AB132" i="5"/>
  <c r="AB186" i="5"/>
  <c r="AB194" i="5"/>
  <c r="AB158" i="5"/>
  <c r="AB21" i="5"/>
  <c r="AB170" i="5"/>
  <c r="AB330" i="5"/>
  <c r="AB362" i="5"/>
  <c r="AB344" i="5"/>
  <c r="AB138" i="5"/>
  <c r="AB332" i="5"/>
  <c r="AB333" i="5"/>
  <c r="AB181" i="5"/>
  <c r="AB197" i="5"/>
  <c r="AB156" i="5"/>
  <c r="AB74" i="5"/>
  <c r="AB286" i="5"/>
  <c r="AB350" i="5"/>
  <c r="AB69" i="5"/>
  <c r="AB364" i="5"/>
  <c r="AB302" i="5"/>
  <c r="AB141" i="5"/>
  <c r="AB291" i="5"/>
  <c r="AB264" i="5"/>
  <c r="AB97" i="5"/>
  <c r="AB84" i="5"/>
  <c r="AB336" i="5"/>
  <c r="AB92" i="5"/>
  <c r="AB321" i="5"/>
  <c r="AB295" i="5"/>
  <c r="AB35" i="5"/>
  <c r="AB354" i="5"/>
  <c r="AB190" i="5"/>
  <c r="AB173" i="5"/>
  <c r="AB140" i="5"/>
  <c r="AB348" i="5"/>
  <c r="AB149" i="5"/>
  <c r="AB340" i="5"/>
  <c r="AB47" i="5"/>
  <c r="AB265" i="5"/>
  <c r="AB259" i="5"/>
  <c r="AB166" i="5"/>
  <c r="AB361" i="5"/>
  <c r="AB164" i="5"/>
  <c r="AB353" i="5"/>
  <c r="AB107" i="5"/>
  <c r="AB63" i="5"/>
  <c r="AB355" i="5"/>
  <c r="AB177" i="5"/>
  <c r="AB262" i="5"/>
  <c r="AB268" i="5"/>
  <c r="AB108" i="5"/>
  <c r="AB37" i="5"/>
  <c r="AB195" i="5"/>
  <c r="AB288" i="5"/>
  <c r="AB315" i="5"/>
  <c r="AB126" i="5"/>
  <c r="AB278" i="5"/>
  <c r="AB124" i="5"/>
  <c r="AB18" i="5"/>
  <c r="AB199" i="5"/>
  <c r="AB343" i="5"/>
  <c r="AB325" i="5"/>
  <c r="AB326" i="5"/>
  <c r="AB168" i="5"/>
  <c r="AB93" i="5"/>
  <c r="AB160" i="5"/>
  <c r="AB50" i="5"/>
  <c r="AB152" i="5"/>
  <c r="AB123" i="5"/>
  <c r="AB67" i="5"/>
  <c r="AB338" i="5"/>
  <c r="AB89" i="5"/>
  <c r="AB184" i="5"/>
  <c r="AB274" i="5"/>
  <c r="AB296" i="5"/>
  <c r="AB105" i="5"/>
  <c r="AB196" i="5"/>
  <c r="AB283" i="5"/>
  <c r="AB128" i="5"/>
  <c r="AB85" i="5"/>
  <c r="AB144" i="5"/>
  <c r="AB101" i="5"/>
  <c r="AB352" i="5"/>
  <c r="AB176" i="5"/>
  <c r="AB159" i="5"/>
  <c r="AB77" i="5"/>
  <c r="AB192" i="5"/>
  <c r="AB110" i="5"/>
  <c r="AB136" i="5"/>
  <c r="AB109" i="5"/>
  <c r="AN303" i="5"/>
  <c r="AN267" i="5"/>
  <c r="AN181" i="5"/>
  <c r="AN178" i="5"/>
  <c r="AN139" i="5"/>
  <c r="AN124" i="5"/>
  <c r="AN113" i="5"/>
  <c r="AN110" i="5"/>
  <c r="AN366" i="5"/>
  <c r="AN360" i="5"/>
  <c r="AN336" i="5"/>
  <c r="AN270" i="5"/>
  <c r="AN149" i="5"/>
  <c r="AN295" i="5"/>
  <c r="AN282" i="5"/>
  <c r="AN275" i="5"/>
  <c r="AN164" i="5"/>
  <c r="AN348" i="5"/>
  <c r="AN362" i="5"/>
  <c r="AN287" i="5"/>
  <c r="AN20" i="5"/>
  <c r="AN109" i="5"/>
  <c r="AN330" i="5"/>
  <c r="AN112" i="5"/>
  <c r="AN173" i="5"/>
  <c r="AN123" i="5"/>
  <c r="AN290" i="5"/>
  <c r="AN130" i="5"/>
  <c r="AN262" i="5"/>
  <c r="AN180" i="5"/>
  <c r="AN147" i="5"/>
  <c r="AN291" i="5"/>
  <c r="AN19" i="5"/>
  <c r="AN286" i="5"/>
  <c r="AN27" i="5"/>
  <c r="AN140" i="5"/>
  <c r="AN129" i="5"/>
  <c r="AN359" i="5"/>
  <c r="AN63" i="5"/>
  <c r="AN24" i="5"/>
  <c r="AN77" i="5"/>
  <c r="AN263" i="5"/>
  <c r="AN352" i="5"/>
  <c r="AN81" i="5"/>
  <c r="AN74" i="5"/>
  <c r="AN293" i="5"/>
  <c r="AN266" i="5"/>
  <c r="AN44" i="5"/>
  <c r="AN47" i="5"/>
  <c r="AN154" i="5"/>
  <c r="AN193" i="5"/>
  <c r="AN155" i="5"/>
  <c r="AN50" i="5"/>
  <c r="AN316" i="5"/>
  <c r="AN67" i="5"/>
  <c r="AN68" i="5"/>
  <c r="AN168" i="5"/>
  <c r="AN268" i="5"/>
  <c r="AN184" i="5"/>
  <c r="AN144" i="5"/>
  <c r="AN289" i="5"/>
  <c r="AN70" i="5"/>
  <c r="AN194" i="5"/>
  <c r="AN351" i="5"/>
  <c r="AN41" i="5"/>
  <c r="AN174" i="5"/>
  <c r="AN338" i="5"/>
  <c r="AN88" i="5"/>
  <c r="AN325" i="5"/>
  <c r="AN96" i="5"/>
  <c r="AN188" i="5"/>
  <c r="AN326" i="5"/>
  <c r="AN313" i="5"/>
  <c r="AN25" i="5"/>
  <c r="AN271" i="5"/>
  <c r="AN163" i="5"/>
  <c r="AN78" i="5"/>
  <c r="AN179" i="5"/>
  <c r="AN91" i="5"/>
  <c r="AN187" i="5"/>
  <c r="AN327" i="5"/>
  <c r="AN296" i="5"/>
  <c r="AN165" i="5"/>
  <c r="AN314" i="5"/>
  <c r="AN98" i="5"/>
  <c r="AN277" i="5"/>
  <c r="AN364" i="5"/>
  <c r="AN64" i="5"/>
  <c r="AN195" i="5"/>
  <c r="AN32" i="5"/>
  <c r="AN85" i="5"/>
  <c r="AN285" i="5"/>
  <c r="AN323" i="5"/>
  <c r="AN106" i="5"/>
  <c r="AN294" i="5"/>
  <c r="AN125" i="5"/>
  <c r="AN302" i="5"/>
  <c r="AN38" i="5"/>
  <c r="AN342" i="5"/>
  <c r="AN328" i="5"/>
  <c r="AN61" i="5"/>
  <c r="AN189" i="5"/>
  <c r="AN329" i="5"/>
  <c r="AN134" i="5"/>
  <c r="AN301" i="5"/>
  <c r="AN99" i="5"/>
  <c r="AN272" i="5"/>
  <c r="AN42" i="5"/>
  <c r="AN261" i="5"/>
  <c r="AN146" i="5"/>
  <c r="AN281" i="5"/>
  <c r="AN361" i="5"/>
  <c r="AN298" i="5"/>
  <c r="AN159" i="5"/>
  <c r="AN43" i="5"/>
  <c r="AN28" i="5"/>
  <c r="AN137" i="5"/>
  <c r="AN111" i="5"/>
  <c r="AN269" i="5"/>
  <c r="AN264" i="5"/>
  <c r="AN138" i="5"/>
  <c r="AN358" i="5"/>
  <c r="AN260" i="5"/>
  <c r="AN29" i="5"/>
  <c r="AN273" i="5"/>
  <c r="AN196" i="5"/>
  <c r="AN18" i="5"/>
  <c r="AN337" i="5"/>
  <c r="AN299" i="5"/>
  <c r="AN66" i="5"/>
  <c r="AN36" i="5"/>
  <c r="AN141" i="5"/>
  <c r="AN161" i="5"/>
  <c r="AN320" i="5"/>
  <c r="AN276" i="5"/>
  <c r="AN177" i="5"/>
  <c r="AN33" i="5"/>
  <c r="AN345" i="5"/>
  <c r="AN86" i="5"/>
  <c r="AN132" i="5"/>
  <c r="AN145" i="5"/>
  <c r="AN176" i="5"/>
  <c r="AN335" i="5"/>
  <c r="AN45" i="5"/>
  <c r="AN283" i="5"/>
  <c r="AN190" i="5"/>
  <c r="AN48" i="5"/>
  <c r="AN324" i="5"/>
  <c r="AN49" i="5"/>
  <c r="AN317" i="5"/>
  <c r="AN104" i="5"/>
  <c r="AN292" i="5"/>
  <c r="AN198" i="5"/>
  <c r="AN97" i="5"/>
  <c r="AN148" i="5"/>
  <c r="AN259" i="5"/>
  <c r="AN21" i="5"/>
  <c r="AN172" i="5"/>
  <c r="AN319" i="5"/>
  <c r="AN365" i="5"/>
  <c r="AN69" i="5"/>
  <c r="AN300" i="5"/>
  <c r="AN265" i="5"/>
  <c r="AN80" i="5"/>
  <c r="AN331" i="5"/>
  <c r="AN65" i="5"/>
  <c r="AN332" i="5"/>
  <c r="AN136" i="5"/>
  <c r="AN297" i="5"/>
  <c r="AN143" i="5"/>
  <c r="AN182" i="5"/>
  <c r="AN37" i="5"/>
  <c r="AN288" i="5"/>
  <c r="AN334" i="5"/>
  <c r="AN94" i="5"/>
  <c r="AN321" i="5"/>
  <c r="AN46" i="5"/>
  <c r="AN284" i="5"/>
  <c r="AN103" i="5"/>
  <c r="AN346" i="5"/>
  <c r="AN72" i="5"/>
  <c r="AN347" i="5"/>
  <c r="AN153" i="5"/>
  <c r="AN318" i="5"/>
  <c r="AN71" i="5"/>
  <c r="AN170" i="5"/>
  <c r="AN26" i="5"/>
  <c r="AN186" i="5"/>
  <c r="AN60" i="5"/>
  <c r="AN341" i="5"/>
  <c r="AN349" i="5"/>
  <c r="AN133" i="5"/>
  <c r="AN343" i="5"/>
  <c r="AN62" i="5"/>
  <c r="AN315" i="5"/>
  <c r="AN40" i="5"/>
  <c r="AN201" i="5"/>
  <c r="AN34" i="5"/>
  <c r="AN87" i="5"/>
  <c r="AN356" i="5"/>
  <c r="AN357" i="5"/>
  <c r="AN31" i="5"/>
  <c r="AN162" i="5"/>
  <c r="AN350" i="5"/>
  <c r="AN79" i="5"/>
  <c r="AN322" i="5"/>
  <c r="AN152" i="5"/>
  <c r="AN160" i="5"/>
  <c r="AN185" i="5"/>
  <c r="AN340" i="5"/>
  <c r="AN353" i="5"/>
  <c r="AN89" i="5"/>
  <c r="AN200" i="5"/>
  <c r="AN142" i="5"/>
  <c r="AN92" i="5"/>
  <c r="AN107" i="5"/>
  <c r="AN30" i="5"/>
  <c r="AN344" i="5"/>
  <c r="AN279" i="5"/>
  <c r="AN280" i="5"/>
  <c r="AN333" i="5"/>
  <c r="AN197" i="5"/>
  <c r="AN90" i="5"/>
  <c r="AN135" i="5"/>
  <c r="AN354" i="5"/>
  <c r="AN355" i="5"/>
  <c r="AN157" i="5"/>
  <c r="AN183" i="5"/>
  <c r="AN75" i="5"/>
  <c r="AN169" i="5"/>
  <c r="AN339" i="5"/>
  <c r="AN108" i="5"/>
  <c r="AN76" i="5"/>
  <c r="AN84" i="5"/>
  <c r="AN93" i="5"/>
  <c r="AN199" i="5"/>
  <c r="AN95" i="5"/>
  <c r="AN363" i="5"/>
  <c r="AN151" i="5"/>
  <c r="AN158" i="5"/>
  <c r="AN127" i="5"/>
  <c r="AN128" i="5"/>
  <c r="AN23" i="5"/>
  <c r="AN100" i="5"/>
  <c r="AN105" i="5"/>
  <c r="AN82" i="5"/>
  <c r="AN101" i="5"/>
  <c r="AN171" i="5"/>
  <c r="AN150" i="5"/>
  <c r="AN73" i="5"/>
  <c r="AN22" i="5"/>
  <c r="AN35" i="5"/>
  <c r="AN175" i="5"/>
  <c r="AN39" i="5"/>
  <c r="AN131" i="5"/>
  <c r="AN156" i="5"/>
  <c r="AN192" i="5"/>
  <c r="AN166" i="5"/>
  <c r="AN83" i="5"/>
  <c r="AN278" i="5"/>
  <c r="AN102" i="5"/>
  <c r="AN191" i="5"/>
  <c r="AN167" i="5"/>
  <c r="AN274" i="5"/>
  <c r="AN126" i="5"/>
  <c r="BD138" i="5"/>
  <c r="D283" i="5"/>
  <c r="P342" i="5"/>
  <c r="P349" i="5"/>
  <c r="P33" i="5"/>
  <c r="P288" i="5"/>
  <c r="P142" i="5"/>
  <c r="P83" i="5"/>
  <c r="P341" i="5"/>
  <c r="P331" i="5"/>
  <c r="P339" i="5"/>
  <c r="P363" i="5"/>
  <c r="P75" i="5"/>
  <c r="P334" i="5"/>
  <c r="P196" i="5"/>
  <c r="P36" i="5"/>
  <c r="P46" i="5"/>
  <c r="P169" i="5"/>
  <c r="D271" i="5"/>
  <c r="BD73" i="5"/>
  <c r="BD86" i="5"/>
  <c r="X138" i="5"/>
  <c r="AR137" i="5"/>
  <c r="AR163" i="5"/>
  <c r="AR326" i="5"/>
  <c r="AR187" i="5"/>
  <c r="AR184" i="5"/>
  <c r="AR169" i="5"/>
  <c r="AR166" i="5"/>
  <c r="AR109" i="5"/>
  <c r="AR28" i="5"/>
  <c r="AR331" i="5"/>
  <c r="AR128" i="5"/>
  <c r="AR318" i="5"/>
  <c r="AR303" i="5"/>
  <c r="AR146" i="5"/>
  <c r="AR186" i="5"/>
  <c r="AR179" i="5"/>
  <c r="AR168" i="5"/>
  <c r="AR142" i="5"/>
  <c r="AR349" i="5"/>
  <c r="AR200" i="5"/>
  <c r="AR41" i="5"/>
  <c r="AR355" i="5"/>
  <c r="AR95" i="5"/>
  <c r="AR63" i="5"/>
  <c r="AR27" i="5"/>
  <c r="AR21" i="5"/>
  <c r="AR91" i="5"/>
  <c r="AR25" i="5"/>
  <c r="AR19" i="5"/>
  <c r="AR36" i="5"/>
  <c r="AR29" i="5"/>
  <c r="AR334" i="5"/>
  <c r="AR346" i="5"/>
  <c r="AR50" i="5"/>
  <c r="AR37" i="5"/>
  <c r="AR342" i="5"/>
  <c r="AR201" i="5"/>
  <c r="AR40" i="5"/>
  <c r="AR316" i="5"/>
  <c r="AR88" i="5"/>
  <c r="AR363" i="5"/>
  <c r="AR64" i="5"/>
  <c r="AR20" i="5"/>
  <c r="AR89" i="5"/>
  <c r="AR270" i="5"/>
  <c r="AR364" i="5"/>
  <c r="AR176" i="5"/>
  <c r="AR136" i="5"/>
  <c r="AR345" i="5"/>
  <c r="AR177" i="5"/>
  <c r="AR319" i="5"/>
  <c r="AR75" i="5"/>
  <c r="AR266" i="5"/>
  <c r="AR360" i="5"/>
  <c r="AR69" i="5"/>
  <c r="AR170" i="5"/>
  <c r="AR321" i="5"/>
  <c r="AR322" i="5"/>
  <c r="AR60" i="5"/>
  <c r="AR182" i="5"/>
  <c r="AR325" i="5"/>
  <c r="AR22" i="5"/>
  <c r="AR101" i="5"/>
  <c r="AR268" i="5"/>
  <c r="AR343" i="5"/>
  <c r="AR155" i="5"/>
  <c r="AR333" i="5"/>
  <c r="AR42" i="5"/>
  <c r="AR76" i="5"/>
  <c r="AR261" i="5"/>
  <c r="AR31" i="5"/>
  <c r="AR104" i="5"/>
  <c r="AR286" i="5"/>
  <c r="AR324" i="5"/>
  <c r="AR264" i="5"/>
  <c r="AR366" i="5"/>
  <c r="AR34" i="5"/>
  <c r="AR198" i="5"/>
  <c r="AR352" i="5"/>
  <c r="AR84" i="5"/>
  <c r="AR277" i="5"/>
  <c r="AR72" i="5"/>
  <c r="AR171" i="5"/>
  <c r="AR302" i="5"/>
  <c r="AR150" i="5"/>
  <c r="AR344" i="5"/>
  <c r="AR280" i="5"/>
  <c r="AR67" i="5"/>
  <c r="AR273" i="5"/>
  <c r="AR23" i="5"/>
  <c r="AR144" i="5"/>
  <c r="AR298" i="5"/>
  <c r="AR152" i="5"/>
  <c r="AR188" i="5"/>
  <c r="AR354" i="5"/>
  <c r="AR130" i="5"/>
  <c r="AR96" i="5"/>
  <c r="AR283" i="5"/>
  <c r="AR66" i="5"/>
  <c r="AR161" i="5"/>
  <c r="AR300" i="5"/>
  <c r="AR279" i="5"/>
  <c r="AR365" i="5"/>
  <c r="AR70" i="5"/>
  <c r="AR92" i="5"/>
  <c r="AR26" i="5"/>
  <c r="AR197" i="5"/>
  <c r="AR337" i="5"/>
  <c r="AR173" i="5"/>
  <c r="AR68" i="5"/>
  <c r="AR282" i="5"/>
  <c r="AR18" i="5"/>
  <c r="AR167" i="5"/>
  <c r="AR340" i="5"/>
  <c r="AR44" i="5"/>
  <c r="AR267" i="5"/>
  <c r="AR45" i="5"/>
  <c r="AR175" i="5"/>
  <c r="AR336" i="5"/>
  <c r="AR328" i="5"/>
  <c r="AR80" i="5"/>
  <c r="AR269" i="5"/>
  <c r="AR43" i="5"/>
  <c r="AR262" i="5"/>
  <c r="AR32" i="5"/>
  <c r="AR30" i="5"/>
  <c r="AR111" i="5"/>
  <c r="AR285" i="5"/>
  <c r="AR77" i="5"/>
  <c r="AR278" i="5"/>
  <c r="AR154" i="5"/>
  <c r="AR265" i="5"/>
  <c r="AR87" i="5"/>
  <c r="AR313" i="5"/>
  <c r="AR48" i="5"/>
  <c r="AR178" i="5"/>
  <c r="AR103" i="5"/>
  <c r="AR73" i="5"/>
  <c r="AR291" i="5"/>
  <c r="AR74" i="5"/>
  <c r="AR193" i="5"/>
  <c r="AR151" i="5"/>
  <c r="AR351" i="5"/>
  <c r="AR106" i="5"/>
  <c r="AR98" i="5"/>
  <c r="AR329" i="5"/>
  <c r="AR123" i="5"/>
  <c r="AR293" i="5"/>
  <c r="AR81" i="5"/>
  <c r="AR294" i="5"/>
  <c r="AR158" i="5"/>
  <c r="AR132" i="5"/>
  <c r="AR281" i="5"/>
  <c r="AR129" i="5"/>
  <c r="AR332" i="5"/>
  <c r="AR110" i="5"/>
  <c r="AR185" i="5"/>
  <c r="AR107" i="5"/>
  <c r="AR93" i="5"/>
  <c r="AR299" i="5"/>
  <c r="AR78" i="5"/>
  <c r="AR276" i="5"/>
  <c r="AR159" i="5"/>
  <c r="AR357" i="5"/>
  <c r="AR62" i="5"/>
  <c r="AR127" i="5"/>
  <c r="AR301" i="5"/>
  <c r="AR49" i="5"/>
  <c r="AR85" i="5"/>
  <c r="AR317" i="5"/>
  <c r="AR162" i="5"/>
  <c r="AR143" i="5"/>
  <c r="AR289" i="5"/>
  <c r="AR147" i="5"/>
  <c r="AR353" i="5"/>
  <c r="AR126" i="5"/>
  <c r="AR192" i="5"/>
  <c r="AR134" i="5"/>
  <c r="AR112" i="5"/>
  <c r="AR314" i="5"/>
  <c r="AR90" i="5"/>
  <c r="AR284" i="5"/>
  <c r="AR263" i="5"/>
  <c r="AR323" i="5"/>
  <c r="AR100" i="5"/>
  <c r="AR335" i="5"/>
  <c r="AR190" i="5"/>
  <c r="AR272" i="5"/>
  <c r="AR194" i="5"/>
  <c r="AR108" i="5"/>
  <c r="AR356" i="5"/>
  <c r="AR330" i="5"/>
  <c r="AR288" i="5"/>
  <c r="AR86" i="5"/>
  <c r="AR338" i="5"/>
  <c r="AR35" i="5"/>
  <c r="AR199" i="5"/>
  <c r="AR156" i="5"/>
  <c r="AR259" i="5"/>
  <c r="AR260" i="5"/>
  <c r="AR153" i="5"/>
  <c r="AR361" i="5"/>
  <c r="AR124" i="5"/>
  <c r="AR315" i="5"/>
  <c r="AR287" i="5"/>
  <c r="AR131" i="5"/>
  <c r="AR125" i="5"/>
  <c r="AR148" i="5"/>
  <c r="AR347" i="5"/>
  <c r="AR341" i="5"/>
  <c r="AR138" i="5"/>
  <c r="AR292" i="5"/>
  <c r="AR164" i="5"/>
  <c r="AR71" i="5"/>
  <c r="AR350" i="5"/>
  <c r="AR46" i="5"/>
  <c r="AR196" i="5"/>
  <c r="AR320" i="5"/>
  <c r="AR83" i="5"/>
  <c r="AR165" i="5"/>
  <c r="AR94" i="5"/>
  <c r="AR47" i="5"/>
  <c r="AR24" i="5"/>
  <c r="AR275" i="5"/>
  <c r="AR362" i="5"/>
  <c r="AR140" i="5"/>
  <c r="AR139" i="5"/>
  <c r="AR82" i="5"/>
  <c r="AR296" i="5"/>
  <c r="AR191" i="5"/>
  <c r="AR79" i="5"/>
  <c r="AR141" i="5"/>
  <c r="AR348" i="5"/>
  <c r="AR39" i="5"/>
  <c r="AR271" i="5"/>
  <c r="AR97" i="5"/>
  <c r="AR172" i="5"/>
  <c r="AR33" i="5"/>
  <c r="AR183" i="5"/>
  <c r="AR358" i="5"/>
  <c r="AR297" i="5"/>
  <c r="AR181" i="5"/>
  <c r="AR160" i="5"/>
  <c r="AR61" i="5"/>
  <c r="AR295" i="5"/>
  <c r="AR157" i="5"/>
  <c r="AR133" i="5"/>
  <c r="AR180" i="5"/>
  <c r="AR359" i="5"/>
  <c r="AR274" i="5"/>
  <c r="AR174" i="5"/>
  <c r="AR105" i="5"/>
  <c r="AR339" i="5"/>
  <c r="AR290" i="5"/>
  <c r="AR195" i="5"/>
  <c r="AR99" i="5"/>
  <c r="AR38" i="5"/>
  <c r="AR135" i="5"/>
  <c r="AR113" i="5"/>
  <c r="AR327" i="5"/>
  <c r="AR145" i="5"/>
  <c r="AR65" i="5"/>
  <c r="AR189" i="5"/>
  <c r="AR102" i="5"/>
  <c r="AR149" i="5"/>
  <c r="AJ365" i="5"/>
  <c r="AJ287" i="5"/>
  <c r="AJ266" i="5"/>
  <c r="AJ130" i="5"/>
  <c r="AJ111" i="5"/>
  <c r="AJ81" i="5"/>
  <c r="AJ364" i="5"/>
  <c r="AJ352" i="5"/>
  <c r="AJ289" i="5"/>
  <c r="AJ282" i="5"/>
  <c r="AJ173" i="5"/>
  <c r="AJ162" i="5"/>
  <c r="AJ88" i="5"/>
  <c r="AJ31" i="5"/>
  <c r="AJ357" i="5"/>
  <c r="AJ182" i="5"/>
  <c r="AJ150" i="5"/>
  <c r="AJ125" i="5"/>
  <c r="AJ321" i="5"/>
  <c r="AJ265" i="5"/>
  <c r="AJ157" i="5"/>
  <c r="AJ142" i="5"/>
  <c r="AJ135" i="5"/>
  <c r="AJ35" i="5"/>
  <c r="AJ355" i="5"/>
  <c r="AJ341" i="5"/>
  <c r="AJ271" i="5"/>
  <c r="AJ178" i="5"/>
  <c r="AJ61" i="5"/>
  <c r="AJ47" i="5"/>
  <c r="AJ360" i="5"/>
  <c r="AJ174" i="5"/>
  <c r="AJ167" i="5"/>
  <c r="AJ325" i="5"/>
  <c r="AJ104" i="5"/>
  <c r="AJ290" i="5"/>
  <c r="AJ134" i="5"/>
  <c r="AJ60" i="5"/>
  <c r="AJ141" i="5"/>
  <c r="AJ319" i="5"/>
  <c r="AJ138" i="5"/>
  <c r="AJ298" i="5"/>
  <c r="AJ97" i="5"/>
  <c r="AJ317" i="5"/>
  <c r="AJ86" i="5"/>
  <c r="AJ94" i="5"/>
  <c r="AJ320" i="5"/>
  <c r="AJ161" i="5"/>
  <c r="AJ22" i="5"/>
  <c r="AJ186" i="5"/>
  <c r="AJ99" i="5"/>
  <c r="AJ301" i="5"/>
  <c r="AJ332" i="5"/>
  <c r="AJ67" i="5"/>
  <c r="AJ46" i="5"/>
  <c r="AJ124" i="5"/>
  <c r="AJ278" i="5"/>
  <c r="AJ41" i="5"/>
  <c r="AJ286" i="5"/>
  <c r="AJ80" i="5"/>
  <c r="AJ342" i="5"/>
  <c r="AJ36" i="5"/>
  <c r="AJ140" i="5"/>
  <c r="AJ351" i="5"/>
  <c r="AJ366" i="5"/>
  <c r="AJ40" i="5"/>
  <c r="AJ314" i="5"/>
  <c r="AJ172" i="5"/>
  <c r="AJ154" i="5"/>
  <c r="AJ23" i="5"/>
  <c r="AJ147" i="5"/>
  <c r="AJ267" i="5"/>
  <c r="AJ177" i="5"/>
  <c r="AJ338" i="5"/>
  <c r="AJ163" i="5"/>
  <c r="AJ276" i="5"/>
  <c r="AJ100" i="5"/>
  <c r="AJ201" i="5"/>
  <c r="AJ337" i="5"/>
  <c r="AJ102" i="5"/>
  <c r="AJ292" i="5"/>
  <c r="AJ113" i="5"/>
  <c r="AJ273" i="5"/>
  <c r="AJ354" i="5"/>
  <c r="AJ38" i="5"/>
  <c r="AJ25" i="5"/>
  <c r="AJ131" i="5"/>
  <c r="AJ90" i="5"/>
  <c r="AJ21" i="5"/>
  <c r="AJ334" i="5"/>
  <c r="AJ328" i="5"/>
  <c r="AJ49" i="5"/>
  <c r="AJ294" i="5"/>
  <c r="AJ64" i="5"/>
  <c r="AJ295" i="5"/>
  <c r="AJ261" i="5"/>
  <c r="AJ358" i="5"/>
  <c r="AJ18" i="5"/>
  <c r="AJ188" i="5"/>
  <c r="AJ331" i="5"/>
  <c r="AJ37" i="5"/>
  <c r="AJ137" i="5"/>
  <c r="AJ270" i="5"/>
  <c r="AJ363" i="5"/>
  <c r="AJ33" i="5"/>
  <c r="AJ128" i="5"/>
  <c r="AJ315" i="5"/>
  <c r="AJ27" i="5"/>
  <c r="AJ139" i="5"/>
  <c r="AJ179" i="5"/>
  <c r="AJ43" i="5"/>
  <c r="AJ164" i="5"/>
  <c r="AJ69" i="5"/>
  <c r="AJ361" i="5"/>
  <c r="AJ42" i="5"/>
  <c r="AJ350" i="5"/>
  <c r="AJ71" i="5"/>
  <c r="AJ336" i="5"/>
  <c r="AJ92" i="5"/>
  <c r="AJ323" i="5"/>
  <c r="AJ275" i="5"/>
  <c r="AJ89" i="5"/>
  <c r="AJ196" i="5"/>
  <c r="AJ346" i="5"/>
  <c r="AJ62" i="5"/>
  <c r="AJ155" i="5"/>
  <c r="AJ284" i="5"/>
  <c r="AJ65" i="5"/>
  <c r="AJ187" i="5"/>
  <c r="AJ340" i="5"/>
  <c r="AJ45" i="5"/>
  <c r="AJ171" i="5"/>
  <c r="AJ316" i="5"/>
  <c r="AJ291" i="5"/>
  <c r="AJ87" i="5"/>
  <c r="AJ29" i="5"/>
  <c r="AJ30" i="5"/>
  <c r="AJ183" i="5"/>
  <c r="AJ170" i="5"/>
  <c r="AJ200" i="5"/>
  <c r="AJ151" i="5"/>
  <c r="AJ330" i="5"/>
  <c r="AJ109" i="5"/>
  <c r="AJ359" i="5"/>
  <c r="AJ34" i="5"/>
  <c r="AJ260" i="5"/>
  <c r="AJ98" i="5"/>
  <c r="AJ70" i="5"/>
  <c r="AJ63" i="5"/>
  <c r="AJ274" i="5"/>
  <c r="AJ180" i="5"/>
  <c r="AJ262" i="5"/>
  <c r="AJ158" i="5"/>
  <c r="AJ344" i="5"/>
  <c r="AJ313" i="5"/>
  <c r="AJ112" i="5"/>
  <c r="AJ168" i="5"/>
  <c r="AJ83" i="5"/>
  <c r="AJ103" i="5"/>
  <c r="AJ302" i="5"/>
  <c r="AJ268" i="5"/>
  <c r="AJ32" i="5"/>
  <c r="AJ269" i="5"/>
  <c r="AJ24" i="5"/>
  <c r="AJ169" i="5"/>
  <c r="AJ259" i="5"/>
  <c r="AJ77" i="5"/>
  <c r="AJ293" i="5"/>
  <c r="AJ175" i="5"/>
  <c r="AJ126" i="5"/>
  <c r="AJ198" i="5"/>
  <c r="AJ160" i="5"/>
  <c r="AJ78" i="5"/>
  <c r="AJ329" i="5"/>
  <c r="AJ19" i="5"/>
  <c r="AJ279" i="5"/>
  <c r="AJ129" i="5"/>
  <c r="AJ133" i="5"/>
  <c r="AJ296" i="5"/>
  <c r="AJ93" i="5"/>
  <c r="AJ283" i="5"/>
  <c r="AJ48" i="5"/>
  <c r="AJ189" i="5"/>
  <c r="AJ26" i="5"/>
  <c r="AJ272" i="5"/>
  <c r="AJ106" i="5"/>
  <c r="AJ300" i="5"/>
  <c r="AJ263" i="5"/>
  <c r="AJ68" i="5"/>
  <c r="AJ349" i="5"/>
  <c r="AJ194" i="5"/>
  <c r="AJ136" i="5"/>
  <c r="AJ50" i="5"/>
  <c r="AJ303" i="5"/>
  <c r="AJ152" i="5"/>
  <c r="AJ339" i="5"/>
  <c r="AJ75" i="5"/>
  <c r="AJ264" i="5"/>
  <c r="AJ44" i="5"/>
  <c r="AJ280" i="5"/>
  <c r="AJ132" i="5"/>
  <c r="AJ327" i="5"/>
  <c r="AJ145" i="5"/>
  <c r="AJ105" i="5"/>
  <c r="AJ335" i="5"/>
  <c r="AJ288" i="5"/>
  <c r="AJ72" i="5"/>
  <c r="AJ318" i="5"/>
  <c r="AJ156" i="5"/>
  <c r="AJ353" i="5"/>
  <c r="AJ79" i="5"/>
  <c r="AJ277" i="5"/>
  <c r="AJ193" i="5"/>
  <c r="AJ356" i="5"/>
  <c r="AJ322" i="5"/>
  <c r="AJ96" i="5"/>
  <c r="AJ73" i="5"/>
  <c r="AJ345" i="5"/>
  <c r="AJ184" i="5"/>
  <c r="AJ82" i="5"/>
  <c r="AJ297" i="5"/>
  <c r="AJ91" i="5"/>
  <c r="AJ326" i="5"/>
  <c r="AJ195" i="5"/>
  <c r="AJ348" i="5"/>
  <c r="AJ159" i="5"/>
  <c r="AJ165" i="5"/>
  <c r="AJ153" i="5"/>
  <c r="AJ362" i="5"/>
  <c r="AJ123" i="5"/>
  <c r="AJ76" i="5"/>
  <c r="AJ146" i="5"/>
  <c r="AJ85" i="5"/>
  <c r="AJ144" i="5"/>
  <c r="AJ324" i="5"/>
  <c r="AJ95" i="5"/>
  <c r="AJ199" i="5"/>
  <c r="AJ108" i="5"/>
  <c r="AJ197" i="5"/>
  <c r="AJ176" i="5"/>
  <c r="AJ107" i="5"/>
  <c r="AJ149" i="5"/>
  <c r="AJ281" i="5"/>
  <c r="AJ143" i="5"/>
  <c r="AJ185" i="5"/>
  <c r="AJ343" i="5"/>
  <c r="AJ299" i="5"/>
  <c r="AJ333" i="5"/>
  <c r="AJ190" i="5"/>
  <c r="AJ74" i="5"/>
  <c r="AJ28" i="5"/>
  <c r="AJ347" i="5"/>
  <c r="AJ192" i="5"/>
  <c r="AJ285" i="5"/>
  <c r="AJ20" i="5"/>
  <c r="AJ84" i="5"/>
  <c r="AJ127" i="5"/>
  <c r="AJ101" i="5"/>
  <c r="AJ39" i="5"/>
  <c r="AJ148" i="5"/>
  <c r="AJ66" i="5"/>
  <c r="AJ166" i="5"/>
  <c r="AJ191" i="5"/>
  <c r="AJ181" i="5"/>
  <c r="AJ110" i="5"/>
  <c r="BG8" i="5"/>
  <c r="BH112" i="5"/>
  <c r="BH89" i="5"/>
  <c r="BH319" i="5"/>
  <c r="BH22" i="5"/>
  <c r="BH259" i="5"/>
  <c r="BH161" i="5"/>
  <c r="BH90" i="5"/>
  <c r="BH188" i="5"/>
  <c r="BH283" i="5"/>
  <c r="BH326" i="5"/>
  <c r="BH113" i="5"/>
  <c r="BH143" i="5"/>
  <c r="BH108" i="5"/>
  <c r="BH92" i="5"/>
  <c r="BH171" i="5"/>
  <c r="BH73" i="5"/>
  <c r="BH349" i="5"/>
  <c r="BH291" i="5"/>
  <c r="BH150" i="5"/>
  <c r="BH194" i="5"/>
  <c r="BH71" i="5"/>
  <c r="BH347" i="5"/>
  <c r="BH330" i="5"/>
  <c r="BH63" i="5"/>
  <c r="BH324" i="5"/>
  <c r="BH167" i="5"/>
  <c r="BH107" i="5"/>
  <c r="BH272" i="5"/>
  <c r="BH69" i="5"/>
  <c r="BH289" i="5"/>
  <c r="BH357" i="5"/>
  <c r="BH314" i="5"/>
  <c r="BH301" i="5"/>
  <c r="BH164" i="5"/>
  <c r="BH138" i="5"/>
  <c r="BH62" i="5"/>
  <c r="BH139" i="5"/>
  <c r="BH197" i="5"/>
  <c r="BH155" i="5"/>
  <c r="BH131" i="5"/>
  <c r="P144" i="5"/>
  <c r="AV166" i="5"/>
  <c r="AV183" i="5"/>
  <c r="P166" i="5"/>
  <c r="AV67" i="5"/>
  <c r="AV329" i="5"/>
  <c r="P168" i="5"/>
  <c r="D347" i="5"/>
  <c r="D275" i="5"/>
  <c r="P315" i="5"/>
  <c r="AV27" i="5"/>
  <c r="AV332" i="5"/>
  <c r="P289" i="5"/>
  <c r="AV147" i="5"/>
  <c r="AV314" i="5"/>
  <c r="P353" i="5"/>
  <c r="AV113" i="5"/>
  <c r="AV278" i="5"/>
  <c r="AV87" i="5"/>
  <c r="AV196" i="5"/>
  <c r="AV343" i="5"/>
  <c r="AV18" i="5"/>
  <c r="AV78" i="5"/>
  <c r="AV344" i="5"/>
  <c r="AV274" i="5"/>
  <c r="AV345" i="5"/>
  <c r="AV350" i="5"/>
  <c r="AV268" i="5"/>
  <c r="AV275" i="5"/>
  <c r="AV139" i="5"/>
  <c r="AV188" i="5"/>
  <c r="AV303" i="5"/>
  <c r="P261" i="5"/>
  <c r="P274" i="5"/>
  <c r="P303" i="5"/>
  <c r="P198" i="5"/>
  <c r="P335" i="5"/>
  <c r="P158" i="5"/>
  <c r="P323" i="5"/>
  <c r="P43" i="5"/>
  <c r="P177" i="5"/>
  <c r="P325" i="5"/>
  <c r="P268" i="5"/>
  <c r="P350" i="5"/>
  <c r="P171" i="5"/>
  <c r="P276" i="5"/>
  <c r="P140" i="5"/>
  <c r="P103" i="5"/>
  <c r="P30" i="5"/>
  <c r="P366" i="5"/>
  <c r="P146" i="5"/>
  <c r="P79" i="5"/>
  <c r="P26" i="5"/>
  <c r="P74" i="5"/>
  <c r="P82" i="5"/>
  <c r="P286" i="5"/>
  <c r="P294" i="5"/>
  <c r="D335" i="5"/>
  <c r="D263" i="5"/>
  <c r="BD175" i="5"/>
  <c r="BD334" i="5"/>
  <c r="BD190" i="5"/>
  <c r="BH195" i="5"/>
  <c r="BH19" i="5"/>
  <c r="BH264" i="5"/>
  <c r="BH298" i="5"/>
  <c r="BH94" i="5"/>
  <c r="BH168" i="5"/>
  <c r="BH129" i="5"/>
  <c r="BH132" i="5"/>
  <c r="BH21" i="5"/>
  <c r="BH201" i="5"/>
  <c r="BH317" i="5"/>
  <c r="BH170" i="5"/>
  <c r="BH84" i="5"/>
  <c r="BH345" i="5"/>
  <c r="BH323" i="5"/>
  <c r="BH26" i="5"/>
  <c r="BH85" i="5"/>
  <c r="BH169" i="5"/>
  <c r="BH153" i="5"/>
  <c r="BH157" i="5"/>
  <c r="BH336" i="5"/>
  <c r="D314" i="5"/>
  <c r="D178" i="5"/>
  <c r="D98" i="5"/>
  <c r="D26" i="5"/>
  <c r="X270" i="5"/>
  <c r="X64" i="5"/>
  <c r="X330" i="5"/>
  <c r="X343" i="5"/>
  <c r="X144" i="5"/>
  <c r="X49" i="5"/>
  <c r="X335" i="5"/>
  <c r="X62" i="5"/>
  <c r="X285" i="5"/>
  <c r="X279" i="5"/>
  <c r="X190" i="5"/>
  <c r="X170" i="5"/>
  <c r="X267" i="5"/>
  <c r="X166" i="5"/>
  <c r="X161" i="5"/>
  <c r="X109" i="5"/>
  <c r="X360" i="5"/>
  <c r="X22" i="5"/>
  <c r="X153" i="5"/>
  <c r="X48" i="5"/>
  <c r="X316" i="5"/>
  <c r="X21" i="5"/>
  <c r="X46" i="5"/>
  <c r="X173" i="5"/>
  <c r="X259" i="5"/>
  <c r="X25" i="5"/>
  <c r="X65" i="5"/>
  <c r="X136" i="5"/>
  <c r="X26" i="5"/>
  <c r="X341" i="5"/>
  <c r="D353" i="5"/>
  <c r="D185" i="5"/>
  <c r="D65" i="5"/>
  <c r="BD303" i="5"/>
  <c r="BD153" i="5"/>
  <c r="BD315" i="5"/>
  <c r="BD276" i="5"/>
  <c r="BD129" i="5"/>
  <c r="BD280" i="5"/>
  <c r="BD168" i="5"/>
  <c r="BD361" i="5"/>
  <c r="BD191" i="5"/>
  <c r="BD159" i="5"/>
  <c r="BD274" i="5"/>
  <c r="BD332" i="5"/>
  <c r="BD151" i="5"/>
  <c r="BD354" i="5"/>
  <c r="BD80" i="5"/>
  <c r="BD302" i="5"/>
  <c r="BD66" i="5"/>
  <c r="BD155" i="5"/>
  <c r="BD31" i="5"/>
  <c r="BD100" i="5"/>
  <c r="BD320" i="5"/>
  <c r="BD352" i="5"/>
  <c r="BD142" i="5"/>
  <c r="BD328" i="5"/>
  <c r="D153" i="5"/>
  <c r="BD325" i="5"/>
  <c r="BH267" i="5"/>
  <c r="X180" i="5"/>
  <c r="D336" i="5"/>
  <c r="D200" i="5"/>
  <c r="D136" i="5"/>
  <c r="D64" i="5"/>
  <c r="D191" i="5"/>
  <c r="D39" i="5"/>
  <c r="D365" i="5"/>
  <c r="D109" i="5"/>
  <c r="D91" i="5"/>
  <c r="BD135" i="5"/>
  <c r="BH280" i="5"/>
  <c r="D127" i="5"/>
  <c r="D94" i="5"/>
  <c r="D285" i="5"/>
  <c r="D171" i="5"/>
  <c r="BH293" i="5"/>
  <c r="BD196" i="5"/>
  <c r="BH292" i="5"/>
  <c r="D358" i="5"/>
  <c r="D286" i="5"/>
  <c r="D166" i="5"/>
  <c r="D349" i="5"/>
  <c r="BD288" i="5"/>
  <c r="D165" i="5"/>
  <c r="X105" i="5"/>
  <c r="BH329" i="5"/>
  <c r="BH31" i="5"/>
  <c r="BH98" i="5"/>
  <c r="D332" i="5"/>
  <c r="D260" i="5"/>
  <c r="D140" i="5"/>
  <c r="D68" i="5"/>
  <c r="BD140" i="5"/>
  <c r="BD152" i="5"/>
  <c r="BD295" i="5"/>
  <c r="D327" i="5"/>
  <c r="BD264" i="5"/>
  <c r="BD48" i="5"/>
  <c r="BD144" i="5"/>
  <c r="D298" i="5"/>
  <c r="D170" i="5"/>
  <c r="D90" i="5"/>
  <c r="D18" i="5"/>
  <c r="X108" i="5"/>
  <c r="X149" i="5"/>
  <c r="X77" i="5"/>
  <c r="X143" i="5"/>
  <c r="X81" i="5"/>
  <c r="X198" i="5"/>
  <c r="X83" i="5"/>
  <c r="X189" i="5"/>
  <c r="X291" i="5"/>
  <c r="X98" i="5"/>
  <c r="X176" i="5"/>
  <c r="X68" i="5"/>
  <c r="X27" i="5"/>
  <c r="X200" i="5"/>
  <c r="X195" i="5"/>
  <c r="X284" i="5"/>
  <c r="X141" i="5"/>
  <c r="X348" i="5"/>
  <c r="X299" i="5"/>
  <c r="X265" i="5"/>
  <c r="X37" i="5"/>
  <c r="X275" i="5"/>
  <c r="X350" i="5"/>
  <c r="X84" i="5"/>
  <c r="X71" i="5"/>
  <c r="X317" i="5"/>
  <c r="X329" i="5"/>
  <c r="X159" i="5"/>
  <c r="X157" i="5"/>
  <c r="X361" i="5"/>
  <c r="D345" i="5"/>
  <c r="D177" i="5"/>
  <c r="D41" i="5"/>
  <c r="BD44" i="5"/>
  <c r="BD130" i="5"/>
  <c r="BD105" i="5"/>
  <c r="BD43" i="5"/>
  <c r="BD81" i="5"/>
  <c r="BD90" i="5"/>
  <c r="BD23" i="5"/>
  <c r="BD150" i="5"/>
  <c r="BD353" i="5"/>
  <c r="BD289" i="5"/>
  <c r="BD149" i="5"/>
  <c r="BD330" i="5"/>
  <c r="BD273" i="5"/>
  <c r="BD95" i="5"/>
  <c r="BD337" i="5"/>
  <c r="BD91" i="5"/>
  <c r="BD277" i="5"/>
  <c r="BD20" i="5"/>
  <c r="BD187" i="5"/>
  <c r="BD360" i="5"/>
  <c r="BD177" i="5"/>
  <c r="BD21" i="5"/>
  <c r="BD278" i="5"/>
  <c r="D361" i="5"/>
  <c r="D137" i="5"/>
  <c r="BD260" i="5"/>
  <c r="X156" i="5"/>
  <c r="D328" i="5"/>
  <c r="D192" i="5"/>
  <c r="D128" i="5"/>
  <c r="D48" i="5"/>
  <c r="D175" i="5"/>
  <c r="D31" i="5"/>
  <c r="D341" i="5"/>
  <c r="D85" i="5"/>
  <c r="D43" i="5"/>
  <c r="X130" i="5"/>
  <c r="D111" i="5"/>
  <c r="D70" i="5"/>
  <c r="D261" i="5"/>
  <c r="D75" i="5"/>
  <c r="X148" i="5"/>
  <c r="D350" i="5"/>
  <c r="D278" i="5"/>
  <c r="D158" i="5"/>
  <c r="D325" i="5"/>
  <c r="BD343" i="5"/>
  <c r="D133" i="5"/>
  <c r="X151" i="5"/>
  <c r="D324" i="5"/>
  <c r="D196" i="5"/>
  <c r="D132" i="5"/>
  <c r="D60" i="5"/>
  <c r="BD60" i="5"/>
  <c r="BT187" i="5"/>
  <c r="BT157" i="5"/>
  <c r="BT364" i="5"/>
  <c r="BT350" i="5"/>
  <c r="BT341" i="5"/>
  <c r="BT332" i="5"/>
  <c r="BT318" i="5"/>
  <c r="BT141" i="5"/>
  <c r="BT179" i="5"/>
  <c r="BT358" i="5"/>
  <c r="BT349" i="5"/>
  <c r="BT340" i="5"/>
  <c r="BT326" i="5"/>
  <c r="BT317" i="5"/>
  <c r="BT197" i="5"/>
  <c r="BT129" i="5"/>
  <c r="BT125" i="5"/>
  <c r="BT366" i="5"/>
  <c r="BT357" i="5"/>
  <c r="BT348" i="5"/>
  <c r="BT334" i="5"/>
  <c r="BT325" i="5"/>
  <c r="BT316" i="5"/>
  <c r="BT356" i="5"/>
  <c r="BT333" i="5"/>
  <c r="BT324" i="5"/>
  <c r="BT365" i="5"/>
  <c r="BT106" i="5"/>
  <c r="BT165" i="5"/>
  <c r="BT342" i="5"/>
  <c r="BT328" i="5"/>
  <c r="BT321" i="5"/>
  <c r="BT329" i="5"/>
  <c r="BT139" i="5"/>
  <c r="BT30" i="5"/>
  <c r="BT338" i="5"/>
  <c r="BT293" i="5"/>
  <c r="BT48" i="5"/>
  <c r="BT93" i="5"/>
  <c r="BT74" i="5"/>
  <c r="BT86" i="5"/>
  <c r="BT170" i="5"/>
  <c r="BT302" i="5"/>
  <c r="BT28" i="5"/>
  <c r="BT140" i="5"/>
  <c r="BT279" i="5"/>
  <c r="BT29" i="5"/>
  <c r="BT91" i="5"/>
  <c r="BT175" i="5"/>
  <c r="BT335" i="5"/>
  <c r="BT297" i="5"/>
  <c r="BT47" i="5"/>
  <c r="BT111" i="5"/>
  <c r="BT183" i="5"/>
  <c r="BT359" i="5"/>
  <c r="BT275" i="5"/>
  <c r="BT73" i="5"/>
  <c r="BT154" i="5"/>
  <c r="BT276" i="5"/>
  <c r="BT330" i="5"/>
  <c r="BT46" i="5"/>
  <c r="BT353" i="5"/>
  <c r="BT346" i="5"/>
  <c r="BT72" i="5"/>
  <c r="BT18" i="5"/>
  <c r="BT181" i="5"/>
  <c r="BT27" i="5"/>
  <c r="BT101" i="5"/>
  <c r="BT185" i="5"/>
  <c r="BT44" i="5"/>
  <c r="BT163" i="5"/>
  <c r="BT295" i="5"/>
  <c r="BT45" i="5"/>
  <c r="BT133" i="5"/>
  <c r="BT201" i="5"/>
  <c r="BT152" i="5"/>
  <c r="BT363" i="5"/>
  <c r="BT71" i="5"/>
  <c r="BT130" i="5"/>
  <c r="BT266" i="5"/>
  <c r="BT161" i="5"/>
  <c r="BT291" i="5"/>
  <c r="BT112" i="5"/>
  <c r="BT173" i="5"/>
  <c r="BT292" i="5"/>
  <c r="BT162" i="5"/>
  <c r="BT99" i="5"/>
  <c r="BT344" i="5"/>
  <c r="BT70" i="5"/>
  <c r="BT261" i="5"/>
  <c r="BT361" i="5"/>
  <c r="BT196" i="5"/>
  <c r="BT34" i="5"/>
  <c r="BT43" i="5"/>
  <c r="BT147" i="5"/>
  <c r="BT270" i="5"/>
  <c r="BT68" i="5"/>
  <c r="BT193" i="5"/>
  <c r="BT339" i="5"/>
  <c r="BT69" i="5"/>
  <c r="BT148" i="5"/>
  <c r="BT272" i="5"/>
  <c r="BT265" i="5"/>
  <c r="BT80" i="5"/>
  <c r="BT138" i="5"/>
  <c r="BT282" i="5"/>
  <c r="BT191" i="5"/>
  <c r="BT323" i="5"/>
  <c r="BT33" i="5"/>
  <c r="BT131" i="5"/>
  <c r="BT180" i="5"/>
  <c r="BT319" i="5"/>
  <c r="BT144" i="5"/>
  <c r="BT77" i="5"/>
  <c r="BT136" i="5"/>
  <c r="BT190" i="5"/>
  <c r="BT22" i="5"/>
  <c r="BT269" i="5"/>
  <c r="BT347" i="5"/>
  <c r="BT50" i="5"/>
  <c r="BT90" i="5"/>
  <c r="BT286" i="5"/>
  <c r="BT113" i="5"/>
  <c r="BT87" i="5"/>
  <c r="BT280" i="5"/>
  <c r="BT331" i="5"/>
  <c r="BT84" i="5"/>
  <c r="BT198" i="5"/>
  <c r="BT259" i="5"/>
  <c r="BT65" i="5"/>
  <c r="BT199" i="5"/>
  <c r="BT105" i="5"/>
  <c r="BT89" i="5"/>
  <c r="BT182" i="5"/>
  <c r="BT38" i="5"/>
  <c r="BT277" i="5"/>
  <c r="BT362" i="5"/>
  <c r="BT66" i="5"/>
  <c r="BT143" i="5"/>
  <c r="BT294" i="5"/>
  <c r="BT159" i="5"/>
  <c r="BT110" i="5"/>
  <c r="BT288" i="5"/>
  <c r="BT88" i="5"/>
  <c r="BT274" i="5"/>
  <c r="BT267" i="5"/>
  <c r="BT108" i="5"/>
  <c r="BT260" i="5"/>
  <c r="BT160" i="5"/>
  <c r="BT176" i="5"/>
  <c r="BT107" i="5"/>
  <c r="BT313" i="5"/>
  <c r="BT315" i="5"/>
  <c r="BT62" i="5"/>
  <c r="BT285" i="5"/>
  <c r="BT81" i="5"/>
  <c r="BT94" i="5"/>
  <c r="BT151" i="5"/>
  <c r="BT343" i="5"/>
  <c r="BT189" i="5"/>
  <c r="BT137" i="5"/>
  <c r="BT296" i="5"/>
  <c r="BT92" i="5"/>
  <c r="BT290" i="5"/>
  <c r="BT283" i="5"/>
  <c r="BT124" i="5"/>
  <c r="BT268" i="5"/>
  <c r="BT164" i="5"/>
  <c r="BT132" i="5"/>
  <c r="BT75" i="5"/>
  <c r="BT95" i="5"/>
  <c r="BT337" i="5"/>
  <c r="BT96" i="5"/>
  <c r="BT301" i="5"/>
  <c r="BT24" i="5"/>
  <c r="BT320" i="5"/>
  <c r="BT19" i="5"/>
  <c r="BT155" i="5"/>
  <c r="BT20" i="5"/>
  <c r="BT200" i="5"/>
  <c r="BT21" i="5"/>
  <c r="BT156" i="5"/>
  <c r="BT126" i="5"/>
  <c r="BT23" i="5"/>
  <c r="BT123" i="5"/>
  <c r="BT298" i="5"/>
  <c r="BT299" i="5"/>
  <c r="BT135" i="5"/>
  <c r="BT284" i="5"/>
  <c r="BT192" i="5"/>
  <c r="BT109" i="5"/>
  <c r="BT174" i="5"/>
  <c r="BT171" i="5"/>
  <c r="BT145" i="5"/>
  <c r="BT146" i="5"/>
  <c r="BT351" i="5"/>
  <c r="BT103" i="5"/>
  <c r="BT352" i="5"/>
  <c r="BT100" i="5"/>
  <c r="BT354" i="5"/>
  <c r="BT32" i="5"/>
  <c r="BT35" i="5"/>
  <c r="BT166" i="5"/>
  <c r="BT36" i="5"/>
  <c r="BT263" i="5"/>
  <c r="BT37" i="5"/>
  <c r="BT167" i="5"/>
  <c r="BT194" i="5"/>
  <c r="BT31" i="5"/>
  <c r="BT134" i="5"/>
  <c r="BT327" i="5"/>
  <c r="BT355" i="5"/>
  <c r="BT142" i="5"/>
  <c r="BT300" i="5"/>
  <c r="BT128" i="5"/>
  <c r="BT158" i="5"/>
  <c r="BT314" i="5"/>
  <c r="BT104" i="5"/>
  <c r="BT40" i="5"/>
  <c r="BT67" i="5"/>
  <c r="BT178" i="5"/>
  <c r="BT60" i="5"/>
  <c r="BT271" i="5"/>
  <c r="BT61" i="5"/>
  <c r="BT273" i="5"/>
  <c r="BT39" i="5"/>
  <c r="BT127" i="5"/>
  <c r="BT25" i="5"/>
  <c r="BT168" i="5"/>
  <c r="BT322" i="5"/>
  <c r="BT345" i="5"/>
  <c r="BT64" i="5"/>
  <c r="BT26" i="5"/>
  <c r="BT78" i="5"/>
  <c r="BT262" i="5"/>
  <c r="BT98" i="5"/>
  <c r="BT287" i="5"/>
  <c r="BT79" i="5"/>
  <c r="BT186" i="5"/>
  <c r="BT281" i="5"/>
  <c r="BT63" i="5"/>
  <c r="BT149" i="5"/>
  <c r="BT172" i="5"/>
  <c r="BT41" i="5"/>
  <c r="BT169" i="5"/>
  <c r="BT97" i="5"/>
  <c r="BT336" i="5"/>
  <c r="BT360" i="5"/>
  <c r="BT188" i="5"/>
  <c r="BT42" i="5"/>
  <c r="BT82" i="5"/>
  <c r="BT278" i="5"/>
  <c r="BT102" i="5"/>
  <c r="BT303" i="5"/>
  <c r="BT83" i="5"/>
  <c r="BT264" i="5"/>
  <c r="BT289" i="5"/>
  <c r="BT76" i="5"/>
  <c r="BT153" i="5"/>
  <c r="BT195" i="5"/>
  <c r="BT49" i="5"/>
  <c r="BT177" i="5"/>
  <c r="BT184" i="5"/>
  <c r="BT85" i="5"/>
  <c r="BT150" i="5"/>
  <c r="BL357" i="5"/>
  <c r="BL281" i="5"/>
  <c r="BL348" i="5"/>
  <c r="BL265" i="5"/>
  <c r="BL278" i="5"/>
  <c r="BL137" i="5"/>
  <c r="BL90" i="5"/>
  <c r="BL79" i="5"/>
  <c r="BL26" i="5"/>
  <c r="BL113" i="5"/>
  <c r="BL345" i="5"/>
  <c r="BL339" i="5"/>
  <c r="BL325" i="5"/>
  <c r="BL37" i="5"/>
  <c r="BL30" i="5"/>
  <c r="BL351" i="5"/>
  <c r="BL273" i="5"/>
  <c r="BL319" i="5"/>
  <c r="BL313" i="5"/>
  <c r="BL173" i="5"/>
  <c r="BL134" i="5"/>
  <c r="BL153" i="5"/>
  <c r="BL316" i="5"/>
  <c r="BL286" i="5"/>
  <c r="BL344" i="5"/>
  <c r="BL337" i="5"/>
  <c r="BL42" i="5"/>
  <c r="BL84" i="5"/>
  <c r="BL152" i="5"/>
  <c r="BL140" i="5"/>
  <c r="BL49" i="5"/>
  <c r="BL199" i="5"/>
  <c r="BL129" i="5"/>
  <c r="BL338" i="5"/>
  <c r="BL295" i="5"/>
  <c r="BL127" i="5"/>
  <c r="BL104" i="5"/>
  <c r="BL350" i="5"/>
  <c r="BL64" i="5"/>
  <c r="BL105" i="5"/>
  <c r="BL29" i="5"/>
  <c r="BL150" i="5"/>
  <c r="BL25" i="5"/>
  <c r="BL298" i="5"/>
  <c r="BL65" i="5"/>
  <c r="BL60" i="5"/>
  <c r="BL135" i="5"/>
  <c r="BL283" i="5"/>
  <c r="BL66" i="5"/>
  <c r="BL198" i="5"/>
  <c r="BL39" i="5"/>
  <c r="BL299" i="5"/>
  <c r="BL125" i="5"/>
  <c r="BL294" i="5"/>
  <c r="BL189" i="5"/>
  <c r="BL365" i="5"/>
  <c r="BL78" i="5"/>
  <c r="BL297" i="5"/>
  <c r="BL61" i="5"/>
  <c r="BL320" i="5"/>
  <c r="BL47" i="5"/>
  <c r="BL262" i="5"/>
  <c r="BL71" i="5"/>
  <c r="BL356" i="5"/>
  <c r="BL128" i="5"/>
  <c r="BL285" i="5"/>
  <c r="BL83" i="5"/>
  <c r="BL293" i="5"/>
  <c r="BL44" i="5"/>
  <c r="BL141" i="5"/>
  <c r="BL288" i="5"/>
  <c r="BL166" i="5"/>
  <c r="BL362" i="5"/>
  <c r="BL282" i="5"/>
  <c r="BL352" i="5"/>
  <c r="BL264" i="5"/>
  <c r="BL174" i="5"/>
  <c r="BL201" i="5"/>
  <c r="BL110" i="5"/>
  <c r="BL176" i="5"/>
  <c r="BL191" i="5"/>
  <c r="BL133" i="5"/>
  <c r="BL302" i="5"/>
  <c r="BL197" i="5"/>
  <c r="BL266" i="5"/>
  <c r="BL333" i="5"/>
  <c r="BL94" i="5"/>
  <c r="BL327" i="5"/>
  <c r="BL81" i="5"/>
  <c r="BL195" i="5"/>
  <c r="BL331" i="5"/>
  <c r="BL280" i="5"/>
  <c r="BL123" i="5"/>
  <c r="BL88" i="5"/>
  <c r="BL359" i="5"/>
  <c r="BL360" i="5"/>
  <c r="BL98" i="5"/>
  <c r="BL335" i="5"/>
  <c r="BL70" i="5"/>
  <c r="BL277" i="5"/>
  <c r="BL157" i="5"/>
  <c r="BL35" i="5"/>
  <c r="BL147" i="5"/>
  <c r="BL300" i="5"/>
  <c r="BL159" i="5"/>
  <c r="BL329" i="5"/>
  <c r="BL72" i="5"/>
  <c r="BL156" i="5"/>
  <c r="BL332" i="5"/>
  <c r="BL261" i="5"/>
  <c r="BL296" i="5"/>
  <c r="BL364" i="5"/>
  <c r="BL284" i="5"/>
  <c r="BL170" i="5"/>
  <c r="BL96" i="5"/>
  <c r="BL67" i="5"/>
  <c r="BL18" i="5"/>
  <c r="BL168" i="5"/>
  <c r="BL347" i="5"/>
  <c r="BL87" i="5"/>
  <c r="BL27" i="5"/>
  <c r="BL165" i="5"/>
  <c r="BL86" i="5"/>
  <c r="BL158" i="5"/>
  <c r="BL321" i="5"/>
  <c r="BL36" i="5"/>
  <c r="BL167" i="5"/>
  <c r="BL355" i="5"/>
  <c r="BL91" i="5"/>
  <c r="BL184" i="5"/>
  <c r="BL109" i="5"/>
  <c r="BL274" i="5"/>
  <c r="BL317" i="5"/>
  <c r="BL175" i="5"/>
  <c r="BL330" i="5"/>
  <c r="BL130" i="5"/>
  <c r="BL148" i="5"/>
  <c r="BL324" i="5"/>
  <c r="BL92" i="5"/>
  <c r="BL43" i="5"/>
  <c r="BL24" i="5"/>
  <c r="BL40" i="5"/>
  <c r="BL41" i="5"/>
  <c r="BL93" i="5"/>
  <c r="BL292" i="5"/>
  <c r="BL48" i="5"/>
  <c r="BL322" i="5"/>
  <c r="BL99" i="5"/>
  <c r="BL267" i="5"/>
  <c r="BL193" i="5"/>
  <c r="BL358" i="5"/>
  <c r="BL366" i="5"/>
  <c r="BL108" i="5"/>
  <c r="BL100" i="5"/>
  <c r="BL111" i="5"/>
  <c r="BL112" i="5"/>
  <c r="BL74" i="5"/>
  <c r="BL82" i="5"/>
  <c r="BL32" i="5"/>
  <c r="BL62" i="5"/>
  <c r="BL63" i="5"/>
  <c r="BL97" i="5"/>
  <c r="BL315" i="5"/>
  <c r="BL69" i="5"/>
  <c r="BL343" i="5"/>
  <c r="BL103" i="5"/>
  <c r="BL287" i="5"/>
  <c r="BL269" i="5"/>
  <c r="BL164" i="5"/>
  <c r="BL136" i="5"/>
  <c r="BL143" i="5"/>
  <c r="BL131" i="5"/>
  <c r="BL290" i="5"/>
  <c r="BL259" i="5"/>
  <c r="BL46" i="5"/>
  <c r="BL76" i="5"/>
  <c r="BL80" i="5"/>
  <c r="BL124" i="5"/>
  <c r="BL328" i="5"/>
  <c r="BL75" i="5"/>
  <c r="BL361" i="5"/>
  <c r="BL149" i="5"/>
  <c r="BL301" i="5"/>
  <c r="BL276" i="5"/>
  <c r="BL179" i="5"/>
  <c r="BL107" i="5"/>
  <c r="BL146" i="5"/>
  <c r="BL145" i="5"/>
  <c r="BL177" i="5"/>
  <c r="BL160" i="5"/>
  <c r="BL28" i="5"/>
  <c r="BL260" i="5"/>
  <c r="BL185" i="5"/>
  <c r="BL106" i="5"/>
  <c r="BL102" i="5"/>
  <c r="BL161" i="5"/>
  <c r="BL132" i="5"/>
  <c r="BL336" i="5"/>
  <c r="BL155" i="5"/>
  <c r="BL31" i="5"/>
  <c r="BL180" i="5"/>
  <c r="BL334" i="5"/>
  <c r="BL289" i="5"/>
  <c r="BL183" i="5"/>
  <c r="BL126" i="5"/>
  <c r="BL200" i="5"/>
  <c r="BL326" i="5"/>
  <c r="BL172" i="5"/>
  <c r="BL196" i="5"/>
  <c r="BL169" i="5"/>
  <c r="BL151" i="5"/>
  <c r="BL354" i="5"/>
  <c r="BL163" i="5"/>
  <c r="BL38" i="5"/>
  <c r="BL188" i="5"/>
  <c r="BL139" i="5"/>
  <c r="BL303" i="5"/>
  <c r="BL187" i="5"/>
  <c r="BL89" i="5"/>
  <c r="BL101" i="5"/>
  <c r="BL144" i="5"/>
  <c r="BL21" i="5"/>
  <c r="BL314" i="5"/>
  <c r="BL263" i="5"/>
  <c r="BL178" i="5"/>
  <c r="BL171" i="5"/>
  <c r="BL50" i="5"/>
  <c r="BL268" i="5"/>
  <c r="BL154" i="5"/>
  <c r="BL323" i="5"/>
  <c r="BL271" i="5"/>
  <c r="BL353" i="5"/>
  <c r="BL45" i="5"/>
  <c r="BL341" i="5"/>
  <c r="BL19" i="5"/>
  <c r="BL270" i="5"/>
  <c r="BL20" i="5"/>
  <c r="BL349" i="5"/>
  <c r="BL22" i="5"/>
  <c r="BL186" i="5"/>
  <c r="BL182" i="5"/>
  <c r="BL77" i="5"/>
  <c r="BL275" i="5"/>
  <c r="BL162" i="5"/>
  <c r="BL340" i="5"/>
  <c r="BL291" i="5"/>
  <c r="BL142" i="5"/>
  <c r="BL194" i="5"/>
  <c r="BL192" i="5"/>
  <c r="BL73" i="5"/>
  <c r="BL138" i="5"/>
  <c r="BL33" i="5"/>
  <c r="BL363" i="5"/>
  <c r="BL34" i="5"/>
  <c r="BL68" i="5"/>
  <c r="BL272" i="5"/>
  <c r="BL23" i="5"/>
  <c r="BL279" i="5"/>
  <c r="BL95" i="5"/>
  <c r="BL318" i="5"/>
  <c r="BL181" i="5"/>
  <c r="BL346" i="5"/>
  <c r="BL342" i="5"/>
  <c r="BL190" i="5"/>
  <c r="BL85" i="5"/>
  <c r="BC8" i="5"/>
  <c r="BD78" i="5"/>
  <c r="D331" i="5"/>
  <c r="D259" i="5"/>
  <c r="P333" i="5"/>
  <c r="P63" i="5"/>
  <c r="P167" i="5"/>
  <c r="P175" i="5"/>
  <c r="P18" i="5"/>
  <c r="P152" i="5"/>
  <c r="P266" i="5"/>
  <c r="P102" i="5"/>
  <c r="P338" i="5"/>
  <c r="P193" i="5"/>
  <c r="P41" i="5"/>
  <c r="P87" i="5"/>
  <c r="P109" i="5"/>
  <c r="P192" i="5"/>
  <c r="P326" i="5"/>
  <c r="P137" i="5"/>
  <c r="P365" i="5"/>
  <c r="P156" i="5"/>
  <c r="P64" i="5"/>
  <c r="P24" i="5"/>
  <c r="P188" i="5"/>
  <c r="P124" i="5"/>
  <c r="P110" i="5"/>
  <c r="P314" i="5"/>
  <c r="P352" i="5"/>
  <c r="D319" i="5"/>
  <c r="X135" i="5"/>
  <c r="X111" i="5"/>
  <c r="D362" i="5"/>
  <c r="D290" i="5"/>
  <c r="D162" i="5"/>
  <c r="D82" i="5"/>
  <c r="X150" i="5"/>
  <c r="X318" i="5"/>
  <c r="X92" i="5"/>
  <c r="X328" i="5"/>
  <c r="X289" i="5"/>
  <c r="X99" i="5"/>
  <c r="X102" i="5"/>
  <c r="X94" i="5"/>
  <c r="X269" i="5"/>
  <c r="X88" i="5"/>
  <c r="X140" i="5"/>
  <c r="X28" i="5"/>
  <c r="X357" i="5"/>
  <c r="X63" i="5"/>
  <c r="X355" i="5"/>
  <c r="X33" i="5"/>
  <c r="X362" i="5"/>
  <c r="X303" i="5"/>
  <c r="X274" i="5"/>
  <c r="X158" i="5"/>
  <c r="X47" i="5"/>
  <c r="X349" i="5"/>
  <c r="X80" i="5"/>
  <c r="X185" i="5"/>
  <c r="X301" i="5"/>
  <c r="X123" i="5"/>
  <c r="X113" i="5"/>
  <c r="X73" i="5"/>
  <c r="X325" i="5"/>
  <c r="X160" i="5"/>
  <c r="X38" i="5"/>
  <c r="D337" i="5"/>
  <c r="D161" i="5"/>
  <c r="D25" i="5"/>
  <c r="BD94" i="5"/>
  <c r="BD194" i="5"/>
  <c r="BD25" i="5"/>
  <c r="BD318" i="5"/>
  <c r="BD282" i="5"/>
  <c r="BD314" i="5"/>
  <c r="BD199" i="5"/>
  <c r="BD286" i="5"/>
  <c r="BD338" i="5"/>
  <c r="BD87" i="5"/>
  <c r="BD24" i="5"/>
  <c r="BD162" i="5"/>
  <c r="BD365" i="5"/>
  <c r="BD294" i="5"/>
  <c r="BD62" i="5"/>
  <c r="BD183" i="5"/>
  <c r="BD346" i="5"/>
  <c r="BD173" i="5"/>
  <c r="BD301" i="5"/>
  <c r="BD28" i="5"/>
  <c r="BD141" i="5"/>
  <c r="BD107" i="5"/>
  <c r="BD22" i="5"/>
  <c r="D329" i="5"/>
  <c r="D113" i="5"/>
  <c r="BD49" i="5"/>
  <c r="BH199" i="5"/>
  <c r="BD146" i="5"/>
  <c r="D320" i="5"/>
  <c r="D184" i="5"/>
  <c r="D112" i="5"/>
  <c r="D40" i="5"/>
  <c r="D167" i="5"/>
  <c r="D142" i="5"/>
  <c r="D293" i="5"/>
  <c r="D61" i="5"/>
  <c r="BD104" i="5"/>
  <c r="BD165" i="5"/>
  <c r="BD161" i="5"/>
  <c r="D95" i="5"/>
  <c r="D46" i="5"/>
  <c r="D181" i="5"/>
  <c r="D27" i="5"/>
  <c r="BD261" i="5"/>
  <c r="BH325" i="5"/>
  <c r="BD76" i="5"/>
  <c r="D342" i="5"/>
  <c r="D270" i="5"/>
  <c r="D150" i="5"/>
  <c r="D301" i="5"/>
  <c r="BD184" i="5"/>
  <c r="D101" i="5"/>
  <c r="BH35" i="5"/>
  <c r="BD195" i="5"/>
  <c r="BH348" i="5"/>
  <c r="BH123" i="5"/>
  <c r="D316" i="5"/>
  <c r="D188" i="5"/>
  <c r="D124" i="5"/>
  <c r="D44" i="5"/>
  <c r="BD27" i="5"/>
  <c r="X268" i="5"/>
  <c r="H348" i="5"/>
  <c r="H337" i="5"/>
  <c r="H332" i="5"/>
  <c r="H316" i="5"/>
  <c r="H182" i="5"/>
  <c r="H103" i="5"/>
  <c r="H291" i="5"/>
  <c r="H275" i="5"/>
  <c r="H259" i="5"/>
  <c r="H165" i="5"/>
  <c r="H158" i="5"/>
  <c r="H138" i="5"/>
  <c r="H106" i="5"/>
  <c r="H99" i="5"/>
  <c r="H79" i="5"/>
  <c r="H72" i="5"/>
  <c r="H357" i="5"/>
  <c r="H352" i="5"/>
  <c r="H341" i="5"/>
  <c r="H336" i="5"/>
  <c r="H325" i="5"/>
  <c r="H320" i="5"/>
  <c r="H301" i="5"/>
  <c r="H285" i="5"/>
  <c r="H269" i="5"/>
  <c r="H198" i="5"/>
  <c r="H178" i="5"/>
  <c r="H141" i="5"/>
  <c r="H134" i="5"/>
  <c r="H82" i="5"/>
  <c r="H75" i="5"/>
  <c r="H66" i="5"/>
  <c r="H47" i="5"/>
  <c r="H42" i="5"/>
  <c r="H31" i="5"/>
  <c r="H26" i="5"/>
  <c r="H295" i="5"/>
  <c r="H279" i="5"/>
  <c r="H263" i="5"/>
  <c r="H181" i="5"/>
  <c r="H174" i="5"/>
  <c r="H154" i="5"/>
  <c r="H95" i="5"/>
  <c r="H60" i="5"/>
  <c r="H189" i="5"/>
  <c r="H43" i="5"/>
  <c r="H361" i="5"/>
  <c r="H356" i="5"/>
  <c r="H345" i="5"/>
  <c r="H340" i="5"/>
  <c r="H329" i="5"/>
  <c r="H324" i="5"/>
  <c r="H313" i="5"/>
  <c r="H289" i="5"/>
  <c r="H273" i="5"/>
  <c r="H194" i="5"/>
  <c r="H130" i="5"/>
  <c r="H70" i="5"/>
  <c r="H46" i="5"/>
  <c r="H35" i="5"/>
  <c r="H30" i="5"/>
  <c r="H19" i="5"/>
  <c r="H364" i="5"/>
  <c r="H281" i="5"/>
  <c r="H265" i="5"/>
  <c r="H162" i="5"/>
  <c r="H125" i="5"/>
  <c r="H299" i="5"/>
  <c r="H321" i="5"/>
  <c r="H297" i="5"/>
  <c r="H62" i="5"/>
  <c r="H353" i="5"/>
  <c r="H68" i="5"/>
  <c r="H349" i="5"/>
  <c r="H303" i="5"/>
  <c r="H146" i="5"/>
  <c r="H157" i="5"/>
  <c r="H142" i="5"/>
  <c r="H156" i="5"/>
  <c r="H180" i="5"/>
  <c r="H84" i="5"/>
  <c r="H187" i="5"/>
  <c r="H276" i="5"/>
  <c r="H108" i="5"/>
  <c r="H294" i="5"/>
  <c r="H136" i="5"/>
  <c r="H41" i="5"/>
  <c r="H144" i="5"/>
  <c r="H319" i="5"/>
  <c r="H102" i="5"/>
  <c r="H274" i="5"/>
  <c r="H61" i="5"/>
  <c r="H192" i="5"/>
  <c r="H32" i="5"/>
  <c r="H145" i="5"/>
  <c r="H326" i="5"/>
  <c r="H359" i="5"/>
  <c r="H91" i="5"/>
  <c r="H365" i="5"/>
  <c r="H83" i="5"/>
  <c r="H166" i="5"/>
  <c r="H197" i="5"/>
  <c r="H150" i="5"/>
  <c r="H169" i="5"/>
  <c r="H193" i="5"/>
  <c r="H94" i="5"/>
  <c r="H272" i="5"/>
  <c r="H77" i="5"/>
  <c r="H147" i="5"/>
  <c r="H318" i="5"/>
  <c r="H183" i="5"/>
  <c r="H65" i="5"/>
  <c r="H171" i="5"/>
  <c r="H335" i="5"/>
  <c r="H109" i="5"/>
  <c r="H290" i="5"/>
  <c r="H96" i="5"/>
  <c r="H264" i="5"/>
  <c r="H48" i="5"/>
  <c r="H152" i="5"/>
  <c r="H342" i="5"/>
  <c r="H98" i="5"/>
  <c r="H105" i="5"/>
  <c r="H137" i="5"/>
  <c r="H37" i="5"/>
  <c r="H343" i="5"/>
  <c r="H111" i="5"/>
  <c r="H22" i="5"/>
  <c r="H64" i="5"/>
  <c r="H170" i="5"/>
  <c r="H344" i="5"/>
  <c r="H27" i="5"/>
  <c r="H260" i="5"/>
  <c r="H298" i="5"/>
  <c r="H101" i="5"/>
  <c r="H288" i="5"/>
  <c r="H163" i="5"/>
  <c r="H164" i="5"/>
  <c r="H334" i="5"/>
  <c r="H200" i="5"/>
  <c r="H78" i="5"/>
  <c r="H188" i="5"/>
  <c r="H351" i="5"/>
  <c r="H131" i="5"/>
  <c r="H314" i="5"/>
  <c r="H113" i="5"/>
  <c r="H280" i="5"/>
  <c r="H67" i="5"/>
  <c r="H179" i="5"/>
  <c r="H358" i="5"/>
  <c r="H126" i="5"/>
  <c r="H363" i="5"/>
  <c r="H261" i="5"/>
  <c r="H38" i="5"/>
  <c r="H149" i="5"/>
  <c r="H186" i="5"/>
  <c r="H360" i="5"/>
  <c r="H267" i="5"/>
  <c r="H28" i="5"/>
  <c r="H338" i="5"/>
  <c r="H123" i="5"/>
  <c r="H323" i="5"/>
  <c r="H18" i="5"/>
  <c r="H167" i="5"/>
  <c r="H350" i="5"/>
  <c r="H266" i="5"/>
  <c r="H85" i="5"/>
  <c r="H191" i="5"/>
  <c r="H20" i="5"/>
  <c r="H148" i="5"/>
  <c r="H330" i="5"/>
  <c r="H128" i="5"/>
  <c r="H296" i="5"/>
  <c r="H76" i="5"/>
  <c r="H196" i="5"/>
  <c r="H33" i="5"/>
  <c r="H133" i="5"/>
  <c r="H81" i="5"/>
  <c r="H159" i="5"/>
  <c r="H25" i="5"/>
  <c r="H195" i="5"/>
  <c r="H302" i="5"/>
  <c r="H277" i="5"/>
  <c r="H23" i="5"/>
  <c r="H173" i="5"/>
  <c r="H190" i="5"/>
  <c r="H50" i="5"/>
  <c r="H283" i="5"/>
  <c r="H44" i="5"/>
  <c r="H29" i="5"/>
  <c r="H140" i="5"/>
  <c r="H339" i="5"/>
  <c r="H24" i="5"/>
  <c r="H177" i="5"/>
  <c r="H366" i="5"/>
  <c r="H282" i="5"/>
  <c r="H112" i="5"/>
  <c r="H201" i="5"/>
  <c r="H36" i="5"/>
  <c r="H151" i="5"/>
  <c r="H346" i="5"/>
  <c r="H155" i="5"/>
  <c r="H315" i="5"/>
  <c r="H86" i="5"/>
  <c r="H199" i="5"/>
  <c r="H73" i="5"/>
  <c r="H110" i="5"/>
  <c r="H293" i="5"/>
  <c r="H39" i="5"/>
  <c r="H328" i="5"/>
  <c r="H87" i="5"/>
  <c r="H74" i="5"/>
  <c r="H80" i="5"/>
  <c r="H63" i="5"/>
  <c r="H45" i="5"/>
  <c r="H143" i="5"/>
  <c r="H355" i="5"/>
  <c r="H40" i="5"/>
  <c r="H184" i="5"/>
  <c r="H49" i="5"/>
  <c r="H322" i="5"/>
  <c r="H124" i="5"/>
  <c r="H268" i="5"/>
  <c r="H71" i="5"/>
  <c r="H161" i="5"/>
  <c r="H362" i="5"/>
  <c r="H172" i="5"/>
  <c r="H331" i="5"/>
  <c r="H93" i="5"/>
  <c r="H270" i="5"/>
  <c r="H292" i="5"/>
  <c r="H333" i="5"/>
  <c r="H129" i="5"/>
  <c r="H278" i="5"/>
  <c r="H300" i="5"/>
  <c r="H185" i="5"/>
  <c r="H317" i="5"/>
  <c r="H271" i="5"/>
  <c r="H34" i="5"/>
  <c r="H107" i="5"/>
  <c r="H90" i="5"/>
  <c r="H97" i="5"/>
  <c r="H104" i="5"/>
  <c r="H69" i="5"/>
  <c r="H153" i="5"/>
  <c r="H139" i="5"/>
  <c r="H88" i="5"/>
  <c r="H262" i="5"/>
  <c r="H100" i="5"/>
  <c r="H354" i="5"/>
  <c r="H127" i="5"/>
  <c r="H284" i="5"/>
  <c r="H89" i="5"/>
  <c r="H168" i="5"/>
  <c r="H21" i="5"/>
  <c r="H175" i="5"/>
  <c r="H347" i="5"/>
  <c r="H132" i="5"/>
  <c r="H286" i="5"/>
  <c r="H327" i="5"/>
  <c r="H287" i="5"/>
  <c r="H160" i="5"/>
  <c r="H176" i="5"/>
  <c r="H92" i="5"/>
  <c r="H135" i="5"/>
  <c r="W7" i="5"/>
  <c r="AU7" i="5"/>
  <c r="O7" i="5"/>
  <c r="O8" i="5"/>
  <c r="CA17" i="1"/>
  <c r="CA18" i="1" s="1"/>
  <c r="CA19" i="1" s="1"/>
  <c r="CA20" i="1" s="1"/>
  <c r="CA21" i="1" s="1"/>
  <c r="CA22" i="1" s="1"/>
  <c r="CA23" i="1" s="1"/>
  <c r="CA24" i="1" s="1"/>
  <c r="CA25" i="1" s="1"/>
  <c r="CA26" i="1" s="1"/>
  <c r="CA27" i="1" s="1"/>
  <c r="CA28" i="1" s="1"/>
  <c r="CA29" i="1" s="1"/>
  <c r="CA30" i="1" s="1"/>
  <c r="CA31" i="1" s="1"/>
  <c r="CA32" i="1" s="1"/>
  <c r="CA33" i="1" s="1"/>
  <c r="CA34" i="1" s="1"/>
  <c r="CA35" i="1" s="1"/>
  <c r="CA36" i="1" s="1"/>
  <c r="CA37" i="1" s="1"/>
  <c r="CA38" i="1" s="1"/>
  <c r="CA39" i="1" s="1"/>
  <c r="CA40" i="1" s="1"/>
  <c r="CA41" i="1" s="1"/>
  <c r="CA42" i="1" s="1"/>
  <c r="CA43" i="1" s="1"/>
  <c r="CA44" i="1" s="1"/>
  <c r="CA45" i="1" s="1"/>
  <c r="CA46" i="1" s="1"/>
  <c r="CA47" i="1" s="1"/>
  <c r="CA48" i="1" s="1"/>
  <c r="CA49" i="1" s="1"/>
  <c r="CA50" i="1" s="1"/>
  <c r="CA51" i="1" s="1"/>
  <c r="CA52" i="1" s="1"/>
  <c r="E19" i="3" l="1"/>
  <c r="E17" i="3"/>
  <c r="E18" i="3" s="1"/>
  <c r="E16" i="3"/>
  <c r="E15" i="3"/>
  <c r="BW9" i="1"/>
  <c r="BS9" i="1"/>
  <c r="BO9" i="1"/>
  <c r="BK9" i="1"/>
  <c r="BG9" i="1"/>
  <c r="BA9" i="1"/>
  <c r="AW9" i="1"/>
  <c r="AS9" i="1"/>
  <c r="AO9" i="1"/>
  <c r="AK9" i="1"/>
  <c r="AG9" i="1"/>
  <c r="AA9" i="1"/>
  <c r="W9" i="1"/>
  <c r="S9" i="1"/>
  <c r="O9" i="1"/>
  <c r="K9" i="1"/>
  <c r="E20" i="3" l="1"/>
  <c r="E21" i="3" s="1"/>
  <c r="E22" i="3" s="1"/>
  <c r="H17" i="1"/>
  <c r="BS8" i="1" l="1"/>
  <c r="BW8" i="1"/>
  <c r="BV7" i="1"/>
  <c r="BR7" i="1"/>
  <c r="BO8" i="1"/>
  <c r="BN7" i="1"/>
  <c r="BK8" i="1"/>
  <c r="BJ7" i="1"/>
  <c r="BG8" i="1"/>
  <c r="BF7" i="1"/>
  <c r="BA8" i="1"/>
  <c r="AZ7" i="1"/>
  <c r="AW8" i="1"/>
  <c r="AV7" i="1"/>
  <c r="AS8" i="1"/>
  <c r="AS10" i="1" s="1"/>
  <c r="AR7" i="1"/>
  <c r="AO8" i="1"/>
  <c r="AK8" i="1"/>
  <c r="AN7" i="1"/>
  <c r="AJ7" i="1"/>
  <c r="AG8" i="1"/>
  <c r="AF7" i="1"/>
  <c r="AA8" i="1"/>
  <c r="AA10" i="1" s="1"/>
  <c r="Z7" i="1"/>
  <c r="W8" i="1"/>
  <c r="V7" i="1"/>
  <c r="S8" i="1"/>
  <c r="R7" i="1"/>
  <c r="O8" i="1"/>
  <c r="N7" i="1"/>
  <c r="K8" i="1"/>
  <c r="G8" i="1"/>
  <c r="G10" i="1" s="1"/>
  <c r="BW1112" i="1"/>
  <c r="BW1111" i="1"/>
  <c r="BW1110" i="1"/>
  <c r="BW1109" i="1"/>
  <c r="BW1108" i="1"/>
  <c r="BW1107" i="1"/>
  <c r="BW1106" i="1"/>
  <c r="BW1105" i="1"/>
  <c r="BW1104" i="1"/>
  <c r="BW1103" i="1"/>
  <c r="BW1102" i="1"/>
  <c r="BW1101" i="1"/>
  <c r="BW1100" i="1"/>
  <c r="BW1099" i="1"/>
  <c r="BW1098" i="1"/>
  <c r="BW1097" i="1"/>
  <c r="BW1096" i="1"/>
  <c r="BW1095" i="1"/>
  <c r="BW1094" i="1"/>
  <c r="BW1093" i="1"/>
  <c r="BW1092" i="1"/>
  <c r="BW1091" i="1"/>
  <c r="BW1090" i="1"/>
  <c r="BW1089" i="1"/>
  <c r="BW1088" i="1"/>
  <c r="BW1087" i="1"/>
  <c r="BW1086" i="1"/>
  <c r="BW1085" i="1"/>
  <c r="BW1084" i="1"/>
  <c r="BW1083" i="1"/>
  <c r="BW1082" i="1"/>
  <c r="BW1081" i="1"/>
  <c r="BW1080" i="1"/>
  <c r="BW1079" i="1"/>
  <c r="BW1078" i="1"/>
  <c r="BW1077" i="1"/>
  <c r="BW1076" i="1"/>
  <c r="BW1075" i="1"/>
  <c r="BW1074" i="1"/>
  <c r="BW1073" i="1"/>
  <c r="BW1072" i="1"/>
  <c r="BW1071" i="1"/>
  <c r="BW1070" i="1"/>
  <c r="BW1069" i="1"/>
  <c r="BW1068" i="1"/>
  <c r="BW1067" i="1"/>
  <c r="BW1066" i="1"/>
  <c r="BW1065" i="1"/>
  <c r="BW1064" i="1"/>
  <c r="BW1063" i="1"/>
  <c r="BW1062" i="1"/>
  <c r="BW1061" i="1"/>
  <c r="BW1060" i="1"/>
  <c r="BW1059" i="1"/>
  <c r="BW1058" i="1"/>
  <c r="BW1057" i="1"/>
  <c r="BW1056" i="1"/>
  <c r="BW1055" i="1"/>
  <c r="BW1054" i="1"/>
  <c r="BW1053" i="1"/>
  <c r="BW1052" i="1"/>
  <c r="BW1051" i="1"/>
  <c r="BW1050" i="1"/>
  <c r="BW1049" i="1"/>
  <c r="BW1048" i="1"/>
  <c r="BW1047" i="1"/>
  <c r="BW1046" i="1"/>
  <c r="BW1045" i="1"/>
  <c r="BW1044" i="1"/>
  <c r="BW1043" i="1"/>
  <c r="BW1042" i="1"/>
  <c r="BW1041" i="1"/>
  <c r="BW1040" i="1"/>
  <c r="BW1039" i="1"/>
  <c r="BW1038" i="1"/>
  <c r="BW1037" i="1"/>
  <c r="BW1036" i="1"/>
  <c r="BW1035" i="1"/>
  <c r="BW1034" i="1"/>
  <c r="BW1033" i="1"/>
  <c r="BW1032" i="1"/>
  <c r="BW1031" i="1"/>
  <c r="BW1030" i="1"/>
  <c r="BW1029" i="1"/>
  <c r="BW1028" i="1"/>
  <c r="BW1027" i="1"/>
  <c r="BW1026" i="1"/>
  <c r="BW1025" i="1"/>
  <c r="BW1024" i="1"/>
  <c r="BW1023" i="1"/>
  <c r="BW1022" i="1"/>
  <c r="BW1021" i="1"/>
  <c r="BW1020" i="1"/>
  <c r="BW1019" i="1"/>
  <c r="BW1018" i="1"/>
  <c r="BW1017" i="1"/>
  <c r="BW1016" i="1"/>
  <c r="BW1015" i="1"/>
  <c r="BW1014" i="1"/>
  <c r="BW1013" i="1"/>
  <c r="BW1012" i="1"/>
  <c r="BW1011" i="1"/>
  <c r="BW1010" i="1"/>
  <c r="BW1009" i="1"/>
  <c r="BW1008" i="1"/>
  <c r="BW1007" i="1"/>
  <c r="BW1006" i="1"/>
  <c r="BW1005" i="1"/>
  <c r="BW1004" i="1"/>
  <c r="BW1003" i="1"/>
  <c r="BW1002" i="1"/>
  <c r="BW1001" i="1"/>
  <c r="BW1000" i="1"/>
  <c r="BW999" i="1"/>
  <c r="BW998" i="1"/>
  <c r="BW997" i="1"/>
  <c r="BW996" i="1"/>
  <c r="BW995" i="1"/>
  <c r="BW994" i="1"/>
  <c r="BW993" i="1"/>
  <c r="BW992" i="1"/>
  <c r="BW991" i="1"/>
  <c r="BW990" i="1"/>
  <c r="BW989" i="1"/>
  <c r="BW988" i="1"/>
  <c r="BW987" i="1"/>
  <c r="BW986" i="1"/>
  <c r="BW985" i="1"/>
  <c r="BW984" i="1"/>
  <c r="BW983" i="1"/>
  <c r="BW982" i="1"/>
  <c r="BW981" i="1"/>
  <c r="BW980" i="1"/>
  <c r="BW979" i="1"/>
  <c r="BW978" i="1"/>
  <c r="BW977" i="1"/>
  <c r="BW976" i="1"/>
  <c r="BW975" i="1"/>
  <c r="BW974" i="1"/>
  <c r="BW973" i="1"/>
  <c r="BW972" i="1"/>
  <c r="BW971" i="1"/>
  <c r="BW970" i="1"/>
  <c r="BW969" i="1"/>
  <c r="BW968" i="1"/>
  <c r="BW967" i="1"/>
  <c r="BW966" i="1"/>
  <c r="BW965" i="1"/>
  <c r="BW964" i="1"/>
  <c r="BW963" i="1"/>
  <c r="BW962" i="1"/>
  <c r="BW961" i="1"/>
  <c r="BW960" i="1"/>
  <c r="BW959" i="1"/>
  <c r="BW958" i="1"/>
  <c r="BW957" i="1"/>
  <c r="BW956" i="1"/>
  <c r="BW955" i="1"/>
  <c r="BW954" i="1"/>
  <c r="BW953" i="1"/>
  <c r="BW952" i="1"/>
  <c r="BW951" i="1"/>
  <c r="BW950" i="1"/>
  <c r="BW949" i="1"/>
  <c r="BW948" i="1"/>
  <c r="BW947" i="1"/>
  <c r="BW946" i="1"/>
  <c r="BW945" i="1"/>
  <c r="BW944" i="1"/>
  <c r="BW943" i="1"/>
  <c r="BW942" i="1"/>
  <c r="BW941" i="1"/>
  <c r="BW940" i="1"/>
  <c r="BW939" i="1"/>
  <c r="BW938" i="1"/>
  <c r="BW937" i="1"/>
  <c r="BW936" i="1"/>
  <c r="BW935" i="1"/>
  <c r="BW934" i="1"/>
  <c r="BW933" i="1"/>
  <c r="BW932" i="1"/>
  <c r="BW931" i="1"/>
  <c r="BW930" i="1"/>
  <c r="BW929" i="1"/>
  <c r="BW928" i="1"/>
  <c r="BW927" i="1"/>
  <c r="BW926" i="1"/>
  <c r="BW925" i="1"/>
  <c r="BW924" i="1"/>
  <c r="BW923" i="1"/>
  <c r="BW922" i="1"/>
  <c r="BW921" i="1"/>
  <c r="BW920" i="1"/>
  <c r="BW919" i="1"/>
  <c r="BW918" i="1"/>
  <c r="BW917" i="1"/>
  <c r="BW916" i="1"/>
  <c r="BW915" i="1"/>
  <c r="BW914" i="1"/>
  <c r="BW913" i="1"/>
  <c r="BW912" i="1"/>
  <c r="BW911" i="1"/>
  <c r="BW910" i="1"/>
  <c r="BW909" i="1"/>
  <c r="BW908" i="1"/>
  <c r="BW907" i="1"/>
  <c r="BW906" i="1"/>
  <c r="BW905" i="1"/>
  <c r="BW904" i="1"/>
  <c r="BW903" i="1"/>
  <c r="BW902" i="1"/>
  <c r="BW901" i="1"/>
  <c r="BW900" i="1"/>
  <c r="BW899" i="1"/>
  <c r="BW898" i="1"/>
  <c r="BX899" i="1" s="1"/>
  <c r="BW897" i="1"/>
  <c r="BW896" i="1"/>
  <c r="BW895" i="1"/>
  <c r="BW894" i="1"/>
  <c r="BW893" i="1"/>
  <c r="BW892" i="1"/>
  <c r="BW891" i="1"/>
  <c r="BW890" i="1"/>
  <c r="BW889" i="1"/>
  <c r="BW888" i="1"/>
  <c r="BW887" i="1"/>
  <c r="BW886" i="1"/>
  <c r="BW885" i="1"/>
  <c r="BW884" i="1"/>
  <c r="BW883" i="1"/>
  <c r="BW882" i="1"/>
  <c r="BW881" i="1"/>
  <c r="BW880" i="1"/>
  <c r="BW879" i="1"/>
  <c r="BW878" i="1"/>
  <c r="BW877" i="1"/>
  <c r="BW876" i="1"/>
  <c r="BW875" i="1"/>
  <c r="BW874" i="1"/>
  <c r="BW873" i="1"/>
  <c r="BW872" i="1"/>
  <c r="BW871" i="1"/>
  <c r="BW870" i="1"/>
  <c r="BW869" i="1"/>
  <c r="BW868" i="1"/>
  <c r="BW867" i="1"/>
  <c r="BW866" i="1"/>
  <c r="BW865" i="1"/>
  <c r="BW864" i="1"/>
  <c r="BW863" i="1"/>
  <c r="BW862" i="1"/>
  <c r="BW861" i="1"/>
  <c r="BW860" i="1"/>
  <c r="BW859" i="1"/>
  <c r="BW858" i="1"/>
  <c r="BW857" i="1"/>
  <c r="BW856" i="1"/>
  <c r="BW855" i="1"/>
  <c r="BW854" i="1"/>
  <c r="BW853" i="1"/>
  <c r="BW852" i="1"/>
  <c r="BW851" i="1"/>
  <c r="BW850" i="1"/>
  <c r="BW849" i="1"/>
  <c r="BW848" i="1"/>
  <c r="BW847" i="1"/>
  <c r="BW846" i="1"/>
  <c r="BW845" i="1"/>
  <c r="BW844" i="1"/>
  <c r="BW843" i="1"/>
  <c r="BW842" i="1"/>
  <c r="BW841" i="1"/>
  <c r="BW840" i="1"/>
  <c r="BW839" i="1"/>
  <c r="BW838" i="1"/>
  <c r="BW837" i="1"/>
  <c r="BW836" i="1"/>
  <c r="BW835" i="1"/>
  <c r="BW834" i="1"/>
  <c r="BW833" i="1"/>
  <c r="BW832" i="1"/>
  <c r="BW831" i="1"/>
  <c r="BW830" i="1"/>
  <c r="BW829" i="1"/>
  <c r="BW828" i="1"/>
  <c r="BW827" i="1"/>
  <c r="BW826" i="1"/>
  <c r="BW825" i="1"/>
  <c r="BW824" i="1"/>
  <c r="BW823" i="1"/>
  <c r="BW822" i="1"/>
  <c r="BW821" i="1"/>
  <c r="BW820" i="1"/>
  <c r="BW819" i="1"/>
  <c r="BW818" i="1"/>
  <c r="BW817" i="1"/>
  <c r="BW816" i="1"/>
  <c r="BW815" i="1"/>
  <c r="BW814" i="1"/>
  <c r="BW813" i="1"/>
  <c r="BW812" i="1"/>
  <c r="BW811" i="1"/>
  <c r="BW810" i="1"/>
  <c r="BW809" i="1"/>
  <c r="BW808" i="1"/>
  <c r="BW807" i="1"/>
  <c r="BW806" i="1"/>
  <c r="BW805" i="1"/>
  <c r="BW804" i="1"/>
  <c r="BW803" i="1"/>
  <c r="BW802" i="1"/>
  <c r="BW801" i="1"/>
  <c r="BW800" i="1"/>
  <c r="BW799" i="1"/>
  <c r="BW798" i="1"/>
  <c r="BW797" i="1"/>
  <c r="BW796" i="1"/>
  <c r="BW795" i="1"/>
  <c r="BW794" i="1"/>
  <c r="BW793" i="1"/>
  <c r="BW792" i="1"/>
  <c r="BW791" i="1"/>
  <c r="BW790" i="1"/>
  <c r="BW789" i="1"/>
  <c r="BW788" i="1"/>
  <c r="BW787" i="1"/>
  <c r="BW786" i="1"/>
  <c r="BW785" i="1"/>
  <c r="BW784" i="1"/>
  <c r="BW783" i="1"/>
  <c r="BW782" i="1"/>
  <c r="BW781" i="1"/>
  <c r="BW780" i="1"/>
  <c r="BW779" i="1"/>
  <c r="BW778" i="1"/>
  <c r="BW777" i="1"/>
  <c r="BW776" i="1"/>
  <c r="BW775" i="1"/>
  <c r="BW774" i="1"/>
  <c r="BW773" i="1"/>
  <c r="BW772" i="1"/>
  <c r="BW771" i="1"/>
  <c r="BW770" i="1"/>
  <c r="BW769" i="1"/>
  <c r="BW768" i="1"/>
  <c r="BW767" i="1"/>
  <c r="BW766" i="1"/>
  <c r="BW765" i="1"/>
  <c r="BW764" i="1"/>
  <c r="BW763" i="1"/>
  <c r="BW762" i="1"/>
  <c r="BW761" i="1"/>
  <c r="BW760" i="1"/>
  <c r="BW759" i="1"/>
  <c r="BW758" i="1"/>
  <c r="BW757" i="1"/>
  <c r="BW756" i="1"/>
  <c r="BW755" i="1"/>
  <c r="BW754" i="1"/>
  <c r="BW753" i="1"/>
  <c r="BW752" i="1"/>
  <c r="BW751" i="1"/>
  <c r="BW750" i="1"/>
  <c r="BW749" i="1"/>
  <c r="BW748" i="1"/>
  <c r="BW747" i="1"/>
  <c r="BW746" i="1"/>
  <c r="BW745" i="1"/>
  <c r="BW744" i="1"/>
  <c r="BW743" i="1"/>
  <c r="BW742" i="1"/>
  <c r="BW741" i="1"/>
  <c r="BW740" i="1"/>
  <c r="BW739" i="1"/>
  <c r="BW738" i="1"/>
  <c r="BW737" i="1"/>
  <c r="BW736" i="1"/>
  <c r="BW735" i="1"/>
  <c r="BW734" i="1"/>
  <c r="BW733" i="1"/>
  <c r="BW732" i="1"/>
  <c r="BW731" i="1"/>
  <c r="BW730" i="1"/>
  <c r="BW729" i="1"/>
  <c r="BW728" i="1"/>
  <c r="BW727" i="1"/>
  <c r="BW726" i="1"/>
  <c r="BW725" i="1"/>
  <c r="BW724" i="1"/>
  <c r="BW723" i="1"/>
  <c r="BW722" i="1"/>
  <c r="BW721" i="1"/>
  <c r="BW720" i="1"/>
  <c r="BW719" i="1"/>
  <c r="BW718" i="1"/>
  <c r="BW717" i="1"/>
  <c r="BW716" i="1"/>
  <c r="BW715" i="1"/>
  <c r="BW714" i="1"/>
  <c r="BW713" i="1"/>
  <c r="BW712" i="1"/>
  <c r="BW711" i="1"/>
  <c r="BW710" i="1"/>
  <c r="BW709" i="1"/>
  <c r="BW708" i="1"/>
  <c r="BW707" i="1"/>
  <c r="BW706" i="1"/>
  <c r="BW705" i="1"/>
  <c r="BW704" i="1"/>
  <c r="BW703" i="1"/>
  <c r="BW702" i="1"/>
  <c r="BW701" i="1"/>
  <c r="BW700" i="1"/>
  <c r="BW699" i="1"/>
  <c r="BW698" i="1"/>
  <c r="BW697" i="1"/>
  <c r="BW696" i="1"/>
  <c r="BW695" i="1"/>
  <c r="BW694" i="1"/>
  <c r="BW693" i="1"/>
  <c r="BW692" i="1"/>
  <c r="BW691" i="1"/>
  <c r="BW690" i="1"/>
  <c r="BW689" i="1"/>
  <c r="BW688" i="1"/>
  <c r="BW687" i="1"/>
  <c r="BW686" i="1"/>
  <c r="BW685" i="1"/>
  <c r="BW684" i="1"/>
  <c r="BW683" i="1"/>
  <c r="BW682" i="1"/>
  <c r="BW681" i="1"/>
  <c r="BW680" i="1"/>
  <c r="BW679" i="1"/>
  <c r="BW678" i="1"/>
  <c r="BW677" i="1"/>
  <c r="BW676" i="1"/>
  <c r="BW675" i="1"/>
  <c r="BW674" i="1"/>
  <c r="BW673" i="1"/>
  <c r="BW672" i="1"/>
  <c r="BW671" i="1"/>
  <c r="BW670" i="1"/>
  <c r="BW669" i="1"/>
  <c r="BW668" i="1"/>
  <c r="BW667" i="1"/>
  <c r="BW666" i="1"/>
  <c r="BW665" i="1"/>
  <c r="BW664" i="1"/>
  <c r="BW663" i="1"/>
  <c r="BW662" i="1"/>
  <c r="BW661" i="1"/>
  <c r="BW660" i="1"/>
  <c r="BW659" i="1"/>
  <c r="BW658" i="1"/>
  <c r="BW657" i="1"/>
  <c r="BW656" i="1"/>
  <c r="BW655" i="1"/>
  <c r="BW654" i="1"/>
  <c r="BW653" i="1"/>
  <c r="BW652" i="1"/>
  <c r="BW651" i="1"/>
  <c r="BW650" i="1"/>
  <c r="BW649" i="1"/>
  <c r="BW648" i="1"/>
  <c r="BW647" i="1"/>
  <c r="BW646" i="1"/>
  <c r="BW645" i="1"/>
  <c r="BW644" i="1"/>
  <c r="BW643" i="1"/>
  <c r="BW642" i="1"/>
  <c r="BW641" i="1"/>
  <c r="BW640" i="1"/>
  <c r="BW639" i="1"/>
  <c r="BW638" i="1"/>
  <c r="BW637" i="1"/>
  <c r="BW636" i="1"/>
  <c r="BW635" i="1"/>
  <c r="BW634" i="1"/>
  <c r="BW633" i="1"/>
  <c r="BW632" i="1"/>
  <c r="BW631" i="1"/>
  <c r="BW630" i="1"/>
  <c r="BW629" i="1"/>
  <c r="BW628" i="1"/>
  <c r="BW627" i="1"/>
  <c r="BW626" i="1"/>
  <c r="BW625" i="1"/>
  <c r="BW624" i="1"/>
  <c r="BW623" i="1"/>
  <c r="BW622" i="1"/>
  <c r="BW621" i="1"/>
  <c r="BW620" i="1"/>
  <c r="BW619" i="1"/>
  <c r="BW618" i="1"/>
  <c r="BW617" i="1"/>
  <c r="BW616" i="1"/>
  <c r="BW615" i="1"/>
  <c r="BW614" i="1"/>
  <c r="BW613" i="1"/>
  <c r="BW612" i="1"/>
  <c r="BW611" i="1"/>
  <c r="BW610" i="1"/>
  <c r="BW609" i="1"/>
  <c r="BW608" i="1"/>
  <c r="BW607" i="1"/>
  <c r="BW606" i="1"/>
  <c r="BW605" i="1"/>
  <c r="BW604" i="1"/>
  <c r="BW603" i="1"/>
  <c r="BW602" i="1"/>
  <c r="BW601" i="1"/>
  <c r="BW600" i="1"/>
  <c r="BW599" i="1"/>
  <c r="BW598" i="1"/>
  <c r="BW597" i="1"/>
  <c r="BW596" i="1"/>
  <c r="BW595" i="1"/>
  <c r="BW594" i="1"/>
  <c r="BW593" i="1"/>
  <c r="BW592" i="1"/>
  <c r="BW591" i="1"/>
  <c r="BW590" i="1"/>
  <c r="BW589" i="1"/>
  <c r="BW588" i="1"/>
  <c r="BW587" i="1"/>
  <c r="BW586" i="1"/>
  <c r="BW585" i="1"/>
  <c r="BW584" i="1"/>
  <c r="BW583" i="1"/>
  <c r="BW582" i="1"/>
  <c r="BW581" i="1"/>
  <c r="BW580" i="1"/>
  <c r="BW579" i="1"/>
  <c r="BW578" i="1"/>
  <c r="BW577" i="1"/>
  <c r="BW576" i="1"/>
  <c r="BW575" i="1"/>
  <c r="BW574" i="1"/>
  <c r="BW573" i="1"/>
  <c r="BW572" i="1"/>
  <c r="BW571" i="1"/>
  <c r="BW570" i="1"/>
  <c r="BW569" i="1"/>
  <c r="BW568" i="1"/>
  <c r="BW567" i="1"/>
  <c r="BW566" i="1"/>
  <c r="BW565" i="1"/>
  <c r="BW564" i="1"/>
  <c r="BW563" i="1"/>
  <c r="BW562" i="1"/>
  <c r="BW561" i="1"/>
  <c r="BW560" i="1"/>
  <c r="BW559" i="1"/>
  <c r="BW558" i="1"/>
  <c r="BW557" i="1"/>
  <c r="BW556" i="1"/>
  <c r="BW555" i="1"/>
  <c r="BW554" i="1"/>
  <c r="BW553" i="1"/>
  <c r="BW552" i="1"/>
  <c r="BW551" i="1"/>
  <c r="BW550" i="1"/>
  <c r="BW549" i="1"/>
  <c r="BW548" i="1"/>
  <c r="BW547" i="1"/>
  <c r="BW546" i="1"/>
  <c r="BW545" i="1"/>
  <c r="BW544" i="1"/>
  <c r="BW543" i="1"/>
  <c r="BW542" i="1"/>
  <c r="BW541" i="1"/>
  <c r="BW540" i="1"/>
  <c r="BW539" i="1"/>
  <c r="BW538" i="1"/>
  <c r="BW537" i="1"/>
  <c r="BW536" i="1"/>
  <c r="BW535" i="1"/>
  <c r="BW534" i="1"/>
  <c r="BW533" i="1"/>
  <c r="BW532" i="1"/>
  <c r="BW531" i="1"/>
  <c r="BW530" i="1"/>
  <c r="BW529" i="1"/>
  <c r="BW528" i="1"/>
  <c r="BW527" i="1"/>
  <c r="BW526" i="1"/>
  <c r="BW525" i="1"/>
  <c r="BW524" i="1"/>
  <c r="BW523" i="1"/>
  <c r="BW522" i="1"/>
  <c r="BW521" i="1"/>
  <c r="BW520" i="1"/>
  <c r="BW519" i="1"/>
  <c r="BW518" i="1"/>
  <c r="BW517" i="1"/>
  <c r="BW516" i="1"/>
  <c r="BW515" i="1"/>
  <c r="BW514" i="1"/>
  <c r="BW513" i="1"/>
  <c r="BW512" i="1"/>
  <c r="BW511" i="1"/>
  <c r="BW510" i="1"/>
  <c r="BW509" i="1"/>
  <c r="BW508" i="1"/>
  <c r="BW507" i="1"/>
  <c r="BW506" i="1"/>
  <c r="BW505" i="1"/>
  <c r="BW504" i="1"/>
  <c r="BW503" i="1"/>
  <c r="BW502" i="1"/>
  <c r="BW501" i="1"/>
  <c r="BW500" i="1"/>
  <c r="BW499" i="1"/>
  <c r="BW498" i="1"/>
  <c r="BW497" i="1"/>
  <c r="BW496" i="1"/>
  <c r="BW495" i="1"/>
  <c r="BW494" i="1"/>
  <c r="BW493" i="1"/>
  <c r="BW492" i="1"/>
  <c r="BW491" i="1"/>
  <c r="BW490" i="1"/>
  <c r="BW489" i="1"/>
  <c r="BW488" i="1"/>
  <c r="BW487" i="1"/>
  <c r="BW486" i="1"/>
  <c r="BW485" i="1"/>
  <c r="BW484" i="1"/>
  <c r="BW483" i="1"/>
  <c r="BW482" i="1"/>
  <c r="BW481" i="1"/>
  <c r="BW480" i="1"/>
  <c r="BW479" i="1"/>
  <c r="BW478" i="1"/>
  <c r="BW477" i="1"/>
  <c r="BW476" i="1"/>
  <c r="BW475" i="1"/>
  <c r="BW474" i="1"/>
  <c r="BW473" i="1"/>
  <c r="BW472" i="1"/>
  <c r="BW471" i="1"/>
  <c r="BW470" i="1"/>
  <c r="BW469" i="1"/>
  <c r="BW468" i="1"/>
  <c r="BW467" i="1"/>
  <c r="BW466" i="1"/>
  <c r="BW465" i="1"/>
  <c r="BW464" i="1"/>
  <c r="BW463" i="1"/>
  <c r="BW462" i="1"/>
  <c r="BW461" i="1"/>
  <c r="BW460" i="1"/>
  <c r="BW459" i="1"/>
  <c r="BW458" i="1"/>
  <c r="BW457" i="1"/>
  <c r="BW456" i="1"/>
  <c r="BW455" i="1"/>
  <c r="BW454" i="1"/>
  <c r="BW453" i="1"/>
  <c r="BW452" i="1"/>
  <c r="BW451" i="1"/>
  <c r="BW450" i="1"/>
  <c r="BW449" i="1"/>
  <c r="BW448" i="1"/>
  <c r="BW447" i="1"/>
  <c r="BW446" i="1"/>
  <c r="BW445" i="1"/>
  <c r="BW444" i="1"/>
  <c r="BW443" i="1"/>
  <c r="BW442" i="1"/>
  <c r="BW441" i="1"/>
  <c r="BW440" i="1"/>
  <c r="BW439" i="1"/>
  <c r="BW438" i="1"/>
  <c r="BW437" i="1"/>
  <c r="BW436" i="1"/>
  <c r="BW435" i="1"/>
  <c r="BW434" i="1"/>
  <c r="BW433" i="1"/>
  <c r="BW432" i="1"/>
  <c r="BW431" i="1"/>
  <c r="BW430" i="1"/>
  <c r="BW429" i="1"/>
  <c r="BW428" i="1"/>
  <c r="BW427" i="1"/>
  <c r="BW426" i="1"/>
  <c r="BW425" i="1"/>
  <c r="BW424" i="1"/>
  <c r="BW423" i="1"/>
  <c r="BW422" i="1"/>
  <c r="BW421" i="1"/>
  <c r="BW420" i="1"/>
  <c r="BW419" i="1"/>
  <c r="BW418" i="1"/>
  <c r="BW417" i="1"/>
  <c r="BW416" i="1"/>
  <c r="BW415" i="1"/>
  <c r="BW414" i="1"/>
  <c r="BW413" i="1"/>
  <c r="BW412" i="1"/>
  <c r="BW411" i="1"/>
  <c r="BW410" i="1"/>
  <c r="BW409" i="1"/>
  <c r="BW408" i="1"/>
  <c r="BW407" i="1"/>
  <c r="BW406" i="1"/>
  <c r="BW405" i="1"/>
  <c r="BW404" i="1"/>
  <c r="BW403" i="1"/>
  <c r="BW402" i="1"/>
  <c r="BW401" i="1"/>
  <c r="BW400" i="1"/>
  <c r="BW399" i="1"/>
  <c r="BW398" i="1"/>
  <c r="BW397" i="1"/>
  <c r="BW396" i="1"/>
  <c r="BW395" i="1"/>
  <c r="BW394" i="1"/>
  <c r="BW393" i="1"/>
  <c r="BW392" i="1"/>
  <c r="BW391" i="1"/>
  <c r="BW390" i="1"/>
  <c r="BW389" i="1"/>
  <c r="BW388" i="1"/>
  <c r="BW387" i="1"/>
  <c r="BW386" i="1"/>
  <c r="BW385" i="1"/>
  <c r="BW384" i="1"/>
  <c r="BW383" i="1"/>
  <c r="BW382" i="1"/>
  <c r="BW381" i="1"/>
  <c r="BW380" i="1"/>
  <c r="BW379" i="1"/>
  <c r="BW378" i="1"/>
  <c r="BW377" i="1"/>
  <c r="BW376" i="1"/>
  <c r="BW375" i="1"/>
  <c r="BW374" i="1"/>
  <c r="BW373" i="1"/>
  <c r="BW372" i="1"/>
  <c r="BW371" i="1"/>
  <c r="BW370" i="1"/>
  <c r="BW369" i="1"/>
  <c r="BW368" i="1"/>
  <c r="BW367" i="1"/>
  <c r="BW366" i="1"/>
  <c r="BW365" i="1"/>
  <c r="BW364" i="1"/>
  <c r="BW363" i="1"/>
  <c r="BW362" i="1"/>
  <c r="BW361" i="1"/>
  <c r="BW360" i="1"/>
  <c r="BW359" i="1"/>
  <c r="BW358" i="1"/>
  <c r="BW357" i="1"/>
  <c r="BW356" i="1"/>
  <c r="BW355" i="1"/>
  <c r="BW354" i="1"/>
  <c r="BW353" i="1"/>
  <c r="BW352" i="1"/>
  <c r="BW351" i="1"/>
  <c r="BW350" i="1"/>
  <c r="BW349" i="1"/>
  <c r="BW348" i="1"/>
  <c r="BW347" i="1"/>
  <c r="BW346" i="1"/>
  <c r="BW345" i="1"/>
  <c r="BW344" i="1"/>
  <c r="BW343" i="1"/>
  <c r="BW342" i="1"/>
  <c r="BW341" i="1"/>
  <c r="BW340" i="1"/>
  <c r="BW339" i="1"/>
  <c r="BW338" i="1"/>
  <c r="BW337" i="1"/>
  <c r="BW336" i="1"/>
  <c r="BW335" i="1"/>
  <c r="BW334" i="1"/>
  <c r="BW333" i="1"/>
  <c r="BW332" i="1"/>
  <c r="BW331" i="1"/>
  <c r="BW330" i="1"/>
  <c r="BW329" i="1"/>
  <c r="BW328" i="1"/>
  <c r="BW327" i="1"/>
  <c r="BW326" i="1"/>
  <c r="BW325" i="1"/>
  <c r="BW324" i="1"/>
  <c r="BW323" i="1"/>
  <c r="BW322" i="1"/>
  <c r="BW321" i="1"/>
  <c r="BW320" i="1"/>
  <c r="BW319" i="1"/>
  <c r="BW318" i="1"/>
  <c r="BW317" i="1"/>
  <c r="BW316" i="1"/>
  <c r="BW315" i="1"/>
  <c r="BW314" i="1"/>
  <c r="BW313" i="1"/>
  <c r="BW312" i="1"/>
  <c r="BW311" i="1"/>
  <c r="BW310" i="1"/>
  <c r="BW309" i="1"/>
  <c r="BW308" i="1"/>
  <c r="BW307" i="1"/>
  <c r="BW306" i="1"/>
  <c r="BW305" i="1"/>
  <c r="BW304" i="1"/>
  <c r="BW303" i="1"/>
  <c r="BW302" i="1"/>
  <c r="BW301" i="1"/>
  <c r="BW300" i="1"/>
  <c r="BW299" i="1"/>
  <c r="BW298" i="1"/>
  <c r="BW297" i="1"/>
  <c r="BW296" i="1"/>
  <c r="BW295" i="1"/>
  <c r="BW294" i="1"/>
  <c r="BW293" i="1"/>
  <c r="BW292" i="1"/>
  <c r="BW291" i="1"/>
  <c r="BW290" i="1"/>
  <c r="BW289" i="1"/>
  <c r="BW288" i="1"/>
  <c r="BW287" i="1"/>
  <c r="BW286" i="1"/>
  <c r="BW285" i="1"/>
  <c r="BW284" i="1"/>
  <c r="BW283" i="1"/>
  <c r="BW282" i="1"/>
  <c r="BW281" i="1"/>
  <c r="BW280" i="1"/>
  <c r="BW279" i="1"/>
  <c r="BW278" i="1"/>
  <c r="BW277" i="1"/>
  <c r="BW276" i="1"/>
  <c r="BW275" i="1"/>
  <c r="BW274" i="1"/>
  <c r="BW273" i="1"/>
  <c r="BW272" i="1"/>
  <c r="BW271" i="1"/>
  <c r="BW270" i="1"/>
  <c r="BW269" i="1"/>
  <c r="BW268" i="1"/>
  <c r="BW267" i="1"/>
  <c r="BW266" i="1"/>
  <c r="BW265" i="1"/>
  <c r="BW264" i="1"/>
  <c r="BW263" i="1"/>
  <c r="BW262" i="1"/>
  <c r="BW261" i="1"/>
  <c r="BW260" i="1"/>
  <c r="BW259" i="1"/>
  <c r="BW258" i="1"/>
  <c r="BW257" i="1"/>
  <c r="BW256" i="1"/>
  <c r="BW255" i="1"/>
  <c r="BW254" i="1"/>
  <c r="BW253" i="1"/>
  <c r="BW252" i="1"/>
  <c r="BW251" i="1"/>
  <c r="BW250" i="1"/>
  <c r="BW249" i="1"/>
  <c r="BW248" i="1"/>
  <c r="BW247" i="1"/>
  <c r="BW246" i="1"/>
  <c r="BW245" i="1"/>
  <c r="BW244" i="1"/>
  <c r="BW243" i="1"/>
  <c r="BW242" i="1"/>
  <c r="BW241" i="1"/>
  <c r="BW240" i="1"/>
  <c r="BW239" i="1"/>
  <c r="BW238" i="1"/>
  <c r="BW237" i="1"/>
  <c r="BW236" i="1"/>
  <c r="BW235" i="1"/>
  <c r="BW234" i="1"/>
  <c r="BW233" i="1"/>
  <c r="BW232" i="1"/>
  <c r="BW231" i="1"/>
  <c r="BW230" i="1"/>
  <c r="BW229" i="1"/>
  <c r="BW228" i="1"/>
  <c r="BW227" i="1"/>
  <c r="BW226" i="1"/>
  <c r="BW225" i="1"/>
  <c r="BW224" i="1"/>
  <c r="BW223" i="1"/>
  <c r="BW222" i="1"/>
  <c r="BW221" i="1"/>
  <c r="BW220" i="1"/>
  <c r="BW219" i="1"/>
  <c r="BW218" i="1"/>
  <c r="BW217" i="1"/>
  <c r="BW216" i="1"/>
  <c r="BW215" i="1"/>
  <c r="BW214" i="1"/>
  <c r="BW213" i="1"/>
  <c r="BW212" i="1"/>
  <c r="BW211" i="1"/>
  <c r="BW210" i="1"/>
  <c r="BW209" i="1"/>
  <c r="BW208" i="1"/>
  <c r="BW207" i="1"/>
  <c r="BW206" i="1"/>
  <c r="BW205" i="1"/>
  <c r="BW204" i="1"/>
  <c r="BW203" i="1"/>
  <c r="BW202" i="1"/>
  <c r="BW201" i="1"/>
  <c r="BW200" i="1"/>
  <c r="BW199" i="1"/>
  <c r="BW198" i="1"/>
  <c r="BW197" i="1"/>
  <c r="BW196" i="1"/>
  <c r="BW195" i="1"/>
  <c r="BW194" i="1"/>
  <c r="BW193" i="1"/>
  <c r="BW192" i="1"/>
  <c r="BW191" i="1"/>
  <c r="BW190" i="1"/>
  <c r="BW189" i="1"/>
  <c r="BW188" i="1"/>
  <c r="BW187" i="1"/>
  <c r="BW186" i="1"/>
  <c r="BW185" i="1"/>
  <c r="BW184" i="1"/>
  <c r="BW183" i="1"/>
  <c r="BW182" i="1"/>
  <c r="BW181" i="1"/>
  <c r="BW180" i="1"/>
  <c r="BW179" i="1"/>
  <c r="BW178" i="1"/>
  <c r="BW177" i="1"/>
  <c r="BW176" i="1"/>
  <c r="BW175" i="1"/>
  <c r="BW174" i="1"/>
  <c r="BW173" i="1"/>
  <c r="BW172" i="1"/>
  <c r="BW171" i="1"/>
  <c r="BW170" i="1"/>
  <c r="BW169" i="1"/>
  <c r="BW168" i="1"/>
  <c r="BW167" i="1"/>
  <c r="BW166" i="1"/>
  <c r="BW165" i="1"/>
  <c r="BW164" i="1"/>
  <c r="BW163" i="1"/>
  <c r="BW162" i="1"/>
  <c r="BW161" i="1"/>
  <c r="BW160" i="1"/>
  <c r="BW159" i="1"/>
  <c r="BW158" i="1"/>
  <c r="BW157" i="1"/>
  <c r="BW156" i="1"/>
  <c r="BW155" i="1"/>
  <c r="BW154" i="1"/>
  <c r="BW153" i="1"/>
  <c r="BW152" i="1"/>
  <c r="BW151" i="1"/>
  <c r="BW150" i="1"/>
  <c r="BW149" i="1"/>
  <c r="BW148" i="1"/>
  <c r="BW147" i="1"/>
  <c r="BW146" i="1"/>
  <c r="BW145" i="1"/>
  <c r="BW144" i="1"/>
  <c r="BW143" i="1"/>
  <c r="BW142" i="1"/>
  <c r="BW141" i="1"/>
  <c r="BW140" i="1"/>
  <c r="BW139" i="1"/>
  <c r="BW138" i="1"/>
  <c r="BW137" i="1"/>
  <c r="BW136" i="1"/>
  <c r="BW135" i="1"/>
  <c r="BW134" i="1"/>
  <c r="BW133" i="1"/>
  <c r="BW132" i="1"/>
  <c r="BW131" i="1"/>
  <c r="BW130" i="1"/>
  <c r="BW129" i="1"/>
  <c r="BW128" i="1"/>
  <c r="BW127" i="1"/>
  <c r="BW126" i="1"/>
  <c r="BW125" i="1"/>
  <c r="BW124" i="1"/>
  <c r="BW123" i="1"/>
  <c r="BW122" i="1"/>
  <c r="BW121" i="1"/>
  <c r="BW120" i="1"/>
  <c r="BW119" i="1"/>
  <c r="BW118" i="1"/>
  <c r="BW117" i="1"/>
  <c r="BW116" i="1"/>
  <c r="BW115" i="1"/>
  <c r="BW114" i="1"/>
  <c r="BW113" i="1"/>
  <c r="BW112" i="1"/>
  <c r="BW111" i="1"/>
  <c r="BW110" i="1"/>
  <c r="BW109" i="1"/>
  <c r="BW108" i="1"/>
  <c r="BW107" i="1"/>
  <c r="BW106" i="1"/>
  <c r="BW105" i="1"/>
  <c r="BW104" i="1"/>
  <c r="BW103" i="1"/>
  <c r="BW102" i="1"/>
  <c r="BW101" i="1"/>
  <c r="BW100" i="1"/>
  <c r="BW99" i="1"/>
  <c r="BW98" i="1"/>
  <c r="BW97" i="1"/>
  <c r="BW96" i="1"/>
  <c r="BW95" i="1"/>
  <c r="BW94" i="1"/>
  <c r="BW93" i="1"/>
  <c r="BW92" i="1"/>
  <c r="BW91" i="1"/>
  <c r="BW90" i="1"/>
  <c r="BW89" i="1"/>
  <c r="BW88" i="1"/>
  <c r="BW87" i="1"/>
  <c r="BW86" i="1"/>
  <c r="BW85" i="1"/>
  <c r="BW84" i="1"/>
  <c r="BW83" i="1"/>
  <c r="BW82" i="1"/>
  <c r="BW81" i="1"/>
  <c r="BW80" i="1"/>
  <c r="BW79" i="1"/>
  <c r="BW78" i="1"/>
  <c r="BW77" i="1"/>
  <c r="BW76" i="1"/>
  <c r="BW75" i="1"/>
  <c r="BW74" i="1"/>
  <c r="BW73" i="1"/>
  <c r="BW72" i="1"/>
  <c r="BW71" i="1"/>
  <c r="BW70" i="1"/>
  <c r="BW69" i="1"/>
  <c r="BW68" i="1"/>
  <c r="BW67" i="1"/>
  <c r="BW66" i="1"/>
  <c r="BW65" i="1"/>
  <c r="BW64" i="1"/>
  <c r="BW63" i="1"/>
  <c r="BW62" i="1"/>
  <c r="BW61" i="1"/>
  <c r="BW60" i="1"/>
  <c r="BW59" i="1"/>
  <c r="BW58" i="1"/>
  <c r="BW57" i="1"/>
  <c r="BW56" i="1"/>
  <c r="BW55" i="1"/>
  <c r="BW54" i="1"/>
  <c r="BW53" i="1"/>
  <c r="BW52" i="1"/>
  <c r="BW51" i="1"/>
  <c r="BW50" i="1"/>
  <c r="BW49" i="1"/>
  <c r="BW48" i="1"/>
  <c r="BW47" i="1"/>
  <c r="BW46" i="1"/>
  <c r="BW45" i="1"/>
  <c r="BW44" i="1"/>
  <c r="BW43" i="1"/>
  <c r="BW42" i="1"/>
  <c r="BW41" i="1"/>
  <c r="BW40" i="1"/>
  <c r="BW39" i="1"/>
  <c r="BW38" i="1"/>
  <c r="BW37" i="1"/>
  <c r="BW36" i="1"/>
  <c r="BW35" i="1"/>
  <c r="BW34" i="1"/>
  <c r="BW33" i="1"/>
  <c r="BW32" i="1"/>
  <c r="BW31" i="1"/>
  <c r="BW30" i="1"/>
  <c r="BW29" i="1"/>
  <c r="BW28" i="1"/>
  <c r="BW27" i="1"/>
  <c r="BW26" i="1"/>
  <c r="BW25" i="1"/>
  <c r="BW24" i="1"/>
  <c r="BW23" i="1"/>
  <c r="BW22" i="1"/>
  <c r="BW21" i="1"/>
  <c r="BW20" i="1"/>
  <c r="BW19" i="1"/>
  <c r="BW18" i="1"/>
  <c r="BW17" i="1"/>
  <c r="BW10" i="1"/>
  <c r="BW12" i="1"/>
  <c r="BS1112" i="1"/>
  <c r="BS1111" i="1"/>
  <c r="BS1110" i="1"/>
  <c r="BS1109" i="1"/>
  <c r="BS1108" i="1"/>
  <c r="BS1107" i="1"/>
  <c r="BS1106" i="1"/>
  <c r="BS1105" i="1"/>
  <c r="BS1104" i="1"/>
  <c r="BS1103" i="1"/>
  <c r="BS1102" i="1"/>
  <c r="BS1101" i="1"/>
  <c r="BS1100" i="1"/>
  <c r="BS1099" i="1"/>
  <c r="BS1098" i="1"/>
  <c r="BS1097" i="1"/>
  <c r="BS1096" i="1"/>
  <c r="BS1095" i="1"/>
  <c r="BS1094" i="1"/>
  <c r="BS1093" i="1"/>
  <c r="BS1092" i="1"/>
  <c r="BS1091" i="1"/>
  <c r="BS1090" i="1"/>
  <c r="BS1089" i="1"/>
  <c r="BS1088" i="1"/>
  <c r="BS1087" i="1"/>
  <c r="BS1086" i="1"/>
  <c r="BS1085" i="1"/>
  <c r="BS1084" i="1"/>
  <c r="BS1083" i="1"/>
  <c r="BS1082" i="1"/>
  <c r="BS1081" i="1"/>
  <c r="BS1080" i="1"/>
  <c r="BS1079" i="1"/>
  <c r="BS1078" i="1"/>
  <c r="BS1077" i="1"/>
  <c r="BS1076" i="1"/>
  <c r="BS1075" i="1"/>
  <c r="BS1074" i="1"/>
  <c r="BS1073" i="1"/>
  <c r="BS1072" i="1"/>
  <c r="BS1071" i="1"/>
  <c r="BS1070" i="1"/>
  <c r="BS1069" i="1"/>
  <c r="BS1068" i="1"/>
  <c r="BS1067" i="1"/>
  <c r="BS1066" i="1"/>
  <c r="BS1065" i="1"/>
  <c r="BS1064" i="1"/>
  <c r="BS1063" i="1"/>
  <c r="BS1062" i="1"/>
  <c r="BS1061" i="1"/>
  <c r="BS1060" i="1"/>
  <c r="BS1059" i="1"/>
  <c r="BS1058" i="1"/>
  <c r="BS1057" i="1"/>
  <c r="BS1056" i="1"/>
  <c r="BS1055" i="1"/>
  <c r="BS1054" i="1"/>
  <c r="BS1053" i="1"/>
  <c r="BS1052" i="1"/>
  <c r="BS1051" i="1"/>
  <c r="BS1050" i="1"/>
  <c r="BS1049" i="1"/>
  <c r="BS1048" i="1"/>
  <c r="BS1047" i="1"/>
  <c r="BS1046" i="1"/>
  <c r="BS1045" i="1"/>
  <c r="BS1044" i="1"/>
  <c r="BS1043" i="1"/>
  <c r="BS1042" i="1"/>
  <c r="BS1041" i="1"/>
  <c r="BS1040" i="1"/>
  <c r="BS1039" i="1"/>
  <c r="BS1038" i="1"/>
  <c r="BS1037" i="1"/>
  <c r="BS1036" i="1"/>
  <c r="BS1035" i="1"/>
  <c r="BS1034" i="1"/>
  <c r="BS1033" i="1"/>
  <c r="BS1032" i="1"/>
  <c r="BS1031" i="1"/>
  <c r="BS1030" i="1"/>
  <c r="BS1029" i="1"/>
  <c r="BS1028" i="1"/>
  <c r="BS1027" i="1"/>
  <c r="BS1026" i="1"/>
  <c r="BS1025" i="1"/>
  <c r="BS1024" i="1"/>
  <c r="BS1023" i="1"/>
  <c r="BS1022" i="1"/>
  <c r="BS1021" i="1"/>
  <c r="BS1020" i="1"/>
  <c r="BT1021" i="1" s="1"/>
  <c r="BS1019" i="1"/>
  <c r="BS1018" i="1"/>
  <c r="BS1017" i="1"/>
  <c r="BS1016" i="1"/>
  <c r="BS1015" i="1"/>
  <c r="BS1014" i="1"/>
  <c r="BS1013" i="1"/>
  <c r="BS1012" i="1"/>
  <c r="BS1011" i="1"/>
  <c r="BS1010" i="1"/>
  <c r="BS1009" i="1"/>
  <c r="BS1008" i="1"/>
  <c r="BS1007" i="1"/>
  <c r="BS1006" i="1"/>
  <c r="BS1005" i="1"/>
  <c r="BS1004" i="1"/>
  <c r="BS1003" i="1"/>
  <c r="BS1002" i="1"/>
  <c r="BS1001" i="1"/>
  <c r="BS1000" i="1"/>
  <c r="BS999" i="1"/>
  <c r="BS998" i="1"/>
  <c r="BS997" i="1"/>
  <c r="BS996" i="1"/>
  <c r="BS995" i="1"/>
  <c r="BS994" i="1"/>
  <c r="BS993" i="1"/>
  <c r="BS992" i="1"/>
  <c r="BS991" i="1"/>
  <c r="BS990" i="1"/>
  <c r="BS989" i="1"/>
  <c r="BS988" i="1"/>
  <c r="BS987" i="1"/>
  <c r="BS986" i="1"/>
  <c r="BS985" i="1"/>
  <c r="BS984" i="1"/>
  <c r="BS983" i="1"/>
  <c r="BS982" i="1"/>
  <c r="BS981" i="1"/>
  <c r="BS980" i="1"/>
  <c r="BS979" i="1"/>
  <c r="BS978" i="1"/>
  <c r="BS977" i="1"/>
  <c r="BS976" i="1"/>
  <c r="BS975" i="1"/>
  <c r="BS974" i="1"/>
  <c r="BS973" i="1"/>
  <c r="BS972" i="1"/>
  <c r="BS971" i="1"/>
  <c r="BS970" i="1"/>
  <c r="BS969" i="1"/>
  <c r="BS968" i="1"/>
  <c r="BS967" i="1"/>
  <c r="BS966" i="1"/>
  <c r="BS965" i="1"/>
  <c r="BS964" i="1"/>
  <c r="BS963" i="1"/>
  <c r="BS962" i="1"/>
  <c r="BS961" i="1"/>
  <c r="BS960" i="1"/>
  <c r="BS959" i="1"/>
  <c r="BS958" i="1"/>
  <c r="BS957" i="1"/>
  <c r="BS956" i="1"/>
  <c r="BS955" i="1"/>
  <c r="BS954" i="1"/>
  <c r="BS953" i="1"/>
  <c r="BS952" i="1"/>
  <c r="BS951" i="1"/>
  <c r="BS950" i="1"/>
  <c r="BS949" i="1"/>
  <c r="BS948" i="1"/>
  <c r="BS947" i="1"/>
  <c r="BS946" i="1"/>
  <c r="BS945" i="1"/>
  <c r="BS944" i="1"/>
  <c r="BS943" i="1"/>
  <c r="BS942" i="1"/>
  <c r="BS941" i="1"/>
  <c r="BS940" i="1"/>
  <c r="BS939" i="1"/>
  <c r="BS938" i="1"/>
  <c r="BS937" i="1"/>
  <c r="BS936" i="1"/>
  <c r="BS935" i="1"/>
  <c r="BS934" i="1"/>
  <c r="BS933" i="1"/>
  <c r="BS932" i="1"/>
  <c r="BS931" i="1"/>
  <c r="BS930" i="1"/>
  <c r="BS929" i="1"/>
  <c r="BS928" i="1"/>
  <c r="BS927" i="1"/>
  <c r="BS926" i="1"/>
  <c r="BS925" i="1"/>
  <c r="BS924" i="1"/>
  <c r="BS923" i="1"/>
  <c r="BS922" i="1"/>
  <c r="BS921" i="1"/>
  <c r="BS920" i="1"/>
  <c r="BS919" i="1"/>
  <c r="BS918" i="1"/>
  <c r="BS917" i="1"/>
  <c r="BS916" i="1"/>
  <c r="BS915" i="1"/>
  <c r="BS914" i="1"/>
  <c r="BS913" i="1"/>
  <c r="BS912" i="1"/>
  <c r="BS911" i="1"/>
  <c r="BS910" i="1"/>
  <c r="BS909" i="1"/>
  <c r="BS908" i="1"/>
  <c r="BS907" i="1"/>
  <c r="BS906" i="1"/>
  <c r="BS905" i="1"/>
  <c r="BS904" i="1"/>
  <c r="BS903" i="1"/>
  <c r="BS902" i="1"/>
  <c r="BS901" i="1"/>
  <c r="BS900" i="1"/>
  <c r="BS899" i="1"/>
  <c r="BS898" i="1"/>
  <c r="BS897" i="1"/>
  <c r="BS896" i="1"/>
  <c r="BS895" i="1"/>
  <c r="BS894" i="1"/>
  <c r="BS893" i="1"/>
  <c r="BS892" i="1"/>
  <c r="BS891" i="1"/>
  <c r="BS890" i="1"/>
  <c r="BS889" i="1"/>
  <c r="BS888" i="1"/>
  <c r="BS887" i="1"/>
  <c r="BS886" i="1"/>
  <c r="BS885" i="1"/>
  <c r="BS884" i="1"/>
  <c r="BS883" i="1"/>
  <c r="BS882" i="1"/>
  <c r="BS881" i="1"/>
  <c r="BS880" i="1"/>
  <c r="BS879" i="1"/>
  <c r="BS878" i="1"/>
  <c r="BS877" i="1"/>
  <c r="BS876" i="1"/>
  <c r="BS875" i="1"/>
  <c r="BS874" i="1"/>
  <c r="BS873" i="1"/>
  <c r="BS872" i="1"/>
  <c r="BS871" i="1"/>
  <c r="BS870" i="1"/>
  <c r="BS869" i="1"/>
  <c r="BS868" i="1"/>
  <c r="BS867" i="1"/>
  <c r="BS866" i="1"/>
  <c r="BS865" i="1"/>
  <c r="BS864" i="1"/>
  <c r="BS863" i="1"/>
  <c r="BS862" i="1"/>
  <c r="BS861" i="1"/>
  <c r="BS860" i="1"/>
  <c r="BS859" i="1"/>
  <c r="BS858" i="1"/>
  <c r="BS857" i="1"/>
  <c r="BS856" i="1"/>
  <c r="BS855" i="1"/>
  <c r="BS854" i="1"/>
  <c r="BS853" i="1"/>
  <c r="BS852" i="1"/>
  <c r="BS851" i="1"/>
  <c r="BS850" i="1"/>
  <c r="BS849" i="1"/>
  <c r="BS848" i="1"/>
  <c r="BS847" i="1"/>
  <c r="BS846" i="1"/>
  <c r="BS845" i="1"/>
  <c r="BS844" i="1"/>
  <c r="BS843" i="1"/>
  <c r="BS842" i="1"/>
  <c r="BS841" i="1"/>
  <c r="BS840" i="1"/>
  <c r="BS839" i="1"/>
  <c r="BS838" i="1"/>
  <c r="BS837" i="1"/>
  <c r="BS836" i="1"/>
  <c r="BS835" i="1"/>
  <c r="BS834" i="1"/>
  <c r="BS833" i="1"/>
  <c r="BS832" i="1"/>
  <c r="BS831" i="1"/>
  <c r="BS830" i="1"/>
  <c r="BS829" i="1"/>
  <c r="BS828" i="1"/>
  <c r="BS827" i="1"/>
  <c r="BS826" i="1"/>
  <c r="BS825" i="1"/>
  <c r="BS824" i="1"/>
  <c r="BS823" i="1"/>
  <c r="BS822" i="1"/>
  <c r="BS821" i="1"/>
  <c r="BS820" i="1"/>
  <c r="BS819" i="1"/>
  <c r="BS818" i="1"/>
  <c r="BS817" i="1"/>
  <c r="BS816" i="1"/>
  <c r="BS815" i="1"/>
  <c r="BS814" i="1"/>
  <c r="BS813" i="1"/>
  <c r="BS812" i="1"/>
  <c r="BS811" i="1"/>
  <c r="BS810" i="1"/>
  <c r="BS809" i="1"/>
  <c r="BS808" i="1"/>
  <c r="BS807" i="1"/>
  <c r="BS806" i="1"/>
  <c r="BS805" i="1"/>
  <c r="BS804" i="1"/>
  <c r="BS803" i="1"/>
  <c r="BS802" i="1"/>
  <c r="BS801" i="1"/>
  <c r="BS800" i="1"/>
  <c r="BS799" i="1"/>
  <c r="BS798" i="1"/>
  <c r="BS797" i="1"/>
  <c r="BS796" i="1"/>
  <c r="BS795" i="1"/>
  <c r="BS794" i="1"/>
  <c r="BS793" i="1"/>
  <c r="BS792" i="1"/>
  <c r="BS791" i="1"/>
  <c r="BS790" i="1"/>
  <c r="BS789" i="1"/>
  <c r="BS788" i="1"/>
  <c r="BS787" i="1"/>
  <c r="BS786" i="1"/>
  <c r="BS785" i="1"/>
  <c r="BS784" i="1"/>
  <c r="BS783" i="1"/>
  <c r="BS782" i="1"/>
  <c r="BS781" i="1"/>
  <c r="BS780" i="1"/>
  <c r="BS779" i="1"/>
  <c r="BS778" i="1"/>
  <c r="BS777" i="1"/>
  <c r="BS776" i="1"/>
  <c r="BS775" i="1"/>
  <c r="BS774" i="1"/>
  <c r="BS773" i="1"/>
  <c r="BS772" i="1"/>
  <c r="BS771" i="1"/>
  <c r="BS770" i="1"/>
  <c r="BS769" i="1"/>
  <c r="BS768" i="1"/>
  <c r="BS767" i="1"/>
  <c r="BS766" i="1"/>
  <c r="BS765" i="1"/>
  <c r="BS764" i="1"/>
  <c r="BS763" i="1"/>
  <c r="BS762" i="1"/>
  <c r="BS761" i="1"/>
  <c r="BS760" i="1"/>
  <c r="BS759" i="1"/>
  <c r="BS758" i="1"/>
  <c r="BS757" i="1"/>
  <c r="BS756" i="1"/>
  <c r="BS755" i="1"/>
  <c r="BS754" i="1"/>
  <c r="BS753" i="1"/>
  <c r="BS752" i="1"/>
  <c r="BS751" i="1"/>
  <c r="BS750" i="1"/>
  <c r="BS749" i="1"/>
  <c r="BS748" i="1"/>
  <c r="BS747" i="1"/>
  <c r="BS746" i="1"/>
  <c r="BS745" i="1"/>
  <c r="BS744" i="1"/>
  <c r="BS743" i="1"/>
  <c r="BS742" i="1"/>
  <c r="BS741" i="1"/>
  <c r="BS740" i="1"/>
  <c r="BS739" i="1"/>
  <c r="BS738" i="1"/>
  <c r="BS737" i="1"/>
  <c r="BS736" i="1"/>
  <c r="BS735" i="1"/>
  <c r="BS734" i="1"/>
  <c r="BS733" i="1"/>
  <c r="BS732" i="1"/>
  <c r="BS731" i="1"/>
  <c r="BS730" i="1"/>
  <c r="BS729" i="1"/>
  <c r="BS728" i="1"/>
  <c r="BS727" i="1"/>
  <c r="BS726" i="1"/>
  <c r="BS725" i="1"/>
  <c r="BS724" i="1"/>
  <c r="BS723" i="1"/>
  <c r="BS722" i="1"/>
  <c r="BS721" i="1"/>
  <c r="BS720" i="1"/>
  <c r="BS719" i="1"/>
  <c r="BS718" i="1"/>
  <c r="BS717" i="1"/>
  <c r="BS716" i="1"/>
  <c r="BS715" i="1"/>
  <c r="BS714" i="1"/>
  <c r="BS713" i="1"/>
  <c r="BS712" i="1"/>
  <c r="BS711" i="1"/>
  <c r="BS710" i="1"/>
  <c r="BS709" i="1"/>
  <c r="BS708" i="1"/>
  <c r="BS707" i="1"/>
  <c r="BS706" i="1"/>
  <c r="BS705" i="1"/>
  <c r="BS704" i="1"/>
  <c r="BS703" i="1"/>
  <c r="BS702" i="1"/>
  <c r="BS701" i="1"/>
  <c r="BS700" i="1"/>
  <c r="BS699" i="1"/>
  <c r="BS698" i="1"/>
  <c r="BS697" i="1"/>
  <c r="BS696" i="1"/>
  <c r="BS695" i="1"/>
  <c r="BS694" i="1"/>
  <c r="BS693" i="1"/>
  <c r="BS692" i="1"/>
  <c r="BS691" i="1"/>
  <c r="BS690" i="1"/>
  <c r="BS689" i="1"/>
  <c r="BS688" i="1"/>
  <c r="BS687" i="1"/>
  <c r="BS686" i="1"/>
  <c r="BS685" i="1"/>
  <c r="BS684" i="1"/>
  <c r="BS683" i="1"/>
  <c r="BS682" i="1"/>
  <c r="BS681" i="1"/>
  <c r="BS680" i="1"/>
  <c r="BS679" i="1"/>
  <c r="BS678" i="1"/>
  <c r="BS677" i="1"/>
  <c r="BS676" i="1"/>
  <c r="BS675" i="1"/>
  <c r="BS674" i="1"/>
  <c r="BS673" i="1"/>
  <c r="BS672" i="1"/>
  <c r="BS671" i="1"/>
  <c r="BS670" i="1"/>
  <c r="BS669" i="1"/>
  <c r="BS668" i="1"/>
  <c r="BS667" i="1"/>
  <c r="BS666" i="1"/>
  <c r="BS665" i="1"/>
  <c r="BS664" i="1"/>
  <c r="BS663" i="1"/>
  <c r="BS662" i="1"/>
  <c r="BS661" i="1"/>
  <c r="BS660" i="1"/>
  <c r="BS659" i="1"/>
  <c r="BS658" i="1"/>
  <c r="BS657" i="1"/>
  <c r="BS656" i="1"/>
  <c r="BS655" i="1"/>
  <c r="BS654" i="1"/>
  <c r="BS653" i="1"/>
  <c r="BS652" i="1"/>
  <c r="BS651" i="1"/>
  <c r="BS650" i="1"/>
  <c r="BS649" i="1"/>
  <c r="BS648" i="1"/>
  <c r="BS647" i="1"/>
  <c r="BS646" i="1"/>
  <c r="BS645" i="1"/>
  <c r="BS644" i="1"/>
  <c r="BS643" i="1"/>
  <c r="BS642" i="1"/>
  <c r="BS641" i="1"/>
  <c r="BS640" i="1"/>
  <c r="BS639" i="1"/>
  <c r="BS638" i="1"/>
  <c r="BS637" i="1"/>
  <c r="BS636" i="1"/>
  <c r="BS635" i="1"/>
  <c r="BS634" i="1"/>
  <c r="BS633" i="1"/>
  <c r="BS632" i="1"/>
  <c r="BS631" i="1"/>
  <c r="BS630" i="1"/>
  <c r="BS629" i="1"/>
  <c r="BS628" i="1"/>
  <c r="BS627" i="1"/>
  <c r="BS626" i="1"/>
  <c r="BS625" i="1"/>
  <c r="BS624" i="1"/>
  <c r="BS623" i="1"/>
  <c r="BS622" i="1"/>
  <c r="BS621" i="1"/>
  <c r="BS620" i="1"/>
  <c r="BS619" i="1"/>
  <c r="BS618" i="1"/>
  <c r="BS617" i="1"/>
  <c r="BS616" i="1"/>
  <c r="BS615" i="1"/>
  <c r="BS614" i="1"/>
  <c r="BS613" i="1"/>
  <c r="BS612" i="1"/>
  <c r="BS611" i="1"/>
  <c r="BS610" i="1"/>
  <c r="BS609" i="1"/>
  <c r="BS608" i="1"/>
  <c r="BS607" i="1"/>
  <c r="BS606" i="1"/>
  <c r="BS605" i="1"/>
  <c r="BS604" i="1"/>
  <c r="BS603" i="1"/>
  <c r="BS602" i="1"/>
  <c r="BS601" i="1"/>
  <c r="BS600" i="1"/>
  <c r="BS599" i="1"/>
  <c r="BS598" i="1"/>
  <c r="BS597" i="1"/>
  <c r="BS596" i="1"/>
  <c r="BS595" i="1"/>
  <c r="BS594" i="1"/>
  <c r="BS593" i="1"/>
  <c r="BS592" i="1"/>
  <c r="BS591" i="1"/>
  <c r="BS590" i="1"/>
  <c r="BS589" i="1"/>
  <c r="BS588" i="1"/>
  <c r="BS587" i="1"/>
  <c r="BS586" i="1"/>
  <c r="BS585" i="1"/>
  <c r="BS584" i="1"/>
  <c r="BS583" i="1"/>
  <c r="BS582" i="1"/>
  <c r="BS581" i="1"/>
  <c r="BS580" i="1"/>
  <c r="BS579" i="1"/>
  <c r="BS578" i="1"/>
  <c r="BS577" i="1"/>
  <c r="BS576" i="1"/>
  <c r="BS575" i="1"/>
  <c r="BS574" i="1"/>
  <c r="BS573" i="1"/>
  <c r="BS572" i="1"/>
  <c r="BS571" i="1"/>
  <c r="BS570" i="1"/>
  <c r="BS569" i="1"/>
  <c r="BS568" i="1"/>
  <c r="BS567" i="1"/>
  <c r="BS566" i="1"/>
  <c r="BS565" i="1"/>
  <c r="BS564" i="1"/>
  <c r="BS563" i="1"/>
  <c r="BS562" i="1"/>
  <c r="BS561" i="1"/>
  <c r="BS560" i="1"/>
  <c r="BS559" i="1"/>
  <c r="BS558" i="1"/>
  <c r="BS557" i="1"/>
  <c r="BS556" i="1"/>
  <c r="BS555" i="1"/>
  <c r="BS554" i="1"/>
  <c r="BS553" i="1"/>
  <c r="BS552" i="1"/>
  <c r="BS551" i="1"/>
  <c r="BS550" i="1"/>
  <c r="BS549" i="1"/>
  <c r="BS548" i="1"/>
  <c r="BS547" i="1"/>
  <c r="BS546" i="1"/>
  <c r="BS545" i="1"/>
  <c r="BS544" i="1"/>
  <c r="BS543" i="1"/>
  <c r="BS542" i="1"/>
  <c r="BS541" i="1"/>
  <c r="BS540" i="1"/>
  <c r="BS539" i="1"/>
  <c r="BS538" i="1"/>
  <c r="BS537" i="1"/>
  <c r="BS536" i="1"/>
  <c r="BS535" i="1"/>
  <c r="BS534" i="1"/>
  <c r="BS533" i="1"/>
  <c r="BS532" i="1"/>
  <c r="BS531" i="1"/>
  <c r="BS530" i="1"/>
  <c r="BS529" i="1"/>
  <c r="BS528" i="1"/>
  <c r="BS527" i="1"/>
  <c r="BS526" i="1"/>
  <c r="BS525" i="1"/>
  <c r="BS524" i="1"/>
  <c r="BS523" i="1"/>
  <c r="BS522" i="1"/>
  <c r="BS521" i="1"/>
  <c r="BS520" i="1"/>
  <c r="BS519" i="1"/>
  <c r="BS518" i="1"/>
  <c r="BS517" i="1"/>
  <c r="BS516" i="1"/>
  <c r="BS515" i="1"/>
  <c r="BS514" i="1"/>
  <c r="BS513" i="1"/>
  <c r="BS512" i="1"/>
  <c r="BS511" i="1"/>
  <c r="BS510" i="1"/>
  <c r="BS509" i="1"/>
  <c r="BS508" i="1"/>
  <c r="BS507" i="1"/>
  <c r="BS506" i="1"/>
  <c r="BS505" i="1"/>
  <c r="BS504" i="1"/>
  <c r="BS503" i="1"/>
  <c r="BS502" i="1"/>
  <c r="BS501" i="1"/>
  <c r="BS500" i="1"/>
  <c r="BS499" i="1"/>
  <c r="BS498" i="1"/>
  <c r="BS497" i="1"/>
  <c r="BS496" i="1"/>
  <c r="BS495" i="1"/>
  <c r="BS494" i="1"/>
  <c r="BS493" i="1"/>
  <c r="BS492" i="1"/>
  <c r="BS491" i="1"/>
  <c r="BS490" i="1"/>
  <c r="BS489" i="1"/>
  <c r="BS488" i="1"/>
  <c r="BS487" i="1"/>
  <c r="BS486" i="1"/>
  <c r="BS485" i="1"/>
  <c r="BS484" i="1"/>
  <c r="BS483" i="1"/>
  <c r="BS482" i="1"/>
  <c r="BS481" i="1"/>
  <c r="BS480" i="1"/>
  <c r="BS479" i="1"/>
  <c r="BS478" i="1"/>
  <c r="BS477" i="1"/>
  <c r="BS476" i="1"/>
  <c r="BS475" i="1"/>
  <c r="BS474" i="1"/>
  <c r="BS473" i="1"/>
  <c r="BS472" i="1"/>
  <c r="BS471" i="1"/>
  <c r="BS470" i="1"/>
  <c r="BS469" i="1"/>
  <c r="BS468" i="1"/>
  <c r="BS467" i="1"/>
  <c r="BS466" i="1"/>
  <c r="BS465" i="1"/>
  <c r="BS464" i="1"/>
  <c r="BS463" i="1"/>
  <c r="BS462" i="1"/>
  <c r="BS461" i="1"/>
  <c r="BS460" i="1"/>
  <c r="BS459" i="1"/>
  <c r="BS458" i="1"/>
  <c r="BS457" i="1"/>
  <c r="BS456" i="1"/>
  <c r="BS455" i="1"/>
  <c r="BS454" i="1"/>
  <c r="BS453" i="1"/>
  <c r="BS452" i="1"/>
  <c r="BS451" i="1"/>
  <c r="BS450" i="1"/>
  <c r="BS449" i="1"/>
  <c r="BS448" i="1"/>
  <c r="BS447" i="1"/>
  <c r="BS446" i="1"/>
  <c r="BS445" i="1"/>
  <c r="BS444" i="1"/>
  <c r="BS443" i="1"/>
  <c r="BS442" i="1"/>
  <c r="BS441" i="1"/>
  <c r="BS440" i="1"/>
  <c r="BS439" i="1"/>
  <c r="BS438" i="1"/>
  <c r="BS437" i="1"/>
  <c r="BS436" i="1"/>
  <c r="BS435" i="1"/>
  <c r="BS434" i="1"/>
  <c r="BS433" i="1"/>
  <c r="BS432" i="1"/>
  <c r="BS431" i="1"/>
  <c r="BS430" i="1"/>
  <c r="BS429" i="1"/>
  <c r="BS428" i="1"/>
  <c r="BS427" i="1"/>
  <c r="BS426" i="1"/>
  <c r="BS425" i="1"/>
  <c r="BS424" i="1"/>
  <c r="BS423" i="1"/>
  <c r="BS422" i="1"/>
  <c r="BS421" i="1"/>
  <c r="BS420" i="1"/>
  <c r="BS419" i="1"/>
  <c r="BS418" i="1"/>
  <c r="BS417" i="1"/>
  <c r="BS416" i="1"/>
  <c r="BS415" i="1"/>
  <c r="BS414" i="1"/>
  <c r="BS413" i="1"/>
  <c r="BS412" i="1"/>
  <c r="BS411" i="1"/>
  <c r="BS410" i="1"/>
  <c r="BS409" i="1"/>
  <c r="BS408" i="1"/>
  <c r="BS407" i="1"/>
  <c r="BS406" i="1"/>
  <c r="BS405" i="1"/>
  <c r="BS404" i="1"/>
  <c r="BS403" i="1"/>
  <c r="BS402" i="1"/>
  <c r="BS401" i="1"/>
  <c r="BS400" i="1"/>
  <c r="BS399" i="1"/>
  <c r="BS398" i="1"/>
  <c r="BS397" i="1"/>
  <c r="BS396" i="1"/>
  <c r="BS395" i="1"/>
  <c r="BS394" i="1"/>
  <c r="BS393" i="1"/>
  <c r="BS392" i="1"/>
  <c r="BS391" i="1"/>
  <c r="BS390" i="1"/>
  <c r="BS389" i="1"/>
  <c r="BS388" i="1"/>
  <c r="BS387" i="1"/>
  <c r="BS386" i="1"/>
  <c r="BS385" i="1"/>
  <c r="BS384" i="1"/>
  <c r="BS383" i="1"/>
  <c r="BS382" i="1"/>
  <c r="BS381" i="1"/>
  <c r="BS380" i="1"/>
  <c r="BS379" i="1"/>
  <c r="BS378" i="1"/>
  <c r="BS377" i="1"/>
  <c r="BS376" i="1"/>
  <c r="BS375" i="1"/>
  <c r="BS374" i="1"/>
  <c r="BS373" i="1"/>
  <c r="BS372" i="1"/>
  <c r="BS371" i="1"/>
  <c r="BS370" i="1"/>
  <c r="BS369" i="1"/>
  <c r="BS368" i="1"/>
  <c r="BS367" i="1"/>
  <c r="BS366" i="1"/>
  <c r="BS365" i="1"/>
  <c r="BS364" i="1"/>
  <c r="BS363" i="1"/>
  <c r="BS362" i="1"/>
  <c r="BS361" i="1"/>
  <c r="BS360" i="1"/>
  <c r="BS359" i="1"/>
  <c r="BS358" i="1"/>
  <c r="BS357" i="1"/>
  <c r="BS356" i="1"/>
  <c r="BS355" i="1"/>
  <c r="BS354" i="1"/>
  <c r="BS353" i="1"/>
  <c r="BS352" i="1"/>
  <c r="BS351" i="1"/>
  <c r="BS350" i="1"/>
  <c r="BS349" i="1"/>
  <c r="BS348" i="1"/>
  <c r="BS347" i="1"/>
  <c r="BS346" i="1"/>
  <c r="BS345" i="1"/>
  <c r="BS344" i="1"/>
  <c r="BS343" i="1"/>
  <c r="BS342" i="1"/>
  <c r="BS341" i="1"/>
  <c r="BS340" i="1"/>
  <c r="BS339" i="1"/>
  <c r="BS338" i="1"/>
  <c r="BS337" i="1"/>
  <c r="BS336" i="1"/>
  <c r="BS335" i="1"/>
  <c r="BS334" i="1"/>
  <c r="BS333" i="1"/>
  <c r="BS332" i="1"/>
  <c r="BS331" i="1"/>
  <c r="BS330" i="1"/>
  <c r="BS329" i="1"/>
  <c r="BS328" i="1"/>
  <c r="BS327" i="1"/>
  <c r="BS326" i="1"/>
  <c r="BS325" i="1"/>
  <c r="BS324" i="1"/>
  <c r="BS323" i="1"/>
  <c r="BS322" i="1"/>
  <c r="BS321" i="1"/>
  <c r="BS320" i="1"/>
  <c r="BS319" i="1"/>
  <c r="BS318" i="1"/>
  <c r="BS317" i="1"/>
  <c r="BS316" i="1"/>
  <c r="BS315" i="1"/>
  <c r="BS314" i="1"/>
  <c r="BS313" i="1"/>
  <c r="BS312" i="1"/>
  <c r="BS311" i="1"/>
  <c r="BS310" i="1"/>
  <c r="BS309" i="1"/>
  <c r="BS308" i="1"/>
  <c r="BS307" i="1"/>
  <c r="BS306" i="1"/>
  <c r="BS305" i="1"/>
  <c r="BS304" i="1"/>
  <c r="BS303" i="1"/>
  <c r="BS302" i="1"/>
  <c r="BS301" i="1"/>
  <c r="BS300" i="1"/>
  <c r="BS299" i="1"/>
  <c r="BS298" i="1"/>
  <c r="BS297" i="1"/>
  <c r="BS296" i="1"/>
  <c r="BS295" i="1"/>
  <c r="BS294" i="1"/>
  <c r="BS293" i="1"/>
  <c r="BS292" i="1"/>
  <c r="BS291" i="1"/>
  <c r="BS290" i="1"/>
  <c r="BS289" i="1"/>
  <c r="BS288" i="1"/>
  <c r="BS287" i="1"/>
  <c r="BS286" i="1"/>
  <c r="BS285" i="1"/>
  <c r="BS284" i="1"/>
  <c r="BS283" i="1"/>
  <c r="BS282" i="1"/>
  <c r="BS281" i="1"/>
  <c r="BS280" i="1"/>
  <c r="BS279" i="1"/>
  <c r="BS278" i="1"/>
  <c r="BS277" i="1"/>
  <c r="BS276" i="1"/>
  <c r="BS275" i="1"/>
  <c r="BS274" i="1"/>
  <c r="BS273" i="1"/>
  <c r="BS272" i="1"/>
  <c r="BS271" i="1"/>
  <c r="BS270" i="1"/>
  <c r="BS269" i="1"/>
  <c r="BS268" i="1"/>
  <c r="BS267" i="1"/>
  <c r="BS266" i="1"/>
  <c r="BS265" i="1"/>
  <c r="BS264" i="1"/>
  <c r="BS263" i="1"/>
  <c r="BS262" i="1"/>
  <c r="BS261" i="1"/>
  <c r="BS260" i="1"/>
  <c r="BS259" i="1"/>
  <c r="BS258" i="1"/>
  <c r="BS257" i="1"/>
  <c r="BS256" i="1"/>
  <c r="BS255" i="1"/>
  <c r="BS254" i="1"/>
  <c r="BS253" i="1"/>
  <c r="BS252" i="1"/>
  <c r="BS251" i="1"/>
  <c r="BS250" i="1"/>
  <c r="BS249" i="1"/>
  <c r="BS248" i="1"/>
  <c r="BS247" i="1"/>
  <c r="BS246" i="1"/>
  <c r="BS245" i="1"/>
  <c r="BS244" i="1"/>
  <c r="BS243" i="1"/>
  <c r="BS242" i="1"/>
  <c r="BS241" i="1"/>
  <c r="BS240" i="1"/>
  <c r="BS239" i="1"/>
  <c r="BS238" i="1"/>
  <c r="BS237" i="1"/>
  <c r="BS236" i="1"/>
  <c r="BS235" i="1"/>
  <c r="BS234" i="1"/>
  <c r="BS233" i="1"/>
  <c r="BS232" i="1"/>
  <c r="BS231" i="1"/>
  <c r="BS230" i="1"/>
  <c r="BS229" i="1"/>
  <c r="BS228" i="1"/>
  <c r="BS227" i="1"/>
  <c r="BS226" i="1"/>
  <c r="BS225" i="1"/>
  <c r="BS224" i="1"/>
  <c r="BS223" i="1"/>
  <c r="BS222" i="1"/>
  <c r="BS221" i="1"/>
  <c r="BS220" i="1"/>
  <c r="BS219" i="1"/>
  <c r="BS218" i="1"/>
  <c r="BS217" i="1"/>
  <c r="BS216" i="1"/>
  <c r="BS215" i="1"/>
  <c r="BS214" i="1"/>
  <c r="BS213" i="1"/>
  <c r="BS212" i="1"/>
  <c r="BS211" i="1"/>
  <c r="BS210" i="1"/>
  <c r="BS209" i="1"/>
  <c r="BS208" i="1"/>
  <c r="BS207" i="1"/>
  <c r="BS206" i="1"/>
  <c r="BS205" i="1"/>
  <c r="BS204" i="1"/>
  <c r="BS203" i="1"/>
  <c r="BS202" i="1"/>
  <c r="BS201" i="1"/>
  <c r="BS200" i="1"/>
  <c r="BS199" i="1"/>
  <c r="BS198" i="1"/>
  <c r="BS197" i="1"/>
  <c r="BS196" i="1"/>
  <c r="BS195" i="1"/>
  <c r="BS194" i="1"/>
  <c r="BS193" i="1"/>
  <c r="BS192" i="1"/>
  <c r="BS191" i="1"/>
  <c r="BS190" i="1"/>
  <c r="BS189" i="1"/>
  <c r="BS188" i="1"/>
  <c r="BS187" i="1"/>
  <c r="BS186" i="1"/>
  <c r="BS185" i="1"/>
  <c r="BS184" i="1"/>
  <c r="BS183" i="1"/>
  <c r="BS182" i="1"/>
  <c r="BS181" i="1"/>
  <c r="BS180" i="1"/>
  <c r="BS179" i="1"/>
  <c r="BS178" i="1"/>
  <c r="BS177" i="1"/>
  <c r="BS176" i="1"/>
  <c r="BS175" i="1"/>
  <c r="BS174" i="1"/>
  <c r="BS173" i="1"/>
  <c r="BS172" i="1"/>
  <c r="BS171" i="1"/>
  <c r="BS170" i="1"/>
  <c r="BS169" i="1"/>
  <c r="BS168" i="1"/>
  <c r="BS167" i="1"/>
  <c r="BS166" i="1"/>
  <c r="BS165" i="1"/>
  <c r="BS164" i="1"/>
  <c r="BS163" i="1"/>
  <c r="BS162" i="1"/>
  <c r="BS161" i="1"/>
  <c r="BS160" i="1"/>
  <c r="BS159" i="1"/>
  <c r="BS158" i="1"/>
  <c r="BS157" i="1"/>
  <c r="BS156" i="1"/>
  <c r="BS155" i="1"/>
  <c r="BS154" i="1"/>
  <c r="BS153" i="1"/>
  <c r="BS152" i="1"/>
  <c r="BS151" i="1"/>
  <c r="BS150" i="1"/>
  <c r="BS149" i="1"/>
  <c r="BS148" i="1"/>
  <c r="BS147" i="1"/>
  <c r="BS146" i="1"/>
  <c r="BS145" i="1"/>
  <c r="BS144" i="1"/>
  <c r="BS143" i="1"/>
  <c r="BS142" i="1"/>
  <c r="BS141" i="1"/>
  <c r="BS140" i="1"/>
  <c r="BS139" i="1"/>
  <c r="BS138" i="1"/>
  <c r="BS137" i="1"/>
  <c r="BS136" i="1"/>
  <c r="BS135" i="1"/>
  <c r="BS134" i="1"/>
  <c r="BS133" i="1"/>
  <c r="BS132" i="1"/>
  <c r="BS131" i="1"/>
  <c r="BS130" i="1"/>
  <c r="BS129" i="1"/>
  <c r="BS128" i="1"/>
  <c r="BS127" i="1"/>
  <c r="BS126" i="1"/>
  <c r="BS125" i="1"/>
  <c r="BS124" i="1"/>
  <c r="BS123" i="1"/>
  <c r="BS122" i="1"/>
  <c r="BS121" i="1"/>
  <c r="BS120" i="1"/>
  <c r="BS119" i="1"/>
  <c r="BS118" i="1"/>
  <c r="BS117" i="1"/>
  <c r="BS116" i="1"/>
  <c r="BS115" i="1"/>
  <c r="BS114" i="1"/>
  <c r="BS113" i="1"/>
  <c r="BS112" i="1"/>
  <c r="BS111" i="1"/>
  <c r="BS110" i="1"/>
  <c r="BS109" i="1"/>
  <c r="BS108" i="1"/>
  <c r="BS107" i="1"/>
  <c r="BS106" i="1"/>
  <c r="BS105" i="1"/>
  <c r="BS104" i="1"/>
  <c r="BS103" i="1"/>
  <c r="BS102" i="1"/>
  <c r="BS101" i="1"/>
  <c r="BS100" i="1"/>
  <c r="BS99" i="1"/>
  <c r="BS98" i="1"/>
  <c r="BS97" i="1"/>
  <c r="BS96" i="1"/>
  <c r="BS95" i="1"/>
  <c r="BS94" i="1"/>
  <c r="BS93" i="1"/>
  <c r="BS92" i="1"/>
  <c r="BS91" i="1"/>
  <c r="BS90" i="1"/>
  <c r="BS89" i="1"/>
  <c r="BS88" i="1"/>
  <c r="BS87" i="1"/>
  <c r="BS86" i="1"/>
  <c r="BS85" i="1"/>
  <c r="BS84" i="1"/>
  <c r="BS83" i="1"/>
  <c r="BS82" i="1"/>
  <c r="BS81" i="1"/>
  <c r="BS80" i="1"/>
  <c r="BS79" i="1"/>
  <c r="BS78" i="1"/>
  <c r="BS77" i="1"/>
  <c r="BS76" i="1"/>
  <c r="BS75" i="1"/>
  <c r="BS74" i="1"/>
  <c r="BS73" i="1"/>
  <c r="BS72" i="1"/>
  <c r="BS71" i="1"/>
  <c r="BS70" i="1"/>
  <c r="BS69" i="1"/>
  <c r="BS68" i="1"/>
  <c r="BS67" i="1"/>
  <c r="BS66" i="1"/>
  <c r="BS65" i="1"/>
  <c r="BS64" i="1"/>
  <c r="BS63" i="1"/>
  <c r="BS62" i="1"/>
  <c r="BS61" i="1"/>
  <c r="BS60" i="1"/>
  <c r="BS59" i="1"/>
  <c r="BS58" i="1"/>
  <c r="BS57" i="1"/>
  <c r="BS56" i="1"/>
  <c r="BS55" i="1"/>
  <c r="BS54" i="1"/>
  <c r="BS53" i="1"/>
  <c r="BS52" i="1"/>
  <c r="BS51" i="1"/>
  <c r="BS50" i="1"/>
  <c r="BS49" i="1"/>
  <c r="BS48" i="1"/>
  <c r="BS47" i="1"/>
  <c r="BS46" i="1"/>
  <c r="BS45" i="1"/>
  <c r="BS44" i="1"/>
  <c r="BS43" i="1"/>
  <c r="BS42" i="1"/>
  <c r="BS41" i="1"/>
  <c r="BS40" i="1"/>
  <c r="BS39" i="1"/>
  <c r="BS38" i="1"/>
  <c r="BS37" i="1"/>
  <c r="BS36" i="1"/>
  <c r="BS35" i="1"/>
  <c r="BS34" i="1"/>
  <c r="BS33" i="1"/>
  <c r="BS32" i="1"/>
  <c r="BS31" i="1"/>
  <c r="BS30" i="1"/>
  <c r="BS29" i="1"/>
  <c r="BS28" i="1"/>
  <c r="BS27" i="1"/>
  <c r="BS26" i="1"/>
  <c r="BS25" i="1"/>
  <c r="BS24" i="1"/>
  <c r="BS23" i="1"/>
  <c r="BS22" i="1"/>
  <c r="BS21" i="1"/>
  <c r="BS20" i="1"/>
  <c r="BS19" i="1"/>
  <c r="BS18" i="1"/>
  <c r="BS17" i="1"/>
  <c r="BS12" i="1"/>
  <c r="BS13" i="1" s="1"/>
  <c r="BS10" i="1"/>
  <c r="BO1112" i="1"/>
  <c r="BO1111" i="1"/>
  <c r="BO1110" i="1"/>
  <c r="BO1109" i="1"/>
  <c r="BO1108" i="1"/>
  <c r="BO1107" i="1"/>
  <c r="BO1106" i="1"/>
  <c r="BO1105" i="1"/>
  <c r="BO1104" i="1"/>
  <c r="BO1103" i="1"/>
  <c r="BO1102" i="1"/>
  <c r="BO1101" i="1"/>
  <c r="BO1100" i="1"/>
  <c r="BO1099" i="1"/>
  <c r="BO1098" i="1"/>
  <c r="BO1097" i="1"/>
  <c r="BO1096" i="1"/>
  <c r="BO1095" i="1"/>
  <c r="BO1094" i="1"/>
  <c r="BO1093" i="1"/>
  <c r="BO1092" i="1"/>
  <c r="BO1091" i="1"/>
  <c r="BO1090" i="1"/>
  <c r="BO1089" i="1"/>
  <c r="BO1088" i="1"/>
  <c r="BO1087" i="1"/>
  <c r="BO1086" i="1"/>
  <c r="BO1085" i="1"/>
  <c r="BO1084" i="1"/>
  <c r="BO1083" i="1"/>
  <c r="BO1082" i="1"/>
  <c r="BO1081" i="1"/>
  <c r="BO1080" i="1"/>
  <c r="BO1079" i="1"/>
  <c r="BO1078" i="1"/>
  <c r="BO1077" i="1"/>
  <c r="BO1076" i="1"/>
  <c r="BO1075" i="1"/>
  <c r="BO1074" i="1"/>
  <c r="BO1073" i="1"/>
  <c r="BO1072" i="1"/>
  <c r="BO1071" i="1"/>
  <c r="BO1070" i="1"/>
  <c r="BO1069" i="1"/>
  <c r="BO1068" i="1"/>
  <c r="BO1067" i="1"/>
  <c r="BO1066" i="1"/>
  <c r="BO1065" i="1"/>
  <c r="BO1064" i="1"/>
  <c r="BO1063" i="1"/>
  <c r="BO1062" i="1"/>
  <c r="BO1061" i="1"/>
  <c r="BO1060" i="1"/>
  <c r="BO1059" i="1"/>
  <c r="BO1058" i="1"/>
  <c r="BO1057" i="1"/>
  <c r="BO1056" i="1"/>
  <c r="BO1055" i="1"/>
  <c r="BO1054" i="1"/>
  <c r="BO1053" i="1"/>
  <c r="BO1052" i="1"/>
  <c r="BO1051" i="1"/>
  <c r="BO1050" i="1"/>
  <c r="BO1049" i="1"/>
  <c r="BO1048" i="1"/>
  <c r="BO1047" i="1"/>
  <c r="BO1046" i="1"/>
  <c r="BO1045" i="1"/>
  <c r="BO1044" i="1"/>
  <c r="BO1043" i="1"/>
  <c r="BO1042" i="1"/>
  <c r="BO1041" i="1"/>
  <c r="BO1040" i="1"/>
  <c r="BO1039" i="1"/>
  <c r="BO1038" i="1"/>
  <c r="BO1037" i="1"/>
  <c r="BO1036" i="1"/>
  <c r="BO1035" i="1"/>
  <c r="BO1034" i="1"/>
  <c r="BO1033" i="1"/>
  <c r="BO1032" i="1"/>
  <c r="BO1031" i="1"/>
  <c r="BO1030" i="1"/>
  <c r="BO1029" i="1"/>
  <c r="BO1028" i="1"/>
  <c r="BO1027" i="1"/>
  <c r="BO1026" i="1"/>
  <c r="BO1025" i="1"/>
  <c r="BO1024" i="1"/>
  <c r="BO1023" i="1"/>
  <c r="BO1022" i="1"/>
  <c r="BO1021" i="1"/>
  <c r="BO1020" i="1"/>
  <c r="BO1019" i="1"/>
  <c r="BO1018" i="1"/>
  <c r="BO1017" i="1"/>
  <c r="BO1016" i="1"/>
  <c r="BO1015" i="1"/>
  <c r="BO1014" i="1"/>
  <c r="BO1013" i="1"/>
  <c r="BO1012" i="1"/>
  <c r="BO1011" i="1"/>
  <c r="BO1010" i="1"/>
  <c r="BO1009" i="1"/>
  <c r="BO1008" i="1"/>
  <c r="BO1007" i="1"/>
  <c r="BO1006" i="1"/>
  <c r="BO1005" i="1"/>
  <c r="BO1004" i="1"/>
  <c r="BO1003" i="1"/>
  <c r="BO1002" i="1"/>
  <c r="BO1001" i="1"/>
  <c r="BO1000" i="1"/>
  <c r="BO999" i="1"/>
  <c r="BO998" i="1"/>
  <c r="BO997" i="1"/>
  <c r="BO996" i="1"/>
  <c r="BO995" i="1"/>
  <c r="BO994" i="1"/>
  <c r="BO993" i="1"/>
  <c r="BO992" i="1"/>
  <c r="BO991" i="1"/>
  <c r="BO990" i="1"/>
  <c r="BO989" i="1"/>
  <c r="BO988" i="1"/>
  <c r="BO987" i="1"/>
  <c r="BO986" i="1"/>
  <c r="BO985" i="1"/>
  <c r="BO984" i="1"/>
  <c r="BO983" i="1"/>
  <c r="BO982" i="1"/>
  <c r="BO981" i="1"/>
  <c r="BO980" i="1"/>
  <c r="BO979" i="1"/>
  <c r="BO978" i="1"/>
  <c r="BO977" i="1"/>
  <c r="BO976" i="1"/>
  <c r="BO975" i="1"/>
  <c r="BO974" i="1"/>
  <c r="BO973" i="1"/>
  <c r="BO972" i="1"/>
  <c r="BO971" i="1"/>
  <c r="BO970" i="1"/>
  <c r="BO969" i="1"/>
  <c r="BO968" i="1"/>
  <c r="BO967" i="1"/>
  <c r="BO966" i="1"/>
  <c r="BO965" i="1"/>
  <c r="BO964" i="1"/>
  <c r="BO963" i="1"/>
  <c r="BO962" i="1"/>
  <c r="BO961" i="1"/>
  <c r="BO960" i="1"/>
  <c r="BO959" i="1"/>
  <c r="BO958" i="1"/>
  <c r="BO957" i="1"/>
  <c r="BO956" i="1"/>
  <c r="BO955" i="1"/>
  <c r="BO954" i="1"/>
  <c r="BO953" i="1"/>
  <c r="BO952" i="1"/>
  <c r="BO951" i="1"/>
  <c r="BO950" i="1"/>
  <c r="BO949" i="1"/>
  <c r="BO948" i="1"/>
  <c r="BO947" i="1"/>
  <c r="BO946" i="1"/>
  <c r="BO945" i="1"/>
  <c r="BO944" i="1"/>
  <c r="BO943" i="1"/>
  <c r="BO942" i="1"/>
  <c r="BO941" i="1"/>
  <c r="BO940" i="1"/>
  <c r="BO939" i="1"/>
  <c r="BO938" i="1"/>
  <c r="BO937" i="1"/>
  <c r="BO936" i="1"/>
  <c r="BO935" i="1"/>
  <c r="BO934" i="1"/>
  <c r="BO933" i="1"/>
  <c r="BO932" i="1"/>
  <c r="BO931" i="1"/>
  <c r="BO930" i="1"/>
  <c r="BO929" i="1"/>
  <c r="BO928" i="1"/>
  <c r="BO927" i="1"/>
  <c r="BO926" i="1"/>
  <c r="BO925" i="1"/>
  <c r="BO924" i="1"/>
  <c r="BO923" i="1"/>
  <c r="BO922" i="1"/>
  <c r="BO921" i="1"/>
  <c r="BO920" i="1"/>
  <c r="BO919" i="1"/>
  <c r="BO918" i="1"/>
  <c r="BO917" i="1"/>
  <c r="BO916" i="1"/>
  <c r="BO915" i="1"/>
  <c r="BO914" i="1"/>
  <c r="BO913" i="1"/>
  <c r="BO912" i="1"/>
  <c r="BO911" i="1"/>
  <c r="BO910" i="1"/>
  <c r="BO909" i="1"/>
  <c r="BO908" i="1"/>
  <c r="BO907" i="1"/>
  <c r="BO906" i="1"/>
  <c r="BO905" i="1"/>
  <c r="BO904" i="1"/>
  <c r="BO903" i="1"/>
  <c r="BO902" i="1"/>
  <c r="BO901" i="1"/>
  <c r="BO900" i="1"/>
  <c r="BO899" i="1"/>
  <c r="BO898" i="1"/>
  <c r="BO897" i="1"/>
  <c r="BO896" i="1"/>
  <c r="BO895" i="1"/>
  <c r="BO894" i="1"/>
  <c r="BO893" i="1"/>
  <c r="BO892" i="1"/>
  <c r="BO891" i="1"/>
  <c r="BO890" i="1"/>
  <c r="BO889" i="1"/>
  <c r="BO888" i="1"/>
  <c r="BO887" i="1"/>
  <c r="BO886" i="1"/>
  <c r="BO885" i="1"/>
  <c r="BO884" i="1"/>
  <c r="BO883" i="1"/>
  <c r="BO882" i="1"/>
  <c r="BO881" i="1"/>
  <c r="BO880" i="1"/>
  <c r="BO879" i="1"/>
  <c r="BO878" i="1"/>
  <c r="BO877" i="1"/>
  <c r="BO876" i="1"/>
  <c r="BO875" i="1"/>
  <c r="BO874" i="1"/>
  <c r="BO873" i="1"/>
  <c r="BO872" i="1"/>
  <c r="BO871" i="1"/>
  <c r="BO870" i="1"/>
  <c r="BO869" i="1"/>
  <c r="BO868" i="1"/>
  <c r="BO867" i="1"/>
  <c r="BO866" i="1"/>
  <c r="BO865" i="1"/>
  <c r="BO864" i="1"/>
  <c r="BO863" i="1"/>
  <c r="BO862" i="1"/>
  <c r="BO861" i="1"/>
  <c r="BO860" i="1"/>
  <c r="BO859" i="1"/>
  <c r="BO858" i="1"/>
  <c r="BO857" i="1"/>
  <c r="BO856" i="1"/>
  <c r="BO855" i="1"/>
  <c r="BO854" i="1"/>
  <c r="BO853" i="1"/>
  <c r="BO852" i="1"/>
  <c r="BO851" i="1"/>
  <c r="BO850" i="1"/>
  <c r="BO849" i="1"/>
  <c r="BO848" i="1"/>
  <c r="BO847" i="1"/>
  <c r="BO846" i="1"/>
  <c r="BO845" i="1"/>
  <c r="BO844" i="1"/>
  <c r="BO843" i="1"/>
  <c r="BO842" i="1"/>
  <c r="BO841" i="1"/>
  <c r="BO840" i="1"/>
  <c r="BO839" i="1"/>
  <c r="BO838" i="1"/>
  <c r="BO837" i="1"/>
  <c r="BO836" i="1"/>
  <c r="BO835" i="1"/>
  <c r="BO834" i="1"/>
  <c r="BO833" i="1"/>
  <c r="BO832" i="1"/>
  <c r="BO831" i="1"/>
  <c r="BO830" i="1"/>
  <c r="BO829" i="1"/>
  <c r="BO828" i="1"/>
  <c r="BO827" i="1"/>
  <c r="BO826" i="1"/>
  <c r="BO825" i="1"/>
  <c r="BO824" i="1"/>
  <c r="BO823" i="1"/>
  <c r="BO822" i="1"/>
  <c r="BO821" i="1"/>
  <c r="BO820" i="1"/>
  <c r="BO819" i="1"/>
  <c r="BO818" i="1"/>
  <c r="BO817" i="1"/>
  <c r="BO816" i="1"/>
  <c r="BO815" i="1"/>
  <c r="BO814" i="1"/>
  <c r="BO813" i="1"/>
  <c r="BO812" i="1"/>
  <c r="BO811" i="1"/>
  <c r="BO810" i="1"/>
  <c r="BO809" i="1"/>
  <c r="BO808" i="1"/>
  <c r="BO807" i="1"/>
  <c r="BO806" i="1"/>
  <c r="BO805" i="1"/>
  <c r="BO804" i="1"/>
  <c r="BO803" i="1"/>
  <c r="BO802" i="1"/>
  <c r="BO801" i="1"/>
  <c r="BO800" i="1"/>
  <c r="BO799" i="1"/>
  <c r="BO798" i="1"/>
  <c r="BO797" i="1"/>
  <c r="BO796" i="1"/>
  <c r="BO795" i="1"/>
  <c r="BO794" i="1"/>
  <c r="BO793" i="1"/>
  <c r="BO792" i="1"/>
  <c r="BO791" i="1"/>
  <c r="BO790" i="1"/>
  <c r="BO789" i="1"/>
  <c r="BO788" i="1"/>
  <c r="BO787" i="1"/>
  <c r="BO786" i="1"/>
  <c r="BO785" i="1"/>
  <c r="BO784" i="1"/>
  <c r="BO783" i="1"/>
  <c r="BO782" i="1"/>
  <c r="BO781" i="1"/>
  <c r="BO780" i="1"/>
  <c r="BO779" i="1"/>
  <c r="BO778" i="1"/>
  <c r="BO777" i="1"/>
  <c r="BO776" i="1"/>
  <c r="BO775" i="1"/>
  <c r="BO774" i="1"/>
  <c r="BO773" i="1"/>
  <c r="BO772" i="1"/>
  <c r="BO771" i="1"/>
  <c r="BO770" i="1"/>
  <c r="BO769" i="1"/>
  <c r="BO768" i="1"/>
  <c r="BO767" i="1"/>
  <c r="BO766" i="1"/>
  <c r="BO765" i="1"/>
  <c r="BO764" i="1"/>
  <c r="BO763" i="1"/>
  <c r="BO762" i="1"/>
  <c r="BO761" i="1"/>
  <c r="BO760" i="1"/>
  <c r="BO759" i="1"/>
  <c r="BO758" i="1"/>
  <c r="BO757" i="1"/>
  <c r="BO756" i="1"/>
  <c r="BO755" i="1"/>
  <c r="BO754" i="1"/>
  <c r="BO753" i="1"/>
  <c r="BO752" i="1"/>
  <c r="BO751" i="1"/>
  <c r="BO750" i="1"/>
  <c r="BO749" i="1"/>
  <c r="BO748" i="1"/>
  <c r="BO747" i="1"/>
  <c r="BO746" i="1"/>
  <c r="BO745" i="1"/>
  <c r="BO744" i="1"/>
  <c r="BO743" i="1"/>
  <c r="BO742" i="1"/>
  <c r="BO741" i="1"/>
  <c r="BO740" i="1"/>
  <c r="BO739" i="1"/>
  <c r="BO738" i="1"/>
  <c r="BO737" i="1"/>
  <c r="BO736" i="1"/>
  <c r="BO735" i="1"/>
  <c r="BO734" i="1"/>
  <c r="BO733" i="1"/>
  <c r="BO732" i="1"/>
  <c r="BO731" i="1"/>
  <c r="BO730" i="1"/>
  <c r="BO729" i="1"/>
  <c r="BO728" i="1"/>
  <c r="BO727" i="1"/>
  <c r="BO726" i="1"/>
  <c r="BO725" i="1"/>
  <c r="BO724" i="1"/>
  <c r="BO723" i="1"/>
  <c r="BO722" i="1"/>
  <c r="BO721" i="1"/>
  <c r="BO720" i="1"/>
  <c r="BO719" i="1"/>
  <c r="BO718" i="1"/>
  <c r="BO717" i="1"/>
  <c r="BO716" i="1"/>
  <c r="BO715" i="1"/>
  <c r="BO714" i="1"/>
  <c r="BO713" i="1"/>
  <c r="BO712" i="1"/>
  <c r="BO711" i="1"/>
  <c r="BO710" i="1"/>
  <c r="BO709" i="1"/>
  <c r="BO708" i="1"/>
  <c r="BO707" i="1"/>
  <c r="BO706" i="1"/>
  <c r="BO705" i="1"/>
  <c r="BO704" i="1"/>
  <c r="BO703" i="1"/>
  <c r="BO702" i="1"/>
  <c r="BO701" i="1"/>
  <c r="BO700" i="1"/>
  <c r="BO699" i="1"/>
  <c r="BO698" i="1"/>
  <c r="BO697" i="1"/>
  <c r="BO696" i="1"/>
  <c r="BO695" i="1"/>
  <c r="BO694" i="1"/>
  <c r="BO693" i="1"/>
  <c r="BO692" i="1"/>
  <c r="BO691" i="1"/>
  <c r="BO690" i="1"/>
  <c r="BO689" i="1"/>
  <c r="BO688" i="1"/>
  <c r="BO687" i="1"/>
  <c r="BO686" i="1"/>
  <c r="BO685" i="1"/>
  <c r="BO684" i="1"/>
  <c r="BO683" i="1"/>
  <c r="BO682" i="1"/>
  <c r="BO681" i="1"/>
  <c r="BO680" i="1"/>
  <c r="BO679" i="1"/>
  <c r="BO678" i="1"/>
  <c r="BO677" i="1"/>
  <c r="BO676" i="1"/>
  <c r="BO675" i="1"/>
  <c r="BO674" i="1"/>
  <c r="BO673" i="1"/>
  <c r="BO672" i="1"/>
  <c r="BO671" i="1"/>
  <c r="BO670" i="1"/>
  <c r="BO669" i="1"/>
  <c r="BO668" i="1"/>
  <c r="BO667" i="1"/>
  <c r="BO666" i="1"/>
  <c r="BO665" i="1"/>
  <c r="BO664" i="1"/>
  <c r="BO663" i="1"/>
  <c r="BO662" i="1"/>
  <c r="BO661" i="1"/>
  <c r="BO660" i="1"/>
  <c r="BO659" i="1"/>
  <c r="BO658" i="1"/>
  <c r="BO657" i="1"/>
  <c r="BO656" i="1"/>
  <c r="BO655" i="1"/>
  <c r="BO654" i="1"/>
  <c r="BO653" i="1"/>
  <c r="BO652" i="1"/>
  <c r="BO651" i="1"/>
  <c r="BO650" i="1"/>
  <c r="BO649" i="1"/>
  <c r="BO648" i="1"/>
  <c r="BO647" i="1"/>
  <c r="BO646" i="1"/>
  <c r="BO645" i="1"/>
  <c r="BO644" i="1"/>
  <c r="BO643" i="1"/>
  <c r="BO642" i="1"/>
  <c r="BO641" i="1"/>
  <c r="BO640" i="1"/>
  <c r="BO639" i="1"/>
  <c r="BO638" i="1"/>
  <c r="BO637" i="1"/>
  <c r="BO636" i="1"/>
  <c r="BO635" i="1"/>
  <c r="BO634" i="1"/>
  <c r="BO633" i="1"/>
  <c r="BO632" i="1"/>
  <c r="BO631" i="1"/>
  <c r="BO630" i="1"/>
  <c r="BO629" i="1"/>
  <c r="BO628" i="1"/>
  <c r="BO627" i="1"/>
  <c r="BO626" i="1"/>
  <c r="BO625" i="1"/>
  <c r="BO624" i="1"/>
  <c r="BO623" i="1"/>
  <c r="BO622" i="1"/>
  <c r="BO621" i="1"/>
  <c r="BO620" i="1"/>
  <c r="BO619" i="1"/>
  <c r="BO618" i="1"/>
  <c r="BO617" i="1"/>
  <c r="BO616" i="1"/>
  <c r="BO615" i="1"/>
  <c r="BO614" i="1"/>
  <c r="BO613" i="1"/>
  <c r="BO612" i="1"/>
  <c r="BO611" i="1"/>
  <c r="BO610" i="1"/>
  <c r="BO609" i="1"/>
  <c r="BO608" i="1"/>
  <c r="BO607" i="1"/>
  <c r="BO606" i="1"/>
  <c r="BO605" i="1"/>
  <c r="BO604" i="1"/>
  <c r="BO603" i="1"/>
  <c r="BO602" i="1"/>
  <c r="BO601" i="1"/>
  <c r="BO600" i="1"/>
  <c r="BO599" i="1"/>
  <c r="BO598" i="1"/>
  <c r="BO597" i="1"/>
  <c r="BO596" i="1"/>
  <c r="BO595" i="1"/>
  <c r="BO594" i="1"/>
  <c r="BO593" i="1"/>
  <c r="BO592" i="1"/>
  <c r="BO591" i="1"/>
  <c r="BO590" i="1"/>
  <c r="BO589" i="1"/>
  <c r="BO588" i="1"/>
  <c r="BO587" i="1"/>
  <c r="BO586" i="1"/>
  <c r="BO585" i="1"/>
  <c r="BO584" i="1"/>
  <c r="BO583" i="1"/>
  <c r="BO582" i="1"/>
  <c r="BO581" i="1"/>
  <c r="BO580" i="1"/>
  <c r="BO579" i="1"/>
  <c r="BO578" i="1"/>
  <c r="BO577" i="1"/>
  <c r="BO576" i="1"/>
  <c r="BO575" i="1"/>
  <c r="BO574" i="1"/>
  <c r="BO573" i="1"/>
  <c r="BO572" i="1"/>
  <c r="BO571" i="1"/>
  <c r="BO570" i="1"/>
  <c r="BO569" i="1"/>
  <c r="BO568" i="1"/>
  <c r="BO567" i="1"/>
  <c r="BO566" i="1"/>
  <c r="BO565" i="1"/>
  <c r="BO564" i="1"/>
  <c r="BO563" i="1"/>
  <c r="BO562" i="1"/>
  <c r="BO561" i="1"/>
  <c r="BO560" i="1"/>
  <c r="BO559" i="1"/>
  <c r="BO558" i="1"/>
  <c r="BO557" i="1"/>
  <c r="BO556" i="1"/>
  <c r="BO555" i="1"/>
  <c r="BO554" i="1"/>
  <c r="BO553" i="1"/>
  <c r="BO552" i="1"/>
  <c r="BO551" i="1"/>
  <c r="BO550" i="1"/>
  <c r="BO549" i="1"/>
  <c r="BO548" i="1"/>
  <c r="BO547" i="1"/>
  <c r="BO546" i="1"/>
  <c r="BO545" i="1"/>
  <c r="BO544" i="1"/>
  <c r="BO543" i="1"/>
  <c r="BO542" i="1"/>
  <c r="BO541" i="1"/>
  <c r="BO540" i="1"/>
  <c r="BO539" i="1"/>
  <c r="BO538" i="1"/>
  <c r="BO537" i="1"/>
  <c r="BO536" i="1"/>
  <c r="BO535" i="1"/>
  <c r="BO534" i="1"/>
  <c r="BO533" i="1"/>
  <c r="BO532" i="1"/>
  <c r="BO531" i="1"/>
  <c r="BO530" i="1"/>
  <c r="BO529" i="1"/>
  <c r="BO528" i="1"/>
  <c r="BO527" i="1"/>
  <c r="BO526" i="1"/>
  <c r="BO525" i="1"/>
  <c r="BO524" i="1"/>
  <c r="BO523" i="1"/>
  <c r="BO522" i="1"/>
  <c r="BO521" i="1"/>
  <c r="BO520" i="1"/>
  <c r="BO519" i="1"/>
  <c r="BO518" i="1"/>
  <c r="BO517" i="1"/>
  <c r="BO516" i="1"/>
  <c r="BO515" i="1"/>
  <c r="BO514" i="1"/>
  <c r="BO513" i="1"/>
  <c r="BO512" i="1"/>
  <c r="BO511" i="1"/>
  <c r="BO510" i="1"/>
  <c r="BO509" i="1"/>
  <c r="BO508" i="1"/>
  <c r="BO507" i="1"/>
  <c r="BO506" i="1"/>
  <c r="BO505" i="1"/>
  <c r="BO504" i="1"/>
  <c r="BO503" i="1"/>
  <c r="BO502" i="1"/>
  <c r="BO501" i="1"/>
  <c r="BO500" i="1"/>
  <c r="BO499" i="1"/>
  <c r="BO498" i="1"/>
  <c r="BO497" i="1"/>
  <c r="BO496" i="1"/>
  <c r="BO495" i="1"/>
  <c r="BO494" i="1"/>
  <c r="BO493" i="1"/>
  <c r="BO492" i="1"/>
  <c r="BO491" i="1"/>
  <c r="BO490" i="1"/>
  <c r="BO489" i="1"/>
  <c r="BO488" i="1"/>
  <c r="BO487" i="1"/>
  <c r="BO486" i="1"/>
  <c r="BO485" i="1"/>
  <c r="BO484" i="1"/>
  <c r="BO483" i="1"/>
  <c r="BO482" i="1"/>
  <c r="BO481" i="1"/>
  <c r="BO480" i="1"/>
  <c r="BO479" i="1"/>
  <c r="BO478" i="1"/>
  <c r="BO477" i="1"/>
  <c r="BO476" i="1"/>
  <c r="BO475" i="1"/>
  <c r="BO474" i="1"/>
  <c r="BO473" i="1"/>
  <c r="BO472" i="1"/>
  <c r="BO471" i="1"/>
  <c r="BO470" i="1"/>
  <c r="BO469" i="1"/>
  <c r="BO468" i="1"/>
  <c r="BO467" i="1"/>
  <c r="BO466" i="1"/>
  <c r="BO465" i="1"/>
  <c r="BO464" i="1"/>
  <c r="BO463" i="1"/>
  <c r="BO462" i="1"/>
  <c r="BO461" i="1"/>
  <c r="BO460" i="1"/>
  <c r="BO459" i="1"/>
  <c r="BO458" i="1"/>
  <c r="BO457" i="1"/>
  <c r="BO456" i="1"/>
  <c r="BO455" i="1"/>
  <c r="BO454" i="1"/>
  <c r="BO453" i="1"/>
  <c r="BO452" i="1"/>
  <c r="BO451" i="1"/>
  <c r="BO450" i="1"/>
  <c r="BO449" i="1"/>
  <c r="BO448" i="1"/>
  <c r="BO447" i="1"/>
  <c r="BO446" i="1"/>
  <c r="BO445" i="1"/>
  <c r="BO444" i="1"/>
  <c r="BO443" i="1"/>
  <c r="BO442" i="1"/>
  <c r="BO441" i="1"/>
  <c r="BO440" i="1"/>
  <c r="BO439" i="1"/>
  <c r="BO438" i="1"/>
  <c r="BO437" i="1"/>
  <c r="BO436" i="1"/>
  <c r="BO435" i="1"/>
  <c r="BO434" i="1"/>
  <c r="BO433" i="1"/>
  <c r="BO432" i="1"/>
  <c r="BO431" i="1"/>
  <c r="BO430" i="1"/>
  <c r="BO429" i="1"/>
  <c r="BO428" i="1"/>
  <c r="BO427" i="1"/>
  <c r="BO426" i="1"/>
  <c r="BO425" i="1"/>
  <c r="BO424" i="1"/>
  <c r="BO423" i="1"/>
  <c r="BO422" i="1"/>
  <c r="BO421" i="1"/>
  <c r="BO420" i="1"/>
  <c r="BO419" i="1"/>
  <c r="BO418" i="1"/>
  <c r="BO417" i="1"/>
  <c r="BO416" i="1"/>
  <c r="BO415" i="1"/>
  <c r="BO414" i="1"/>
  <c r="BO413" i="1"/>
  <c r="BO412" i="1"/>
  <c r="BO411" i="1"/>
  <c r="BO410" i="1"/>
  <c r="BO409" i="1"/>
  <c r="BO408" i="1"/>
  <c r="BO407" i="1"/>
  <c r="BO406" i="1"/>
  <c r="BO405" i="1"/>
  <c r="BO404" i="1"/>
  <c r="BO403" i="1"/>
  <c r="BO402" i="1"/>
  <c r="BO401" i="1"/>
  <c r="BO400" i="1"/>
  <c r="BO399" i="1"/>
  <c r="BO398" i="1"/>
  <c r="BO397" i="1"/>
  <c r="BO396" i="1"/>
  <c r="BO395" i="1"/>
  <c r="BO394" i="1"/>
  <c r="BO393" i="1"/>
  <c r="BO392" i="1"/>
  <c r="BO391" i="1"/>
  <c r="BO390" i="1"/>
  <c r="BO389" i="1"/>
  <c r="BO388" i="1"/>
  <c r="BO387" i="1"/>
  <c r="BO386" i="1"/>
  <c r="BO385" i="1"/>
  <c r="BO384" i="1"/>
  <c r="BO383" i="1"/>
  <c r="BO382" i="1"/>
  <c r="BO381" i="1"/>
  <c r="BO380" i="1"/>
  <c r="BO379" i="1"/>
  <c r="BO378" i="1"/>
  <c r="BO377" i="1"/>
  <c r="BO376" i="1"/>
  <c r="BO375" i="1"/>
  <c r="BO374" i="1"/>
  <c r="BO373" i="1"/>
  <c r="BO372" i="1"/>
  <c r="BO371" i="1"/>
  <c r="BO370" i="1"/>
  <c r="BO369" i="1"/>
  <c r="BO368" i="1"/>
  <c r="BO367" i="1"/>
  <c r="BO366" i="1"/>
  <c r="BO365" i="1"/>
  <c r="BO364" i="1"/>
  <c r="BO363" i="1"/>
  <c r="BO362" i="1"/>
  <c r="BO361" i="1"/>
  <c r="BO360" i="1"/>
  <c r="BO359" i="1"/>
  <c r="BO358" i="1"/>
  <c r="BO357" i="1"/>
  <c r="BO356" i="1"/>
  <c r="BO355" i="1"/>
  <c r="BO354" i="1"/>
  <c r="BO353" i="1"/>
  <c r="BO352" i="1"/>
  <c r="BO351" i="1"/>
  <c r="BO350" i="1"/>
  <c r="BO349" i="1"/>
  <c r="BO348" i="1"/>
  <c r="BO347" i="1"/>
  <c r="BO346" i="1"/>
  <c r="BO345" i="1"/>
  <c r="BO344" i="1"/>
  <c r="BO343" i="1"/>
  <c r="BO342" i="1"/>
  <c r="BO341" i="1"/>
  <c r="BO340" i="1"/>
  <c r="BO339" i="1"/>
  <c r="BO338" i="1"/>
  <c r="BO337" i="1"/>
  <c r="BO336" i="1"/>
  <c r="BO335" i="1"/>
  <c r="BO334" i="1"/>
  <c r="BO333" i="1"/>
  <c r="BO332" i="1"/>
  <c r="BO331" i="1"/>
  <c r="BO330" i="1"/>
  <c r="BO329" i="1"/>
  <c r="BO328" i="1"/>
  <c r="BO327" i="1"/>
  <c r="BO326" i="1"/>
  <c r="BO325" i="1"/>
  <c r="BO324" i="1"/>
  <c r="BO323" i="1"/>
  <c r="BO322" i="1"/>
  <c r="BO321" i="1"/>
  <c r="BO320" i="1"/>
  <c r="BO319" i="1"/>
  <c r="BO318" i="1"/>
  <c r="BO317" i="1"/>
  <c r="BO316" i="1"/>
  <c r="BO315" i="1"/>
  <c r="BO314" i="1"/>
  <c r="BO313" i="1"/>
  <c r="BO312" i="1"/>
  <c r="BO311" i="1"/>
  <c r="BO310" i="1"/>
  <c r="BO309" i="1"/>
  <c r="BO308" i="1"/>
  <c r="BO307" i="1"/>
  <c r="BO306" i="1"/>
  <c r="BO305" i="1"/>
  <c r="BO304" i="1"/>
  <c r="BO303" i="1"/>
  <c r="BO302" i="1"/>
  <c r="BO301" i="1"/>
  <c r="BO300" i="1"/>
  <c r="BO299" i="1"/>
  <c r="BO298" i="1"/>
  <c r="BO297" i="1"/>
  <c r="BO296" i="1"/>
  <c r="BO295" i="1"/>
  <c r="BO294" i="1"/>
  <c r="BO293" i="1"/>
  <c r="BO292" i="1"/>
  <c r="BO291" i="1"/>
  <c r="BO290" i="1"/>
  <c r="BO289" i="1"/>
  <c r="BO288" i="1"/>
  <c r="BO287" i="1"/>
  <c r="BO286" i="1"/>
  <c r="BO285" i="1"/>
  <c r="BO284" i="1"/>
  <c r="BO283" i="1"/>
  <c r="BO282" i="1"/>
  <c r="BO281" i="1"/>
  <c r="BO280" i="1"/>
  <c r="BO279" i="1"/>
  <c r="BO278" i="1"/>
  <c r="BO277" i="1"/>
  <c r="BO276" i="1"/>
  <c r="BO275" i="1"/>
  <c r="BO274" i="1"/>
  <c r="BO273" i="1"/>
  <c r="BO272" i="1"/>
  <c r="BO271" i="1"/>
  <c r="BO270" i="1"/>
  <c r="BO269" i="1"/>
  <c r="BO268" i="1"/>
  <c r="BO267" i="1"/>
  <c r="BO266" i="1"/>
  <c r="BO265" i="1"/>
  <c r="BO264" i="1"/>
  <c r="BO263" i="1"/>
  <c r="BO262" i="1"/>
  <c r="BO261" i="1"/>
  <c r="BO260" i="1"/>
  <c r="BO259" i="1"/>
  <c r="BO258" i="1"/>
  <c r="BO257" i="1"/>
  <c r="BO256" i="1"/>
  <c r="BO255" i="1"/>
  <c r="BO254" i="1"/>
  <c r="BO253" i="1"/>
  <c r="BO252" i="1"/>
  <c r="BO251" i="1"/>
  <c r="BO250" i="1"/>
  <c r="BO249" i="1"/>
  <c r="BO248" i="1"/>
  <c r="BO247" i="1"/>
  <c r="BO246" i="1"/>
  <c r="BO245" i="1"/>
  <c r="BO244" i="1"/>
  <c r="BO243" i="1"/>
  <c r="BO242" i="1"/>
  <c r="BO241" i="1"/>
  <c r="BO240" i="1"/>
  <c r="BO239" i="1"/>
  <c r="BO238" i="1"/>
  <c r="BO237" i="1"/>
  <c r="BO236" i="1"/>
  <c r="BO235" i="1"/>
  <c r="BO234" i="1"/>
  <c r="BO233" i="1"/>
  <c r="BO232" i="1"/>
  <c r="BO231" i="1"/>
  <c r="BO230" i="1"/>
  <c r="BO229" i="1"/>
  <c r="BO228" i="1"/>
  <c r="BO227" i="1"/>
  <c r="BO226" i="1"/>
  <c r="BO225" i="1"/>
  <c r="BO224" i="1"/>
  <c r="BO223" i="1"/>
  <c r="BO222" i="1"/>
  <c r="BO221" i="1"/>
  <c r="BO220" i="1"/>
  <c r="BO219" i="1"/>
  <c r="BO218" i="1"/>
  <c r="BO217" i="1"/>
  <c r="BO216" i="1"/>
  <c r="BO215" i="1"/>
  <c r="BO214" i="1"/>
  <c r="BO213" i="1"/>
  <c r="BO212" i="1"/>
  <c r="BO211" i="1"/>
  <c r="BO210" i="1"/>
  <c r="BO209" i="1"/>
  <c r="BO208" i="1"/>
  <c r="BO207" i="1"/>
  <c r="BO206" i="1"/>
  <c r="BO205" i="1"/>
  <c r="BO204" i="1"/>
  <c r="BO203" i="1"/>
  <c r="BO202" i="1"/>
  <c r="BO201" i="1"/>
  <c r="BO200" i="1"/>
  <c r="BO199" i="1"/>
  <c r="BO198" i="1"/>
  <c r="BO197" i="1"/>
  <c r="BO196" i="1"/>
  <c r="BO195" i="1"/>
  <c r="BO194" i="1"/>
  <c r="BO193" i="1"/>
  <c r="BO192" i="1"/>
  <c r="BO191" i="1"/>
  <c r="BO190" i="1"/>
  <c r="BO189" i="1"/>
  <c r="BO188" i="1"/>
  <c r="BO187" i="1"/>
  <c r="BO186" i="1"/>
  <c r="BO185" i="1"/>
  <c r="BO184" i="1"/>
  <c r="BO183" i="1"/>
  <c r="BO182" i="1"/>
  <c r="BO181" i="1"/>
  <c r="BO180" i="1"/>
  <c r="BO179" i="1"/>
  <c r="BO178" i="1"/>
  <c r="BO177" i="1"/>
  <c r="BO176" i="1"/>
  <c r="BO175" i="1"/>
  <c r="BO174" i="1"/>
  <c r="BO173" i="1"/>
  <c r="BO172" i="1"/>
  <c r="BO171" i="1"/>
  <c r="BO170" i="1"/>
  <c r="BO169" i="1"/>
  <c r="BO168" i="1"/>
  <c r="BO167" i="1"/>
  <c r="BO166" i="1"/>
  <c r="BO165" i="1"/>
  <c r="BO164" i="1"/>
  <c r="BO163" i="1"/>
  <c r="BO162" i="1"/>
  <c r="BO161" i="1"/>
  <c r="BO160" i="1"/>
  <c r="BO159" i="1"/>
  <c r="BO158" i="1"/>
  <c r="BO157" i="1"/>
  <c r="BO156" i="1"/>
  <c r="BO155" i="1"/>
  <c r="BO154" i="1"/>
  <c r="BO153" i="1"/>
  <c r="BO152" i="1"/>
  <c r="BO151" i="1"/>
  <c r="BO150" i="1"/>
  <c r="BO149" i="1"/>
  <c r="BO148" i="1"/>
  <c r="BO147" i="1"/>
  <c r="BO146" i="1"/>
  <c r="BO145" i="1"/>
  <c r="BO144" i="1"/>
  <c r="BO143" i="1"/>
  <c r="BO142" i="1"/>
  <c r="BO141" i="1"/>
  <c r="BO140" i="1"/>
  <c r="BO139" i="1"/>
  <c r="BO138" i="1"/>
  <c r="BO137" i="1"/>
  <c r="BO136" i="1"/>
  <c r="BO135" i="1"/>
  <c r="BO134" i="1"/>
  <c r="BO133" i="1"/>
  <c r="BO132" i="1"/>
  <c r="BO131" i="1"/>
  <c r="BO130" i="1"/>
  <c r="BO129" i="1"/>
  <c r="BO128" i="1"/>
  <c r="BO127" i="1"/>
  <c r="BO126" i="1"/>
  <c r="BO125" i="1"/>
  <c r="BO124" i="1"/>
  <c r="BO123" i="1"/>
  <c r="BO122" i="1"/>
  <c r="BO121" i="1"/>
  <c r="BO120" i="1"/>
  <c r="BO119" i="1"/>
  <c r="BO118" i="1"/>
  <c r="BO117" i="1"/>
  <c r="BO116" i="1"/>
  <c r="BO115" i="1"/>
  <c r="BO114" i="1"/>
  <c r="BO113" i="1"/>
  <c r="BO112" i="1"/>
  <c r="BO111" i="1"/>
  <c r="BO110" i="1"/>
  <c r="BO109" i="1"/>
  <c r="BO108" i="1"/>
  <c r="BO107" i="1"/>
  <c r="BO106" i="1"/>
  <c r="BO105" i="1"/>
  <c r="BO104" i="1"/>
  <c r="BO103" i="1"/>
  <c r="BO102" i="1"/>
  <c r="BO101" i="1"/>
  <c r="BO100" i="1"/>
  <c r="BO99" i="1"/>
  <c r="BO98" i="1"/>
  <c r="BO97" i="1"/>
  <c r="BO96" i="1"/>
  <c r="BO95" i="1"/>
  <c r="BO94" i="1"/>
  <c r="BO93" i="1"/>
  <c r="BO92" i="1"/>
  <c r="BO91" i="1"/>
  <c r="BO90" i="1"/>
  <c r="BO89" i="1"/>
  <c r="BO88" i="1"/>
  <c r="BO87" i="1"/>
  <c r="BO86" i="1"/>
  <c r="BO85" i="1"/>
  <c r="BO84" i="1"/>
  <c r="BO83" i="1"/>
  <c r="BO82" i="1"/>
  <c r="BO81" i="1"/>
  <c r="BO80" i="1"/>
  <c r="BO79" i="1"/>
  <c r="BO78" i="1"/>
  <c r="BO77" i="1"/>
  <c r="BO76" i="1"/>
  <c r="BO75" i="1"/>
  <c r="BO74" i="1"/>
  <c r="BO73" i="1"/>
  <c r="BO72" i="1"/>
  <c r="BO71" i="1"/>
  <c r="BO70" i="1"/>
  <c r="BO69" i="1"/>
  <c r="BO68" i="1"/>
  <c r="BO67" i="1"/>
  <c r="BO66" i="1"/>
  <c r="BO65" i="1"/>
  <c r="BO64" i="1"/>
  <c r="BO63" i="1"/>
  <c r="BO62" i="1"/>
  <c r="BO61" i="1"/>
  <c r="BO60" i="1"/>
  <c r="BO59" i="1"/>
  <c r="BO58" i="1"/>
  <c r="BO57" i="1"/>
  <c r="BO56" i="1"/>
  <c r="BO55" i="1"/>
  <c r="BO54" i="1"/>
  <c r="BO53" i="1"/>
  <c r="BO52" i="1"/>
  <c r="BO51" i="1"/>
  <c r="BO50" i="1"/>
  <c r="BO49" i="1"/>
  <c r="BO48" i="1"/>
  <c r="BO47" i="1"/>
  <c r="BO46" i="1"/>
  <c r="BO45" i="1"/>
  <c r="BO44" i="1"/>
  <c r="BO43" i="1"/>
  <c r="BO42" i="1"/>
  <c r="BO41" i="1"/>
  <c r="BO40" i="1"/>
  <c r="BO39" i="1"/>
  <c r="BO38" i="1"/>
  <c r="BO37" i="1"/>
  <c r="BO36" i="1"/>
  <c r="BO35" i="1"/>
  <c r="BO34" i="1"/>
  <c r="BO33" i="1"/>
  <c r="BO32" i="1"/>
  <c r="BO31" i="1"/>
  <c r="BO30" i="1"/>
  <c r="BO29" i="1"/>
  <c r="BO28" i="1"/>
  <c r="BO27" i="1"/>
  <c r="BO26" i="1"/>
  <c r="BO25" i="1"/>
  <c r="BO24" i="1"/>
  <c r="BO23" i="1"/>
  <c r="BO22" i="1"/>
  <c r="BO21" i="1"/>
  <c r="BO20" i="1"/>
  <c r="BO19" i="1"/>
  <c r="BO18" i="1"/>
  <c r="BO17" i="1"/>
  <c r="BO12" i="1"/>
  <c r="BO13" i="1" s="1"/>
  <c r="BK1112" i="1"/>
  <c r="BK1111" i="1"/>
  <c r="BK1110" i="1"/>
  <c r="BK1109" i="1"/>
  <c r="BK1108" i="1"/>
  <c r="BK1107" i="1"/>
  <c r="BK1106" i="1"/>
  <c r="BK1105" i="1"/>
  <c r="BK1104" i="1"/>
  <c r="BK1103" i="1"/>
  <c r="BK1102" i="1"/>
  <c r="BK1101" i="1"/>
  <c r="BK1100" i="1"/>
  <c r="BK1099" i="1"/>
  <c r="BK1098" i="1"/>
  <c r="BK1097" i="1"/>
  <c r="BK1096" i="1"/>
  <c r="BK1095" i="1"/>
  <c r="BK1094" i="1"/>
  <c r="BK1093" i="1"/>
  <c r="BK1092" i="1"/>
  <c r="BK1091" i="1"/>
  <c r="BK1090" i="1"/>
  <c r="BK1089" i="1"/>
  <c r="BK1088" i="1"/>
  <c r="BK1087" i="1"/>
  <c r="BK1086" i="1"/>
  <c r="BK1085" i="1"/>
  <c r="BK1084" i="1"/>
  <c r="BK1083" i="1"/>
  <c r="BK1082" i="1"/>
  <c r="BK1081" i="1"/>
  <c r="BK1080" i="1"/>
  <c r="BK1079" i="1"/>
  <c r="BK1078" i="1"/>
  <c r="BK1077" i="1"/>
  <c r="BK1076" i="1"/>
  <c r="BK1075" i="1"/>
  <c r="BK1074" i="1"/>
  <c r="BK1073" i="1"/>
  <c r="BK1072" i="1"/>
  <c r="BK1071" i="1"/>
  <c r="BK1070" i="1"/>
  <c r="BK1069" i="1"/>
  <c r="BK1068" i="1"/>
  <c r="BK1067" i="1"/>
  <c r="BK1066" i="1"/>
  <c r="BK1065" i="1"/>
  <c r="BK1064" i="1"/>
  <c r="BK1063" i="1"/>
  <c r="BK1062" i="1"/>
  <c r="BK1061" i="1"/>
  <c r="BK1060" i="1"/>
  <c r="BK1059" i="1"/>
  <c r="BK1058" i="1"/>
  <c r="BK1057" i="1"/>
  <c r="BK1056" i="1"/>
  <c r="BK1055" i="1"/>
  <c r="BK1054" i="1"/>
  <c r="BK1053" i="1"/>
  <c r="BK1052" i="1"/>
  <c r="BK1051" i="1"/>
  <c r="BK1050" i="1"/>
  <c r="BK1049" i="1"/>
  <c r="BK1048" i="1"/>
  <c r="BK1047" i="1"/>
  <c r="BK1046" i="1"/>
  <c r="BK1045" i="1"/>
  <c r="BK1044" i="1"/>
  <c r="BK1043" i="1"/>
  <c r="BK1042" i="1"/>
  <c r="BK1041" i="1"/>
  <c r="BK1040" i="1"/>
  <c r="BK1039" i="1"/>
  <c r="BK1038" i="1"/>
  <c r="BK1037" i="1"/>
  <c r="BK1036" i="1"/>
  <c r="BK1035" i="1"/>
  <c r="BK1034" i="1"/>
  <c r="BK1033" i="1"/>
  <c r="BK1032" i="1"/>
  <c r="BK1031" i="1"/>
  <c r="BK1030" i="1"/>
  <c r="BK1029" i="1"/>
  <c r="BK1028" i="1"/>
  <c r="BK1027" i="1"/>
  <c r="BK1026" i="1"/>
  <c r="BK1025" i="1"/>
  <c r="BK1024" i="1"/>
  <c r="BK1023" i="1"/>
  <c r="BK1022" i="1"/>
  <c r="BK1021" i="1"/>
  <c r="BK1020" i="1"/>
  <c r="BK1019" i="1"/>
  <c r="BK1018" i="1"/>
  <c r="BK1017" i="1"/>
  <c r="BK1016" i="1"/>
  <c r="BK1015" i="1"/>
  <c r="BK1014" i="1"/>
  <c r="BK1013" i="1"/>
  <c r="BK1012" i="1"/>
  <c r="BK1011" i="1"/>
  <c r="BK1010" i="1"/>
  <c r="BK1009" i="1"/>
  <c r="BK1008" i="1"/>
  <c r="BK1007" i="1"/>
  <c r="BK1006" i="1"/>
  <c r="BK1005" i="1"/>
  <c r="BK1004" i="1"/>
  <c r="BK1003" i="1"/>
  <c r="BK1002" i="1"/>
  <c r="BK1001" i="1"/>
  <c r="BK1000" i="1"/>
  <c r="BK999" i="1"/>
  <c r="BK998" i="1"/>
  <c r="BK997" i="1"/>
  <c r="BK996" i="1"/>
  <c r="BK995" i="1"/>
  <c r="BK994" i="1"/>
  <c r="BK993" i="1"/>
  <c r="BK992" i="1"/>
  <c r="BK991" i="1"/>
  <c r="BK990" i="1"/>
  <c r="BK989" i="1"/>
  <c r="BK988" i="1"/>
  <c r="BK987" i="1"/>
  <c r="BK986" i="1"/>
  <c r="BK985" i="1"/>
  <c r="BK984" i="1"/>
  <c r="BK983" i="1"/>
  <c r="BK982" i="1"/>
  <c r="BK981" i="1"/>
  <c r="BK980" i="1"/>
  <c r="BK979" i="1"/>
  <c r="BK978" i="1"/>
  <c r="BK977" i="1"/>
  <c r="BK976" i="1"/>
  <c r="BK975" i="1"/>
  <c r="BK974" i="1"/>
  <c r="BK973" i="1"/>
  <c r="BK972" i="1"/>
  <c r="BK971" i="1"/>
  <c r="BK970" i="1"/>
  <c r="BK969" i="1"/>
  <c r="BK968" i="1"/>
  <c r="BK967" i="1"/>
  <c r="BK966" i="1"/>
  <c r="BK965" i="1"/>
  <c r="BK964" i="1"/>
  <c r="BK963" i="1"/>
  <c r="BK962" i="1"/>
  <c r="BK961" i="1"/>
  <c r="BK960" i="1"/>
  <c r="BK959" i="1"/>
  <c r="BK958" i="1"/>
  <c r="BK957" i="1"/>
  <c r="BK956" i="1"/>
  <c r="BK955" i="1"/>
  <c r="BK954" i="1"/>
  <c r="BK953" i="1"/>
  <c r="BK952" i="1"/>
  <c r="BK951" i="1"/>
  <c r="BK950" i="1"/>
  <c r="BK949" i="1"/>
  <c r="BK948" i="1"/>
  <c r="BK947" i="1"/>
  <c r="BK946" i="1"/>
  <c r="BK945" i="1"/>
  <c r="BK944" i="1"/>
  <c r="BK943" i="1"/>
  <c r="BK942" i="1"/>
  <c r="BK941" i="1"/>
  <c r="BK940" i="1"/>
  <c r="BK939" i="1"/>
  <c r="BK938" i="1"/>
  <c r="BK937" i="1"/>
  <c r="BK936" i="1"/>
  <c r="BK935" i="1"/>
  <c r="BK934" i="1"/>
  <c r="BK933" i="1"/>
  <c r="BK932" i="1"/>
  <c r="BK931" i="1"/>
  <c r="BK930" i="1"/>
  <c r="BK929" i="1"/>
  <c r="BK928" i="1"/>
  <c r="BK927" i="1"/>
  <c r="BK926" i="1"/>
  <c r="BK925" i="1"/>
  <c r="BK924" i="1"/>
  <c r="BK923" i="1"/>
  <c r="BK922" i="1"/>
  <c r="BK921" i="1"/>
  <c r="BK920" i="1"/>
  <c r="BK919" i="1"/>
  <c r="BK918" i="1"/>
  <c r="BK917" i="1"/>
  <c r="BK916" i="1"/>
  <c r="BK915" i="1"/>
  <c r="BK914" i="1"/>
  <c r="BK913" i="1"/>
  <c r="BK912" i="1"/>
  <c r="BK911" i="1"/>
  <c r="BK910" i="1"/>
  <c r="BK909" i="1"/>
  <c r="BK908" i="1"/>
  <c r="BK907" i="1"/>
  <c r="BK906" i="1"/>
  <c r="BK905" i="1"/>
  <c r="BK904" i="1"/>
  <c r="BK903" i="1"/>
  <c r="BK902" i="1"/>
  <c r="BK901" i="1"/>
  <c r="BK900" i="1"/>
  <c r="BK899" i="1"/>
  <c r="BK898" i="1"/>
  <c r="BK897" i="1"/>
  <c r="BK896" i="1"/>
  <c r="BK895" i="1"/>
  <c r="BK894" i="1"/>
  <c r="BK893" i="1"/>
  <c r="BK892" i="1"/>
  <c r="BK891" i="1"/>
  <c r="BK890" i="1"/>
  <c r="BK889" i="1"/>
  <c r="BK888" i="1"/>
  <c r="BK887" i="1"/>
  <c r="BK886" i="1"/>
  <c r="BK885" i="1"/>
  <c r="BK884" i="1"/>
  <c r="BK883" i="1"/>
  <c r="BK882" i="1"/>
  <c r="BK881" i="1"/>
  <c r="BK880" i="1"/>
  <c r="BK879" i="1"/>
  <c r="BK878" i="1"/>
  <c r="BK877" i="1"/>
  <c r="BK876" i="1"/>
  <c r="BK875" i="1"/>
  <c r="BK874" i="1"/>
  <c r="BK873" i="1"/>
  <c r="BK872" i="1"/>
  <c r="BK871" i="1"/>
  <c r="BK870" i="1"/>
  <c r="BK869" i="1"/>
  <c r="BK868" i="1"/>
  <c r="BK867" i="1"/>
  <c r="BK866" i="1"/>
  <c r="BK865" i="1"/>
  <c r="BK864" i="1"/>
  <c r="BK863" i="1"/>
  <c r="BK862" i="1"/>
  <c r="BK861" i="1"/>
  <c r="BK860" i="1"/>
  <c r="BK859" i="1"/>
  <c r="BK858" i="1"/>
  <c r="BK857" i="1"/>
  <c r="BK856" i="1"/>
  <c r="BK855" i="1"/>
  <c r="BK854" i="1"/>
  <c r="BK853" i="1"/>
  <c r="BK852" i="1"/>
  <c r="BK851" i="1"/>
  <c r="BK850" i="1"/>
  <c r="BK849" i="1"/>
  <c r="BK848" i="1"/>
  <c r="BK847" i="1"/>
  <c r="BK846" i="1"/>
  <c r="BK845" i="1"/>
  <c r="BK844" i="1"/>
  <c r="BK843" i="1"/>
  <c r="BK842" i="1"/>
  <c r="BK841" i="1"/>
  <c r="BK840" i="1"/>
  <c r="BK839" i="1"/>
  <c r="BK838" i="1"/>
  <c r="BK837" i="1"/>
  <c r="BK836" i="1"/>
  <c r="BK835" i="1"/>
  <c r="BK834" i="1"/>
  <c r="BK833" i="1"/>
  <c r="BK832" i="1"/>
  <c r="BK831" i="1"/>
  <c r="BK830" i="1"/>
  <c r="BK829" i="1"/>
  <c r="BK828" i="1"/>
  <c r="BK827" i="1"/>
  <c r="BK826" i="1"/>
  <c r="BK825" i="1"/>
  <c r="BK824" i="1"/>
  <c r="BK823" i="1"/>
  <c r="BK822" i="1"/>
  <c r="BK821" i="1"/>
  <c r="BK820" i="1"/>
  <c r="BK819" i="1"/>
  <c r="BK818" i="1"/>
  <c r="BK817" i="1"/>
  <c r="BK816" i="1"/>
  <c r="BK815" i="1"/>
  <c r="BK814" i="1"/>
  <c r="BK813" i="1"/>
  <c r="BK812" i="1"/>
  <c r="BK811" i="1"/>
  <c r="BK810" i="1"/>
  <c r="BK809" i="1"/>
  <c r="BK808" i="1"/>
  <c r="BK807" i="1"/>
  <c r="BK806" i="1"/>
  <c r="BK805" i="1"/>
  <c r="BK804" i="1"/>
  <c r="BK803" i="1"/>
  <c r="BK802" i="1"/>
  <c r="BK801" i="1"/>
  <c r="BK800" i="1"/>
  <c r="BK799" i="1"/>
  <c r="BK798" i="1"/>
  <c r="BK797" i="1"/>
  <c r="BK796" i="1"/>
  <c r="BK795" i="1"/>
  <c r="BK794" i="1"/>
  <c r="BK793" i="1"/>
  <c r="BK792" i="1"/>
  <c r="BK791" i="1"/>
  <c r="BK790" i="1"/>
  <c r="BK789" i="1"/>
  <c r="BK788" i="1"/>
  <c r="BK787" i="1"/>
  <c r="BK786" i="1"/>
  <c r="BK785" i="1"/>
  <c r="BK784" i="1"/>
  <c r="BK783" i="1"/>
  <c r="BK782" i="1"/>
  <c r="BK781" i="1"/>
  <c r="BK780" i="1"/>
  <c r="BK779" i="1"/>
  <c r="BK778" i="1"/>
  <c r="BK777" i="1"/>
  <c r="BK776" i="1"/>
  <c r="BK775" i="1"/>
  <c r="BK774" i="1"/>
  <c r="BK773" i="1"/>
  <c r="BK772" i="1"/>
  <c r="BK771" i="1"/>
  <c r="BK770" i="1"/>
  <c r="BK769" i="1"/>
  <c r="BK768" i="1"/>
  <c r="BK767" i="1"/>
  <c r="BK766" i="1"/>
  <c r="BK765" i="1"/>
  <c r="BK764" i="1"/>
  <c r="BK763" i="1"/>
  <c r="BK762" i="1"/>
  <c r="BK761" i="1"/>
  <c r="BK760" i="1"/>
  <c r="BK759" i="1"/>
  <c r="BK758" i="1"/>
  <c r="BK757" i="1"/>
  <c r="BK756" i="1"/>
  <c r="BK755" i="1"/>
  <c r="BK754" i="1"/>
  <c r="BK753" i="1"/>
  <c r="BK752" i="1"/>
  <c r="BK751" i="1"/>
  <c r="BK750" i="1"/>
  <c r="BK749" i="1"/>
  <c r="BK748" i="1"/>
  <c r="BK747" i="1"/>
  <c r="BK746" i="1"/>
  <c r="BK745" i="1"/>
  <c r="BK744" i="1"/>
  <c r="BK743" i="1"/>
  <c r="BK742" i="1"/>
  <c r="BK741" i="1"/>
  <c r="BK740" i="1"/>
  <c r="BK739" i="1"/>
  <c r="BK738" i="1"/>
  <c r="BK737" i="1"/>
  <c r="BK736" i="1"/>
  <c r="BK735" i="1"/>
  <c r="BK734" i="1"/>
  <c r="BK733" i="1"/>
  <c r="BK732" i="1"/>
  <c r="BK731" i="1"/>
  <c r="BK730" i="1"/>
  <c r="BK729" i="1"/>
  <c r="BK728" i="1"/>
  <c r="BK727" i="1"/>
  <c r="BK726" i="1"/>
  <c r="BK725" i="1"/>
  <c r="BK724" i="1"/>
  <c r="BK723" i="1"/>
  <c r="BK722" i="1"/>
  <c r="BK721" i="1"/>
  <c r="BK720" i="1"/>
  <c r="BK719" i="1"/>
  <c r="BK718" i="1"/>
  <c r="BK717" i="1"/>
  <c r="BK716" i="1"/>
  <c r="BK715" i="1"/>
  <c r="BK714" i="1"/>
  <c r="BK713" i="1"/>
  <c r="BK712" i="1"/>
  <c r="BK711" i="1"/>
  <c r="BK710" i="1"/>
  <c r="BK709" i="1"/>
  <c r="BK708" i="1"/>
  <c r="BK707" i="1"/>
  <c r="BK706" i="1"/>
  <c r="BK705" i="1"/>
  <c r="BK704" i="1"/>
  <c r="BK703" i="1"/>
  <c r="BK702" i="1"/>
  <c r="BK701" i="1"/>
  <c r="BK700" i="1"/>
  <c r="BK699" i="1"/>
  <c r="BK698" i="1"/>
  <c r="BK697" i="1"/>
  <c r="BK696" i="1"/>
  <c r="BK695" i="1"/>
  <c r="BK694" i="1"/>
  <c r="BK693" i="1"/>
  <c r="BK692" i="1"/>
  <c r="BK691" i="1"/>
  <c r="BK690" i="1"/>
  <c r="BK689" i="1"/>
  <c r="BK688" i="1"/>
  <c r="BK687" i="1"/>
  <c r="BK686" i="1"/>
  <c r="BK685" i="1"/>
  <c r="BK684" i="1"/>
  <c r="BK683" i="1"/>
  <c r="BK682" i="1"/>
  <c r="BK681" i="1"/>
  <c r="BK680" i="1"/>
  <c r="BK679" i="1"/>
  <c r="BK678" i="1"/>
  <c r="BK677" i="1"/>
  <c r="BK676" i="1"/>
  <c r="BK675" i="1"/>
  <c r="BK674" i="1"/>
  <c r="BK673" i="1"/>
  <c r="BK672" i="1"/>
  <c r="BK671" i="1"/>
  <c r="BK670" i="1"/>
  <c r="BK669" i="1"/>
  <c r="BK668" i="1"/>
  <c r="BK667" i="1"/>
  <c r="BK666" i="1"/>
  <c r="BK665" i="1"/>
  <c r="BK664" i="1"/>
  <c r="BK663" i="1"/>
  <c r="BK662" i="1"/>
  <c r="BK661" i="1"/>
  <c r="BK660" i="1"/>
  <c r="BK659" i="1"/>
  <c r="BK658" i="1"/>
  <c r="BK657" i="1"/>
  <c r="BK656" i="1"/>
  <c r="BK655" i="1"/>
  <c r="BK654" i="1"/>
  <c r="BK653" i="1"/>
  <c r="BK652" i="1"/>
  <c r="BK651" i="1"/>
  <c r="BK650" i="1"/>
  <c r="BK649" i="1"/>
  <c r="BK648" i="1"/>
  <c r="BK647" i="1"/>
  <c r="BK646" i="1"/>
  <c r="BK645" i="1"/>
  <c r="BK644" i="1"/>
  <c r="BK643" i="1"/>
  <c r="BK642" i="1"/>
  <c r="BK641" i="1"/>
  <c r="BK640" i="1"/>
  <c r="BK639" i="1"/>
  <c r="BK638" i="1"/>
  <c r="BK637" i="1"/>
  <c r="BK636" i="1"/>
  <c r="BK635" i="1"/>
  <c r="BK634" i="1"/>
  <c r="BK633" i="1"/>
  <c r="BK632" i="1"/>
  <c r="BK631" i="1"/>
  <c r="BK630" i="1"/>
  <c r="BK629" i="1"/>
  <c r="BK628" i="1"/>
  <c r="BK627" i="1"/>
  <c r="BK626" i="1"/>
  <c r="BK625" i="1"/>
  <c r="BK624" i="1"/>
  <c r="BK623" i="1"/>
  <c r="BK622" i="1"/>
  <c r="BK621" i="1"/>
  <c r="BK620" i="1"/>
  <c r="BK619" i="1"/>
  <c r="BK618" i="1"/>
  <c r="BK617" i="1"/>
  <c r="BK616" i="1"/>
  <c r="BK615" i="1"/>
  <c r="BK614" i="1"/>
  <c r="BK613" i="1"/>
  <c r="BK612" i="1"/>
  <c r="BK611" i="1"/>
  <c r="BK610" i="1"/>
  <c r="BK609" i="1"/>
  <c r="BK608" i="1"/>
  <c r="BK607" i="1"/>
  <c r="BK606" i="1"/>
  <c r="BK605" i="1"/>
  <c r="BK604" i="1"/>
  <c r="BK603" i="1"/>
  <c r="BK602" i="1"/>
  <c r="BK601" i="1"/>
  <c r="BK600" i="1"/>
  <c r="BK599" i="1"/>
  <c r="BK598" i="1"/>
  <c r="BK597" i="1"/>
  <c r="BK596" i="1"/>
  <c r="BK595" i="1"/>
  <c r="BK594" i="1"/>
  <c r="BK593" i="1"/>
  <c r="BK592" i="1"/>
  <c r="BK591" i="1"/>
  <c r="BK590" i="1"/>
  <c r="BK589" i="1"/>
  <c r="BK588" i="1"/>
  <c r="BK587" i="1"/>
  <c r="BK586" i="1"/>
  <c r="BK585" i="1"/>
  <c r="BK584" i="1"/>
  <c r="BK583" i="1"/>
  <c r="BK582" i="1"/>
  <c r="BK581" i="1"/>
  <c r="BK580" i="1"/>
  <c r="BK579" i="1"/>
  <c r="BK578" i="1"/>
  <c r="BK577" i="1"/>
  <c r="BK576" i="1"/>
  <c r="BK575" i="1"/>
  <c r="BK574" i="1"/>
  <c r="BK573" i="1"/>
  <c r="BK572" i="1"/>
  <c r="BK571" i="1"/>
  <c r="BK570" i="1"/>
  <c r="BK569" i="1"/>
  <c r="BK568" i="1"/>
  <c r="BK567" i="1"/>
  <c r="BK566" i="1"/>
  <c r="BK565" i="1"/>
  <c r="BK564" i="1"/>
  <c r="BK563" i="1"/>
  <c r="BK562" i="1"/>
  <c r="BK561" i="1"/>
  <c r="BK560" i="1"/>
  <c r="BK559" i="1"/>
  <c r="BK558" i="1"/>
  <c r="BK557" i="1"/>
  <c r="BK556" i="1"/>
  <c r="BK555" i="1"/>
  <c r="BK554" i="1"/>
  <c r="BK553" i="1"/>
  <c r="BK552" i="1"/>
  <c r="BK551" i="1"/>
  <c r="BK550" i="1"/>
  <c r="BK549" i="1"/>
  <c r="BK548" i="1"/>
  <c r="BK547" i="1"/>
  <c r="BK546" i="1"/>
  <c r="BK545" i="1"/>
  <c r="BK544" i="1"/>
  <c r="BK543" i="1"/>
  <c r="BK542" i="1"/>
  <c r="BK541" i="1"/>
  <c r="BK540" i="1"/>
  <c r="BK539" i="1"/>
  <c r="BK538" i="1"/>
  <c r="BK537" i="1"/>
  <c r="BK536" i="1"/>
  <c r="BK535" i="1"/>
  <c r="BK534" i="1"/>
  <c r="BK533" i="1"/>
  <c r="BK532" i="1"/>
  <c r="BK531" i="1"/>
  <c r="BK530" i="1"/>
  <c r="BK529" i="1"/>
  <c r="BK528" i="1"/>
  <c r="BK527" i="1"/>
  <c r="BK526" i="1"/>
  <c r="BK525" i="1"/>
  <c r="BK524" i="1"/>
  <c r="BK523" i="1"/>
  <c r="BK522" i="1"/>
  <c r="BK521" i="1"/>
  <c r="BK520" i="1"/>
  <c r="BK519" i="1"/>
  <c r="BK518" i="1"/>
  <c r="BK517" i="1"/>
  <c r="BK516" i="1"/>
  <c r="BK515" i="1"/>
  <c r="BK514" i="1"/>
  <c r="BK513" i="1"/>
  <c r="BK512" i="1"/>
  <c r="BK511" i="1"/>
  <c r="BK510" i="1"/>
  <c r="BK509" i="1"/>
  <c r="BK508" i="1"/>
  <c r="BK507" i="1"/>
  <c r="BK506" i="1"/>
  <c r="BK505" i="1"/>
  <c r="BK504" i="1"/>
  <c r="BK503" i="1"/>
  <c r="BK502" i="1"/>
  <c r="BK501" i="1"/>
  <c r="BK500" i="1"/>
  <c r="BK499" i="1"/>
  <c r="BK498" i="1"/>
  <c r="BK497" i="1"/>
  <c r="BK496" i="1"/>
  <c r="BK495" i="1"/>
  <c r="BK494" i="1"/>
  <c r="BK493" i="1"/>
  <c r="BK492" i="1"/>
  <c r="BK491" i="1"/>
  <c r="BK490" i="1"/>
  <c r="BK489" i="1"/>
  <c r="BK488" i="1"/>
  <c r="BK487" i="1"/>
  <c r="BK486" i="1"/>
  <c r="BK485" i="1"/>
  <c r="BK484" i="1"/>
  <c r="BK483" i="1"/>
  <c r="BK482" i="1"/>
  <c r="BK481" i="1"/>
  <c r="BK480" i="1"/>
  <c r="BK479" i="1"/>
  <c r="BK478" i="1"/>
  <c r="BK477" i="1"/>
  <c r="BK476" i="1"/>
  <c r="BK475" i="1"/>
  <c r="BK474" i="1"/>
  <c r="BK473" i="1"/>
  <c r="BK472" i="1"/>
  <c r="BK471" i="1"/>
  <c r="BK470" i="1"/>
  <c r="BK469" i="1"/>
  <c r="BK468" i="1"/>
  <c r="BK467" i="1"/>
  <c r="BK466" i="1"/>
  <c r="BK465" i="1"/>
  <c r="BK464" i="1"/>
  <c r="BK463" i="1"/>
  <c r="BK462" i="1"/>
  <c r="BK461" i="1"/>
  <c r="BK460" i="1"/>
  <c r="BK459" i="1"/>
  <c r="BK458" i="1"/>
  <c r="BK457" i="1"/>
  <c r="BK456" i="1"/>
  <c r="BK455" i="1"/>
  <c r="BK454" i="1"/>
  <c r="BK453" i="1"/>
  <c r="BK452" i="1"/>
  <c r="BK451" i="1"/>
  <c r="BK450" i="1"/>
  <c r="BK449" i="1"/>
  <c r="BK448" i="1"/>
  <c r="BK447" i="1"/>
  <c r="BK446" i="1"/>
  <c r="BK445" i="1"/>
  <c r="BK444" i="1"/>
  <c r="BK443" i="1"/>
  <c r="BK442" i="1"/>
  <c r="BK441" i="1"/>
  <c r="BK440" i="1"/>
  <c r="BK439" i="1"/>
  <c r="BK438" i="1"/>
  <c r="BK437" i="1"/>
  <c r="BK436" i="1"/>
  <c r="BK435" i="1"/>
  <c r="BK434" i="1"/>
  <c r="BK433" i="1"/>
  <c r="BK432" i="1"/>
  <c r="BK431" i="1"/>
  <c r="BK430" i="1"/>
  <c r="BK429" i="1"/>
  <c r="BK428" i="1"/>
  <c r="BK427" i="1"/>
  <c r="BK426" i="1"/>
  <c r="BK425" i="1"/>
  <c r="BK424" i="1"/>
  <c r="BK423" i="1"/>
  <c r="BK422" i="1"/>
  <c r="BK421" i="1"/>
  <c r="BK420" i="1"/>
  <c r="BK419" i="1"/>
  <c r="BK418" i="1"/>
  <c r="BK417" i="1"/>
  <c r="BK416" i="1"/>
  <c r="BK415" i="1"/>
  <c r="BK414" i="1"/>
  <c r="BK413" i="1"/>
  <c r="BK412" i="1"/>
  <c r="BK411" i="1"/>
  <c r="BK410" i="1"/>
  <c r="BK409" i="1"/>
  <c r="BK408" i="1"/>
  <c r="BK407" i="1"/>
  <c r="BK406" i="1"/>
  <c r="BK405" i="1"/>
  <c r="BK404" i="1"/>
  <c r="BK403" i="1"/>
  <c r="BK402" i="1"/>
  <c r="BK401" i="1"/>
  <c r="BK400" i="1"/>
  <c r="BK399" i="1"/>
  <c r="BK398" i="1"/>
  <c r="BK397" i="1"/>
  <c r="BK396" i="1"/>
  <c r="BK395" i="1"/>
  <c r="BK394" i="1"/>
  <c r="BK393" i="1"/>
  <c r="BK392" i="1"/>
  <c r="BK391" i="1"/>
  <c r="BK390" i="1"/>
  <c r="BK389" i="1"/>
  <c r="BK388" i="1"/>
  <c r="BK387" i="1"/>
  <c r="BK386" i="1"/>
  <c r="BK385" i="1"/>
  <c r="BK384" i="1"/>
  <c r="BK383" i="1"/>
  <c r="BK382" i="1"/>
  <c r="BK381" i="1"/>
  <c r="BK380" i="1"/>
  <c r="BK379" i="1"/>
  <c r="BK378" i="1"/>
  <c r="BK377" i="1"/>
  <c r="BK376" i="1"/>
  <c r="BK375" i="1"/>
  <c r="BK374" i="1"/>
  <c r="BK373" i="1"/>
  <c r="BK372" i="1"/>
  <c r="BK371" i="1"/>
  <c r="BK370" i="1"/>
  <c r="BK369" i="1"/>
  <c r="BK368" i="1"/>
  <c r="BK367" i="1"/>
  <c r="BK366" i="1"/>
  <c r="BK365" i="1"/>
  <c r="BK364" i="1"/>
  <c r="BK363" i="1"/>
  <c r="BK362" i="1"/>
  <c r="BK361" i="1"/>
  <c r="BK360" i="1"/>
  <c r="BK359" i="1"/>
  <c r="BK358" i="1"/>
  <c r="BK357" i="1"/>
  <c r="BK356" i="1"/>
  <c r="BK355" i="1"/>
  <c r="BK354" i="1"/>
  <c r="BK353" i="1"/>
  <c r="BK352" i="1"/>
  <c r="BK351" i="1"/>
  <c r="BK350" i="1"/>
  <c r="BK349" i="1"/>
  <c r="BK348" i="1"/>
  <c r="BK347" i="1"/>
  <c r="BK346" i="1"/>
  <c r="BK345" i="1"/>
  <c r="BK344" i="1"/>
  <c r="BK343" i="1"/>
  <c r="BK342" i="1"/>
  <c r="BK341" i="1"/>
  <c r="BK340" i="1"/>
  <c r="BK339" i="1"/>
  <c r="BK338" i="1"/>
  <c r="BK337" i="1"/>
  <c r="BK336" i="1"/>
  <c r="BK335" i="1"/>
  <c r="BK334" i="1"/>
  <c r="BK333" i="1"/>
  <c r="BK332" i="1"/>
  <c r="BK331" i="1"/>
  <c r="BK330" i="1"/>
  <c r="BK329" i="1"/>
  <c r="BK328" i="1"/>
  <c r="BK327" i="1"/>
  <c r="BK326" i="1"/>
  <c r="BK325" i="1"/>
  <c r="BK324" i="1"/>
  <c r="BK323" i="1"/>
  <c r="BK322" i="1"/>
  <c r="BK321" i="1"/>
  <c r="BK320" i="1"/>
  <c r="BK319" i="1"/>
  <c r="BK318" i="1"/>
  <c r="BK317" i="1"/>
  <c r="BK316" i="1"/>
  <c r="BK315" i="1"/>
  <c r="BK314" i="1"/>
  <c r="BK313" i="1"/>
  <c r="BK312" i="1"/>
  <c r="BK311" i="1"/>
  <c r="BK310" i="1"/>
  <c r="BK309" i="1"/>
  <c r="BK308" i="1"/>
  <c r="BK307" i="1"/>
  <c r="BK306" i="1"/>
  <c r="BK305" i="1"/>
  <c r="BK304" i="1"/>
  <c r="BK303" i="1"/>
  <c r="BK302" i="1"/>
  <c r="BK301" i="1"/>
  <c r="BK300" i="1"/>
  <c r="BK299" i="1"/>
  <c r="BK298" i="1"/>
  <c r="BK297" i="1"/>
  <c r="BK296" i="1"/>
  <c r="BK295" i="1"/>
  <c r="BK294" i="1"/>
  <c r="BK293" i="1"/>
  <c r="BK292" i="1"/>
  <c r="BK291" i="1"/>
  <c r="BK290" i="1"/>
  <c r="BK289" i="1"/>
  <c r="BK288" i="1"/>
  <c r="BK287" i="1"/>
  <c r="BK286" i="1"/>
  <c r="BK285" i="1"/>
  <c r="BK284" i="1"/>
  <c r="BK283" i="1"/>
  <c r="BK282" i="1"/>
  <c r="BK281" i="1"/>
  <c r="BK280" i="1"/>
  <c r="BK279" i="1"/>
  <c r="BK278" i="1"/>
  <c r="BK277" i="1"/>
  <c r="BK276" i="1"/>
  <c r="BK275" i="1"/>
  <c r="BK274" i="1"/>
  <c r="BK273" i="1"/>
  <c r="BK272" i="1"/>
  <c r="BK271" i="1"/>
  <c r="BK270" i="1"/>
  <c r="BK269" i="1"/>
  <c r="BK268" i="1"/>
  <c r="BK267" i="1"/>
  <c r="BK266" i="1"/>
  <c r="BK265" i="1"/>
  <c r="BK264" i="1"/>
  <c r="BK263" i="1"/>
  <c r="BK262" i="1"/>
  <c r="BK261" i="1"/>
  <c r="BK260" i="1"/>
  <c r="BK259" i="1"/>
  <c r="BK258" i="1"/>
  <c r="BK257" i="1"/>
  <c r="BK256" i="1"/>
  <c r="BK255" i="1"/>
  <c r="BK254" i="1"/>
  <c r="BK253" i="1"/>
  <c r="BK252" i="1"/>
  <c r="BK251" i="1"/>
  <c r="BK250" i="1"/>
  <c r="BK249" i="1"/>
  <c r="BK248" i="1"/>
  <c r="BK247" i="1"/>
  <c r="BK246" i="1"/>
  <c r="BK245" i="1"/>
  <c r="BK244" i="1"/>
  <c r="BK243" i="1"/>
  <c r="BK242" i="1"/>
  <c r="BK241" i="1"/>
  <c r="BK240" i="1"/>
  <c r="BK239" i="1"/>
  <c r="BK238" i="1"/>
  <c r="BK237" i="1"/>
  <c r="BK236" i="1"/>
  <c r="BK235" i="1"/>
  <c r="BK234" i="1"/>
  <c r="BK233" i="1"/>
  <c r="BK232" i="1"/>
  <c r="BK231" i="1"/>
  <c r="BK230" i="1"/>
  <c r="BK229" i="1"/>
  <c r="BK228" i="1"/>
  <c r="BK227" i="1"/>
  <c r="BK226" i="1"/>
  <c r="BK225" i="1"/>
  <c r="BK224" i="1"/>
  <c r="BK223" i="1"/>
  <c r="BK222" i="1"/>
  <c r="BK221" i="1"/>
  <c r="BK220" i="1"/>
  <c r="BK219" i="1"/>
  <c r="BK218" i="1"/>
  <c r="BK217" i="1"/>
  <c r="BK216" i="1"/>
  <c r="BK215" i="1"/>
  <c r="BK214" i="1"/>
  <c r="BK213" i="1"/>
  <c r="BK212" i="1"/>
  <c r="BK211" i="1"/>
  <c r="BK210" i="1"/>
  <c r="BK209" i="1"/>
  <c r="BK208" i="1"/>
  <c r="BK207" i="1"/>
  <c r="BK206" i="1"/>
  <c r="BK205" i="1"/>
  <c r="BK204" i="1"/>
  <c r="BK203" i="1"/>
  <c r="BK202" i="1"/>
  <c r="BK201" i="1"/>
  <c r="BK200" i="1"/>
  <c r="BK199" i="1"/>
  <c r="BK198" i="1"/>
  <c r="BK197" i="1"/>
  <c r="BK196" i="1"/>
  <c r="BK195" i="1"/>
  <c r="BK194" i="1"/>
  <c r="BK193" i="1"/>
  <c r="BK192" i="1"/>
  <c r="BK191" i="1"/>
  <c r="BK190" i="1"/>
  <c r="BK189" i="1"/>
  <c r="BK188" i="1"/>
  <c r="BK187" i="1"/>
  <c r="BK186" i="1"/>
  <c r="BK185" i="1"/>
  <c r="BK184" i="1"/>
  <c r="BK183" i="1"/>
  <c r="BK182" i="1"/>
  <c r="BK181" i="1"/>
  <c r="BK180" i="1"/>
  <c r="BK179" i="1"/>
  <c r="BK178" i="1"/>
  <c r="BK177" i="1"/>
  <c r="BK176" i="1"/>
  <c r="BK175" i="1"/>
  <c r="BK174" i="1"/>
  <c r="BK173" i="1"/>
  <c r="BK172" i="1"/>
  <c r="BK171" i="1"/>
  <c r="BK170" i="1"/>
  <c r="BK169" i="1"/>
  <c r="BK168" i="1"/>
  <c r="BK167" i="1"/>
  <c r="BK166" i="1"/>
  <c r="BK165" i="1"/>
  <c r="BK164" i="1"/>
  <c r="BK163" i="1"/>
  <c r="BK162" i="1"/>
  <c r="BK161" i="1"/>
  <c r="BK160" i="1"/>
  <c r="BK159" i="1"/>
  <c r="BK158" i="1"/>
  <c r="BK157" i="1"/>
  <c r="BK156" i="1"/>
  <c r="BK155" i="1"/>
  <c r="BK154" i="1"/>
  <c r="BK153" i="1"/>
  <c r="BK152" i="1"/>
  <c r="BK151" i="1"/>
  <c r="BK150" i="1"/>
  <c r="BK149" i="1"/>
  <c r="BK148" i="1"/>
  <c r="BK147" i="1"/>
  <c r="BK146" i="1"/>
  <c r="BK145" i="1"/>
  <c r="BK144" i="1"/>
  <c r="BK143" i="1"/>
  <c r="BK142" i="1"/>
  <c r="BK141" i="1"/>
  <c r="BK140" i="1"/>
  <c r="BK139" i="1"/>
  <c r="BK138" i="1"/>
  <c r="BK137" i="1"/>
  <c r="BK136" i="1"/>
  <c r="BK135" i="1"/>
  <c r="BK134" i="1"/>
  <c r="BK133" i="1"/>
  <c r="BK132" i="1"/>
  <c r="BK131" i="1"/>
  <c r="BK130" i="1"/>
  <c r="BK129" i="1"/>
  <c r="BK128" i="1"/>
  <c r="BK127" i="1"/>
  <c r="BK126" i="1"/>
  <c r="BK125" i="1"/>
  <c r="BK124" i="1"/>
  <c r="BK123" i="1"/>
  <c r="BK122" i="1"/>
  <c r="BK121" i="1"/>
  <c r="BK120" i="1"/>
  <c r="BK119" i="1"/>
  <c r="BK118" i="1"/>
  <c r="BK117" i="1"/>
  <c r="BK116" i="1"/>
  <c r="BK115" i="1"/>
  <c r="BK114" i="1"/>
  <c r="BK113" i="1"/>
  <c r="BK112" i="1"/>
  <c r="BK111" i="1"/>
  <c r="BK110" i="1"/>
  <c r="BK109" i="1"/>
  <c r="BK108" i="1"/>
  <c r="BK107" i="1"/>
  <c r="BK106" i="1"/>
  <c r="BK105" i="1"/>
  <c r="BK104" i="1"/>
  <c r="BK103" i="1"/>
  <c r="BK102" i="1"/>
  <c r="BK101" i="1"/>
  <c r="BK100" i="1"/>
  <c r="BK99" i="1"/>
  <c r="BK98" i="1"/>
  <c r="BK97" i="1"/>
  <c r="BK96" i="1"/>
  <c r="BK95" i="1"/>
  <c r="BK94" i="1"/>
  <c r="BK93" i="1"/>
  <c r="BK92" i="1"/>
  <c r="BK91" i="1"/>
  <c r="BK90" i="1"/>
  <c r="BK89" i="1"/>
  <c r="BK88" i="1"/>
  <c r="BK87" i="1"/>
  <c r="BK86" i="1"/>
  <c r="BK85" i="1"/>
  <c r="BK84" i="1"/>
  <c r="BK83" i="1"/>
  <c r="BK82" i="1"/>
  <c r="BK81" i="1"/>
  <c r="BK80" i="1"/>
  <c r="BK79" i="1"/>
  <c r="BK78" i="1"/>
  <c r="BK77" i="1"/>
  <c r="BK76" i="1"/>
  <c r="BK75" i="1"/>
  <c r="BK74" i="1"/>
  <c r="BK73" i="1"/>
  <c r="BK72" i="1"/>
  <c r="BK71" i="1"/>
  <c r="BK70" i="1"/>
  <c r="BK69" i="1"/>
  <c r="BK68" i="1"/>
  <c r="BK67" i="1"/>
  <c r="BK66" i="1"/>
  <c r="BK65" i="1"/>
  <c r="BK64" i="1"/>
  <c r="BK63" i="1"/>
  <c r="BK62" i="1"/>
  <c r="BK61" i="1"/>
  <c r="BK60" i="1"/>
  <c r="BK59" i="1"/>
  <c r="BK58" i="1"/>
  <c r="BK57" i="1"/>
  <c r="BK56" i="1"/>
  <c r="BK55" i="1"/>
  <c r="BK54" i="1"/>
  <c r="BK53" i="1"/>
  <c r="BK52" i="1"/>
  <c r="BK51" i="1"/>
  <c r="BK50" i="1"/>
  <c r="BK49" i="1"/>
  <c r="BK48" i="1"/>
  <c r="BK47" i="1"/>
  <c r="BK46" i="1"/>
  <c r="BK45" i="1"/>
  <c r="BK44" i="1"/>
  <c r="BK43" i="1"/>
  <c r="BK42" i="1"/>
  <c r="BK41" i="1"/>
  <c r="BK40" i="1"/>
  <c r="BK39" i="1"/>
  <c r="BK38" i="1"/>
  <c r="BK37" i="1"/>
  <c r="BK36" i="1"/>
  <c r="BK35" i="1"/>
  <c r="BK34" i="1"/>
  <c r="BK33" i="1"/>
  <c r="BK32" i="1"/>
  <c r="BK31" i="1"/>
  <c r="BK30" i="1"/>
  <c r="BK29" i="1"/>
  <c r="BK28" i="1"/>
  <c r="BK27" i="1"/>
  <c r="BK26" i="1"/>
  <c r="BK25" i="1"/>
  <c r="BK24" i="1"/>
  <c r="BK23" i="1"/>
  <c r="BK22" i="1"/>
  <c r="BK21" i="1"/>
  <c r="BK20" i="1"/>
  <c r="BK19" i="1"/>
  <c r="BK18" i="1"/>
  <c r="BK17" i="1"/>
  <c r="BK12" i="1"/>
  <c r="BG1112" i="1"/>
  <c r="BG1111" i="1"/>
  <c r="BG1110" i="1"/>
  <c r="BG1109" i="1"/>
  <c r="BG1108" i="1"/>
  <c r="BG1107" i="1"/>
  <c r="BG1106" i="1"/>
  <c r="BG1105" i="1"/>
  <c r="BG1104" i="1"/>
  <c r="BG1103" i="1"/>
  <c r="BG1102" i="1"/>
  <c r="BG1101" i="1"/>
  <c r="BG1100" i="1"/>
  <c r="BG1099" i="1"/>
  <c r="BG1098" i="1"/>
  <c r="BG1097" i="1"/>
  <c r="BG1096" i="1"/>
  <c r="BG1095" i="1"/>
  <c r="BG1094" i="1"/>
  <c r="BG1093" i="1"/>
  <c r="BG1092" i="1"/>
  <c r="BG1091" i="1"/>
  <c r="BG1090" i="1"/>
  <c r="BG1089" i="1"/>
  <c r="BG1088" i="1"/>
  <c r="BG1087" i="1"/>
  <c r="BG1086" i="1"/>
  <c r="BG1085" i="1"/>
  <c r="BG1084" i="1"/>
  <c r="BG1083" i="1"/>
  <c r="BG1082" i="1"/>
  <c r="BG1081" i="1"/>
  <c r="BG1080" i="1"/>
  <c r="BG1079" i="1"/>
  <c r="BG1078" i="1"/>
  <c r="BG1077" i="1"/>
  <c r="BG1076" i="1"/>
  <c r="BG1075" i="1"/>
  <c r="BG1074" i="1"/>
  <c r="BG1073" i="1"/>
  <c r="BG1072" i="1"/>
  <c r="BG1071" i="1"/>
  <c r="BG1070" i="1"/>
  <c r="BG1069" i="1"/>
  <c r="BG1068" i="1"/>
  <c r="BG1067" i="1"/>
  <c r="BG1066" i="1"/>
  <c r="BG1065" i="1"/>
  <c r="BG1064" i="1"/>
  <c r="BG1063" i="1"/>
  <c r="BG1062" i="1"/>
  <c r="BG1061" i="1"/>
  <c r="BG1060" i="1"/>
  <c r="BG1059" i="1"/>
  <c r="BG1058" i="1"/>
  <c r="BG1057" i="1"/>
  <c r="BG1056" i="1"/>
  <c r="BG1055" i="1"/>
  <c r="BG1054" i="1"/>
  <c r="BG1053" i="1"/>
  <c r="BG1052" i="1"/>
  <c r="BG1051" i="1"/>
  <c r="BG1050" i="1"/>
  <c r="BG1049" i="1"/>
  <c r="BG1048" i="1"/>
  <c r="BG1047" i="1"/>
  <c r="BG1046" i="1"/>
  <c r="BG1045" i="1"/>
  <c r="BG1044" i="1"/>
  <c r="BG1043" i="1"/>
  <c r="BG1042" i="1"/>
  <c r="BG1041" i="1"/>
  <c r="BG1040" i="1"/>
  <c r="BG1039" i="1"/>
  <c r="BG1038" i="1"/>
  <c r="BG1037" i="1"/>
  <c r="BG1036" i="1"/>
  <c r="BG1035" i="1"/>
  <c r="BG1034" i="1"/>
  <c r="BG1033" i="1"/>
  <c r="BG1032" i="1"/>
  <c r="BG1031" i="1"/>
  <c r="BG1030" i="1"/>
  <c r="BG1029" i="1"/>
  <c r="BG1028" i="1"/>
  <c r="BG1027" i="1"/>
  <c r="BG1026" i="1"/>
  <c r="BG1025" i="1"/>
  <c r="BG1024" i="1"/>
  <c r="BG1023" i="1"/>
  <c r="BG1022" i="1"/>
  <c r="BG1021" i="1"/>
  <c r="BG1020" i="1"/>
  <c r="BG1019" i="1"/>
  <c r="BG1018" i="1"/>
  <c r="BG1017" i="1"/>
  <c r="BG1016" i="1"/>
  <c r="BG1015" i="1"/>
  <c r="BG1014" i="1"/>
  <c r="BG1013" i="1"/>
  <c r="BG1012" i="1"/>
  <c r="BG1011" i="1"/>
  <c r="BG1010" i="1"/>
  <c r="BG1009" i="1"/>
  <c r="BG1008" i="1"/>
  <c r="BG1007" i="1"/>
  <c r="BG1006" i="1"/>
  <c r="BG1005" i="1"/>
  <c r="BG1004" i="1"/>
  <c r="BG1003" i="1"/>
  <c r="BG1002" i="1"/>
  <c r="BG1001" i="1"/>
  <c r="BG1000" i="1"/>
  <c r="BG999" i="1"/>
  <c r="BG998" i="1"/>
  <c r="BG997" i="1"/>
  <c r="BG996" i="1"/>
  <c r="BG995" i="1"/>
  <c r="BG994" i="1"/>
  <c r="BG993" i="1"/>
  <c r="BG992" i="1"/>
  <c r="BG991" i="1"/>
  <c r="BG990" i="1"/>
  <c r="BG989" i="1"/>
  <c r="BG988" i="1"/>
  <c r="BG987" i="1"/>
  <c r="BG986" i="1"/>
  <c r="BG985" i="1"/>
  <c r="BG984" i="1"/>
  <c r="BG983" i="1"/>
  <c r="BG982" i="1"/>
  <c r="BG981" i="1"/>
  <c r="BG980" i="1"/>
  <c r="BG979" i="1"/>
  <c r="BG978" i="1"/>
  <c r="BG977" i="1"/>
  <c r="BG976" i="1"/>
  <c r="BG975" i="1"/>
  <c r="BG974" i="1"/>
  <c r="BG973" i="1"/>
  <c r="BG972" i="1"/>
  <c r="BG971" i="1"/>
  <c r="BG970" i="1"/>
  <c r="BG969" i="1"/>
  <c r="BG968" i="1"/>
  <c r="BG967" i="1"/>
  <c r="BG966" i="1"/>
  <c r="BG965" i="1"/>
  <c r="BG964" i="1"/>
  <c r="BG963" i="1"/>
  <c r="BG962" i="1"/>
  <c r="BG961" i="1"/>
  <c r="BG960" i="1"/>
  <c r="BG959" i="1"/>
  <c r="BG958" i="1"/>
  <c r="BG957" i="1"/>
  <c r="BG956" i="1"/>
  <c r="BG955" i="1"/>
  <c r="BG954" i="1"/>
  <c r="BG953" i="1"/>
  <c r="BG952" i="1"/>
  <c r="BG951" i="1"/>
  <c r="BG950" i="1"/>
  <c r="BG949" i="1"/>
  <c r="BG948" i="1"/>
  <c r="BG947" i="1"/>
  <c r="BG946" i="1"/>
  <c r="BG945" i="1"/>
  <c r="BG944" i="1"/>
  <c r="BG943" i="1"/>
  <c r="BG942" i="1"/>
  <c r="BG941" i="1"/>
  <c r="BG940" i="1"/>
  <c r="BG939" i="1"/>
  <c r="BG938" i="1"/>
  <c r="BG937" i="1"/>
  <c r="BG936" i="1"/>
  <c r="BG935" i="1"/>
  <c r="BG934" i="1"/>
  <c r="BG933" i="1"/>
  <c r="BG932" i="1"/>
  <c r="BG931" i="1"/>
  <c r="BG930" i="1"/>
  <c r="BG929" i="1"/>
  <c r="BG928" i="1"/>
  <c r="BG927" i="1"/>
  <c r="BG926" i="1"/>
  <c r="BG925" i="1"/>
  <c r="BG924" i="1"/>
  <c r="BG923" i="1"/>
  <c r="BG922" i="1"/>
  <c r="BG921" i="1"/>
  <c r="BG920" i="1"/>
  <c r="BG919" i="1"/>
  <c r="BG918" i="1"/>
  <c r="BG917" i="1"/>
  <c r="BG916" i="1"/>
  <c r="BG915" i="1"/>
  <c r="BG914" i="1"/>
  <c r="BG913" i="1"/>
  <c r="BG912" i="1"/>
  <c r="BG911" i="1"/>
  <c r="BG910" i="1"/>
  <c r="BG909" i="1"/>
  <c r="BG908" i="1"/>
  <c r="BG907" i="1"/>
  <c r="BG906" i="1"/>
  <c r="BG905" i="1"/>
  <c r="BG904" i="1"/>
  <c r="BG903" i="1"/>
  <c r="BG902" i="1"/>
  <c r="BG901" i="1"/>
  <c r="BG900" i="1"/>
  <c r="BG899" i="1"/>
  <c r="BG898" i="1"/>
  <c r="BG897" i="1"/>
  <c r="BG896" i="1"/>
  <c r="BG895" i="1"/>
  <c r="BG894" i="1"/>
  <c r="BG893" i="1"/>
  <c r="BG892" i="1"/>
  <c r="BG891" i="1"/>
  <c r="BG890" i="1"/>
  <c r="BG889" i="1"/>
  <c r="BG888" i="1"/>
  <c r="BG887" i="1"/>
  <c r="BG886" i="1"/>
  <c r="BG885" i="1"/>
  <c r="BG884" i="1"/>
  <c r="BG883" i="1"/>
  <c r="BG882" i="1"/>
  <c r="BG881" i="1"/>
  <c r="BG880" i="1"/>
  <c r="BG879" i="1"/>
  <c r="BG878" i="1"/>
  <c r="BG877" i="1"/>
  <c r="BG876" i="1"/>
  <c r="BG875" i="1"/>
  <c r="BG874" i="1"/>
  <c r="BG873" i="1"/>
  <c r="BG872" i="1"/>
  <c r="BG871" i="1"/>
  <c r="BG870" i="1"/>
  <c r="BG869" i="1"/>
  <c r="BG868" i="1"/>
  <c r="BG867" i="1"/>
  <c r="BG866" i="1"/>
  <c r="BG865" i="1"/>
  <c r="BG864" i="1"/>
  <c r="BG863" i="1"/>
  <c r="BG862" i="1"/>
  <c r="BG861" i="1"/>
  <c r="BG860" i="1"/>
  <c r="BG859" i="1"/>
  <c r="BG858" i="1"/>
  <c r="BG857" i="1"/>
  <c r="BG856" i="1"/>
  <c r="BG855" i="1"/>
  <c r="BG854" i="1"/>
  <c r="BG853" i="1"/>
  <c r="BG852" i="1"/>
  <c r="BG851" i="1"/>
  <c r="BG850" i="1"/>
  <c r="BG849" i="1"/>
  <c r="BG848" i="1"/>
  <c r="BG847" i="1"/>
  <c r="BG846" i="1"/>
  <c r="BG845" i="1"/>
  <c r="BG844" i="1"/>
  <c r="BG843" i="1"/>
  <c r="BG842" i="1"/>
  <c r="BG841" i="1"/>
  <c r="BG840" i="1"/>
  <c r="BG839" i="1"/>
  <c r="BG838" i="1"/>
  <c r="BG837" i="1"/>
  <c r="BG836" i="1"/>
  <c r="BG835" i="1"/>
  <c r="BG834" i="1"/>
  <c r="BG833" i="1"/>
  <c r="BG832" i="1"/>
  <c r="BG831" i="1"/>
  <c r="BG830" i="1"/>
  <c r="BG829" i="1"/>
  <c r="BG828" i="1"/>
  <c r="BG827" i="1"/>
  <c r="BG826" i="1"/>
  <c r="BG825" i="1"/>
  <c r="BG824" i="1"/>
  <c r="BG823" i="1"/>
  <c r="BG822" i="1"/>
  <c r="BG821" i="1"/>
  <c r="BG820" i="1"/>
  <c r="BG819" i="1"/>
  <c r="BG818" i="1"/>
  <c r="BG817" i="1"/>
  <c r="BG816" i="1"/>
  <c r="BG815" i="1"/>
  <c r="BG814" i="1"/>
  <c r="BG813" i="1"/>
  <c r="BG812" i="1"/>
  <c r="BG811" i="1"/>
  <c r="BG810" i="1"/>
  <c r="BG809" i="1"/>
  <c r="BG808" i="1"/>
  <c r="BG807" i="1"/>
  <c r="BG806" i="1"/>
  <c r="BG805" i="1"/>
  <c r="BG804" i="1"/>
  <c r="BG803" i="1"/>
  <c r="BG802" i="1"/>
  <c r="BG801" i="1"/>
  <c r="BG800" i="1"/>
  <c r="BG799" i="1"/>
  <c r="BG798" i="1"/>
  <c r="BG797" i="1"/>
  <c r="BG796" i="1"/>
  <c r="BG795" i="1"/>
  <c r="BG794" i="1"/>
  <c r="BG793" i="1"/>
  <c r="BG792" i="1"/>
  <c r="BG791" i="1"/>
  <c r="BG790" i="1"/>
  <c r="BG789" i="1"/>
  <c r="BG788" i="1"/>
  <c r="BG787" i="1"/>
  <c r="BG786" i="1"/>
  <c r="BG785" i="1"/>
  <c r="BG784" i="1"/>
  <c r="BG783" i="1"/>
  <c r="BG782" i="1"/>
  <c r="BG781" i="1"/>
  <c r="BG780" i="1"/>
  <c r="BG779" i="1"/>
  <c r="BG778" i="1"/>
  <c r="BG777" i="1"/>
  <c r="BG776" i="1"/>
  <c r="BG775" i="1"/>
  <c r="BG774" i="1"/>
  <c r="BG773" i="1"/>
  <c r="BG772" i="1"/>
  <c r="BG771" i="1"/>
  <c r="BG770" i="1"/>
  <c r="BG769" i="1"/>
  <c r="BG768" i="1"/>
  <c r="BG767" i="1"/>
  <c r="BG766" i="1"/>
  <c r="BG765" i="1"/>
  <c r="BG764" i="1"/>
  <c r="BG763" i="1"/>
  <c r="BG762" i="1"/>
  <c r="BG761" i="1"/>
  <c r="BG760" i="1"/>
  <c r="BG759" i="1"/>
  <c r="BG758" i="1"/>
  <c r="BG757" i="1"/>
  <c r="BG756" i="1"/>
  <c r="BG755" i="1"/>
  <c r="BG754" i="1"/>
  <c r="BG753" i="1"/>
  <c r="BG752" i="1"/>
  <c r="BG751" i="1"/>
  <c r="BG750" i="1"/>
  <c r="BG749" i="1"/>
  <c r="BG748" i="1"/>
  <c r="BG747" i="1"/>
  <c r="BG746" i="1"/>
  <c r="BG745" i="1"/>
  <c r="BG744" i="1"/>
  <c r="BG743" i="1"/>
  <c r="BG742" i="1"/>
  <c r="BG741" i="1"/>
  <c r="BG740" i="1"/>
  <c r="BG739" i="1"/>
  <c r="BG738" i="1"/>
  <c r="BG737" i="1"/>
  <c r="BG736" i="1"/>
  <c r="BG735" i="1"/>
  <c r="BG734" i="1"/>
  <c r="BG733" i="1"/>
  <c r="BG732" i="1"/>
  <c r="BG731" i="1"/>
  <c r="BG730" i="1"/>
  <c r="BG729" i="1"/>
  <c r="BG728" i="1"/>
  <c r="BG727" i="1"/>
  <c r="BG726" i="1"/>
  <c r="BG725" i="1"/>
  <c r="BG724" i="1"/>
  <c r="BG723" i="1"/>
  <c r="BG722" i="1"/>
  <c r="BG721" i="1"/>
  <c r="BG720" i="1"/>
  <c r="BG719" i="1"/>
  <c r="BG718" i="1"/>
  <c r="BG717" i="1"/>
  <c r="BG716" i="1"/>
  <c r="BG715" i="1"/>
  <c r="BG714" i="1"/>
  <c r="BG713" i="1"/>
  <c r="BG712" i="1"/>
  <c r="BG711" i="1"/>
  <c r="BG710" i="1"/>
  <c r="BG709" i="1"/>
  <c r="BG708" i="1"/>
  <c r="BG707" i="1"/>
  <c r="BG706" i="1"/>
  <c r="BG705" i="1"/>
  <c r="BG704" i="1"/>
  <c r="BG703" i="1"/>
  <c r="BG702" i="1"/>
  <c r="BG701" i="1"/>
  <c r="BG700" i="1"/>
  <c r="BG699" i="1"/>
  <c r="BG698" i="1"/>
  <c r="BG697" i="1"/>
  <c r="BG696" i="1"/>
  <c r="BG695" i="1"/>
  <c r="BG694" i="1"/>
  <c r="BG693" i="1"/>
  <c r="BG692" i="1"/>
  <c r="BG691" i="1"/>
  <c r="BG690" i="1"/>
  <c r="BG689" i="1"/>
  <c r="BG688" i="1"/>
  <c r="BG687" i="1"/>
  <c r="BG686" i="1"/>
  <c r="BG685" i="1"/>
  <c r="BG684" i="1"/>
  <c r="BG683" i="1"/>
  <c r="BG682" i="1"/>
  <c r="BG681" i="1"/>
  <c r="BG680" i="1"/>
  <c r="BG679" i="1"/>
  <c r="BG678" i="1"/>
  <c r="BG677" i="1"/>
  <c r="BG676" i="1"/>
  <c r="BG675" i="1"/>
  <c r="BG674" i="1"/>
  <c r="BG673" i="1"/>
  <c r="BG672" i="1"/>
  <c r="BG671" i="1"/>
  <c r="BG670" i="1"/>
  <c r="BG669" i="1"/>
  <c r="BG668" i="1"/>
  <c r="BG667" i="1"/>
  <c r="BG666" i="1"/>
  <c r="BG665" i="1"/>
  <c r="BG664" i="1"/>
  <c r="BG663" i="1"/>
  <c r="BG662" i="1"/>
  <c r="BG661" i="1"/>
  <c r="BG660" i="1"/>
  <c r="BG659" i="1"/>
  <c r="BG658" i="1"/>
  <c r="BG657" i="1"/>
  <c r="BG656" i="1"/>
  <c r="BG655" i="1"/>
  <c r="BG654" i="1"/>
  <c r="BG653" i="1"/>
  <c r="BG652" i="1"/>
  <c r="BG651" i="1"/>
  <c r="BG650" i="1"/>
  <c r="BG649" i="1"/>
  <c r="BG648" i="1"/>
  <c r="BG647" i="1"/>
  <c r="BG646" i="1"/>
  <c r="BG645" i="1"/>
  <c r="BG644" i="1"/>
  <c r="BG643" i="1"/>
  <c r="BG642" i="1"/>
  <c r="BG641" i="1"/>
  <c r="BG640" i="1"/>
  <c r="BG639" i="1"/>
  <c r="BG638" i="1"/>
  <c r="BG637" i="1"/>
  <c r="BG636" i="1"/>
  <c r="BG635" i="1"/>
  <c r="BG634" i="1"/>
  <c r="BG633" i="1"/>
  <c r="BG632" i="1"/>
  <c r="BG631" i="1"/>
  <c r="BG630" i="1"/>
  <c r="BG629" i="1"/>
  <c r="BG628" i="1"/>
  <c r="BG627" i="1"/>
  <c r="BG626" i="1"/>
  <c r="BG625" i="1"/>
  <c r="BG624" i="1"/>
  <c r="BG623" i="1"/>
  <c r="BG622" i="1"/>
  <c r="BG621" i="1"/>
  <c r="BG620" i="1"/>
  <c r="BG619" i="1"/>
  <c r="BG618" i="1"/>
  <c r="BG617" i="1"/>
  <c r="BG616" i="1"/>
  <c r="BG615" i="1"/>
  <c r="BG614" i="1"/>
  <c r="BG613" i="1"/>
  <c r="BG612" i="1"/>
  <c r="BG611" i="1"/>
  <c r="BG610" i="1"/>
  <c r="BG609" i="1"/>
  <c r="BG608" i="1"/>
  <c r="BG607" i="1"/>
  <c r="BG606" i="1"/>
  <c r="BG605" i="1"/>
  <c r="BG604" i="1"/>
  <c r="BG603" i="1"/>
  <c r="BG602" i="1"/>
  <c r="BG601" i="1"/>
  <c r="BG600" i="1"/>
  <c r="BG599" i="1"/>
  <c r="BG598" i="1"/>
  <c r="BG597" i="1"/>
  <c r="BG596" i="1"/>
  <c r="BG595" i="1"/>
  <c r="BG594" i="1"/>
  <c r="BG593" i="1"/>
  <c r="BG592" i="1"/>
  <c r="BG591" i="1"/>
  <c r="BG590" i="1"/>
  <c r="BG589" i="1"/>
  <c r="BG588" i="1"/>
  <c r="BG587" i="1"/>
  <c r="BG586" i="1"/>
  <c r="BG585" i="1"/>
  <c r="BG584" i="1"/>
  <c r="BG583" i="1"/>
  <c r="BG582" i="1"/>
  <c r="BG581" i="1"/>
  <c r="BG580" i="1"/>
  <c r="BG579" i="1"/>
  <c r="BG578" i="1"/>
  <c r="BG577" i="1"/>
  <c r="BG576" i="1"/>
  <c r="BG575" i="1"/>
  <c r="BG574" i="1"/>
  <c r="BG573" i="1"/>
  <c r="BG572" i="1"/>
  <c r="BG571" i="1"/>
  <c r="BG570" i="1"/>
  <c r="BG569" i="1"/>
  <c r="BG568" i="1"/>
  <c r="BG567" i="1"/>
  <c r="BG566" i="1"/>
  <c r="BG565" i="1"/>
  <c r="BG564" i="1"/>
  <c r="BG563" i="1"/>
  <c r="BG562" i="1"/>
  <c r="BG561" i="1"/>
  <c r="BG560" i="1"/>
  <c r="BG559" i="1"/>
  <c r="BG558" i="1"/>
  <c r="BG557" i="1"/>
  <c r="BG556" i="1"/>
  <c r="BG555" i="1"/>
  <c r="BG554" i="1"/>
  <c r="BG553" i="1"/>
  <c r="BG552" i="1"/>
  <c r="BG551" i="1"/>
  <c r="BG550" i="1"/>
  <c r="BG549" i="1"/>
  <c r="BG548" i="1"/>
  <c r="BG547" i="1"/>
  <c r="BG546" i="1"/>
  <c r="BG545" i="1"/>
  <c r="BG544" i="1"/>
  <c r="BG543" i="1"/>
  <c r="BG542" i="1"/>
  <c r="BG541" i="1"/>
  <c r="BG540" i="1"/>
  <c r="BG539" i="1"/>
  <c r="BG538" i="1"/>
  <c r="BG537" i="1"/>
  <c r="BG536" i="1"/>
  <c r="BG535" i="1"/>
  <c r="BG534" i="1"/>
  <c r="BG533" i="1"/>
  <c r="BG532" i="1"/>
  <c r="BG531" i="1"/>
  <c r="BG530" i="1"/>
  <c r="BG529" i="1"/>
  <c r="BG528" i="1"/>
  <c r="BG527" i="1"/>
  <c r="BG526" i="1"/>
  <c r="BG525" i="1"/>
  <c r="BG524" i="1"/>
  <c r="BG523" i="1"/>
  <c r="BG522" i="1"/>
  <c r="BG521" i="1"/>
  <c r="BG520" i="1"/>
  <c r="BG519" i="1"/>
  <c r="BG518" i="1"/>
  <c r="BG517" i="1"/>
  <c r="BG516" i="1"/>
  <c r="BG515" i="1"/>
  <c r="BG514" i="1"/>
  <c r="BG513" i="1"/>
  <c r="BG512" i="1"/>
  <c r="BG511" i="1"/>
  <c r="BG510" i="1"/>
  <c r="BG509" i="1"/>
  <c r="BG508" i="1"/>
  <c r="BG507" i="1"/>
  <c r="BG506" i="1"/>
  <c r="BG505" i="1"/>
  <c r="BG504" i="1"/>
  <c r="BG503" i="1"/>
  <c r="BG502" i="1"/>
  <c r="BG501" i="1"/>
  <c r="BG500" i="1"/>
  <c r="BG499" i="1"/>
  <c r="BG498" i="1"/>
  <c r="BG497" i="1"/>
  <c r="BG496" i="1"/>
  <c r="BG495" i="1"/>
  <c r="BG494" i="1"/>
  <c r="BG493" i="1"/>
  <c r="BG492" i="1"/>
  <c r="BG491" i="1"/>
  <c r="BG490" i="1"/>
  <c r="BG489" i="1"/>
  <c r="BG488" i="1"/>
  <c r="BG487" i="1"/>
  <c r="BG486" i="1"/>
  <c r="BG485" i="1"/>
  <c r="BG484" i="1"/>
  <c r="BG483" i="1"/>
  <c r="BG482" i="1"/>
  <c r="BG481" i="1"/>
  <c r="BG480" i="1"/>
  <c r="BG479" i="1"/>
  <c r="BG478" i="1"/>
  <c r="BG477" i="1"/>
  <c r="BG476" i="1"/>
  <c r="BG475" i="1"/>
  <c r="BG474" i="1"/>
  <c r="BG473" i="1"/>
  <c r="BG472" i="1"/>
  <c r="BG471" i="1"/>
  <c r="BG470" i="1"/>
  <c r="BG469" i="1"/>
  <c r="BG468" i="1"/>
  <c r="BG467" i="1"/>
  <c r="BG466" i="1"/>
  <c r="BG465" i="1"/>
  <c r="BG464" i="1"/>
  <c r="BG463" i="1"/>
  <c r="BG462" i="1"/>
  <c r="BG461" i="1"/>
  <c r="BG460" i="1"/>
  <c r="BG459" i="1"/>
  <c r="BG458" i="1"/>
  <c r="BG457" i="1"/>
  <c r="BG456" i="1"/>
  <c r="BG455" i="1"/>
  <c r="BG454" i="1"/>
  <c r="BG453" i="1"/>
  <c r="BG452" i="1"/>
  <c r="BG451" i="1"/>
  <c r="BG450" i="1"/>
  <c r="BG449" i="1"/>
  <c r="BG448" i="1"/>
  <c r="BG447" i="1"/>
  <c r="BG446" i="1"/>
  <c r="BG445" i="1"/>
  <c r="BG444" i="1"/>
  <c r="BG443" i="1"/>
  <c r="BG442" i="1"/>
  <c r="BG441" i="1"/>
  <c r="BG440" i="1"/>
  <c r="BG439" i="1"/>
  <c r="BG438" i="1"/>
  <c r="BG437" i="1"/>
  <c r="BG436" i="1"/>
  <c r="BG435" i="1"/>
  <c r="BG434" i="1"/>
  <c r="BG433" i="1"/>
  <c r="BG432" i="1"/>
  <c r="BG431" i="1"/>
  <c r="BG430" i="1"/>
  <c r="BG429" i="1"/>
  <c r="BG428" i="1"/>
  <c r="BG427" i="1"/>
  <c r="BG426" i="1"/>
  <c r="BG425" i="1"/>
  <c r="BG424" i="1"/>
  <c r="BG423" i="1"/>
  <c r="BG422" i="1"/>
  <c r="BG421" i="1"/>
  <c r="BG420" i="1"/>
  <c r="BG419" i="1"/>
  <c r="BG418" i="1"/>
  <c r="BG417" i="1"/>
  <c r="BG416" i="1"/>
  <c r="BG415" i="1"/>
  <c r="BG414" i="1"/>
  <c r="BG413" i="1"/>
  <c r="BG412" i="1"/>
  <c r="BG411" i="1"/>
  <c r="BG410" i="1"/>
  <c r="BG409" i="1"/>
  <c r="BG408" i="1"/>
  <c r="BG407" i="1"/>
  <c r="BG406" i="1"/>
  <c r="BG405" i="1"/>
  <c r="BG404" i="1"/>
  <c r="BG403" i="1"/>
  <c r="BG402" i="1"/>
  <c r="BG401" i="1"/>
  <c r="BG400" i="1"/>
  <c r="BG399" i="1"/>
  <c r="BG398" i="1"/>
  <c r="BG397" i="1"/>
  <c r="BG396" i="1"/>
  <c r="BG395" i="1"/>
  <c r="BG394" i="1"/>
  <c r="BG393" i="1"/>
  <c r="BG392" i="1"/>
  <c r="BG391" i="1"/>
  <c r="BG390" i="1"/>
  <c r="BG389" i="1"/>
  <c r="BG388" i="1"/>
  <c r="BG387" i="1"/>
  <c r="BG386" i="1"/>
  <c r="BG385" i="1"/>
  <c r="BG384" i="1"/>
  <c r="BG383" i="1"/>
  <c r="BG382" i="1"/>
  <c r="BG381" i="1"/>
  <c r="BG380" i="1"/>
  <c r="BG379" i="1"/>
  <c r="BG378" i="1"/>
  <c r="BG377" i="1"/>
  <c r="BG376" i="1"/>
  <c r="BG375" i="1"/>
  <c r="BG374" i="1"/>
  <c r="BG373" i="1"/>
  <c r="BG372" i="1"/>
  <c r="BG371" i="1"/>
  <c r="BG370" i="1"/>
  <c r="BG369" i="1"/>
  <c r="BG368" i="1"/>
  <c r="BG367" i="1"/>
  <c r="BG366" i="1"/>
  <c r="BG365" i="1"/>
  <c r="BG364" i="1"/>
  <c r="BG363" i="1"/>
  <c r="BG362" i="1"/>
  <c r="BG361" i="1"/>
  <c r="BG360" i="1"/>
  <c r="BG359" i="1"/>
  <c r="BG358" i="1"/>
  <c r="BG357" i="1"/>
  <c r="BG356" i="1"/>
  <c r="BG355" i="1"/>
  <c r="BG354" i="1"/>
  <c r="BG353" i="1"/>
  <c r="BG352" i="1"/>
  <c r="BG351" i="1"/>
  <c r="BG350" i="1"/>
  <c r="BG349" i="1"/>
  <c r="BG348" i="1"/>
  <c r="BG347" i="1"/>
  <c r="BG346" i="1"/>
  <c r="BG345" i="1"/>
  <c r="BG344" i="1"/>
  <c r="BG343" i="1"/>
  <c r="BG342" i="1"/>
  <c r="BG341" i="1"/>
  <c r="BG340" i="1"/>
  <c r="BG339" i="1"/>
  <c r="BG338" i="1"/>
  <c r="BG337" i="1"/>
  <c r="BG336" i="1"/>
  <c r="BG335" i="1"/>
  <c r="BG334" i="1"/>
  <c r="BG333" i="1"/>
  <c r="BG332" i="1"/>
  <c r="BG331" i="1"/>
  <c r="BG330" i="1"/>
  <c r="BG329" i="1"/>
  <c r="BG328" i="1"/>
  <c r="BG327" i="1"/>
  <c r="BG326" i="1"/>
  <c r="BG325" i="1"/>
  <c r="BG324" i="1"/>
  <c r="BG323" i="1"/>
  <c r="BG322" i="1"/>
  <c r="BG321" i="1"/>
  <c r="BG320" i="1"/>
  <c r="BG319" i="1"/>
  <c r="BG318" i="1"/>
  <c r="BG317" i="1"/>
  <c r="BG316" i="1"/>
  <c r="BG315" i="1"/>
  <c r="BG314" i="1"/>
  <c r="BG313" i="1"/>
  <c r="BG312" i="1"/>
  <c r="BG311" i="1"/>
  <c r="BG310" i="1"/>
  <c r="BG309" i="1"/>
  <c r="BG308" i="1"/>
  <c r="BG307" i="1"/>
  <c r="BG306" i="1"/>
  <c r="BG305" i="1"/>
  <c r="BG304" i="1"/>
  <c r="BG303" i="1"/>
  <c r="BG302" i="1"/>
  <c r="BG301" i="1"/>
  <c r="BG300" i="1"/>
  <c r="BG299" i="1"/>
  <c r="BG298" i="1"/>
  <c r="BG297" i="1"/>
  <c r="BG296" i="1"/>
  <c r="BG295" i="1"/>
  <c r="BG294" i="1"/>
  <c r="BG293" i="1"/>
  <c r="BG292" i="1"/>
  <c r="BG291" i="1"/>
  <c r="BG290" i="1"/>
  <c r="BG289" i="1"/>
  <c r="BG288" i="1"/>
  <c r="BG287" i="1"/>
  <c r="BG286" i="1"/>
  <c r="BG285" i="1"/>
  <c r="BG284" i="1"/>
  <c r="BG283" i="1"/>
  <c r="BG282" i="1"/>
  <c r="BG281" i="1"/>
  <c r="BG280" i="1"/>
  <c r="BG279" i="1"/>
  <c r="BG278" i="1"/>
  <c r="BG277" i="1"/>
  <c r="BG276" i="1"/>
  <c r="BG275" i="1"/>
  <c r="BG274" i="1"/>
  <c r="BG273" i="1"/>
  <c r="BG272" i="1"/>
  <c r="BG271" i="1"/>
  <c r="BG270" i="1"/>
  <c r="BG269" i="1"/>
  <c r="BG268" i="1"/>
  <c r="BG267" i="1"/>
  <c r="BG266" i="1"/>
  <c r="BG265" i="1"/>
  <c r="BG264" i="1"/>
  <c r="BG263" i="1"/>
  <c r="BG262" i="1"/>
  <c r="BG261" i="1"/>
  <c r="BG260" i="1"/>
  <c r="BG259" i="1"/>
  <c r="BG258" i="1"/>
  <c r="BG257" i="1"/>
  <c r="BG256" i="1"/>
  <c r="BG255" i="1"/>
  <c r="BG254" i="1"/>
  <c r="BG253" i="1"/>
  <c r="BG252" i="1"/>
  <c r="BG251" i="1"/>
  <c r="BG250" i="1"/>
  <c r="BG249" i="1"/>
  <c r="BG248" i="1"/>
  <c r="BG247" i="1"/>
  <c r="BG246" i="1"/>
  <c r="BG245" i="1"/>
  <c r="BG244" i="1"/>
  <c r="BG243" i="1"/>
  <c r="BG242" i="1"/>
  <c r="BG241" i="1"/>
  <c r="BG240" i="1"/>
  <c r="BG239" i="1"/>
  <c r="BG238" i="1"/>
  <c r="BG237" i="1"/>
  <c r="BG236" i="1"/>
  <c r="BG235" i="1"/>
  <c r="BG234" i="1"/>
  <c r="BG233" i="1"/>
  <c r="BG232" i="1"/>
  <c r="BG231" i="1"/>
  <c r="BG230" i="1"/>
  <c r="BG229" i="1"/>
  <c r="BG228" i="1"/>
  <c r="BG227" i="1"/>
  <c r="BG226" i="1"/>
  <c r="BG225" i="1"/>
  <c r="BG224" i="1"/>
  <c r="BG223" i="1"/>
  <c r="BG222" i="1"/>
  <c r="BG221" i="1"/>
  <c r="BG220" i="1"/>
  <c r="BG219" i="1"/>
  <c r="BG218" i="1"/>
  <c r="BG217" i="1"/>
  <c r="BG216" i="1"/>
  <c r="BG215" i="1"/>
  <c r="BG214" i="1"/>
  <c r="BG213" i="1"/>
  <c r="BG212" i="1"/>
  <c r="BG211" i="1"/>
  <c r="BG210" i="1"/>
  <c r="BG209" i="1"/>
  <c r="BG208" i="1"/>
  <c r="BG207" i="1"/>
  <c r="BG206" i="1"/>
  <c r="BG205" i="1"/>
  <c r="BG204" i="1"/>
  <c r="BG203" i="1"/>
  <c r="BG202" i="1"/>
  <c r="BG201" i="1"/>
  <c r="BG200" i="1"/>
  <c r="BG199" i="1"/>
  <c r="BG198" i="1"/>
  <c r="BG197" i="1"/>
  <c r="BG196" i="1"/>
  <c r="BG195" i="1"/>
  <c r="BG194" i="1"/>
  <c r="BG193" i="1"/>
  <c r="BG192" i="1"/>
  <c r="BG191" i="1"/>
  <c r="BG190" i="1"/>
  <c r="BG189" i="1"/>
  <c r="BG188" i="1"/>
  <c r="BG187" i="1"/>
  <c r="BG186" i="1"/>
  <c r="BG185" i="1"/>
  <c r="BG184" i="1"/>
  <c r="BG183" i="1"/>
  <c r="BG182" i="1"/>
  <c r="BG181" i="1"/>
  <c r="BG180" i="1"/>
  <c r="BG179" i="1"/>
  <c r="BG178" i="1"/>
  <c r="BG177" i="1"/>
  <c r="BG176" i="1"/>
  <c r="BG175" i="1"/>
  <c r="BG174" i="1"/>
  <c r="BG173" i="1"/>
  <c r="BG172" i="1"/>
  <c r="BG171" i="1"/>
  <c r="BG170" i="1"/>
  <c r="BG169" i="1"/>
  <c r="BG168" i="1"/>
  <c r="BG167" i="1"/>
  <c r="BG166" i="1"/>
  <c r="BG165" i="1"/>
  <c r="BG164" i="1"/>
  <c r="BG163" i="1"/>
  <c r="BG162" i="1"/>
  <c r="BG161" i="1"/>
  <c r="BG160" i="1"/>
  <c r="BG159" i="1"/>
  <c r="BG158" i="1"/>
  <c r="BG157" i="1"/>
  <c r="BG156" i="1"/>
  <c r="BG155" i="1"/>
  <c r="BG154" i="1"/>
  <c r="BG153" i="1"/>
  <c r="BG152" i="1"/>
  <c r="BG151" i="1"/>
  <c r="BG150" i="1"/>
  <c r="BG149" i="1"/>
  <c r="BG148" i="1"/>
  <c r="BG147" i="1"/>
  <c r="BG146" i="1"/>
  <c r="BG145" i="1"/>
  <c r="BG144" i="1"/>
  <c r="BG143" i="1"/>
  <c r="BG142" i="1"/>
  <c r="BG141" i="1"/>
  <c r="BG140" i="1"/>
  <c r="BG139" i="1"/>
  <c r="BG138" i="1"/>
  <c r="BG137" i="1"/>
  <c r="BG136" i="1"/>
  <c r="BG135" i="1"/>
  <c r="BG134" i="1"/>
  <c r="BG133" i="1"/>
  <c r="BG132" i="1"/>
  <c r="BG131" i="1"/>
  <c r="BG130" i="1"/>
  <c r="BG129" i="1"/>
  <c r="BG128" i="1"/>
  <c r="BG127" i="1"/>
  <c r="BG126" i="1"/>
  <c r="BG125" i="1"/>
  <c r="BG124" i="1"/>
  <c r="BG123" i="1"/>
  <c r="BG122" i="1"/>
  <c r="BG121" i="1"/>
  <c r="BG120" i="1"/>
  <c r="BG119" i="1"/>
  <c r="BG118" i="1"/>
  <c r="BG117" i="1"/>
  <c r="BG116" i="1"/>
  <c r="BG115" i="1"/>
  <c r="BG114" i="1"/>
  <c r="BG113" i="1"/>
  <c r="BG112" i="1"/>
  <c r="BG111" i="1"/>
  <c r="BG110" i="1"/>
  <c r="BG109" i="1"/>
  <c r="BG108" i="1"/>
  <c r="BG107" i="1"/>
  <c r="BG106" i="1"/>
  <c r="BG105" i="1"/>
  <c r="BG104" i="1"/>
  <c r="BG103" i="1"/>
  <c r="BG102" i="1"/>
  <c r="BG101" i="1"/>
  <c r="BG100" i="1"/>
  <c r="BG99" i="1"/>
  <c r="BG98" i="1"/>
  <c r="BG97" i="1"/>
  <c r="BG96" i="1"/>
  <c r="BG95" i="1"/>
  <c r="BG94" i="1"/>
  <c r="BG93" i="1"/>
  <c r="BG92" i="1"/>
  <c r="BG91" i="1"/>
  <c r="BG90" i="1"/>
  <c r="BG89" i="1"/>
  <c r="BG88" i="1"/>
  <c r="BG87" i="1"/>
  <c r="BG86" i="1"/>
  <c r="BG85" i="1"/>
  <c r="BG84" i="1"/>
  <c r="BG83" i="1"/>
  <c r="BG82" i="1"/>
  <c r="BG81" i="1"/>
  <c r="BG80" i="1"/>
  <c r="BG79" i="1"/>
  <c r="BG78" i="1"/>
  <c r="BG77" i="1"/>
  <c r="BG76" i="1"/>
  <c r="BG75" i="1"/>
  <c r="BG74" i="1"/>
  <c r="BG73" i="1"/>
  <c r="BG72" i="1"/>
  <c r="BG71" i="1"/>
  <c r="BG70" i="1"/>
  <c r="BG69" i="1"/>
  <c r="BG68" i="1"/>
  <c r="BG67" i="1"/>
  <c r="BG66" i="1"/>
  <c r="BG65" i="1"/>
  <c r="BG64" i="1"/>
  <c r="BG63" i="1"/>
  <c r="BG62" i="1"/>
  <c r="BG61" i="1"/>
  <c r="BG60" i="1"/>
  <c r="BG59" i="1"/>
  <c r="BG58" i="1"/>
  <c r="BG57" i="1"/>
  <c r="BG56" i="1"/>
  <c r="BG55" i="1"/>
  <c r="BG54" i="1"/>
  <c r="BG53" i="1"/>
  <c r="BG52" i="1"/>
  <c r="BG51" i="1"/>
  <c r="BG50" i="1"/>
  <c r="BG49" i="1"/>
  <c r="BG48" i="1"/>
  <c r="BG47" i="1"/>
  <c r="BG46" i="1"/>
  <c r="BG45" i="1"/>
  <c r="BG44" i="1"/>
  <c r="BG43" i="1"/>
  <c r="BG42" i="1"/>
  <c r="BG41" i="1"/>
  <c r="BG40" i="1"/>
  <c r="BG39" i="1"/>
  <c r="BG38" i="1"/>
  <c r="BG37" i="1"/>
  <c r="BG36" i="1"/>
  <c r="BG35" i="1"/>
  <c r="BG34" i="1"/>
  <c r="BG33" i="1"/>
  <c r="BG32" i="1"/>
  <c r="BG31" i="1"/>
  <c r="BG30" i="1"/>
  <c r="BG29" i="1"/>
  <c r="BG28" i="1"/>
  <c r="BG27" i="1"/>
  <c r="BG26" i="1"/>
  <c r="BG25" i="1"/>
  <c r="BG24" i="1"/>
  <c r="BG23" i="1"/>
  <c r="BG22" i="1"/>
  <c r="BG21" i="1"/>
  <c r="BG20" i="1"/>
  <c r="BG19" i="1"/>
  <c r="BG18" i="1"/>
  <c r="BG17" i="1"/>
  <c r="BG10" i="1"/>
  <c r="BG12" i="1"/>
  <c r="BA1112" i="1"/>
  <c r="BA1111" i="1"/>
  <c r="BA1110" i="1"/>
  <c r="BA1109" i="1"/>
  <c r="BA1108" i="1"/>
  <c r="BA1107" i="1"/>
  <c r="BA1106" i="1"/>
  <c r="BA1105" i="1"/>
  <c r="BA1104" i="1"/>
  <c r="BA1103" i="1"/>
  <c r="BA1102" i="1"/>
  <c r="BA1101" i="1"/>
  <c r="BA1100" i="1"/>
  <c r="BA1099" i="1"/>
  <c r="BA1098" i="1"/>
  <c r="BA1097" i="1"/>
  <c r="BA1096" i="1"/>
  <c r="BA1095" i="1"/>
  <c r="BA1094" i="1"/>
  <c r="BA1093" i="1"/>
  <c r="BA1092" i="1"/>
  <c r="BA1091" i="1"/>
  <c r="BA1090" i="1"/>
  <c r="BA1089" i="1"/>
  <c r="BA1088" i="1"/>
  <c r="BA1087" i="1"/>
  <c r="BA1086" i="1"/>
  <c r="BA1085" i="1"/>
  <c r="BA1084" i="1"/>
  <c r="BA1083" i="1"/>
  <c r="BA1082" i="1"/>
  <c r="BA1081" i="1"/>
  <c r="BA1080" i="1"/>
  <c r="BA1079" i="1"/>
  <c r="BA1078" i="1"/>
  <c r="BA1077" i="1"/>
  <c r="BA1076" i="1"/>
  <c r="BA1075" i="1"/>
  <c r="BA1074" i="1"/>
  <c r="BA1073" i="1"/>
  <c r="BA1072" i="1"/>
  <c r="BA1071" i="1"/>
  <c r="BA1070" i="1"/>
  <c r="BA1069" i="1"/>
  <c r="BA1068" i="1"/>
  <c r="BA1067" i="1"/>
  <c r="BA1066" i="1"/>
  <c r="BA1065" i="1"/>
  <c r="BA1064" i="1"/>
  <c r="BA1063" i="1"/>
  <c r="BA1062" i="1"/>
  <c r="BA1061" i="1"/>
  <c r="BA1060" i="1"/>
  <c r="BA1059" i="1"/>
  <c r="BA1058" i="1"/>
  <c r="BA1057" i="1"/>
  <c r="BA1056" i="1"/>
  <c r="BA1055" i="1"/>
  <c r="BA1054" i="1"/>
  <c r="BA1053" i="1"/>
  <c r="BA1052" i="1"/>
  <c r="BA1051" i="1"/>
  <c r="BA1050" i="1"/>
  <c r="BA1049" i="1"/>
  <c r="BA1048" i="1"/>
  <c r="BA1047" i="1"/>
  <c r="BA1046" i="1"/>
  <c r="BA1045" i="1"/>
  <c r="BA1044" i="1"/>
  <c r="BA1043" i="1"/>
  <c r="BA1042" i="1"/>
  <c r="BA1041" i="1"/>
  <c r="BA1040" i="1"/>
  <c r="BA1039" i="1"/>
  <c r="BA1038" i="1"/>
  <c r="BA1037" i="1"/>
  <c r="BA1036" i="1"/>
  <c r="BA1035" i="1"/>
  <c r="BA1034" i="1"/>
  <c r="BA1033" i="1"/>
  <c r="BA1032" i="1"/>
  <c r="BA1031" i="1"/>
  <c r="BA1030" i="1"/>
  <c r="BA1029" i="1"/>
  <c r="BA1028" i="1"/>
  <c r="BA1027" i="1"/>
  <c r="BA1026" i="1"/>
  <c r="BA1025" i="1"/>
  <c r="BA1024" i="1"/>
  <c r="BA1023" i="1"/>
  <c r="BA1022" i="1"/>
  <c r="BA1021" i="1"/>
  <c r="BA1020" i="1"/>
  <c r="BA1019" i="1"/>
  <c r="BA1018" i="1"/>
  <c r="BA1017" i="1"/>
  <c r="BA1016" i="1"/>
  <c r="BA1015" i="1"/>
  <c r="BA1014" i="1"/>
  <c r="BA1013" i="1"/>
  <c r="BA1012" i="1"/>
  <c r="BA1011" i="1"/>
  <c r="BA1010" i="1"/>
  <c r="BA1009" i="1"/>
  <c r="BA1008" i="1"/>
  <c r="BA1007" i="1"/>
  <c r="BA1006" i="1"/>
  <c r="BA1005" i="1"/>
  <c r="BA1004" i="1"/>
  <c r="BA1003" i="1"/>
  <c r="BA1002" i="1"/>
  <c r="BA1001" i="1"/>
  <c r="BA1000" i="1"/>
  <c r="BA999" i="1"/>
  <c r="BA998" i="1"/>
  <c r="BA997" i="1"/>
  <c r="BA996" i="1"/>
  <c r="BA995" i="1"/>
  <c r="BA994" i="1"/>
  <c r="BA993" i="1"/>
  <c r="BA992" i="1"/>
  <c r="BA991" i="1"/>
  <c r="BA990" i="1"/>
  <c r="BA989" i="1"/>
  <c r="BA988" i="1"/>
  <c r="BA987" i="1"/>
  <c r="BA986" i="1"/>
  <c r="BA985" i="1"/>
  <c r="BA984" i="1"/>
  <c r="BA983" i="1"/>
  <c r="BA982" i="1"/>
  <c r="BA981" i="1"/>
  <c r="BA980" i="1"/>
  <c r="BA979" i="1"/>
  <c r="BA978" i="1"/>
  <c r="BA977" i="1"/>
  <c r="BA976" i="1"/>
  <c r="BA975" i="1"/>
  <c r="BA974" i="1"/>
  <c r="BA973" i="1"/>
  <c r="BA972" i="1"/>
  <c r="BA971" i="1"/>
  <c r="BA970" i="1"/>
  <c r="BA969" i="1"/>
  <c r="BA968" i="1"/>
  <c r="BA967" i="1"/>
  <c r="BA966" i="1"/>
  <c r="BA965" i="1"/>
  <c r="BA964" i="1"/>
  <c r="BA963" i="1"/>
  <c r="BA962" i="1"/>
  <c r="BA961" i="1"/>
  <c r="BA960" i="1"/>
  <c r="BA959" i="1"/>
  <c r="BA958" i="1"/>
  <c r="BA957" i="1"/>
  <c r="BA956" i="1"/>
  <c r="BA955" i="1"/>
  <c r="BA954" i="1"/>
  <c r="BA953" i="1"/>
  <c r="BA952" i="1"/>
  <c r="BA951" i="1"/>
  <c r="BA950" i="1"/>
  <c r="BA949" i="1"/>
  <c r="BA948" i="1"/>
  <c r="BA947" i="1"/>
  <c r="BA946" i="1"/>
  <c r="BA945" i="1"/>
  <c r="BA944" i="1"/>
  <c r="BA943" i="1"/>
  <c r="BA942" i="1"/>
  <c r="BA941" i="1"/>
  <c r="BA940" i="1"/>
  <c r="BA939" i="1"/>
  <c r="BA938" i="1"/>
  <c r="BA937" i="1"/>
  <c r="BA936" i="1"/>
  <c r="BA935" i="1"/>
  <c r="BA934" i="1"/>
  <c r="BA933" i="1"/>
  <c r="BA932" i="1"/>
  <c r="BA931" i="1"/>
  <c r="BA930" i="1"/>
  <c r="BA929" i="1"/>
  <c r="BA928" i="1"/>
  <c r="BA927" i="1"/>
  <c r="BA926" i="1"/>
  <c r="BA925" i="1"/>
  <c r="BA924" i="1"/>
  <c r="BA923" i="1"/>
  <c r="BA922" i="1"/>
  <c r="BA921" i="1"/>
  <c r="BA920" i="1"/>
  <c r="BA919" i="1"/>
  <c r="BA918" i="1"/>
  <c r="BA917" i="1"/>
  <c r="BA916" i="1"/>
  <c r="BA915" i="1"/>
  <c r="BA914" i="1"/>
  <c r="BA913" i="1"/>
  <c r="BA912" i="1"/>
  <c r="BA911" i="1"/>
  <c r="BA910" i="1"/>
  <c r="BA909" i="1"/>
  <c r="BA908" i="1"/>
  <c r="BA907" i="1"/>
  <c r="BA906" i="1"/>
  <c r="BA905" i="1"/>
  <c r="BA904" i="1"/>
  <c r="BA903" i="1"/>
  <c r="BA902" i="1"/>
  <c r="BA901" i="1"/>
  <c r="BA900" i="1"/>
  <c r="BA899" i="1"/>
  <c r="BA898" i="1"/>
  <c r="BB899" i="1" s="1"/>
  <c r="BA897" i="1"/>
  <c r="BA896" i="1"/>
  <c r="BA895" i="1"/>
  <c r="BA894" i="1"/>
  <c r="BA893" i="1"/>
  <c r="BA892" i="1"/>
  <c r="BA891" i="1"/>
  <c r="BA890" i="1"/>
  <c r="BA889" i="1"/>
  <c r="BA888" i="1"/>
  <c r="BA887" i="1"/>
  <c r="BA886" i="1"/>
  <c r="BA885" i="1"/>
  <c r="BA884" i="1"/>
  <c r="BA883" i="1"/>
  <c r="BA882" i="1"/>
  <c r="BA881" i="1"/>
  <c r="BA880" i="1"/>
  <c r="BA879" i="1"/>
  <c r="BA878" i="1"/>
  <c r="BA877" i="1"/>
  <c r="BA876" i="1"/>
  <c r="BA875" i="1"/>
  <c r="BA874" i="1"/>
  <c r="BA873" i="1"/>
  <c r="BA872" i="1"/>
  <c r="BA871" i="1"/>
  <c r="BA870" i="1"/>
  <c r="BA869" i="1"/>
  <c r="BA868" i="1"/>
  <c r="BA867" i="1"/>
  <c r="BA866" i="1"/>
  <c r="BA865" i="1"/>
  <c r="BA864" i="1"/>
  <c r="BA863" i="1"/>
  <c r="BA862" i="1"/>
  <c r="BA861" i="1"/>
  <c r="BA860" i="1"/>
  <c r="BA859" i="1"/>
  <c r="BA858" i="1"/>
  <c r="BA857" i="1"/>
  <c r="BA856" i="1"/>
  <c r="BA855" i="1"/>
  <c r="BA854" i="1"/>
  <c r="BA853" i="1"/>
  <c r="BA852" i="1"/>
  <c r="BA851" i="1"/>
  <c r="BA850" i="1"/>
  <c r="BA849" i="1"/>
  <c r="BA848" i="1"/>
  <c r="BA847" i="1"/>
  <c r="BA846" i="1"/>
  <c r="BA845" i="1"/>
  <c r="BA844" i="1"/>
  <c r="BA843" i="1"/>
  <c r="BA842" i="1"/>
  <c r="BA841" i="1"/>
  <c r="BA840" i="1"/>
  <c r="BA839" i="1"/>
  <c r="BA838" i="1"/>
  <c r="BA837" i="1"/>
  <c r="BA836" i="1"/>
  <c r="BA835" i="1"/>
  <c r="BA834" i="1"/>
  <c r="BA833" i="1"/>
  <c r="BA832" i="1"/>
  <c r="BA831" i="1"/>
  <c r="BA830" i="1"/>
  <c r="BA829" i="1"/>
  <c r="BA828" i="1"/>
  <c r="BA827" i="1"/>
  <c r="BA826" i="1"/>
  <c r="BA825" i="1"/>
  <c r="BA824" i="1"/>
  <c r="BA823" i="1"/>
  <c r="BA822" i="1"/>
  <c r="BA821" i="1"/>
  <c r="BA820" i="1"/>
  <c r="BA819" i="1"/>
  <c r="BA818" i="1"/>
  <c r="BA817" i="1"/>
  <c r="BA816" i="1"/>
  <c r="BA815" i="1"/>
  <c r="BA814" i="1"/>
  <c r="BA813" i="1"/>
  <c r="BA812" i="1"/>
  <c r="BA811" i="1"/>
  <c r="BA810" i="1"/>
  <c r="BA809" i="1"/>
  <c r="BA808" i="1"/>
  <c r="BA807" i="1"/>
  <c r="BA806" i="1"/>
  <c r="BA805" i="1"/>
  <c r="BA804" i="1"/>
  <c r="BA803" i="1"/>
  <c r="BA802" i="1"/>
  <c r="BA801" i="1"/>
  <c r="BA800" i="1"/>
  <c r="BA799" i="1"/>
  <c r="BA798" i="1"/>
  <c r="BA797" i="1"/>
  <c r="BA796" i="1"/>
  <c r="BA795" i="1"/>
  <c r="BA794" i="1"/>
  <c r="BA793" i="1"/>
  <c r="BA792" i="1"/>
  <c r="BA791" i="1"/>
  <c r="BA790" i="1"/>
  <c r="BA789" i="1"/>
  <c r="BA788" i="1"/>
  <c r="BA787" i="1"/>
  <c r="BA786" i="1"/>
  <c r="BA785" i="1"/>
  <c r="BA784" i="1"/>
  <c r="BA783" i="1"/>
  <c r="BA782" i="1"/>
  <c r="BA781" i="1"/>
  <c r="BA780" i="1"/>
  <c r="BA779" i="1"/>
  <c r="BA778" i="1"/>
  <c r="BA777" i="1"/>
  <c r="BA776" i="1"/>
  <c r="BA775" i="1"/>
  <c r="BA774" i="1"/>
  <c r="BA773" i="1"/>
  <c r="BA772" i="1"/>
  <c r="BA771" i="1"/>
  <c r="BA770" i="1"/>
  <c r="BA769" i="1"/>
  <c r="BA768" i="1"/>
  <c r="BA767" i="1"/>
  <c r="BA766" i="1"/>
  <c r="BA765" i="1"/>
  <c r="BA764" i="1"/>
  <c r="BA763" i="1"/>
  <c r="BA762" i="1"/>
  <c r="BA761" i="1"/>
  <c r="BA760" i="1"/>
  <c r="BA759" i="1"/>
  <c r="BA758" i="1"/>
  <c r="BA757" i="1"/>
  <c r="BA756" i="1"/>
  <c r="BA755" i="1"/>
  <c r="BA754" i="1"/>
  <c r="BA753" i="1"/>
  <c r="BA752" i="1"/>
  <c r="BA751" i="1"/>
  <c r="BA750" i="1"/>
  <c r="BA749" i="1"/>
  <c r="BA748" i="1"/>
  <c r="BA747" i="1"/>
  <c r="BA746" i="1"/>
  <c r="BA745" i="1"/>
  <c r="BA744" i="1"/>
  <c r="BA743" i="1"/>
  <c r="BA742" i="1"/>
  <c r="BA741" i="1"/>
  <c r="BA740" i="1"/>
  <c r="BA739" i="1"/>
  <c r="BA738" i="1"/>
  <c r="BA737" i="1"/>
  <c r="BA736" i="1"/>
  <c r="BA735" i="1"/>
  <c r="BA734" i="1"/>
  <c r="BA733" i="1"/>
  <c r="BA732" i="1"/>
  <c r="BA731" i="1"/>
  <c r="BA730" i="1"/>
  <c r="BA729" i="1"/>
  <c r="BA728" i="1"/>
  <c r="BA727" i="1"/>
  <c r="BA726" i="1"/>
  <c r="BA725" i="1"/>
  <c r="BA724" i="1"/>
  <c r="BA723" i="1"/>
  <c r="BA722" i="1"/>
  <c r="BA721" i="1"/>
  <c r="BA720" i="1"/>
  <c r="BA719" i="1"/>
  <c r="BA718" i="1"/>
  <c r="BA717" i="1"/>
  <c r="BA716" i="1"/>
  <c r="BA715" i="1"/>
  <c r="BA714" i="1"/>
  <c r="BA713" i="1"/>
  <c r="BA712" i="1"/>
  <c r="BA711" i="1"/>
  <c r="BA710" i="1"/>
  <c r="BA709" i="1"/>
  <c r="BA708" i="1"/>
  <c r="BA707" i="1"/>
  <c r="BA706" i="1"/>
  <c r="BA705" i="1"/>
  <c r="BA704" i="1"/>
  <c r="BA703" i="1"/>
  <c r="BA702" i="1"/>
  <c r="BA701" i="1"/>
  <c r="BA700" i="1"/>
  <c r="BA699" i="1"/>
  <c r="BA698" i="1"/>
  <c r="BA697" i="1"/>
  <c r="BA696" i="1"/>
  <c r="BA695" i="1"/>
  <c r="BA694" i="1"/>
  <c r="BA693" i="1"/>
  <c r="BA692" i="1"/>
  <c r="BA691" i="1"/>
  <c r="BA690" i="1"/>
  <c r="BA689" i="1"/>
  <c r="BA688" i="1"/>
  <c r="BA687" i="1"/>
  <c r="BA686" i="1"/>
  <c r="BA685" i="1"/>
  <c r="BA684" i="1"/>
  <c r="BA683" i="1"/>
  <c r="BA682" i="1"/>
  <c r="BA681" i="1"/>
  <c r="BA680" i="1"/>
  <c r="BA679" i="1"/>
  <c r="BA678" i="1"/>
  <c r="BA677" i="1"/>
  <c r="BA676" i="1"/>
  <c r="BA675" i="1"/>
  <c r="BA674" i="1"/>
  <c r="BA673" i="1"/>
  <c r="BA672" i="1"/>
  <c r="BA671" i="1"/>
  <c r="BA670" i="1"/>
  <c r="BA669" i="1"/>
  <c r="BA668" i="1"/>
  <c r="BA667" i="1"/>
  <c r="BA666" i="1"/>
  <c r="BA665" i="1"/>
  <c r="BA664" i="1"/>
  <c r="BA663" i="1"/>
  <c r="BA662" i="1"/>
  <c r="BA661" i="1"/>
  <c r="BA660" i="1"/>
  <c r="BA659" i="1"/>
  <c r="BA658" i="1"/>
  <c r="BA657" i="1"/>
  <c r="BA656" i="1"/>
  <c r="BA655" i="1"/>
  <c r="BA654" i="1"/>
  <c r="BA653" i="1"/>
  <c r="BA652" i="1"/>
  <c r="BA651" i="1"/>
  <c r="BA650" i="1"/>
  <c r="BA649" i="1"/>
  <c r="BA648" i="1"/>
  <c r="BA647" i="1"/>
  <c r="BA646" i="1"/>
  <c r="BA645" i="1"/>
  <c r="BA644" i="1"/>
  <c r="BA643" i="1"/>
  <c r="BA642" i="1"/>
  <c r="BA641" i="1"/>
  <c r="BA640" i="1"/>
  <c r="BA639" i="1"/>
  <c r="BA638" i="1"/>
  <c r="BA637" i="1"/>
  <c r="BA636" i="1"/>
  <c r="BA635" i="1"/>
  <c r="BA634" i="1"/>
  <c r="BA633" i="1"/>
  <c r="BA632" i="1"/>
  <c r="BA631" i="1"/>
  <c r="BA630" i="1"/>
  <c r="BA629" i="1"/>
  <c r="BA628" i="1"/>
  <c r="BA627" i="1"/>
  <c r="BA626" i="1"/>
  <c r="BA625" i="1"/>
  <c r="BA624" i="1"/>
  <c r="BA623" i="1"/>
  <c r="BA622" i="1"/>
  <c r="BA621" i="1"/>
  <c r="BA620" i="1"/>
  <c r="BA619" i="1"/>
  <c r="BA618" i="1"/>
  <c r="BA617" i="1"/>
  <c r="BA616" i="1"/>
  <c r="BA615" i="1"/>
  <c r="BA614" i="1"/>
  <c r="BA613" i="1"/>
  <c r="BA612" i="1"/>
  <c r="BA611" i="1"/>
  <c r="BA610" i="1"/>
  <c r="BA609" i="1"/>
  <c r="BA608" i="1"/>
  <c r="BA607" i="1"/>
  <c r="BA606" i="1"/>
  <c r="BA605" i="1"/>
  <c r="BA604" i="1"/>
  <c r="BA603" i="1"/>
  <c r="BA602" i="1"/>
  <c r="BA601" i="1"/>
  <c r="BA600" i="1"/>
  <c r="BA599" i="1"/>
  <c r="BA598" i="1"/>
  <c r="BA597" i="1"/>
  <c r="BA596" i="1"/>
  <c r="BA595" i="1"/>
  <c r="BA594" i="1"/>
  <c r="BA593" i="1"/>
  <c r="BA592" i="1"/>
  <c r="BA591" i="1"/>
  <c r="BA590" i="1"/>
  <c r="BA589" i="1"/>
  <c r="BA588" i="1"/>
  <c r="BA587" i="1"/>
  <c r="BA586" i="1"/>
  <c r="BA585" i="1"/>
  <c r="BA584" i="1"/>
  <c r="BA583" i="1"/>
  <c r="BA582" i="1"/>
  <c r="BA581" i="1"/>
  <c r="BA580" i="1"/>
  <c r="BA579" i="1"/>
  <c r="BA578" i="1"/>
  <c r="BA577" i="1"/>
  <c r="BA576" i="1"/>
  <c r="BA575" i="1"/>
  <c r="BA574" i="1"/>
  <c r="BA573" i="1"/>
  <c r="BA572" i="1"/>
  <c r="BA571" i="1"/>
  <c r="BA570" i="1"/>
  <c r="BA569" i="1"/>
  <c r="BA568" i="1"/>
  <c r="BA567" i="1"/>
  <c r="BA566" i="1"/>
  <c r="BA565" i="1"/>
  <c r="BA564" i="1"/>
  <c r="BA563" i="1"/>
  <c r="BA562" i="1"/>
  <c r="BA561" i="1"/>
  <c r="BA560" i="1"/>
  <c r="BA559" i="1"/>
  <c r="BA558" i="1"/>
  <c r="BA557" i="1"/>
  <c r="BA556" i="1"/>
  <c r="BA555" i="1"/>
  <c r="BA554" i="1"/>
  <c r="BA553" i="1"/>
  <c r="BA552" i="1"/>
  <c r="BA551" i="1"/>
  <c r="BA550" i="1"/>
  <c r="BA549" i="1"/>
  <c r="BA548" i="1"/>
  <c r="BA547" i="1"/>
  <c r="BA546" i="1"/>
  <c r="BA545" i="1"/>
  <c r="BA544" i="1"/>
  <c r="BA543" i="1"/>
  <c r="BA542" i="1"/>
  <c r="BA541" i="1"/>
  <c r="BA540" i="1"/>
  <c r="BA539" i="1"/>
  <c r="BA538" i="1"/>
  <c r="BA537" i="1"/>
  <c r="BA536" i="1"/>
  <c r="BA535" i="1"/>
  <c r="BA534" i="1"/>
  <c r="BA533" i="1"/>
  <c r="BA532" i="1"/>
  <c r="BA531" i="1"/>
  <c r="BA530" i="1"/>
  <c r="BA529" i="1"/>
  <c r="BA528" i="1"/>
  <c r="BA527" i="1"/>
  <c r="BA526" i="1"/>
  <c r="BA525" i="1"/>
  <c r="BA524" i="1"/>
  <c r="BA523" i="1"/>
  <c r="BA522" i="1"/>
  <c r="BA521" i="1"/>
  <c r="BA520" i="1"/>
  <c r="BA519" i="1"/>
  <c r="BA518" i="1"/>
  <c r="BA517" i="1"/>
  <c r="BA516" i="1"/>
  <c r="BA515" i="1"/>
  <c r="BA514" i="1"/>
  <c r="BA513" i="1"/>
  <c r="BA512" i="1"/>
  <c r="BA511" i="1"/>
  <c r="BA510" i="1"/>
  <c r="BA509" i="1"/>
  <c r="BA508" i="1"/>
  <c r="BA507" i="1"/>
  <c r="BA506" i="1"/>
  <c r="BA505" i="1"/>
  <c r="BA504" i="1"/>
  <c r="BA503" i="1"/>
  <c r="BA502" i="1"/>
  <c r="BA501" i="1"/>
  <c r="BA500" i="1"/>
  <c r="BA499" i="1"/>
  <c r="BA498" i="1"/>
  <c r="BA497" i="1"/>
  <c r="BA496" i="1"/>
  <c r="BA495" i="1"/>
  <c r="BA494" i="1"/>
  <c r="BA493" i="1"/>
  <c r="BA492" i="1"/>
  <c r="BA491" i="1"/>
  <c r="BA490" i="1"/>
  <c r="BA489" i="1"/>
  <c r="BA488" i="1"/>
  <c r="BA487" i="1"/>
  <c r="BA486" i="1"/>
  <c r="BA485" i="1"/>
  <c r="BA484" i="1"/>
  <c r="BA483" i="1"/>
  <c r="BA482" i="1"/>
  <c r="BA481" i="1"/>
  <c r="BA480" i="1"/>
  <c r="BA479" i="1"/>
  <c r="BA478" i="1"/>
  <c r="BA477" i="1"/>
  <c r="BA476" i="1"/>
  <c r="BA475" i="1"/>
  <c r="BA474" i="1"/>
  <c r="BA473" i="1"/>
  <c r="BA472" i="1"/>
  <c r="BA471" i="1"/>
  <c r="BA470" i="1"/>
  <c r="BA469" i="1"/>
  <c r="BA468" i="1"/>
  <c r="BA467" i="1"/>
  <c r="BA466" i="1"/>
  <c r="BA465" i="1"/>
  <c r="BA464" i="1"/>
  <c r="BA463" i="1"/>
  <c r="BA462" i="1"/>
  <c r="BA461" i="1"/>
  <c r="BA460" i="1"/>
  <c r="BA459" i="1"/>
  <c r="BA458" i="1"/>
  <c r="BA457" i="1"/>
  <c r="BA456" i="1"/>
  <c r="BA455" i="1"/>
  <c r="BA454" i="1"/>
  <c r="BA453" i="1"/>
  <c r="BA452" i="1"/>
  <c r="BA451" i="1"/>
  <c r="BA450" i="1"/>
  <c r="BA449" i="1"/>
  <c r="BA448" i="1"/>
  <c r="BA447" i="1"/>
  <c r="BA446" i="1"/>
  <c r="BA445" i="1"/>
  <c r="BA444" i="1"/>
  <c r="BA443" i="1"/>
  <c r="BA442" i="1"/>
  <c r="BA441" i="1"/>
  <c r="BA440" i="1"/>
  <c r="BA439" i="1"/>
  <c r="BA438" i="1"/>
  <c r="BA437" i="1"/>
  <c r="BA436" i="1"/>
  <c r="BA435" i="1"/>
  <c r="BA434" i="1"/>
  <c r="BA433" i="1"/>
  <c r="BA432" i="1"/>
  <c r="BA431" i="1"/>
  <c r="BA430" i="1"/>
  <c r="BA429" i="1"/>
  <c r="BA428" i="1"/>
  <c r="BA427" i="1"/>
  <c r="BA426" i="1"/>
  <c r="BA425" i="1"/>
  <c r="BA424" i="1"/>
  <c r="BA423" i="1"/>
  <c r="BA422" i="1"/>
  <c r="BA421" i="1"/>
  <c r="BA420" i="1"/>
  <c r="BA419" i="1"/>
  <c r="BA418" i="1"/>
  <c r="BA417" i="1"/>
  <c r="BA416" i="1"/>
  <c r="BA415" i="1"/>
  <c r="BA414" i="1"/>
  <c r="BA413" i="1"/>
  <c r="BA412" i="1"/>
  <c r="BA411" i="1"/>
  <c r="BA410" i="1"/>
  <c r="BA409" i="1"/>
  <c r="BA408" i="1"/>
  <c r="BA407" i="1"/>
  <c r="BA406" i="1"/>
  <c r="BA405" i="1"/>
  <c r="BA404" i="1"/>
  <c r="BA403" i="1"/>
  <c r="BA402" i="1"/>
  <c r="BA401" i="1"/>
  <c r="BA400" i="1"/>
  <c r="BA399" i="1"/>
  <c r="BA398" i="1"/>
  <c r="BA397" i="1"/>
  <c r="BA396" i="1"/>
  <c r="BA395" i="1"/>
  <c r="BA394" i="1"/>
  <c r="BA393" i="1"/>
  <c r="BA392" i="1"/>
  <c r="BA391" i="1"/>
  <c r="BA390" i="1"/>
  <c r="BA389" i="1"/>
  <c r="BA388" i="1"/>
  <c r="BA387" i="1"/>
  <c r="BA386" i="1"/>
  <c r="BA385" i="1"/>
  <c r="BA384" i="1"/>
  <c r="BA383" i="1"/>
  <c r="BA382" i="1"/>
  <c r="BA381" i="1"/>
  <c r="BA380" i="1"/>
  <c r="BA379" i="1"/>
  <c r="BA378" i="1"/>
  <c r="BA377" i="1"/>
  <c r="BA376" i="1"/>
  <c r="BA375" i="1"/>
  <c r="BA374" i="1"/>
  <c r="BA373" i="1"/>
  <c r="BA372" i="1"/>
  <c r="BA371" i="1"/>
  <c r="BA370" i="1"/>
  <c r="BA369" i="1"/>
  <c r="BA368" i="1"/>
  <c r="BA367" i="1"/>
  <c r="BA366" i="1"/>
  <c r="BA365" i="1"/>
  <c r="BA364" i="1"/>
  <c r="BA363" i="1"/>
  <c r="BA362" i="1"/>
  <c r="BA361" i="1"/>
  <c r="BA360" i="1"/>
  <c r="BA359" i="1"/>
  <c r="BA358" i="1"/>
  <c r="BA357" i="1"/>
  <c r="BA356" i="1"/>
  <c r="BA355" i="1"/>
  <c r="BA354" i="1"/>
  <c r="BA353" i="1"/>
  <c r="BA352" i="1"/>
  <c r="BA351" i="1"/>
  <c r="BA350" i="1"/>
  <c r="BA349" i="1"/>
  <c r="BA348" i="1"/>
  <c r="BA347" i="1"/>
  <c r="BA346" i="1"/>
  <c r="BA345" i="1"/>
  <c r="BA344" i="1"/>
  <c r="BA343" i="1"/>
  <c r="BA342" i="1"/>
  <c r="BA341" i="1"/>
  <c r="BA340" i="1"/>
  <c r="BA339" i="1"/>
  <c r="BA338" i="1"/>
  <c r="BA337" i="1"/>
  <c r="BA336" i="1"/>
  <c r="BA335" i="1"/>
  <c r="BA334" i="1"/>
  <c r="BA333" i="1"/>
  <c r="BA332" i="1"/>
  <c r="BA331" i="1"/>
  <c r="BA330" i="1"/>
  <c r="BA329" i="1"/>
  <c r="BA328" i="1"/>
  <c r="BA327" i="1"/>
  <c r="BA326" i="1"/>
  <c r="BA325" i="1"/>
  <c r="BA324" i="1"/>
  <c r="BA323" i="1"/>
  <c r="BA322" i="1"/>
  <c r="BA321" i="1"/>
  <c r="BA320" i="1"/>
  <c r="BA319" i="1"/>
  <c r="BA318" i="1"/>
  <c r="BA317" i="1"/>
  <c r="BA316" i="1"/>
  <c r="BA315" i="1"/>
  <c r="BA314" i="1"/>
  <c r="BA313" i="1"/>
  <c r="BA312" i="1"/>
  <c r="BA311" i="1"/>
  <c r="BA310" i="1"/>
  <c r="BA309" i="1"/>
  <c r="BA308" i="1"/>
  <c r="BA307" i="1"/>
  <c r="BA306" i="1"/>
  <c r="BA305" i="1"/>
  <c r="BA304" i="1"/>
  <c r="BA303" i="1"/>
  <c r="BA302" i="1"/>
  <c r="BA301" i="1"/>
  <c r="BA300" i="1"/>
  <c r="BA299" i="1"/>
  <c r="BA298" i="1"/>
  <c r="BA297" i="1"/>
  <c r="BA296" i="1"/>
  <c r="BA295" i="1"/>
  <c r="BA294" i="1"/>
  <c r="BA293" i="1"/>
  <c r="BA292" i="1"/>
  <c r="BA291" i="1"/>
  <c r="BA290" i="1"/>
  <c r="BA289" i="1"/>
  <c r="BA288" i="1"/>
  <c r="BA287" i="1"/>
  <c r="BA286" i="1"/>
  <c r="BA285" i="1"/>
  <c r="BA284" i="1"/>
  <c r="BA283" i="1"/>
  <c r="BA282" i="1"/>
  <c r="BA281" i="1"/>
  <c r="BA280" i="1"/>
  <c r="BA279" i="1"/>
  <c r="BA278" i="1"/>
  <c r="BA277" i="1"/>
  <c r="BA276" i="1"/>
  <c r="BA275" i="1"/>
  <c r="BA274" i="1"/>
  <c r="BA273" i="1"/>
  <c r="BA272" i="1"/>
  <c r="BA271" i="1"/>
  <c r="BA270" i="1"/>
  <c r="BA269" i="1"/>
  <c r="BA268" i="1"/>
  <c r="BA267" i="1"/>
  <c r="BA266" i="1"/>
  <c r="BA265" i="1"/>
  <c r="BA264" i="1"/>
  <c r="BA263" i="1"/>
  <c r="BA262" i="1"/>
  <c r="BA261" i="1"/>
  <c r="BA260" i="1"/>
  <c r="BA259" i="1"/>
  <c r="BA258" i="1"/>
  <c r="BA257" i="1"/>
  <c r="BA256" i="1"/>
  <c r="BA255" i="1"/>
  <c r="BA254" i="1"/>
  <c r="BA253" i="1"/>
  <c r="BA252" i="1"/>
  <c r="BA251" i="1"/>
  <c r="BA250" i="1"/>
  <c r="BA249" i="1"/>
  <c r="BA248" i="1"/>
  <c r="BA247" i="1"/>
  <c r="BA246" i="1"/>
  <c r="BA245" i="1"/>
  <c r="BA244" i="1"/>
  <c r="BA243" i="1"/>
  <c r="BA242" i="1"/>
  <c r="BA241" i="1"/>
  <c r="BA240" i="1"/>
  <c r="BA239" i="1"/>
  <c r="BA238" i="1"/>
  <c r="BA237" i="1"/>
  <c r="BA236" i="1"/>
  <c r="BA235" i="1"/>
  <c r="BA234" i="1"/>
  <c r="BA233" i="1"/>
  <c r="BA232" i="1"/>
  <c r="BA231" i="1"/>
  <c r="BA230" i="1"/>
  <c r="BA229" i="1"/>
  <c r="BA228" i="1"/>
  <c r="BA227" i="1"/>
  <c r="BA226" i="1"/>
  <c r="BA225" i="1"/>
  <c r="BA224" i="1"/>
  <c r="BA223" i="1"/>
  <c r="BA222" i="1"/>
  <c r="BA221" i="1"/>
  <c r="BA220" i="1"/>
  <c r="BA219" i="1"/>
  <c r="BA218" i="1"/>
  <c r="BA217" i="1"/>
  <c r="BA216" i="1"/>
  <c r="BA215" i="1"/>
  <c r="BA214" i="1"/>
  <c r="BA213" i="1"/>
  <c r="BA212" i="1"/>
  <c r="BA211" i="1"/>
  <c r="BA210" i="1"/>
  <c r="BA209" i="1"/>
  <c r="BA208" i="1"/>
  <c r="BA207" i="1"/>
  <c r="BA206" i="1"/>
  <c r="BA205" i="1"/>
  <c r="BA204" i="1"/>
  <c r="BA203" i="1"/>
  <c r="BA202" i="1"/>
  <c r="BA201" i="1"/>
  <c r="BA200" i="1"/>
  <c r="BA199" i="1"/>
  <c r="BA198" i="1"/>
  <c r="BA197" i="1"/>
  <c r="BA196" i="1"/>
  <c r="BA195" i="1"/>
  <c r="BA194" i="1"/>
  <c r="BA193" i="1"/>
  <c r="BA192" i="1"/>
  <c r="BA191" i="1"/>
  <c r="BA190" i="1"/>
  <c r="BA189" i="1"/>
  <c r="BA188" i="1"/>
  <c r="BA187" i="1"/>
  <c r="BA186" i="1"/>
  <c r="BA185" i="1"/>
  <c r="BA184" i="1"/>
  <c r="BA183" i="1"/>
  <c r="BA182" i="1"/>
  <c r="BA181" i="1"/>
  <c r="BA180" i="1"/>
  <c r="BA179" i="1"/>
  <c r="BA178" i="1"/>
  <c r="BA177" i="1"/>
  <c r="BA176" i="1"/>
  <c r="BA175" i="1"/>
  <c r="BA174" i="1"/>
  <c r="BA173" i="1"/>
  <c r="BA172" i="1"/>
  <c r="BA171" i="1"/>
  <c r="BA170" i="1"/>
  <c r="BA169" i="1"/>
  <c r="BA168" i="1"/>
  <c r="BA167" i="1"/>
  <c r="BA166" i="1"/>
  <c r="BA165" i="1"/>
  <c r="BA164" i="1"/>
  <c r="BA163" i="1"/>
  <c r="BA162" i="1"/>
  <c r="BA161" i="1"/>
  <c r="BA160" i="1"/>
  <c r="BA159" i="1"/>
  <c r="BA158" i="1"/>
  <c r="BA157" i="1"/>
  <c r="BA156" i="1"/>
  <c r="BA155" i="1"/>
  <c r="BA154" i="1"/>
  <c r="BA153" i="1"/>
  <c r="BA152" i="1"/>
  <c r="BA151" i="1"/>
  <c r="BA150" i="1"/>
  <c r="BA149" i="1"/>
  <c r="BA148" i="1"/>
  <c r="BA147" i="1"/>
  <c r="BA146" i="1"/>
  <c r="BA145" i="1"/>
  <c r="BA144" i="1"/>
  <c r="BA143" i="1"/>
  <c r="BA142" i="1"/>
  <c r="BA141" i="1"/>
  <c r="BA140" i="1"/>
  <c r="BA139" i="1"/>
  <c r="BA138" i="1"/>
  <c r="BA137" i="1"/>
  <c r="BA136" i="1"/>
  <c r="BA135" i="1"/>
  <c r="BA134" i="1"/>
  <c r="BA133" i="1"/>
  <c r="BA132" i="1"/>
  <c r="BA131" i="1"/>
  <c r="BA130" i="1"/>
  <c r="BA129" i="1"/>
  <c r="BA128" i="1"/>
  <c r="BA127" i="1"/>
  <c r="BA126" i="1"/>
  <c r="BA125" i="1"/>
  <c r="BA124" i="1"/>
  <c r="BA123" i="1"/>
  <c r="BA122" i="1"/>
  <c r="BA121" i="1"/>
  <c r="BA120" i="1"/>
  <c r="BA119" i="1"/>
  <c r="BA118" i="1"/>
  <c r="BA117" i="1"/>
  <c r="BA116" i="1"/>
  <c r="BA115" i="1"/>
  <c r="BA114" i="1"/>
  <c r="BA113" i="1"/>
  <c r="BA112" i="1"/>
  <c r="BA111" i="1"/>
  <c r="BA110" i="1"/>
  <c r="BA109" i="1"/>
  <c r="BA108" i="1"/>
  <c r="BA107" i="1"/>
  <c r="BA106" i="1"/>
  <c r="BA105" i="1"/>
  <c r="BA104" i="1"/>
  <c r="BA103" i="1"/>
  <c r="BA102" i="1"/>
  <c r="BA101" i="1"/>
  <c r="BA100" i="1"/>
  <c r="BA99" i="1"/>
  <c r="BA98" i="1"/>
  <c r="BA97" i="1"/>
  <c r="BA96" i="1"/>
  <c r="BA95" i="1"/>
  <c r="BA94" i="1"/>
  <c r="BA93" i="1"/>
  <c r="BA92" i="1"/>
  <c r="BA91" i="1"/>
  <c r="BA90" i="1"/>
  <c r="BA89" i="1"/>
  <c r="BA88" i="1"/>
  <c r="BA87" i="1"/>
  <c r="BA86" i="1"/>
  <c r="BA85" i="1"/>
  <c r="BA84" i="1"/>
  <c r="BA83" i="1"/>
  <c r="BA82" i="1"/>
  <c r="BA81" i="1"/>
  <c r="BA80" i="1"/>
  <c r="BA79" i="1"/>
  <c r="BA78" i="1"/>
  <c r="BA77" i="1"/>
  <c r="BA76" i="1"/>
  <c r="BA75" i="1"/>
  <c r="BA74" i="1"/>
  <c r="BA73" i="1"/>
  <c r="BA72" i="1"/>
  <c r="BA71" i="1"/>
  <c r="BA70" i="1"/>
  <c r="BA69" i="1"/>
  <c r="BA68" i="1"/>
  <c r="BA67" i="1"/>
  <c r="BA66" i="1"/>
  <c r="BA65" i="1"/>
  <c r="BA64" i="1"/>
  <c r="BA63" i="1"/>
  <c r="BA62" i="1"/>
  <c r="BA61" i="1"/>
  <c r="BA60" i="1"/>
  <c r="BA59" i="1"/>
  <c r="BA58" i="1"/>
  <c r="BA57" i="1"/>
  <c r="BA56" i="1"/>
  <c r="BA55" i="1"/>
  <c r="BA54" i="1"/>
  <c r="BA53" i="1"/>
  <c r="BA52" i="1"/>
  <c r="BA51" i="1"/>
  <c r="BA50" i="1"/>
  <c r="BA49" i="1"/>
  <c r="BA48" i="1"/>
  <c r="BA47" i="1"/>
  <c r="BA46" i="1"/>
  <c r="BA45" i="1"/>
  <c r="BA44" i="1"/>
  <c r="BA43" i="1"/>
  <c r="BA42" i="1"/>
  <c r="BA41" i="1"/>
  <c r="BA40" i="1"/>
  <c r="BA39" i="1"/>
  <c r="BA38" i="1"/>
  <c r="BA37" i="1"/>
  <c r="BA36" i="1"/>
  <c r="BA35" i="1"/>
  <c r="BA34" i="1"/>
  <c r="BA33" i="1"/>
  <c r="BA32" i="1"/>
  <c r="BA31" i="1"/>
  <c r="BA30" i="1"/>
  <c r="BA29" i="1"/>
  <c r="BA28" i="1"/>
  <c r="BA27" i="1"/>
  <c r="BA26" i="1"/>
  <c r="BA25" i="1"/>
  <c r="BA24" i="1"/>
  <c r="BA23" i="1"/>
  <c r="BA22" i="1"/>
  <c r="BA21" i="1"/>
  <c r="BA20" i="1"/>
  <c r="BA19" i="1"/>
  <c r="BA18" i="1"/>
  <c r="BA17" i="1"/>
  <c r="BA12" i="1"/>
  <c r="BA13" i="1" s="1"/>
  <c r="BA10" i="1"/>
  <c r="AW1112" i="1"/>
  <c r="AW1111" i="1"/>
  <c r="AW1110" i="1"/>
  <c r="AW1109" i="1"/>
  <c r="AW1108" i="1"/>
  <c r="AW1107" i="1"/>
  <c r="AW1106" i="1"/>
  <c r="AW1105" i="1"/>
  <c r="AW1104" i="1"/>
  <c r="AW1103" i="1"/>
  <c r="AW1102" i="1"/>
  <c r="AW1101" i="1"/>
  <c r="AW1100" i="1"/>
  <c r="AW1099" i="1"/>
  <c r="AW1098" i="1"/>
  <c r="AW1097" i="1"/>
  <c r="AW1096" i="1"/>
  <c r="AW1095" i="1"/>
  <c r="AW1094" i="1"/>
  <c r="AW1093" i="1"/>
  <c r="AW1092" i="1"/>
  <c r="AW1091" i="1"/>
  <c r="AW1090" i="1"/>
  <c r="AW1089" i="1"/>
  <c r="AW1088" i="1"/>
  <c r="AW1087" i="1"/>
  <c r="AW1086" i="1"/>
  <c r="AW1085" i="1"/>
  <c r="AW1084" i="1"/>
  <c r="AW1083" i="1"/>
  <c r="AW1082" i="1"/>
  <c r="AW1081" i="1"/>
  <c r="AW1080" i="1"/>
  <c r="AW1079" i="1"/>
  <c r="AW1078" i="1"/>
  <c r="AW1077" i="1"/>
  <c r="AW1076" i="1"/>
  <c r="AW1075" i="1"/>
  <c r="AW1074" i="1"/>
  <c r="AW1073" i="1"/>
  <c r="AW1072" i="1"/>
  <c r="AW1071" i="1"/>
  <c r="AW1070" i="1"/>
  <c r="AW1069" i="1"/>
  <c r="AW1068" i="1"/>
  <c r="AW1067" i="1"/>
  <c r="AW1066" i="1"/>
  <c r="AW1065" i="1"/>
  <c r="AW1064" i="1"/>
  <c r="AW1063" i="1"/>
  <c r="AW1062" i="1"/>
  <c r="AW1061" i="1"/>
  <c r="AW1060" i="1"/>
  <c r="AW1059" i="1"/>
  <c r="AW1058" i="1"/>
  <c r="AW1057" i="1"/>
  <c r="AW1056" i="1"/>
  <c r="AW1055" i="1"/>
  <c r="AW1054" i="1"/>
  <c r="AW1053" i="1"/>
  <c r="AW1052" i="1"/>
  <c r="AW1051" i="1"/>
  <c r="AW1050" i="1"/>
  <c r="AW1049" i="1"/>
  <c r="AW1048" i="1"/>
  <c r="AW1047" i="1"/>
  <c r="AW1046" i="1"/>
  <c r="AW1045" i="1"/>
  <c r="AW1044" i="1"/>
  <c r="AW1043" i="1"/>
  <c r="AW1042" i="1"/>
  <c r="AW1041" i="1"/>
  <c r="AW1040" i="1"/>
  <c r="AW1039" i="1"/>
  <c r="AW1038" i="1"/>
  <c r="AW1037" i="1"/>
  <c r="AW1036" i="1"/>
  <c r="AW1035" i="1"/>
  <c r="AW1034" i="1"/>
  <c r="AW1033" i="1"/>
  <c r="AW1032" i="1"/>
  <c r="AW1031" i="1"/>
  <c r="AW1030" i="1"/>
  <c r="AW1029" i="1"/>
  <c r="AW1028" i="1"/>
  <c r="AW1027" i="1"/>
  <c r="AW1026" i="1"/>
  <c r="AW1025" i="1"/>
  <c r="AW1024" i="1"/>
  <c r="AW1023" i="1"/>
  <c r="AW1022" i="1"/>
  <c r="AW1021" i="1"/>
  <c r="AW1020" i="1"/>
  <c r="AX1021" i="1" s="1"/>
  <c r="AW1019" i="1"/>
  <c r="AW1018" i="1"/>
  <c r="AW1017" i="1"/>
  <c r="AW1016" i="1"/>
  <c r="AW1015" i="1"/>
  <c r="AW1014" i="1"/>
  <c r="AW1013" i="1"/>
  <c r="AW1012" i="1"/>
  <c r="AW1011" i="1"/>
  <c r="AW1010" i="1"/>
  <c r="AW1009" i="1"/>
  <c r="AW1008" i="1"/>
  <c r="AW1007" i="1"/>
  <c r="AW1006" i="1"/>
  <c r="AW1005" i="1"/>
  <c r="AW1004" i="1"/>
  <c r="AW1003" i="1"/>
  <c r="AW1002" i="1"/>
  <c r="AW1001" i="1"/>
  <c r="AW1000" i="1"/>
  <c r="AW999" i="1"/>
  <c r="AW998" i="1"/>
  <c r="AW997" i="1"/>
  <c r="AW996" i="1"/>
  <c r="AW995" i="1"/>
  <c r="AW994" i="1"/>
  <c r="AW993" i="1"/>
  <c r="AW992" i="1"/>
  <c r="AW991" i="1"/>
  <c r="AW990" i="1"/>
  <c r="AW989" i="1"/>
  <c r="AW988" i="1"/>
  <c r="AW987" i="1"/>
  <c r="AW986" i="1"/>
  <c r="AW985" i="1"/>
  <c r="AW984" i="1"/>
  <c r="AW983" i="1"/>
  <c r="AW982" i="1"/>
  <c r="AW981" i="1"/>
  <c r="AW980" i="1"/>
  <c r="AW979" i="1"/>
  <c r="AW978" i="1"/>
  <c r="AW977" i="1"/>
  <c r="AW976" i="1"/>
  <c r="AW975" i="1"/>
  <c r="AW974" i="1"/>
  <c r="AW973" i="1"/>
  <c r="AW972" i="1"/>
  <c r="AW971" i="1"/>
  <c r="AW970" i="1"/>
  <c r="AW969" i="1"/>
  <c r="AW968" i="1"/>
  <c r="AW967" i="1"/>
  <c r="AW966" i="1"/>
  <c r="AW965" i="1"/>
  <c r="AW964" i="1"/>
  <c r="AW963" i="1"/>
  <c r="AW962" i="1"/>
  <c r="AW961" i="1"/>
  <c r="AW960" i="1"/>
  <c r="AW959" i="1"/>
  <c r="AW958" i="1"/>
  <c r="AW957" i="1"/>
  <c r="AW956" i="1"/>
  <c r="AW955" i="1"/>
  <c r="AW954" i="1"/>
  <c r="AW953" i="1"/>
  <c r="AW952" i="1"/>
  <c r="AW951" i="1"/>
  <c r="AW950" i="1"/>
  <c r="AW949" i="1"/>
  <c r="AW948" i="1"/>
  <c r="AW947" i="1"/>
  <c r="AW946" i="1"/>
  <c r="AW945" i="1"/>
  <c r="AW944" i="1"/>
  <c r="AW943" i="1"/>
  <c r="AW942" i="1"/>
  <c r="AW941" i="1"/>
  <c r="AW940" i="1"/>
  <c r="AW939" i="1"/>
  <c r="AW938" i="1"/>
  <c r="AW937" i="1"/>
  <c r="AW936" i="1"/>
  <c r="AW935" i="1"/>
  <c r="AW934" i="1"/>
  <c r="AW933" i="1"/>
  <c r="AW932" i="1"/>
  <c r="AW931" i="1"/>
  <c r="AW930" i="1"/>
  <c r="AW929" i="1"/>
  <c r="AW928" i="1"/>
  <c r="AW927" i="1"/>
  <c r="AW926" i="1"/>
  <c r="AW925" i="1"/>
  <c r="AW924" i="1"/>
  <c r="AW923" i="1"/>
  <c r="AW922" i="1"/>
  <c r="AW921" i="1"/>
  <c r="AW920" i="1"/>
  <c r="AW919" i="1"/>
  <c r="AW918" i="1"/>
  <c r="AW917" i="1"/>
  <c r="AW916" i="1"/>
  <c r="AW915" i="1"/>
  <c r="AW914" i="1"/>
  <c r="AW913" i="1"/>
  <c r="AW912" i="1"/>
  <c r="AW911" i="1"/>
  <c r="AW910" i="1"/>
  <c r="AW909" i="1"/>
  <c r="AW908" i="1"/>
  <c r="AW907" i="1"/>
  <c r="AW906" i="1"/>
  <c r="AW905" i="1"/>
  <c r="AW904" i="1"/>
  <c r="AW903" i="1"/>
  <c r="AW902" i="1"/>
  <c r="AW901" i="1"/>
  <c r="AW900" i="1"/>
  <c r="AW899" i="1"/>
  <c r="AW898" i="1"/>
  <c r="AW897" i="1"/>
  <c r="AW896" i="1"/>
  <c r="AW895" i="1"/>
  <c r="AW894" i="1"/>
  <c r="AW893" i="1"/>
  <c r="AW892" i="1"/>
  <c r="AW891" i="1"/>
  <c r="AW890" i="1"/>
  <c r="AW889" i="1"/>
  <c r="AW888" i="1"/>
  <c r="AW887" i="1"/>
  <c r="AW886" i="1"/>
  <c r="AW885" i="1"/>
  <c r="AW884" i="1"/>
  <c r="AW883" i="1"/>
  <c r="AW882" i="1"/>
  <c r="AW881" i="1"/>
  <c r="AW880" i="1"/>
  <c r="AW879" i="1"/>
  <c r="AW878" i="1"/>
  <c r="AW877" i="1"/>
  <c r="AW876" i="1"/>
  <c r="AW875" i="1"/>
  <c r="AW874" i="1"/>
  <c r="AW873" i="1"/>
  <c r="AW872" i="1"/>
  <c r="AW871" i="1"/>
  <c r="AW870" i="1"/>
  <c r="AW869" i="1"/>
  <c r="AW868" i="1"/>
  <c r="AW867" i="1"/>
  <c r="AW866" i="1"/>
  <c r="AW865" i="1"/>
  <c r="AW864" i="1"/>
  <c r="AW863" i="1"/>
  <c r="AW862" i="1"/>
  <c r="AW861" i="1"/>
  <c r="AW860" i="1"/>
  <c r="AW859" i="1"/>
  <c r="AW858" i="1"/>
  <c r="AW857" i="1"/>
  <c r="AW856" i="1"/>
  <c r="AW855" i="1"/>
  <c r="AW854" i="1"/>
  <c r="AW853" i="1"/>
  <c r="AW852" i="1"/>
  <c r="AW851" i="1"/>
  <c r="AW850" i="1"/>
  <c r="AW849" i="1"/>
  <c r="AW848" i="1"/>
  <c r="AW847" i="1"/>
  <c r="AW846" i="1"/>
  <c r="AW845" i="1"/>
  <c r="AW844" i="1"/>
  <c r="AW843" i="1"/>
  <c r="AW842" i="1"/>
  <c r="AW841" i="1"/>
  <c r="AW840" i="1"/>
  <c r="AW839" i="1"/>
  <c r="AW838" i="1"/>
  <c r="AW837" i="1"/>
  <c r="AW836" i="1"/>
  <c r="AW835" i="1"/>
  <c r="AW834" i="1"/>
  <c r="AW833" i="1"/>
  <c r="AW832" i="1"/>
  <c r="AW831" i="1"/>
  <c r="AW830" i="1"/>
  <c r="AW829" i="1"/>
  <c r="AW828" i="1"/>
  <c r="AW827" i="1"/>
  <c r="AW826" i="1"/>
  <c r="AW825" i="1"/>
  <c r="AW824" i="1"/>
  <c r="AW823" i="1"/>
  <c r="AW822" i="1"/>
  <c r="AW821" i="1"/>
  <c r="AW820" i="1"/>
  <c r="AW819" i="1"/>
  <c r="AW818" i="1"/>
  <c r="AW817" i="1"/>
  <c r="AW816" i="1"/>
  <c r="AW815" i="1"/>
  <c r="AW814" i="1"/>
  <c r="AW813" i="1"/>
  <c r="AW812" i="1"/>
  <c r="AW811" i="1"/>
  <c r="AW810" i="1"/>
  <c r="AW809" i="1"/>
  <c r="AW808" i="1"/>
  <c r="AW807" i="1"/>
  <c r="AW806" i="1"/>
  <c r="AW805" i="1"/>
  <c r="AW804" i="1"/>
  <c r="AW803" i="1"/>
  <c r="AW802" i="1"/>
  <c r="AW801" i="1"/>
  <c r="AW800" i="1"/>
  <c r="AW799" i="1"/>
  <c r="AW798" i="1"/>
  <c r="AW797" i="1"/>
  <c r="AW796" i="1"/>
  <c r="AW795" i="1"/>
  <c r="AW794" i="1"/>
  <c r="AW793" i="1"/>
  <c r="AW792" i="1"/>
  <c r="AW791" i="1"/>
  <c r="AW790" i="1"/>
  <c r="AW789" i="1"/>
  <c r="AW788" i="1"/>
  <c r="AW787" i="1"/>
  <c r="AW786" i="1"/>
  <c r="AW785" i="1"/>
  <c r="AW784" i="1"/>
  <c r="AW783" i="1"/>
  <c r="AW782" i="1"/>
  <c r="AW781" i="1"/>
  <c r="AW780" i="1"/>
  <c r="AW779" i="1"/>
  <c r="AW778" i="1"/>
  <c r="AW777" i="1"/>
  <c r="AW776" i="1"/>
  <c r="AW775" i="1"/>
  <c r="AW774" i="1"/>
  <c r="AW773" i="1"/>
  <c r="AW772" i="1"/>
  <c r="AW771" i="1"/>
  <c r="AW770" i="1"/>
  <c r="AW769" i="1"/>
  <c r="AW768" i="1"/>
  <c r="AW767" i="1"/>
  <c r="AW766" i="1"/>
  <c r="AW765" i="1"/>
  <c r="AW764" i="1"/>
  <c r="AW763" i="1"/>
  <c r="AW762" i="1"/>
  <c r="AW761" i="1"/>
  <c r="AW760" i="1"/>
  <c r="AW759" i="1"/>
  <c r="AW758" i="1"/>
  <c r="AW757" i="1"/>
  <c r="AW756" i="1"/>
  <c r="AW755" i="1"/>
  <c r="AW754" i="1"/>
  <c r="AW753" i="1"/>
  <c r="AW752" i="1"/>
  <c r="AW751" i="1"/>
  <c r="AW750" i="1"/>
  <c r="AW749" i="1"/>
  <c r="AW748" i="1"/>
  <c r="AW747" i="1"/>
  <c r="AW746" i="1"/>
  <c r="AW745" i="1"/>
  <c r="AW744" i="1"/>
  <c r="AW743" i="1"/>
  <c r="AW742" i="1"/>
  <c r="AW741" i="1"/>
  <c r="AW740" i="1"/>
  <c r="AW739" i="1"/>
  <c r="AW738" i="1"/>
  <c r="AW737" i="1"/>
  <c r="AW736" i="1"/>
  <c r="AW735" i="1"/>
  <c r="AW734" i="1"/>
  <c r="AW733" i="1"/>
  <c r="AW732" i="1"/>
  <c r="AW731" i="1"/>
  <c r="AW730" i="1"/>
  <c r="AW729" i="1"/>
  <c r="AW728" i="1"/>
  <c r="AW727" i="1"/>
  <c r="AW726" i="1"/>
  <c r="AW725" i="1"/>
  <c r="AW724" i="1"/>
  <c r="AW723" i="1"/>
  <c r="AW722" i="1"/>
  <c r="AW721" i="1"/>
  <c r="AW720" i="1"/>
  <c r="AW719" i="1"/>
  <c r="AW718" i="1"/>
  <c r="AW717" i="1"/>
  <c r="AW716" i="1"/>
  <c r="AW715" i="1"/>
  <c r="AW714" i="1"/>
  <c r="AW713" i="1"/>
  <c r="AW712" i="1"/>
  <c r="AW711" i="1"/>
  <c r="AW710" i="1"/>
  <c r="AW709" i="1"/>
  <c r="AW708" i="1"/>
  <c r="AW707" i="1"/>
  <c r="AW706" i="1"/>
  <c r="AW705" i="1"/>
  <c r="AW704" i="1"/>
  <c r="AW703" i="1"/>
  <c r="AW702" i="1"/>
  <c r="AW701" i="1"/>
  <c r="AW700" i="1"/>
  <c r="AW699" i="1"/>
  <c r="AW698" i="1"/>
  <c r="AW697" i="1"/>
  <c r="AW696" i="1"/>
  <c r="AW695" i="1"/>
  <c r="AW694" i="1"/>
  <c r="AW693" i="1"/>
  <c r="AW692" i="1"/>
  <c r="AW691" i="1"/>
  <c r="AW690" i="1"/>
  <c r="AW689" i="1"/>
  <c r="AW688" i="1"/>
  <c r="AW687" i="1"/>
  <c r="AW686" i="1"/>
  <c r="AW685" i="1"/>
  <c r="AW684" i="1"/>
  <c r="AW683" i="1"/>
  <c r="AW682" i="1"/>
  <c r="AW681" i="1"/>
  <c r="AW680" i="1"/>
  <c r="AW679" i="1"/>
  <c r="AW678" i="1"/>
  <c r="AW677" i="1"/>
  <c r="AW676" i="1"/>
  <c r="AW675" i="1"/>
  <c r="AW674" i="1"/>
  <c r="AW673" i="1"/>
  <c r="AW672" i="1"/>
  <c r="AW671" i="1"/>
  <c r="AW670" i="1"/>
  <c r="AW669" i="1"/>
  <c r="AW668" i="1"/>
  <c r="AW667" i="1"/>
  <c r="AW666" i="1"/>
  <c r="AW665" i="1"/>
  <c r="AW664" i="1"/>
  <c r="AW663" i="1"/>
  <c r="AW662" i="1"/>
  <c r="AW661" i="1"/>
  <c r="AW660" i="1"/>
  <c r="AW659" i="1"/>
  <c r="AW658" i="1"/>
  <c r="AW657" i="1"/>
  <c r="AW656" i="1"/>
  <c r="AW655" i="1"/>
  <c r="AW654" i="1"/>
  <c r="AW653" i="1"/>
  <c r="AW652" i="1"/>
  <c r="AW651" i="1"/>
  <c r="AW650" i="1"/>
  <c r="AW649" i="1"/>
  <c r="AW648" i="1"/>
  <c r="AW647" i="1"/>
  <c r="AW646" i="1"/>
  <c r="AW645" i="1"/>
  <c r="AW644" i="1"/>
  <c r="AW643" i="1"/>
  <c r="AW642" i="1"/>
  <c r="AW641" i="1"/>
  <c r="AW640" i="1"/>
  <c r="AW639" i="1"/>
  <c r="AW638" i="1"/>
  <c r="AW637" i="1"/>
  <c r="AW636" i="1"/>
  <c r="AW635" i="1"/>
  <c r="AW634" i="1"/>
  <c r="AW633" i="1"/>
  <c r="AW632" i="1"/>
  <c r="AW631" i="1"/>
  <c r="AW630" i="1"/>
  <c r="AW629" i="1"/>
  <c r="AW628" i="1"/>
  <c r="AW627" i="1"/>
  <c r="AW626" i="1"/>
  <c r="AW625" i="1"/>
  <c r="AW624" i="1"/>
  <c r="AW623" i="1"/>
  <c r="AW622" i="1"/>
  <c r="AW621" i="1"/>
  <c r="AW620" i="1"/>
  <c r="AW619" i="1"/>
  <c r="AW618" i="1"/>
  <c r="AW617" i="1"/>
  <c r="AW616" i="1"/>
  <c r="AW615" i="1"/>
  <c r="AW614" i="1"/>
  <c r="AW613" i="1"/>
  <c r="AW612" i="1"/>
  <c r="AW611" i="1"/>
  <c r="AW610" i="1"/>
  <c r="AW609" i="1"/>
  <c r="AW608" i="1"/>
  <c r="AW607" i="1"/>
  <c r="AW606" i="1"/>
  <c r="AW605" i="1"/>
  <c r="AW604" i="1"/>
  <c r="AW603" i="1"/>
  <c r="AW602" i="1"/>
  <c r="AW601" i="1"/>
  <c r="AW600" i="1"/>
  <c r="AW599" i="1"/>
  <c r="AW598" i="1"/>
  <c r="AW597" i="1"/>
  <c r="AW596" i="1"/>
  <c r="AW595" i="1"/>
  <c r="AW594" i="1"/>
  <c r="AW593" i="1"/>
  <c r="AW592" i="1"/>
  <c r="AW591" i="1"/>
  <c r="AW590" i="1"/>
  <c r="AW589" i="1"/>
  <c r="AW588" i="1"/>
  <c r="AW587" i="1"/>
  <c r="AW586" i="1"/>
  <c r="AW585" i="1"/>
  <c r="AW584" i="1"/>
  <c r="AW583" i="1"/>
  <c r="AW582" i="1"/>
  <c r="AW581" i="1"/>
  <c r="AW580" i="1"/>
  <c r="AW579" i="1"/>
  <c r="AW578" i="1"/>
  <c r="AW577" i="1"/>
  <c r="AW576" i="1"/>
  <c r="AW575" i="1"/>
  <c r="AW574" i="1"/>
  <c r="AW573" i="1"/>
  <c r="AW572" i="1"/>
  <c r="AW571" i="1"/>
  <c r="AW570" i="1"/>
  <c r="AW569" i="1"/>
  <c r="AW568" i="1"/>
  <c r="AW567" i="1"/>
  <c r="AW566" i="1"/>
  <c r="AW565" i="1"/>
  <c r="AW564" i="1"/>
  <c r="AW563" i="1"/>
  <c r="AW562" i="1"/>
  <c r="AW561" i="1"/>
  <c r="AW560" i="1"/>
  <c r="AW559" i="1"/>
  <c r="AW558" i="1"/>
  <c r="AW557" i="1"/>
  <c r="AW556" i="1"/>
  <c r="AW555" i="1"/>
  <c r="AW554" i="1"/>
  <c r="AW553" i="1"/>
  <c r="AW552" i="1"/>
  <c r="AW551" i="1"/>
  <c r="AW550" i="1"/>
  <c r="AW549" i="1"/>
  <c r="AW548" i="1"/>
  <c r="AW547" i="1"/>
  <c r="AW546" i="1"/>
  <c r="AW545" i="1"/>
  <c r="AW544" i="1"/>
  <c r="AW543" i="1"/>
  <c r="AW542" i="1"/>
  <c r="AW541" i="1"/>
  <c r="AW540" i="1"/>
  <c r="AW539" i="1"/>
  <c r="AW538" i="1"/>
  <c r="AW537" i="1"/>
  <c r="AW536" i="1"/>
  <c r="AW535" i="1"/>
  <c r="AW534" i="1"/>
  <c r="AW533" i="1"/>
  <c r="AW532" i="1"/>
  <c r="AW531" i="1"/>
  <c r="AW530" i="1"/>
  <c r="AW529" i="1"/>
  <c r="AW528" i="1"/>
  <c r="AW527" i="1"/>
  <c r="AW526" i="1"/>
  <c r="AW525" i="1"/>
  <c r="AW524" i="1"/>
  <c r="AW523" i="1"/>
  <c r="AW522" i="1"/>
  <c r="AW521" i="1"/>
  <c r="AW520" i="1"/>
  <c r="AW519" i="1"/>
  <c r="AW518" i="1"/>
  <c r="AW517" i="1"/>
  <c r="AW516" i="1"/>
  <c r="AW515" i="1"/>
  <c r="AW514" i="1"/>
  <c r="AW513" i="1"/>
  <c r="AW512" i="1"/>
  <c r="AW511" i="1"/>
  <c r="AW510" i="1"/>
  <c r="AW509" i="1"/>
  <c r="AW508" i="1"/>
  <c r="AW507" i="1"/>
  <c r="AW506" i="1"/>
  <c r="AW505" i="1"/>
  <c r="AW504" i="1"/>
  <c r="AW503" i="1"/>
  <c r="AW502" i="1"/>
  <c r="AW501" i="1"/>
  <c r="AW500" i="1"/>
  <c r="AW499" i="1"/>
  <c r="AW498" i="1"/>
  <c r="AW497" i="1"/>
  <c r="AW496" i="1"/>
  <c r="AW495" i="1"/>
  <c r="AW494" i="1"/>
  <c r="AW493" i="1"/>
  <c r="AW492" i="1"/>
  <c r="AW491" i="1"/>
  <c r="AW490" i="1"/>
  <c r="AW489" i="1"/>
  <c r="AW488" i="1"/>
  <c r="AW487" i="1"/>
  <c r="AW486" i="1"/>
  <c r="AW485" i="1"/>
  <c r="AW484" i="1"/>
  <c r="AW483" i="1"/>
  <c r="AW482" i="1"/>
  <c r="AW481" i="1"/>
  <c r="AW480" i="1"/>
  <c r="AW479" i="1"/>
  <c r="AW478" i="1"/>
  <c r="AW477" i="1"/>
  <c r="AW476" i="1"/>
  <c r="AW475" i="1"/>
  <c r="AW474" i="1"/>
  <c r="AW473" i="1"/>
  <c r="AW472" i="1"/>
  <c r="AW471" i="1"/>
  <c r="AW470" i="1"/>
  <c r="AW469" i="1"/>
  <c r="AW468" i="1"/>
  <c r="AW467" i="1"/>
  <c r="AW466" i="1"/>
  <c r="AW465" i="1"/>
  <c r="AW464" i="1"/>
  <c r="AW463" i="1"/>
  <c r="AW462" i="1"/>
  <c r="AW461" i="1"/>
  <c r="AW460" i="1"/>
  <c r="AW459" i="1"/>
  <c r="AW458" i="1"/>
  <c r="AW457" i="1"/>
  <c r="AW456" i="1"/>
  <c r="AW455" i="1"/>
  <c r="AW454" i="1"/>
  <c r="AW453" i="1"/>
  <c r="AW452" i="1"/>
  <c r="AW451" i="1"/>
  <c r="AW450" i="1"/>
  <c r="AW449" i="1"/>
  <c r="AW448" i="1"/>
  <c r="AW447" i="1"/>
  <c r="AW446" i="1"/>
  <c r="AW445" i="1"/>
  <c r="AW444" i="1"/>
  <c r="AW443" i="1"/>
  <c r="AW442" i="1"/>
  <c r="AW441" i="1"/>
  <c r="AW440" i="1"/>
  <c r="AW439" i="1"/>
  <c r="AW438" i="1"/>
  <c r="AW437" i="1"/>
  <c r="AW436" i="1"/>
  <c r="AW435" i="1"/>
  <c r="AW434" i="1"/>
  <c r="AW433" i="1"/>
  <c r="AW432" i="1"/>
  <c r="AW431" i="1"/>
  <c r="AW430" i="1"/>
  <c r="AW429" i="1"/>
  <c r="AW428" i="1"/>
  <c r="AW427" i="1"/>
  <c r="AW426" i="1"/>
  <c r="AW425" i="1"/>
  <c r="AW424" i="1"/>
  <c r="AW423" i="1"/>
  <c r="AW422" i="1"/>
  <c r="AW421" i="1"/>
  <c r="AW420" i="1"/>
  <c r="AW419" i="1"/>
  <c r="AW418" i="1"/>
  <c r="AW417" i="1"/>
  <c r="AW416" i="1"/>
  <c r="AW415" i="1"/>
  <c r="AW414" i="1"/>
  <c r="AW413" i="1"/>
  <c r="AW412" i="1"/>
  <c r="AW411" i="1"/>
  <c r="AW410" i="1"/>
  <c r="AW409" i="1"/>
  <c r="AW408" i="1"/>
  <c r="AW407" i="1"/>
  <c r="AW406" i="1"/>
  <c r="AW405" i="1"/>
  <c r="AW404" i="1"/>
  <c r="AW403" i="1"/>
  <c r="AW402" i="1"/>
  <c r="AW401" i="1"/>
  <c r="AW400" i="1"/>
  <c r="AW399" i="1"/>
  <c r="AW398" i="1"/>
  <c r="AW397" i="1"/>
  <c r="AW396" i="1"/>
  <c r="AW395" i="1"/>
  <c r="AW394" i="1"/>
  <c r="AW393" i="1"/>
  <c r="AW392" i="1"/>
  <c r="AW391" i="1"/>
  <c r="AW390" i="1"/>
  <c r="AW389" i="1"/>
  <c r="AW388" i="1"/>
  <c r="AW387" i="1"/>
  <c r="AW386" i="1"/>
  <c r="AW385" i="1"/>
  <c r="AW384" i="1"/>
  <c r="AW383" i="1"/>
  <c r="AW382" i="1"/>
  <c r="AW381" i="1"/>
  <c r="AW380" i="1"/>
  <c r="AW379" i="1"/>
  <c r="AW378" i="1"/>
  <c r="AW377" i="1"/>
  <c r="AW376" i="1"/>
  <c r="AW375" i="1"/>
  <c r="AW374" i="1"/>
  <c r="AW373" i="1"/>
  <c r="AW372" i="1"/>
  <c r="AW371" i="1"/>
  <c r="AW370" i="1"/>
  <c r="AW369" i="1"/>
  <c r="AW368" i="1"/>
  <c r="AW367" i="1"/>
  <c r="AW366" i="1"/>
  <c r="AW365" i="1"/>
  <c r="AW364" i="1"/>
  <c r="AW363" i="1"/>
  <c r="AW362" i="1"/>
  <c r="AW361" i="1"/>
  <c r="AW360" i="1"/>
  <c r="AW359" i="1"/>
  <c r="AW358" i="1"/>
  <c r="AW357" i="1"/>
  <c r="AW356" i="1"/>
  <c r="AW355" i="1"/>
  <c r="AW354" i="1"/>
  <c r="AW353" i="1"/>
  <c r="AW352" i="1"/>
  <c r="AW351" i="1"/>
  <c r="AW350" i="1"/>
  <c r="AW349" i="1"/>
  <c r="AW348" i="1"/>
  <c r="AW347" i="1"/>
  <c r="AW346" i="1"/>
  <c r="AW345" i="1"/>
  <c r="AW344" i="1"/>
  <c r="AW343" i="1"/>
  <c r="AW342" i="1"/>
  <c r="AW341" i="1"/>
  <c r="AW340" i="1"/>
  <c r="AW339" i="1"/>
  <c r="AW338" i="1"/>
  <c r="AW337" i="1"/>
  <c r="AW336" i="1"/>
  <c r="AW335" i="1"/>
  <c r="AW334" i="1"/>
  <c r="AW333" i="1"/>
  <c r="AW332" i="1"/>
  <c r="AW331" i="1"/>
  <c r="AW330" i="1"/>
  <c r="AW329" i="1"/>
  <c r="AW328" i="1"/>
  <c r="AW327" i="1"/>
  <c r="AW326" i="1"/>
  <c r="AW325" i="1"/>
  <c r="AW324" i="1"/>
  <c r="AW323" i="1"/>
  <c r="AW322" i="1"/>
  <c r="AW321" i="1"/>
  <c r="AW320" i="1"/>
  <c r="AW319" i="1"/>
  <c r="AW318" i="1"/>
  <c r="AW317" i="1"/>
  <c r="AW316" i="1"/>
  <c r="AW315" i="1"/>
  <c r="AW314" i="1"/>
  <c r="AW313" i="1"/>
  <c r="AW312" i="1"/>
  <c r="AW311" i="1"/>
  <c r="AW310" i="1"/>
  <c r="AW309" i="1"/>
  <c r="AW308" i="1"/>
  <c r="AW307" i="1"/>
  <c r="AW306" i="1"/>
  <c r="AW305" i="1"/>
  <c r="AW304" i="1"/>
  <c r="AW303" i="1"/>
  <c r="AW302" i="1"/>
  <c r="AW301" i="1"/>
  <c r="AW300" i="1"/>
  <c r="AW299" i="1"/>
  <c r="AW298" i="1"/>
  <c r="AW297" i="1"/>
  <c r="AW296" i="1"/>
  <c r="AW295" i="1"/>
  <c r="AW294" i="1"/>
  <c r="AW293" i="1"/>
  <c r="AW292" i="1"/>
  <c r="AW291" i="1"/>
  <c r="AW290" i="1"/>
  <c r="AW289" i="1"/>
  <c r="AW288" i="1"/>
  <c r="AW287" i="1"/>
  <c r="AW286" i="1"/>
  <c r="AW285" i="1"/>
  <c r="AW284" i="1"/>
  <c r="AW283" i="1"/>
  <c r="AW282" i="1"/>
  <c r="AW281" i="1"/>
  <c r="AW280" i="1"/>
  <c r="AW279" i="1"/>
  <c r="AW278" i="1"/>
  <c r="AW277" i="1"/>
  <c r="AW276" i="1"/>
  <c r="AW275" i="1"/>
  <c r="AW274" i="1"/>
  <c r="AW273" i="1"/>
  <c r="AW272" i="1"/>
  <c r="AW271" i="1"/>
  <c r="AW270" i="1"/>
  <c r="AW269" i="1"/>
  <c r="AW268" i="1"/>
  <c r="AW267" i="1"/>
  <c r="AW266" i="1"/>
  <c r="AW265" i="1"/>
  <c r="AW264" i="1"/>
  <c r="AW263" i="1"/>
  <c r="AW262" i="1"/>
  <c r="AW261" i="1"/>
  <c r="AW260" i="1"/>
  <c r="AW259" i="1"/>
  <c r="AW258" i="1"/>
  <c r="AW257" i="1"/>
  <c r="AW256" i="1"/>
  <c r="AW255" i="1"/>
  <c r="AW254" i="1"/>
  <c r="AW253" i="1"/>
  <c r="AW252" i="1"/>
  <c r="AW251" i="1"/>
  <c r="AW250" i="1"/>
  <c r="AW249" i="1"/>
  <c r="AW248" i="1"/>
  <c r="AW247" i="1"/>
  <c r="AW246" i="1"/>
  <c r="AW245" i="1"/>
  <c r="AW244" i="1"/>
  <c r="AW243" i="1"/>
  <c r="AW242" i="1"/>
  <c r="AW241" i="1"/>
  <c r="AW240" i="1"/>
  <c r="AW239" i="1"/>
  <c r="AW238" i="1"/>
  <c r="AW237" i="1"/>
  <c r="AW236" i="1"/>
  <c r="AW235" i="1"/>
  <c r="AW234" i="1"/>
  <c r="AW233" i="1"/>
  <c r="AW232" i="1"/>
  <c r="AW231" i="1"/>
  <c r="AW230" i="1"/>
  <c r="AW229" i="1"/>
  <c r="AW228" i="1"/>
  <c r="AW227" i="1"/>
  <c r="AW226" i="1"/>
  <c r="AW225" i="1"/>
  <c r="AW224" i="1"/>
  <c r="AW223" i="1"/>
  <c r="AW222" i="1"/>
  <c r="AW221" i="1"/>
  <c r="AW220" i="1"/>
  <c r="AW219" i="1"/>
  <c r="AW218" i="1"/>
  <c r="AW217" i="1"/>
  <c r="AW216" i="1"/>
  <c r="AW215" i="1"/>
  <c r="AW214" i="1"/>
  <c r="AW213" i="1"/>
  <c r="AW212" i="1"/>
  <c r="AW211" i="1"/>
  <c r="AW210" i="1"/>
  <c r="AW209" i="1"/>
  <c r="AW208" i="1"/>
  <c r="AW207" i="1"/>
  <c r="AW206" i="1"/>
  <c r="AW205" i="1"/>
  <c r="AW204" i="1"/>
  <c r="AW203" i="1"/>
  <c r="AW202" i="1"/>
  <c r="AW201" i="1"/>
  <c r="AW200" i="1"/>
  <c r="AW199" i="1"/>
  <c r="AW198" i="1"/>
  <c r="AW197" i="1"/>
  <c r="AW196" i="1"/>
  <c r="AW195" i="1"/>
  <c r="AW194" i="1"/>
  <c r="AW193" i="1"/>
  <c r="AW192" i="1"/>
  <c r="AW191" i="1"/>
  <c r="AW190" i="1"/>
  <c r="AW189" i="1"/>
  <c r="AW188" i="1"/>
  <c r="AW187" i="1"/>
  <c r="AW186" i="1"/>
  <c r="AW185" i="1"/>
  <c r="AW184" i="1"/>
  <c r="AW183" i="1"/>
  <c r="AW182" i="1"/>
  <c r="AW181" i="1"/>
  <c r="AW180" i="1"/>
  <c r="AW179" i="1"/>
  <c r="AW178" i="1"/>
  <c r="AW177" i="1"/>
  <c r="AW176" i="1"/>
  <c r="AW175" i="1"/>
  <c r="AW174" i="1"/>
  <c r="AW173" i="1"/>
  <c r="AW172" i="1"/>
  <c r="AW171" i="1"/>
  <c r="AW170" i="1"/>
  <c r="AW169" i="1"/>
  <c r="AW168" i="1"/>
  <c r="AW167" i="1"/>
  <c r="AW166" i="1"/>
  <c r="AW165" i="1"/>
  <c r="AW164" i="1"/>
  <c r="AW163" i="1"/>
  <c r="AW162" i="1"/>
  <c r="AW161" i="1"/>
  <c r="AW160" i="1"/>
  <c r="AW159" i="1"/>
  <c r="AW158" i="1"/>
  <c r="AW157" i="1"/>
  <c r="AW156" i="1"/>
  <c r="AW155" i="1"/>
  <c r="AW154" i="1"/>
  <c r="AW153" i="1"/>
  <c r="AW152" i="1"/>
  <c r="AW151" i="1"/>
  <c r="AW150" i="1"/>
  <c r="AW149" i="1"/>
  <c r="AW148" i="1"/>
  <c r="AW147" i="1"/>
  <c r="AW146" i="1"/>
  <c r="AW145" i="1"/>
  <c r="AW144" i="1"/>
  <c r="AW143" i="1"/>
  <c r="AW142" i="1"/>
  <c r="AW141" i="1"/>
  <c r="AW140" i="1"/>
  <c r="AW139" i="1"/>
  <c r="AW138" i="1"/>
  <c r="AW137" i="1"/>
  <c r="AW136" i="1"/>
  <c r="AW135" i="1"/>
  <c r="AW134" i="1"/>
  <c r="AW133" i="1"/>
  <c r="AW132" i="1"/>
  <c r="AW131" i="1"/>
  <c r="AW130" i="1"/>
  <c r="AW129" i="1"/>
  <c r="AW128" i="1"/>
  <c r="AW127" i="1"/>
  <c r="AW126" i="1"/>
  <c r="AW125" i="1"/>
  <c r="AW124" i="1"/>
  <c r="AW123" i="1"/>
  <c r="AW122" i="1"/>
  <c r="AW121" i="1"/>
  <c r="AW120" i="1"/>
  <c r="AW119" i="1"/>
  <c r="AW118" i="1"/>
  <c r="AW117" i="1"/>
  <c r="AW116" i="1"/>
  <c r="AW115" i="1"/>
  <c r="AW114" i="1"/>
  <c r="AW113" i="1"/>
  <c r="AW112" i="1"/>
  <c r="AW111" i="1"/>
  <c r="AW110" i="1"/>
  <c r="AW109" i="1"/>
  <c r="AW108" i="1"/>
  <c r="AW107" i="1"/>
  <c r="AW106" i="1"/>
  <c r="AW105" i="1"/>
  <c r="AW104" i="1"/>
  <c r="AW103" i="1"/>
  <c r="AW102" i="1"/>
  <c r="AW101" i="1"/>
  <c r="AW100" i="1"/>
  <c r="AW99" i="1"/>
  <c r="AW98" i="1"/>
  <c r="AW97" i="1"/>
  <c r="AW96" i="1"/>
  <c r="AW95" i="1"/>
  <c r="AW94" i="1"/>
  <c r="AW93" i="1"/>
  <c r="AW92" i="1"/>
  <c r="AW91" i="1"/>
  <c r="AW90" i="1"/>
  <c r="AW89" i="1"/>
  <c r="AW88" i="1"/>
  <c r="AW87" i="1"/>
  <c r="AW86" i="1"/>
  <c r="AW85" i="1"/>
  <c r="AW84" i="1"/>
  <c r="AW83" i="1"/>
  <c r="AW82" i="1"/>
  <c r="AW81" i="1"/>
  <c r="AW80" i="1"/>
  <c r="AW79" i="1"/>
  <c r="AW78" i="1"/>
  <c r="AW77" i="1"/>
  <c r="AW76" i="1"/>
  <c r="AW75" i="1"/>
  <c r="AW74" i="1"/>
  <c r="AW73" i="1"/>
  <c r="AW72" i="1"/>
  <c r="AW71" i="1"/>
  <c r="AW70" i="1"/>
  <c r="AW69" i="1"/>
  <c r="AW68" i="1"/>
  <c r="AW67" i="1"/>
  <c r="AW66" i="1"/>
  <c r="AW65" i="1"/>
  <c r="AW64" i="1"/>
  <c r="AW63" i="1"/>
  <c r="AW62" i="1"/>
  <c r="AW61" i="1"/>
  <c r="AW60" i="1"/>
  <c r="AW59" i="1"/>
  <c r="AW58" i="1"/>
  <c r="AW57" i="1"/>
  <c r="AW56" i="1"/>
  <c r="AW55" i="1"/>
  <c r="AW54" i="1"/>
  <c r="AW53" i="1"/>
  <c r="AW52" i="1"/>
  <c r="AW51" i="1"/>
  <c r="AW50" i="1"/>
  <c r="AW49" i="1"/>
  <c r="AW48" i="1"/>
  <c r="AW47" i="1"/>
  <c r="AW46" i="1"/>
  <c r="AW45" i="1"/>
  <c r="AW44" i="1"/>
  <c r="AW43" i="1"/>
  <c r="AW42" i="1"/>
  <c r="AW41" i="1"/>
  <c r="AW40" i="1"/>
  <c r="AW39" i="1"/>
  <c r="AW38" i="1"/>
  <c r="AW37" i="1"/>
  <c r="AW36" i="1"/>
  <c r="AW35" i="1"/>
  <c r="AW34" i="1"/>
  <c r="AW33" i="1"/>
  <c r="AW32" i="1"/>
  <c r="AW31" i="1"/>
  <c r="AW30" i="1"/>
  <c r="AW29" i="1"/>
  <c r="AW28" i="1"/>
  <c r="AW27" i="1"/>
  <c r="AW26" i="1"/>
  <c r="AW25" i="1"/>
  <c r="AW24" i="1"/>
  <c r="AW23" i="1"/>
  <c r="AW22" i="1"/>
  <c r="AW21" i="1"/>
  <c r="AW20" i="1"/>
  <c r="AW19" i="1"/>
  <c r="AW18" i="1"/>
  <c r="AW17" i="1"/>
  <c r="AW10" i="1"/>
  <c r="AW12" i="1"/>
  <c r="AW14" i="1" s="1"/>
  <c r="AS1112" i="1"/>
  <c r="AS1111" i="1"/>
  <c r="AS1110" i="1"/>
  <c r="AS1109" i="1"/>
  <c r="AS1108" i="1"/>
  <c r="AS1107" i="1"/>
  <c r="AS1106" i="1"/>
  <c r="AS1105" i="1"/>
  <c r="AS1104" i="1"/>
  <c r="AS1103" i="1"/>
  <c r="AS1102" i="1"/>
  <c r="AS1101" i="1"/>
  <c r="AS1100" i="1"/>
  <c r="AS1099" i="1"/>
  <c r="AS1098" i="1"/>
  <c r="AS1097" i="1"/>
  <c r="AS1096" i="1"/>
  <c r="AS1095" i="1"/>
  <c r="AS1094" i="1"/>
  <c r="AS1093" i="1"/>
  <c r="AS1092" i="1"/>
  <c r="AS1091" i="1"/>
  <c r="AS1090" i="1"/>
  <c r="AS1089" i="1"/>
  <c r="AS1088" i="1"/>
  <c r="AS1087" i="1"/>
  <c r="AS1086" i="1"/>
  <c r="AS1085" i="1"/>
  <c r="AS1084" i="1"/>
  <c r="AS1083" i="1"/>
  <c r="AS1082" i="1"/>
  <c r="AS1081" i="1"/>
  <c r="AT1082" i="1" s="1"/>
  <c r="AS1080" i="1"/>
  <c r="AS1079" i="1"/>
  <c r="AS1078" i="1"/>
  <c r="AS1077" i="1"/>
  <c r="AS1076" i="1"/>
  <c r="AS1075" i="1"/>
  <c r="AS1074" i="1"/>
  <c r="AS1073" i="1"/>
  <c r="AS1072" i="1"/>
  <c r="AS1071" i="1"/>
  <c r="AS1070" i="1"/>
  <c r="AS1069" i="1"/>
  <c r="AS1068" i="1"/>
  <c r="AS1067" i="1"/>
  <c r="AS1066" i="1"/>
  <c r="AS1065" i="1"/>
  <c r="AS1064" i="1"/>
  <c r="AS1063" i="1"/>
  <c r="AS1062" i="1"/>
  <c r="AS1061" i="1"/>
  <c r="AS1060" i="1"/>
  <c r="AS1059" i="1"/>
  <c r="AS1058" i="1"/>
  <c r="AS1057" i="1"/>
  <c r="AS1056" i="1"/>
  <c r="AS1055" i="1"/>
  <c r="AS1054" i="1"/>
  <c r="AS1053" i="1"/>
  <c r="AS1052" i="1"/>
  <c r="AS1051" i="1"/>
  <c r="AT1052" i="1" s="1"/>
  <c r="AS1050" i="1"/>
  <c r="AS1049" i="1"/>
  <c r="AS1048" i="1"/>
  <c r="AS1047" i="1"/>
  <c r="AS1046" i="1"/>
  <c r="AS1045" i="1"/>
  <c r="AS1044" i="1"/>
  <c r="AS1043" i="1"/>
  <c r="AS1042" i="1"/>
  <c r="AS1041" i="1"/>
  <c r="AS1040" i="1"/>
  <c r="AS1039" i="1"/>
  <c r="AS1038" i="1"/>
  <c r="AS1037" i="1"/>
  <c r="AS1036" i="1"/>
  <c r="AS1035" i="1"/>
  <c r="AS1034" i="1"/>
  <c r="AS1033" i="1"/>
  <c r="AS1032" i="1"/>
  <c r="AS1031" i="1"/>
  <c r="AS1030" i="1"/>
  <c r="AS1029" i="1"/>
  <c r="AS1028" i="1"/>
  <c r="AS1027" i="1"/>
  <c r="AS1026" i="1"/>
  <c r="AS1025" i="1"/>
  <c r="AS1024" i="1"/>
  <c r="AS1023" i="1"/>
  <c r="AS1022" i="1"/>
  <c r="AS1021" i="1"/>
  <c r="AS1020" i="1"/>
  <c r="AT1021" i="1" s="1"/>
  <c r="AS1019" i="1"/>
  <c r="AS1018" i="1"/>
  <c r="AS1017" i="1"/>
  <c r="AS1016" i="1"/>
  <c r="AS1015" i="1"/>
  <c r="AS1014" i="1"/>
  <c r="AS1013" i="1"/>
  <c r="AS1012" i="1"/>
  <c r="AS1011" i="1"/>
  <c r="AS1010" i="1"/>
  <c r="AS1009" i="1"/>
  <c r="AS1008" i="1"/>
  <c r="AS1007" i="1"/>
  <c r="AS1006" i="1"/>
  <c r="AS1005" i="1"/>
  <c r="AS1004" i="1"/>
  <c r="AS1003" i="1"/>
  <c r="AS1002" i="1"/>
  <c r="AS1001" i="1"/>
  <c r="AS1000" i="1"/>
  <c r="AS999" i="1"/>
  <c r="AS998" i="1"/>
  <c r="AS997" i="1"/>
  <c r="AS996" i="1"/>
  <c r="AS995" i="1"/>
  <c r="AS994" i="1"/>
  <c r="AS993" i="1"/>
  <c r="AS992" i="1"/>
  <c r="AS991" i="1"/>
  <c r="AS990" i="1"/>
  <c r="AT991" i="1" s="1"/>
  <c r="AS989" i="1"/>
  <c r="AS988" i="1"/>
  <c r="AS987" i="1"/>
  <c r="AS986" i="1"/>
  <c r="AS985" i="1"/>
  <c r="AS984" i="1"/>
  <c r="AS983" i="1"/>
  <c r="AS982" i="1"/>
  <c r="AS981" i="1"/>
  <c r="AS980" i="1"/>
  <c r="AS979" i="1"/>
  <c r="AS978" i="1"/>
  <c r="AS977" i="1"/>
  <c r="AS976" i="1"/>
  <c r="AS975" i="1"/>
  <c r="AS974" i="1"/>
  <c r="AS973" i="1"/>
  <c r="AS972" i="1"/>
  <c r="AS971" i="1"/>
  <c r="AS970" i="1"/>
  <c r="AS969" i="1"/>
  <c r="AS968" i="1"/>
  <c r="AS967" i="1"/>
  <c r="AS966" i="1"/>
  <c r="AS965" i="1"/>
  <c r="AS964" i="1"/>
  <c r="AS963" i="1"/>
  <c r="AS962" i="1"/>
  <c r="AS961" i="1"/>
  <c r="AS960" i="1"/>
  <c r="AS959" i="1"/>
  <c r="AS958" i="1"/>
  <c r="AS957" i="1"/>
  <c r="AS956" i="1"/>
  <c r="AS955" i="1"/>
  <c r="AS954" i="1"/>
  <c r="AS953" i="1"/>
  <c r="AS952" i="1"/>
  <c r="AS951" i="1"/>
  <c r="AS950" i="1"/>
  <c r="AS949" i="1"/>
  <c r="AS948" i="1"/>
  <c r="AS947" i="1"/>
  <c r="AS946" i="1"/>
  <c r="AS945" i="1"/>
  <c r="AS944" i="1"/>
  <c r="AS943" i="1"/>
  <c r="AS942" i="1"/>
  <c r="AS941" i="1"/>
  <c r="AS940" i="1"/>
  <c r="AS939" i="1"/>
  <c r="AS938" i="1"/>
  <c r="AS937" i="1"/>
  <c r="AS936" i="1"/>
  <c r="AS935" i="1"/>
  <c r="AS934" i="1"/>
  <c r="AS933" i="1"/>
  <c r="AS932" i="1"/>
  <c r="AS931" i="1"/>
  <c r="AS930" i="1"/>
  <c r="AS929" i="1"/>
  <c r="AS928" i="1"/>
  <c r="AT929" i="1" s="1"/>
  <c r="AS927" i="1"/>
  <c r="AS926" i="1"/>
  <c r="AS925" i="1"/>
  <c r="AS924" i="1"/>
  <c r="AS923" i="1"/>
  <c r="AS922" i="1"/>
  <c r="AS921" i="1"/>
  <c r="AS920" i="1"/>
  <c r="AS919" i="1"/>
  <c r="AS918" i="1"/>
  <c r="AS917" i="1"/>
  <c r="AS916" i="1"/>
  <c r="AS915" i="1"/>
  <c r="AS914" i="1"/>
  <c r="AS913" i="1"/>
  <c r="AS912" i="1"/>
  <c r="AS911" i="1"/>
  <c r="AS910" i="1"/>
  <c r="AS909" i="1"/>
  <c r="AS908" i="1"/>
  <c r="AS907" i="1"/>
  <c r="AS906" i="1"/>
  <c r="AS905" i="1"/>
  <c r="AS904" i="1"/>
  <c r="AS903" i="1"/>
  <c r="AS902" i="1"/>
  <c r="AS901" i="1"/>
  <c r="AS900" i="1"/>
  <c r="AS899" i="1"/>
  <c r="AS898" i="1"/>
  <c r="AT899" i="1" s="1"/>
  <c r="AS897" i="1"/>
  <c r="AS896" i="1"/>
  <c r="AS895" i="1"/>
  <c r="AS894" i="1"/>
  <c r="AS893" i="1"/>
  <c r="AS892" i="1"/>
  <c r="AS891" i="1"/>
  <c r="AS890" i="1"/>
  <c r="AS889" i="1"/>
  <c r="AS888" i="1"/>
  <c r="AS887" i="1"/>
  <c r="AS886" i="1"/>
  <c r="AS885" i="1"/>
  <c r="AS884" i="1"/>
  <c r="AS883" i="1"/>
  <c r="AS882" i="1"/>
  <c r="AS881" i="1"/>
  <c r="AS880" i="1"/>
  <c r="AS879" i="1"/>
  <c r="AS878" i="1"/>
  <c r="AS877" i="1"/>
  <c r="AS876" i="1"/>
  <c r="AS875" i="1"/>
  <c r="AS874" i="1"/>
  <c r="AS873" i="1"/>
  <c r="AS872" i="1"/>
  <c r="AS871" i="1"/>
  <c r="AS870" i="1"/>
  <c r="AS869" i="1"/>
  <c r="AS868" i="1"/>
  <c r="AS867" i="1"/>
  <c r="AT868" i="1" s="1"/>
  <c r="AS866" i="1"/>
  <c r="AS865" i="1"/>
  <c r="AS864" i="1"/>
  <c r="AS863" i="1"/>
  <c r="AS862" i="1"/>
  <c r="AS861" i="1"/>
  <c r="AS860" i="1"/>
  <c r="AS859" i="1"/>
  <c r="AS858" i="1"/>
  <c r="AS857" i="1"/>
  <c r="AS856" i="1"/>
  <c r="AS855" i="1"/>
  <c r="AS854" i="1"/>
  <c r="AS853" i="1"/>
  <c r="AS852" i="1"/>
  <c r="AS851" i="1"/>
  <c r="AS850" i="1"/>
  <c r="AS849" i="1"/>
  <c r="AS848" i="1"/>
  <c r="AS847" i="1"/>
  <c r="AS846" i="1"/>
  <c r="AS845" i="1"/>
  <c r="AS844" i="1"/>
  <c r="AS843" i="1"/>
  <c r="AS842" i="1"/>
  <c r="AS841" i="1"/>
  <c r="AS840" i="1"/>
  <c r="AS839" i="1"/>
  <c r="AS838" i="1"/>
  <c r="AS837" i="1"/>
  <c r="AT838" i="1" s="1"/>
  <c r="AS836" i="1"/>
  <c r="AS835" i="1"/>
  <c r="AS834" i="1"/>
  <c r="AS833" i="1"/>
  <c r="AS832" i="1"/>
  <c r="AS831" i="1"/>
  <c r="AS830" i="1"/>
  <c r="AS829" i="1"/>
  <c r="AS828" i="1"/>
  <c r="AS827" i="1"/>
  <c r="AS826" i="1"/>
  <c r="AS825" i="1"/>
  <c r="AS824" i="1"/>
  <c r="AS823" i="1"/>
  <c r="AS822" i="1"/>
  <c r="AS821" i="1"/>
  <c r="AS820" i="1"/>
  <c r="AS819" i="1"/>
  <c r="AS818" i="1"/>
  <c r="AS817" i="1"/>
  <c r="AS816" i="1"/>
  <c r="AS815" i="1"/>
  <c r="AS814" i="1"/>
  <c r="AS813" i="1"/>
  <c r="AS812" i="1"/>
  <c r="AS811" i="1"/>
  <c r="AS810" i="1"/>
  <c r="AS809" i="1"/>
  <c r="AS808" i="1"/>
  <c r="AS807" i="1"/>
  <c r="AS806" i="1"/>
  <c r="AT807" i="1" s="1"/>
  <c r="AS805" i="1"/>
  <c r="AS804" i="1"/>
  <c r="AS803" i="1"/>
  <c r="AS802" i="1"/>
  <c r="AS801" i="1"/>
  <c r="AS800" i="1"/>
  <c r="AS799" i="1"/>
  <c r="AS798" i="1"/>
  <c r="AS797" i="1"/>
  <c r="AS796" i="1"/>
  <c r="AS795" i="1"/>
  <c r="AS794" i="1"/>
  <c r="AS793" i="1"/>
  <c r="AS792" i="1"/>
  <c r="AS791" i="1"/>
  <c r="AS790" i="1"/>
  <c r="AS789" i="1"/>
  <c r="AS788" i="1"/>
  <c r="AS787" i="1"/>
  <c r="AS786" i="1"/>
  <c r="AS785" i="1"/>
  <c r="AS784" i="1"/>
  <c r="AS783" i="1"/>
  <c r="AS782" i="1"/>
  <c r="AS781" i="1"/>
  <c r="AS780" i="1"/>
  <c r="AS779" i="1"/>
  <c r="AS778" i="1"/>
  <c r="AS777" i="1"/>
  <c r="AT778" i="1" s="1"/>
  <c r="AS776" i="1"/>
  <c r="AS775" i="1"/>
  <c r="AS774" i="1"/>
  <c r="AS773" i="1"/>
  <c r="AS772" i="1"/>
  <c r="AS771" i="1"/>
  <c r="AS770" i="1"/>
  <c r="AS769" i="1"/>
  <c r="AS768" i="1"/>
  <c r="AS767" i="1"/>
  <c r="AS766" i="1"/>
  <c r="AS765" i="1"/>
  <c r="AS764" i="1"/>
  <c r="AS763" i="1"/>
  <c r="AS762" i="1"/>
  <c r="AS761" i="1"/>
  <c r="AS760" i="1"/>
  <c r="AS759" i="1"/>
  <c r="AS758" i="1"/>
  <c r="AS757" i="1"/>
  <c r="AS756" i="1"/>
  <c r="AS755" i="1"/>
  <c r="AS754" i="1"/>
  <c r="AS753" i="1"/>
  <c r="AS752" i="1"/>
  <c r="AS751" i="1"/>
  <c r="AS750" i="1"/>
  <c r="AS749" i="1"/>
  <c r="AS748" i="1"/>
  <c r="AS747" i="1"/>
  <c r="AS746" i="1"/>
  <c r="AS745" i="1"/>
  <c r="AS744" i="1"/>
  <c r="AS743" i="1"/>
  <c r="AS742" i="1"/>
  <c r="AS741" i="1"/>
  <c r="AS740" i="1"/>
  <c r="AS739" i="1"/>
  <c r="AS738" i="1"/>
  <c r="AS737" i="1"/>
  <c r="AS736" i="1"/>
  <c r="AS735" i="1"/>
  <c r="AS734" i="1"/>
  <c r="AS733" i="1"/>
  <c r="AS732" i="1"/>
  <c r="AS731" i="1"/>
  <c r="AS730" i="1"/>
  <c r="AS729" i="1"/>
  <c r="AS728" i="1"/>
  <c r="AS727" i="1"/>
  <c r="AS726" i="1"/>
  <c r="AS725" i="1"/>
  <c r="AS724" i="1"/>
  <c r="AS723" i="1"/>
  <c r="AS722" i="1"/>
  <c r="AS721" i="1"/>
  <c r="AS720" i="1"/>
  <c r="AS719" i="1"/>
  <c r="AS718" i="1"/>
  <c r="AS717" i="1"/>
  <c r="AS716" i="1"/>
  <c r="AS715" i="1"/>
  <c r="AT716" i="1" s="1"/>
  <c r="AS714" i="1"/>
  <c r="AS713" i="1"/>
  <c r="AS712" i="1"/>
  <c r="AS711" i="1"/>
  <c r="AS710" i="1"/>
  <c r="AS709" i="1"/>
  <c r="AS708" i="1"/>
  <c r="AS707" i="1"/>
  <c r="AS706" i="1"/>
  <c r="AS705" i="1"/>
  <c r="AS704" i="1"/>
  <c r="AS703" i="1"/>
  <c r="AS702" i="1"/>
  <c r="AS701" i="1"/>
  <c r="AS700" i="1"/>
  <c r="AS699" i="1"/>
  <c r="AS698" i="1"/>
  <c r="AS697" i="1"/>
  <c r="AS696" i="1"/>
  <c r="AS695" i="1"/>
  <c r="AS694" i="1"/>
  <c r="AS693" i="1"/>
  <c r="AS692" i="1"/>
  <c r="AS691" i="1"/>
  <c r="AS690" i="1"/>
  <c r="AS689" i="1"/>
  <c r="AS688" i="1"/>
  <c r="AS687" i="1"/>
  <c r="AS686" i="1"/>
  <c r="AS685" i="1"/>
  <c r="AT686" i="1" s="1"/>
  <c r="AS684" i="1"/>
  <c r="AS683" i="1"/>
  <c r="AS682" i="1"/>
  <c r="AS681" i="1"/>
  <c r="AS680" i="1"/>
  <c r="AS679" i="1"/>
  <c r="AS678" i="1"/>
  <c r="AS677" i="1"/>
  <c r="AS676" i="1"/>
  <c r="AS675" i="1"/>
  <c r="AS674" i="1"/>
  <c r="AS673" i="1"/>
  <c r="AS672" i="1"/>
  <c r="AS671" i="1"/>
  <c r="AS670" i="1"/>
  <c r="AS669" i="1"/>
  <c r="AS668" i="1"/>
  <c r="AS667" i="1"/>
  <c r="AS666" i="1"/>
  <c r="AS665" i="1"/>
  <c r="AS664" i="1"/>
  <c r="AS663" i="1"/>
  <c r="AS662" i="1"/>
  <c r="AS661" i="1"/>
  <c r="AS660" i="1"/>
  <c r="AS659" i="1"/>
  <c r="AS658" i="1"/>
  <c r="AS657" i="1"/>
  <c r="AS656" i="1"/>
  <c r="AS655" i="1"/>
  <c r="AS654" i="1"/>
  <c r="AT655" i="1" s="1"/>
  <c r="AS653" i="1"/>
  <c r="AS652" i="1"/>
  <c r="AS651" i="1"/>
  <c r="AS650" i="1"/>
  <c r="AS649" i="1"/>
  <c r="AS648" i="1"/>
  <c r="AS647" i="1"/>
  <c r="AS646" i="1"/>
  <c r="AS645" i="1"/>
  <c r="AS644" i="1"/>
  <c r="AS643" i="1"/>
  <c r="AS642" i="1"/>
  <c r="AS641" i="1"/>
  <c r="AS640" i="1"/>
  <c r="AS639" i="1"/>
  <c r="AS638" i="1"/>
  <c r="AS637" i="1"/>
  <c r="AS636" i="1"/>
  <c r="AS635" i="1"/>
  <c r="AS634" i="1"/>
  <c r="AS633" i="1"/>
  <c r="AS632" i="1"/>
  <c r="AS631" i="1"/>
  <c r="AS630" i="1"/>
  <c r="AS629" i="1"/>
  <c r="AS628" i="1"/>
  <c r="AS627" i="1"/>
  <c r="AS626" i="1"/>
  <c r="AS625" i="1"/>
  <c r="AS624" i="1"/>
  <c r="AS623" i="1"/>
  <c r="AS622" i="1"/>
  <c r="AS621" i="1"/>
  <c r="AS620" i="1"/>
  <c r="AS619" i="1"/>
  <c r="AS618" i="1"/>
  <c r="AS617" i="1"/>
  <c r="AS616" i="1"/>
  <c r="AS615" i="1"/>
  <c r="AS614" i="1"/>
  <c r="AS613" i="1"/>
  <c r="AS612" i="1"/>
  <c r="AS611" i="1"/>
  <c r="AS610" i="1"/>
  <c r="AS609" i="1"/>
  <c r="AS608" i="1"/>
  <c r="AS607" i="1"/>
  <c r="AS606" i="1"/>
  <c r="AS605" i="1"/>
  <c r="AS604" i="1"/>
  <c r="AS603" i="1"/>
  <c r="AS602" i="1"/>
  <c r="AS601" i="1"/>
  <c r="AS600" i="1"/>
  <c r="AS599" i="1"/>
  <c r="AS598" i="1"/>
  <c r="AS597" i="1"/>
  <c r="AS596" i="1"/>
  <c r="AS595" i="1"/>
  <c r="AS594" i="1"/>
  <c r="AS593" i="1"/>
  <c r="AS592" i="1"/>
  <c r="AS591" i="1"/>
  <c r="AS590" i="1"/>
  <c r="AS589" i="1"/>
  <c r="AS588" i="1"/>
  <c r="AS587" i="1"/>
  <c r="AS586" i="1"/>
  <c r="AS585" i="1"/>
  <c r="AS584" i="1"/>
  <c r="AS583" i="1"/>
  <c r="AS582" i="1"/>
  <c r="AS581" i="1"/>
  <c r="AS580" i="1"/>
  <c r="AS579" i="1"/>
  <c r="AS578" i="1"/>
  <c r="AS577" i="1"/>
  <c r="AS576" i="1"/>
  <c r="AS575" i="1"/>
  <c r="AS574" i="1"/>
  <c r="AS573" i="1"/>
  <c r="AS572" i="1"/>
  <c r="AS571" i="1"/>
  <c r="AS570" i="1"/>
  <c r="AS569" i="1"/>
  <c r="AS568" i="1"/>
  <c r="AS567" i="1"/>
  <c r="AS566" i="1"/>
  <c r="AS565" i="1"/>
  <c r="AS564" i="1"/>
  <c r="AS563" i="1"/>
  <c r="AS562" i="1"/>
  <c r="AS561" i="1"/>
  <c r="AS560" i="1"/>
  <c r="AS559" i="1"/>
  <c r="AS558" i="1"/>
  <c r="AS557" i="1"/>
  <c r="AS556" i="1"/>
  <c r="AS555" i="1"/>
  <c r="AS554" i="1"/>
  <c r="AS553" i="1"/>
  <c r="AS552" i="1"/>
  <c r="AS551" i="1"/>
  <c r="AS550" i="1"/>
  <c r="AS549" i="1"/>
  <c r="AS548" i="1"/>
  <c r="AS547" i="1"/>
  <c r="AS546" i="1"/>
  <c r="AS545" i="1"/>
  <c r="AS544" i="1"/>
  <c r="AS543" i="1"/>
  <c r="AS542" i="1"/>
  <c r="AS541" i="1"/>
  <c r="AS540" i="1"/>
  <c r="AS539" i="1"/>
  <c r="AS538" i="1"/>
  <c r="AS537" i="1"/>
  <c r="AS536" i="1"/>
  <c r="AS535" i="1"/>
  <c r="AS534" i="1"/>
  <c r="AS533" i="1"/>
  <c r="AS532" i="1"/>
  <c r="AS531" i="1"/>
  <c r="AS530" i="1"/>
  <c r="AS529" i="1"/>
  <c r="AS528" i="1"/>
  <c r="AS527" i="1"/>
  <c r="AS526" i="1"/>
  <c r="AS525" i="1"/>
  <c r="AS524" i="1"/>
  <c r="AS523" i="1"/>
  <c r="AS522" i="1"/>
  <c r="AS521" i="1"/>
  <c r="AS520" i="1"/>
  <c r="AS519" i="1"/>
  <c r="AS518" i="1"/>
  <c r="AS517" i="1"/>
  <c r="AS516" i="1"/>
  <c r="AS515" i="1"/>
  <c r="AS514" i="1"/>
  <c r="AS513" i="1"/>
  <c r="AS512" i="1"/>
  <c r="AS511" i="1"/>
  <c r="AS510" i="1"/>
  <c r="AS509" i="1"/>
  <c r="AS508" i="1"/>
  <c r="AS507" i="1"/>
  <c r="AS506" i="1"/>
  <c r="AS505" i="1"/>
  <c r="AS504" i="1"/>
  <c r="AS503" i="1"/>
  <c r="AS502" i="1"/>
  <c r="AS501" i="1"/>
  <c r="AS500" i="1"/>
  <c r="AS499" i="1"/>
  <c r="AS498" i="1"/>
  <c r="AS497" i="1"/>
  <c r="AS496" i="1"/>
  <c r="AS495" i="1"/>
  <c r="AS494" i="1"/>
  <c r="AS493" i="1"/>
  <c r="AS492" i="1"/>
  <c r="AS491" i="1"/>
  <c r="AS490" i="1"/>
  <c r="AS489" i="1"/>
  <c r="AS488" i="1"/>
  <c r="AS487" i="1"/>
  <c r="AS486" i="1"/>
  <c r="AS485" i="1"/>
  <c r="AS484" i="1"/>
  <c r="AS483" i="1"/>
  <c r="AS482" i="1"/>
  <c r="AS481" i="1"/>
  <c r="AS480" i="1"/>
  <c r="AS479" i="1"/>
  <c r="AS478" i="1"/>
  <c r="AS477" i="1"/>
  <c r="AS476" i="1"/>
  <c r="AS475" i="1"/>
  <c r="AS474" i="1"/>
  <c r="AS473" i="1"/>
  <c r="AS472" i="1"/>
  <c r="AS471" i="1"/>
  <c r="AS470" i="1"/>
  <c r="AS469" i="1"/>
  <c r="AS468" i="1"/>
  <c r="AS467" i="1"/>
  <c r="AS466" i="1"/>
  <c r="AS465" i="1"/>
  <c r="AS464" i="1"/>
  <c r="AS463" i="1"/>
  <c r="AS462" i="1"/>
  <c r="AS461" i="1"/>
  <c r="AS460" i="1"/>
  <c r="AS459" i="1"/>
  <c r="AS458" i="1"/>
  <c r="AS457" i="1"/>
  <c r="AS456" i="1"/>
  <c r="AS455" i="1"/>
  <c r="AS454" i="1"/>
  <c r="AS453" i="1"/>
  <c r="AS452" i="1"/>
  <c r="AS451" i="1"/>
  <c r="AS450" i="1"/>
  <c r="AS449" i="1"/>
  <c r="AS448" i="1"/>
  <c r="AS447" i="1"/>
  <c r="AS446" i="1"/>
  <c r="AS445" i="1"/>
  <c r="AS444" i="1"/>
  <c r="AS443" i="1"/>
  <c r="AS442" i="1"/>
  <c r="AS441" i="1"/>
  <c r="AS440" i="1"/>
  <c r="AS439" i="1"/>
  <c r="AS438" i="1"/>
  <c r="AS437" i="1"/>
  <c r="AS436" i="1"/>
  <c r="AS435" i="1"/>
  <c r="AS434" i="1"/>
  <c r="AS433" i="1"/>
  <c r="AS432" i="1"/>
  <c r="AS431" i="1"/>
  <c r="AS430" i="1"/>
  <c r="AS429" i="1"/>
  <c r="AS428" i="1"/>
  <c r="AS427" i="1"/>
  <c r="AS426" i="1"/>
  <c r="AS425" i="1"/>
  <c r="AS424" i="1"/>
  <c r="AS423" i="1"/>
  <c r="AS422" i="1"/>
  <c r="AS421" i="1"/>
  <c r="AS420" i="1"/>
  <c r="AS419" i="1"/>
  <c r="AS418" i="1"/>
  <c r="AS417" i="1"/>
  <c r="AS416" i="1"/>
  <c r="AS415" i="1"/>
  <c r="AS414" i="1"/>
  <c r="AS413" i="1"/>
  <c r="AS412" i="1"/>
  <c r="AS411" i="1"/>
  <c r="AS410" i="1"/>
  <c r="AS409" i="1"/>
  <c r="AS408" i="1"/>
  <c r="AS407" i="1"/>
  <c r="AS406" i="1"/>
  <c r="AS405" i="1"/>
  <c r="AS404" i="1"/>
  <c r="AS403" i="1"/>
  <c r="AS402" i="1"/>
  <c r="AS401" i="1"/>
  <c r="AS400" i="1"/>
  <c r="AS399" i="1"/>
  <c r="AS398" i="1"/>
  <c r="AS397" i="1"/>
  <c r="AS396" i="1"/>
  <c r="AS395" i="1"/>
  <c r="AS394" i="1"/>
  <c r="AS393" i="1"/>
  <c r="AS392" i="1"/>
  <c r="AS391" i="1"/>
  <c r="AS390" i="1"/>
  <c r="AS389" i="1"/>
  <c r="AS388" i="1"/>
  <c r="AS387" i="1"/>
  <c r="AS386" i="1"/>
  <c r="AS385" i="1"/>
  <c r="AS384" i="1"/>
  <c r="AS383" i="1"/>
  <c r="AS382" i="1"/>
  <c r="AS381" i="1"/>
  <c r="AS380" i="1"/>
  <c r="AS379" i="1"/>
  <c r="AS378" i="1"/>
  <c r="AS377" i="1"/>
  <c r="AS376" i="1"/>
  <c r="AS375" i="1"/>
  <c r="AS374" i="1"/>
  <c r="AS373" i="1"/>
  <c r="AS372" i="1"/>
  <c r="AS371" i="1"/>
  <c r="AS370" i="1"/>
  <c r="AS369" i="1"/>
  <c r="AS368" i="1"/>
  <c r="AS367" i="1"/>
  <c r="AS366" i="1"/>
  <c r="AS365" i="1"/>
  <c r="AS364" i="1"/>
  <c r="AS363" i="1"/>
  <c r="AS362" i="1"/>
  <c r="AS361" i="1"/>
  <c r="AS360" i="1"/>
  <c r="AS359" i="1"/>
  <c r="AS358" i="1"/>
  <c r="AS357" i="1"/>
  <c r="AS356" i="1"/>
  <c r="AS355" i="1"/>
  <c r="AS354" i="1"/>
  <c r="AS353" i="1"/>
  <c r="AS352" i="1"/>
  <c r="AS351" i="1"/>
  <c r="AS350" i="1"/>
  <c r="AS349" i="1"/>
  <c r="AS348" i="1"/>
  <c r="AS347" i="1"/>
  <c r="AS346" i="1"/>
  <c r="AS345" i="1"/>
  <c r="AS344" i="1"/>
  <c r="AS343" i="1"/>
  <c r="AS342" i="1"/>
  <c r="AS341" i="1"/>
  <c r="AS340" i="1"/>
  <c r="AS339" i="1"/>
  <c r="AS338" i="1"/>
  <c r="AS337" i="1"/>
  <c r="AS336" i="1"/>
  <c r="AS335" i="1"/>
  <c r="AS334" i="1"/>
  <c r="AS333" i="1"/>
  <c r="AS332" i="1"/>
  <c r="AS331" i="1"/>
  <c r="AS330" i="1"/>
  <c r="AS329" i="1"/>
  <c r="AS328" i="1"/>
  <c r="AS327" i="1"/>
  <c r="AS326" i="1"/>
  <c r="AS325" i="1"/>
  <c r="AS324" i="1"/>
  <c r="AS323" i="1"/>
  <c r="AS322" i="1"/>
  <c r="AS321" i="1"/>
  <c r="AS320" i="1"/>
  <c r="AS319" i="1"/>
  <c r="AS318" i="1"/>
  <c r="AS317" i="1"/>
  <c r="AS316" i="1"/>
  <c r="AS315" i="1"/>
  <c r="AS314" i="1"/>
  <c r="AS313" i="1"/>
  <c r="AS312" i="1"/>
  <c r="AS311" i="1"/>
  <c r="AS310" i="1"/>
  <c r="AS309" i="1"/>
  <c r="AS308" i="1"/>
  <c r="AS307" i="1"/>
  <c r="AS306" i="1"/>
  <c r="AS305" i="1"/>
  <c r="AS304" i="1"/>
  <c r="AS303" i="1"/>
  <c r="AS302" i="1"/>
  <c r="AS301" i="1"/>
  <c r="AS300" i="1"/>
  <c r="AS299" i="1"/>
  <c r="AS298" i="1"/>
  <c r="AS297" i="1"/>
  <c r="AS296" i="1"/>
  <c r="AS295" i="1"/>
  <c r="AS294" i="1"/>
  <c r="AS293" i="1"/>
  <c r="AS292" i="1"/>
  <c r="AS291" i="1"/>
  <c r="AS290" i="1"/>
  <c r="AS289" i="1"/>
  <c r="AS288" i="1"/>
  <c r="AS287" i="1"/>
  <c r="AS286" i="1"/>
  <c r="AS285" i="1"/>
  <c r="AS284" i="1"/>
  <c r="AS283" i="1"/>
  <c r="AS282" i="1"/>
  <c r="AS281" i="1"/>
  <c r="AS280" i="1"/>
  <c r="AS279" i="1"/>
  <c r="AS278" i="1"/>
  <c r="AS277" i="1"/>
  <c r="AS276" i="1"/>
  <c r="AS275" i="1"/>
  <c r="AS274" i="1"/>
  <c r="AS273" i="1"/>
  <c r="AS272" i="1"/>
  <c r="AS271" i="1"/>
  <c r="AS270" i="1"/>
  <c r="AS269" i="1"/>
  <c r="AS268" i="1"/>
  <c r="AS267" i="1"/>
  <c r="AS266" i="1"/>
  <c r="AS265" i="1"/>
  <c r="AS264" i="1"/>
  <c r="AS263" i="1"/>
  <c r="AS262" i="1"/>
  <c r="AS261" i="1"/>
  <c r="AS260" i="1"/>
  <c r="AS259" i="1"/>
  <c r="AS258" i="1"/>
  <c r="AS257" i="1"/>
  <c r="AS256" i="1"/>
  <c r="AS255" i="1"/>
  <c r="AS254" i="1"/>
  <c r="AS253" i="1"/>
  <c r="AS252" i="1"/>
  <c r="AS251" i="1"/>
  <c r="AS250" i="1"/>
  <c r="AS249" i="1"/>
  <c r="AS248" i="1"/>
  <c r="AS247" i="1"/>
  <c r="AS246" i="1"/>
  <c r="AS245" i="1"/>
  <c r="AS244" i="1"/>
  <c r="AS243" i="1"/>
  <c r="AS242" i="1"/>
  <c r="AS241" i="1"/>
  <c r="AS240" i="1"/>
  <c r="AS239" i="1"/>
  <c r="AS238" i="1"/>
  <c r="AS237" i="1"/>
  <c r="AS236" i="1"/>
  <c r="AS235" i="1"/>
  <c r="AS234" i="1"/>
  <c r="AS233" i="1"/>
  <c r="AS232" i="1"/>
  <c r="AS231" i="1"/>
  <c r="AS230" i="1"/>
  <c r="AS229" i="1"/>
  <c r="AS228" i="1"/>
  <c r="AS227" i="1"/>
  <c r="AS226" i="1"/>
  <c r="AS225" i="1"/>
  <c r="AS224" i="1"/>
  <c r="AS223" i="1"/>
  <c r="AS222" i="1"/>
  <c r="AS221" i="1"/>
  <c r="AS220" i="1"/>
  <c r="AS219" i="1"/>
  <c r="AS218" i="1"/>
  <c r="AS217" i="1"/>
  <c r="AS216" i="1"/>
  <c r="AS215" i="1"/>
  <c r="AS214" i="1"/>
  <c r="AS213" i="1"/>
  <c r="AS212" i="1"/>
  <c r="AS211" i="1"/>
  <c r="AS210" i="1"/>
  <c r="AS209" i="1"/>
  <c r="AS208" i="1"/>
  <c r="AS207" i="1"/>
  <c r="AS206" i="1"/>
  <c r="AS205" i="1"/>
  <c r="AS204" i="1"/>
  <c r="AS203" i="1"/>
  <c r="AS202" i="1"/>
  <c r="AS201" i="1"/>
  <c r="AS200" i="1"/>
  <c r="AS199" i="1"/>
  <c r="AS198" i="1"/>
  <c r="AS197" i="1"/>
  <c r="AS196" i="1"/>
  <c r="AS195" i="1"/>
  <c r="AS194" i="1"/>
  <c r="AS193" i="1"/>
  <c r="AS192" i="1"/>
  <c r="AS191" i="1"/>
  <c r="AS190" i="1"/>
  <c r="AS189" i="1"/>
  <c r="AS188" i="1"/>
  <c r="AS187" i="1"/>
  <c r="AS186" i="1"/>
  <c r="AS185" i="1"/>
  <c r="AS184" i="1"/>
  <c r="AS183" i="1"/>
  <c r="AS182" i="1"/>
  <c r="AS181" i="1"/>
  <c r="AS180" i="1"/>
  <c r="AS179" i="1"/>
  <c r="AS178" i="1"/>
  <c r="AS177" i="1"/>
  <c r="AS176" i="1"/>
  <c r="AS175" i="1"/>
  <c r="AS174" i="1"/>
  <c r="AS173" i="1"/>
  <c r="AS172" i="1"/>
  <c r="AS171" i="1"/>
  <c r="AS170" i="1"/>
  <c r="AS169" i="1"/>
  <c r="AS168" i="1"/>
  <c r="AS167" i="1"/>
  <c r="AS166" i="1"/>
  <c r="AS165" i="1"/>
  <c r="AS164" i="1"/>
  <c r="AS163" i="1"/>
  <c r="AS162" i="1"/>
  <c r="AS161" i="1"/>
  <c r="AS160" i="1"/>
  <c r="AS159" i="1"/>
  <c r="AS158" i="1"/>
  <c r="AS157" i="1"/>
  <c r="AS156" i="1"/>
  <c r="AS155" i="1"/>
  <c r="AS154" i="1"/>
  <c r="AS153" i="1"/>
  <c r="AS152" i="1"/>
  <c r="AS151" i="1"/>
  <c r="AS150" i="1"/>
  <c r="AS149" i="1"/>
  <c r="AS148" i="1"/>
  <c r="AS147" i="1"/>
  <c r="AS146" i="1"/>
  <c r="AS145" i="1"/>
  <c r="AS144" i="1"/>
  <c r="AS143" i="1"/>
  <c r="AS142" i="1"/>
  <c r="AS141" i="1"/>
  <c r="AS140" i="1"/>
  <c r="AS139" i="1"/>
  <c r="AS138" i="1"/>
  <c r="AS137" i="1"/>
  <c r="AS136" i="1"/>
  <c r="AS135" i="1"/>
  <c r="AS134" i="1"/>
  <c r="AS133" i="1"/>
  <c r="AS132" i="1"/>
  <c r="AS131" i="1"/>
  <c r="AS130" i="1"/>
  <c r="AS129" i="1"/>
  <c r="AS128" i="1"/>
  <c r="AS127" i="1"/>
  <c r="AS126" i="1"/>
  <c r="AS125" i="1"/>
  <c r="AS124" i="1"/>
  <c r="AS123" i="1"/>
  <c r="AS122" i="1"/>
  <c r="AS121" i="1"/>
  <c r="AS120" i="1"/>
  <c r="AS119" i="1"/>
  <c r="AS118" i="1"/>
  <c r="AS117" i="1"/>
  <c r="AS116" i="1"/>
  <c r="AS115" i="1"/>
  <c r="AS114" i="1"/>
  <c r="AS113" i="1"/>
  <c r="AS112" i="1"/>
  <c r="AS111" i="1"/>
  <c r="AS110" i="1"/>
  <c r="AS109" i="1"/>
  <c r="AS108" i="1"/>
  <c r="AS107" i="1"/>
  <c r="AS106" i="1"/>
  <c r="AS105" i="1"/>
  <c r="AS104" i="1"/>
  <c r="AS103" i="1"/>
  <c r="AS102" i="1"/>
  <c r="AS101" i="1"/>
  <c r="AS100" i="1"/>
  <c r="AS99" i="1"/>
  <c r="AS98" i="1"/>
  <c r="AS97" i="1"/>
  <c r="AS96" i="1"/>
  <c r="AS95" i="1"/>
  <c r="AS94" i="1"/>
  <c r="AS93" i="1"/>
  <c r="AS92" i="1"/>
  <c r="AS91" i="1"/>
  <c r="AS90" i="1"/>
  <c r="AS89" i="1"/>
  <c r="AS88" i="1"/>
  <c r="AS87" i="1"/>
  <c r="AS86" i="1"/>
  <c r="AS85" i="1"/>
  <c r="AS84" i="1"/>
  <c r="AS83" i="1"/>
  <c r="AS82" i="1"/>
  <c r="AS81" i="1"/>
  <c r="AS80" i="1"/>
  <c r="AS79" i="1"/>
  <c r="AS78" i="1"/>
  <c r="AS77" i="1"/>
  <c r="AS76" i="1"/>
  <c r="AS75" i="1"/>
  <c r="AS74" i="1"/>
  <c r="AS73" i="1"/>
  <c r="AS72" i="1"/>
  <c r="AS71" i="1"/>
  <c r="AS70" i="1"/>
  <c r="AS69" i="1"/>
  <c r="AS68" i="1"/>
  <c r="AS67" i="1"/>
  <c r="AS66" i="1"/>
  <c r="AS65" i="1"/>
  <c r="AS64" i="1"/>
  <c r="AS63" i="1"/>
  <c r="AS62" i="1"/>
  <c r="AS61" i="1"/>
  <c r="AS60" i="1"/>
  <c r="AS59" i="1"/>
  <c r="AS58" i="1"/>
  <c r="AS57" i="1"/>
  <c r="AS56" i="1"/>
  <c r="AS55" i="1"/>
  <c r="AS54" i="1"/>
  <c r="AS53" i="1"/>
  <c r="AS52" i="1"/>
  <c r="AS51" i="1"/>
  <c r="AS50" i="1"/>
  <c r="AS49" i="1"/>
  <c r="AS48" i="1"/>
  <c r="AS47" i="1"/>
  <c r="AS46" i="1"/>
  <c r="AS45" i="1"/>
  <c r="AS44" i="1"/>
  <c r="AS43" i="1"/>
  <c r="AS42" i="1"/>
  <c r="AS41" i="1"/>
  <c r="AS40" i="1"/>
  <c r="AS39" i="1"/>
  <c r="AS38" i="1"/>
  <c r="AS37" i="1"/>
  <c r="AS36" i="1"/>
  <c r="AS35" i="1"/>
  <c r="AS34" i="1"/>
  <c r="AS33" i="1"/>
  <c r="AS32" i="1"/>
  <c r="AS31" i="1"/>
  <c r="AS30" i="1"/>
  <c r="AS29" i="1"/>
  <c r="AS28" i="1"/>
  <c r="AS27" i="1"/>
  <c r="AS26" i="1"/>
  <c r="AS25" i="1"/>
  <c r="AS24" i="1"/>
  <c r="AS23" i="1"/>
  <c r="AS22" i="1"/>
  <c r="AS21" i="1"/>
  <c r="AS20" i="1"/>
  <c r="AS19" i="1"/>
  <c r="AS18" i="1"/>
  <c r="AS17" i="1"/>
  <c r="AO1112" i="1"/>
  <c r="AO1111" i="1"/>
  <c r="AO1110" i="1"/>
  <c r="AO1109" i="1"/>
  <c r="AO1108" i="1"/>
  <c r="AO1107" i="1"/>
  <c r="AO1106" i="1"/>
  <c r="AO1105" i="1"/>
  <c r="AO1104" i="1"/>
  <c r="AO1103" i="1"/>
  <c r="AO1102" i="1"/>
  <c r="AO1101" i="1"/>
  <c r="AO1100" i="1"/>
  <c r="AO1099" i="1"/>
  <c r="AO1098" i="1"/>
  <c r="AO1097" i="1"/>
  <c r="AO1096" i="1"/>
  <c r="AO1095" i="1"/>
  <c r="AO1094" i="1"/>
  <c r="AO1093" i="1"/>
  <c r="AO1092" i="1"/>
  <c r="AO1091" i="1"/>
  <c r="AO1090" i="1"/>
  <c r="AO1089" i="1"/>
  <c r="AO1088" i="1"/>
  <c r="AO1087" i="1"/>
  <c r="AO1086" i="1"/>
  <c r="AO1085" i="1"/>
  <c r="AO1084" i="1"/>
  <c r="AO1083" i="1"/>
  <c r="AO1082" i="1"/>
  <c r="AO1081" i="1"/>
  <c r="AO1080" i="1"/>
  <c r="AO1079" i="1"/>
  <c r="AO1078" i="1"/>
  <c r="AO1077" i="1"/>
  <c r="AO1076" i="1"/>
  <c r="AO1075" i="1"/>
  <c r="AO1074" i="1"/>
  <c r="AO1073" i="1"/>
  <c r="AO1072" i="1"/>
  <c r="AO1071" i="1"/>
  <c r="AO1070" i="1"/>
  <c r="AO1069" i="1"/>
  <c r="AO1068" i="1"/>
  <c r="AO1067" i="1"/>
  <c r="AO1066" i="1"/>
  <c r="AO1065" i="1"/>
  <c r="AO1064" i="1"/>
  <c r="AO1063" i="1"/>
  <c r="AO1062" i="1"/>
  <c r="AO1061" i="1"/>
  <c r="AO1060" i="1"/>
  <c r="AO1059" i="1"/>
  <c r="AO1058" i="1"/>
  <c r="AO1057" i="1"/>
  <c r="AO1056" i="1"/>
  <c r="AO1055" i="1"/>
  <c r="AO1054" i="1"/>
  <c r="AO1053" i="1"/>
  <c r="AO1052" i="1"/>
  <c r="AO1051" i="1"/>
  <c r="AO1050" i="1"/>
  <c r="AO1049" i="1"/>
  <c r="AO1048" i="1"/>
  <c r="AO1047" i="1"/>
  <c r="AO1046" i="1"/>
  <c r="AO1045" i="1"/>
  <c r="AO1044" i="1"/>
  <c r="AO1043" i="1"/>
  <c r="AO1042" i="1"/>
  <c r="AO1041" i="1"/>
  <c r="AO1040" i="1"/>
  <c r="AO1039" i="1"/>
  <c r="AO1038" i="1"/>
  <c r="AO1037" i="1"/>
  <c r="AO1036" i="1"/>
  <c r="AO1035" i="1"/>
  <c r="AO1034" i="1"/>
  <c r="AO1033" i="1"/>
  <c r="AO1032" i="1"/>
  <c r="AO1031" i="1"/>
  <c r="AO1030" i="1"/>
  <c r="AO1029" i="1"/>
  <c r="AO1028" i="1"/>
  <c r="AO1027" i="1"/>
  <c r="AO1026" i="1"/>
  <c r="AO1025" i="1"/>
  <c r="AO1024" i="1"/>
  <c r="AO1023" i="1"/>
  <c r="AO1022" i="1"/>
  <c r="AO1021" i="1"/>
  <c r="AO1020" i="1"/>
  <c r="AO1019" i="1"/>
  <c r="AO1018" i="1"/>
  <c r="AO1017" i="1"/>
  <c r="AO1016" i="1"/>
  <c r="AO1015" i="1"/>
  <c r="AO1014" i="1"/>
  <c r="AO1013" i="1"/>
  <c r="AO1012" i="1"/>
  <c r="AO1011" i="1"/>
  <c r="AO1010" i="1"/>
  <c r="AO1009" i="1"/>
  <c r="AO1008" i="1"/>
  <c r="AO1007" i="1"/>
  <c r="AO1006" i="1"/>
  <c r="AO1005" i="1"/>
  <c r="AO1004" i="1"/>
  <c r="AO1003" i="1"/>
  <c r="AO1002" i="1"/>
  <c r="AO1001" i="1"/>
  <c r="AO1000" i="1"/>
  <c r="AO999" i="1"/>
  <c r="AO998" i="1"/>
  <c r="AO997" i="1"/>
  <c r="AO996" i="1"/>
  <c r="AO995" i="1"/>
  <c r="AO994" i="1"/>
  <c r="AO993" i="1"/>
  <c r="AO992" i="1"/>
  <c r="AO991" i="1"/>
  <c r="AO990" i="1"/>
  <c r="AP991" i="1" s="1"/>
  <c r="AO989" i="1"/>
  <c r="AO988" i="1"/>
  <c r="AO987" i="1"/>
  <c r="AO986" i="1"/>
  <c r="AO985" i="1"/>
  <c r="AO984" i="1"/>
  <c r="AO983" i="1"/>
  <c r="AO982" i="1"/>
  <c r="AO981" i="1"/>
  <c r="AO980" i="1"/>
  <c r="AO979" i="1"/>
  <c r="AO978" i="1"/>
  <c r="AO977" i="1"/>
  <c r="AO976" i="1"/>
  <c r="AO975" i="1"/>
  <c r="AO974" i="1"/>
  <c r="AO973" i="1"/>
  <c r="AO972" i="1"/>
  <c r="AO971" i="1"/>
  <c r="AO970" i="1"/>
  <c r="AO969" i="1"/>
  <c r="AO968" i="1"/>
  <c r="AO967" i="1"/>
  <c r="AO966" i="1"/>
  <c r="AO965" i="1"/>
  <c r="AO964" i="1"/>
  <c r="AO963" i="1"/>
  <c r="AO962" i="1"/>
  <c r="AO961" i="1"/>
  <c r="AO960" i="1"/>
  <c r="AO959" i="1"/>
  <c r="AO958" i="1"/>
  <c r="AO957" i="1"/>
  <c r="AO956" i="1"/>
  <c r="AO955" i="1"/>
  <c r="AO954" i="1"/>
  <c r="AO953" i="1"/>
  <c r="AO952" i="1"/>
  <c r="AO951" i="1"/>
  <c r="AO950" i="1"/>
  <c r="AO949" i="1"/>
  <c r="AO948" i="1"/>
  <c r="AO947" i="1"/>
  <c r="AO946" i="1"/>
  <c r="AO945" i="1"/>
  <c r="AO944" i="1"/>
  <c r="AO943" i="1"/>
  <c r="AO942" i="1"/>
  <c r="AO941" i="1"/>
  <c r="AO940" i="1"/>
  <c r="AO939" i="1"/>
  <c r="AO938" i="1"/>
  <c r="AO937" i="1"/>
  <c r="AO936" i="1"/>
  <c r="AO935" i="1"/>
  <c r="AO934" i="1"/>
  <c r="AO933" i="1"/>
  <c r="AO932" i="1"/>
  <c r="AO931" i="1"/>
  <c r="AO930" i="1"/>
  <c r="AO929" i="1"/>
  <c r="AO928" i="1"/>
  <c r="AO927" i="1"/>
  <c r="AO926" i="1"/>
  <c r="AO925" i="1"/>
  <c r="AO924" i="1"/>
  <c r="AO923" i="1"/>
  <c r="AO922" i="1"/>
  <c r="AO921" i="1"/>
  <c r="AO920" i="1"/>
  <c r="AO919" i="1"/>
  <c r="AO918" i="1"/>
  <c r="AO917" i="1"/>
  <c r="AO916" i="1"/>
  <c r="AO915" i="1"/>
  <c r="AO914" i="1"/>
  <c r="AO913" i="1"/>
  <c r="AO912" i="1"/>
  <c r="AO911" i="1"/>
  <c r="AO910" i="1"/>
  <c r="AO909" i="1"/>
  <c r="AO908" i="1"/>
  <c r="AO907" i="1"/>
  <c r="AO906" i="1"/>
  <c r="AO905" i="1"/>
  <c r="AO904" i="1"/>
  <c r="AO903" i="1"/>
  <c r="AO902" i="1"/>
  <c r="AO901" i="1"/>
  <c r="AO900" i="1"/>
  <c r="AO899" i="1"/>
  <c r="AO898" i="1"/>
  <c r="AO897" i="1"/>
  <c r="AO896" i="1"/>
  <c r="AO895" i="1"/>
  <c r="AO894" i="1"/>
  <c r="AO893" i="1"/>
  <c r="AO892" i="1"/>
  <c r="AO891" i="1"/>
  <c r="AO890" i="1"/>
  <c r="AO889" i="1"/>
  <c r="AO888" i="1"/>
  <c r="AO887" i="1"/>
  <c r="AO886" i="1"/>
  <c r="AO885" i="1"/>
  <c r="AO884" i="1"/>
  <c r="AO883" i="1"/>
  <c r="AO882" i="1"/>
  <c r="AO881" i="1"/>
  <c r="AO880" i="1"/>
  <c r="AO879" i="1"/>
  <c r="AO878" i="1"/>
  <c r="AO877" i="1"/>
  <c r="AO876" i="1"/>
  <c r="AO875" i="1"/>
  <c r="AO874" i="1"/>
  <c r="AO873" i="1"/>
  <c r="AO872" i="1"/>
  <c r="AO871" i="1"/>
  <c r="AO870" i="1"/>
  <c r="AO869" i="1"/>
  <c r="AO868" i="1"/>
  <c r="AO867" i="1"/>
  <c r="AO866" i="1"/>
  <c r="AO865" i="1"/>
  <c r="AO864" i="1"/>
  <c r="AO863" i="1"/>
  <c r="AO862" i="1"/>
  <c r="AO861" i="1"/>
  <c r="AO860" i="1"/>
  <c r="AO859" i="1"/>
  <c r="AO858" i="1"/>
  <c r="AO857" i="1"/>
  <c r="AO856" i="1"/>
  <c r="AO855" i="1"/>
  <c r="AO854" i="1"/>
  <c r="AO853" i="1"/>
  <c r="AO852" i="1"/>
  <c r="AO851" i="1"/>
  <c r="AO850" i="1"/>
  <c r="AO849" i="1"/>
  <c r="AO848" i="1"/>
  <c r="AO847" i="1"/>
  <c r="AO846" i="1"/>
  <c r="AO845" i="1"/>
  <c r="AO844" i="1"/>
  <c r="AO843" i="1"/>
  <c r="AO842" i="1"/>
  <c r="AO841" i="1"/>
  <c r="AO840" i="1"/>
  <c r="AO839" i="1"/>
  <c r="AO838" i="1"/>
  <c r="AO837" i="1"/>
  <c r="AO836" i="1"/>
  <c r="AO835" i="1"/>
  <c r="AO834" i="1"/>
  <c r="AO833" i="1"/>
  <c r="AO832" i="1"/>
  <c r="AO831" i="1"/>
  <c r="AO830" i="1"/>
  <c r="AO829" i="1"/>
  <c r="AO828" i="1"/>
  <c r="AO827" i="1"/>
  <c r="AO826" i="1"/>
  <c r="AO825" i="1"/>
  <c r="AO824" i="1"/>
  <c r="AO823" i="1"/>
  <c r="AO822" i="1"/>
  <c r="AO821" i="1"/>
  <c r="AO820" i="1"/>
  <c r="AO819" i="1"/>
  <c r="AO818" i="1"/>
  <c r="AO817" i="1"/>
  <c r="AO816" i="1"/>
  <c r="AO815" i="1"/>
  <c r="AO814" i="1"/>
  <c r="AO813" i="1"/>
  <c r="AO812" i="1"/>
  <c r="AO811" i="1"/>
  <c r="AO810" i="1"/>
  <c r="AO809" i="1"/>
  <c r="AO808" i="1"/>
  <c r="AO807" i="1"/>
  <c r="AO806" i="1"/>
  <c r="AP807" i="1" s="1"/>
  <c r="AO805" i="1"/>
  <c r="AO804" i="1"/>
  <c r="AO803" i="1"/>
  <c r="AO802" i="1"/>
  <c r="AO801" i="1"/>
  <c r="AO800" i="1"/>
  <c r="AO799" i="1"/>
  <c r="AO798" i="1"/>
  <c r="AO797" i="1"/>
  <c r="AO796" i="1"/>
  <c r="AO795" i="1"/>
  <c r="AO794" i="1"/>
  <c r="AO793" i="1"/>
  <c r="AO792" i="1"/>
  <c r="AO791" i="1"/>
  <c r="AO790" i="1"/>
  <c r="AO789" i="1"/>
  <c r="AO788" i="1"/>
  <c r="AO787" i="1"/>
  <c r="AO786" i="1"/>
  <c r="AO785" i="1"/>
  <c r="AO784" i="1"/>
  <c r="AO783" i="1"/>
  <c r="AO782" i="1"/>
  <c r="AO781" i="1"/>
  <c r="AO780" i="1"/>
  <c r="AO779" i="1"/>
  <c r="AO778" i="1"/>
  <c r="AO777" i="1"/>
  <c r="AP778" i="1" s="1"/>
  <c r="AO776" i="1"/>
  <c r="AO775" i="1"/>
  <c r="AO774" i="1"/>
  <c r="AO773" i="1"/>
  <c r="AO772" i="1"/>
  <c r="AO771" i="1"/>
  <c r="AO770" i="1"/>
  <c r="AO769" i="1"/>
  <c r="AO768" i="1"/>
  <c r="AO767" i="1"/>
  <c r="AO766" i="1"/>
  <c r="AO765" i="1"/>
  <c r="AO764" i="1"/>
  <c r="AO763" i="1"/>
  <c r="AO762" i="1"/>
  <c r="AO761" i="1"/>
  <c r="AO760" i="1"/>
  <c r="AO759" i="1"/>
  <c r="AO758" i="1"/>
  <c r="AO757" i="1"/>
  <c r="AO756" i="1"/>
  <c r="AO755" i="1"/>
  <c r="AO754" i="1"/>
  <c r="AO753" i="1"/>
  <c r="AO752" i="1"/>
  <c r="AO751" i="1"/>
  <c r="AO750" i="1"/>
  <c r="AO749" i="1"/>
  <c r="AO748" i="1"/>
  <c r="AO747" i="1"/>
  <c r="AO746" i="1"/>
  <c r="AO745" i="1"/>
  <c r="AO744" i="1"/>
  <c r="AO743" i="1"/>
  <c r="AO742" i="1"/>
  <c r="AO741" i="1"/>
  <c r="AO740" i="1"/>
  <c r="AO739" i="1"/>
  <c r="AO738" i="1"/>
  <c r="AO737" i="1"/>
  <c r="AO736" i="1"/>
  <c r="AO735" i="1"/>
  <c r="AO734" i="1"/>
  <c r="AO733" i="1"/>
  <c r="AO732" i="1"/>
  <c r="AO731" i="1"/>
  <c r="AO730" i="1"/>
  <c r="AO729" i="1"/>
  <c r="AO728" i="1"/>
  <c r="AO727" i="1"/>
  <c r="AO726" i="1"/>
  <c r="AO725" i="1"/>
  <c r="AO724" i="1"/>
  <c r="AO723" i="1"/>
  <c r="AO722" i="1"/>
  <c r="AO721" i="1"/>
  <c r="AO720" i="1"/>
  <c r="AO719" i="1"/>
  <c r="AO718" i="1"/>
  <c r="AO717" i="1"/>
  <c r="AO716" i="1"/>
  <c r="AO715" i="1"/>
  <c r="AO714" i="1"/>
  <c r="AO713" i="1"/>
  <c r="AO712" i="1"/>
  <c r="AO711" i="1"/>
  <c r="AO710" i="1"/>
  <c r="AO709" i="1"/>
  <c r="AO708" i="1"/>
  <c r="AO707" i="1"/>
  <c r="AO706" i="1"/>
  <c r="AO705" i="1"/>
  <c r="AO704" i="1"/>
  <c r="AO703" i="1"/>
  <c r="AO702" i="1"/>
  <c r="AO701" i="1"/>
  <c r="AO700" i="1"/>
  <c r="AO699" i="1"/>
  <c r="AO698" i="1"/>
  <c r="AO697" i="1"/>
  <c r="AO696" i="1"/>
  <c r="AO695" i="1"/>
  <c r="AO694" i="1"/>
  <c r="AO693" i="1"/>
  <c r="AO692" i="1"/>
  <c r="AO691" i="1"/>
  <c r="AO690" i="1"/>
  <c r="AO689" i="1"/>
  <c r="AO688" i="1"/>
  <c r="AO687" i="1"/>
  <c r="AO686" i="1"/>
  <c r="AO685" i="1"/>
  <c r="AO684" i="1"/>
  <c r="AO683" i="1"/>
  <c r="AO682" i="1"/>
  <c r="AO681" i="1"/>
  <c r="AO680" i="1"/>
  <c r="AO679" i="1"/>
  <c r="AO678" i="1"/>
  <c r="AO677" i="1"/>
  <c r="AO676" i="1"/>
  <c r="AO675" i="1"/>
  <c r="AO674" i="1"/>
  <c r="AO673" i="1"/>
  <c r="AO672" i="1"/>
  <c r="AO671" i="1"/>
  <c r="AO670" i="1"/>
  <c r="AO669" i="1"/>
  <c r="AO668" i="1"/>
  <c r="AO667" i="1"/>
  <c r="AO666" i="1"/>
  <c r="AO665" i="1"/>
  <c r="AO664" i="1"/>
  <c r="AO663" i="1"/>
  <c r="AO662" i="1"/>
  <c r="AO661" i="1"/>
  <c r="AO660" i="1"/>
  <c r="AO659" i="1"/>
  <c r="AO658" i="1"/>
  <c r="AO657" i="1"/>
  <c r="AO656" i="1"/>
  <c r="AO655" i="1"/>
  <c r="AO654" i="1"/>
  <c r="AP655" i="1" s="1"/>
  <c r="AO653" i="1"/>
  <c r="AO652" i="1"/>
  <c r="AO651" i="1"/>
  <c r="AO650" i="1"/>
  <c r="AO649" i="1"/>
  <c r="AO648" i="1"/>
  <c r="AO647" i="1"/>
  <c r="AO646" i="1"/>
  <c r="AO645" i="1"/>
  <c r="AO644" i="1"/>
  <c r="AO643" i="1"/>
  <c r="AO642" i="1"/>
  <c r="AO641" i="1"/>
  <c r="AO640" i="1"/>
  <c r="AO639" i="1"/>
  <c r="AO638" i="1"/>
  <c r="AO637" i="1"/>
  <c r="AO636" i="1"/>
  <c r="AO635" i="1"/>
  <c r="AO634" i="1"/>
  <c r="AO633" i="1"/>
  <c r="AO632" i="1"/>
  <c r="AO631" i="1"/>
  <c r="AO630" i="1"/>
  <c r="AO629" i="1"/>
  <c r="AO628" i="1"/>
  <c r="AO627" i="1"/>
  <c r="AO626" i="1"/>
  <c r="AO625" i="1"/>
  <c r="AO624" i="1"/>
  <c r="AO623" i="1"/>
  <c r="AO622" i="1"/>
  <c r="AO621" i="1"/>
  <c r="AO620" i="1"/>
  <c r="AO619" i="1"/>
  <c r="AO618" i="1"/>
  <c r="AO617" i="1"/>
  <c r="AO616" i="1"/>
  <c r="AO615" i="1"/>
  <c r="AO614" i="1"/>
  <c r="AO613" i="1"/>
  <c r="AO612" i="1"/>
  <c r="AO611" i="1"/>
  <c r="AO610" i="1"/>
  <c r="AO609" i="1"/>
  <c r="AO608" i="1"/>
  <c r="AO607" i="1"/>
  <c r="AO606" i="1"/>
  <c r="AO605" i="1"/>
  <c r="AO604" i="1"/>
  <c r="AO603" i="1"/>
  <c r="AO602" i="1"/>
  <c r="AO601" i="1"/>
  <c r="AO600" i="1"/>
  <c r="AO599" i="1"/>
  <c r="AO598" i="1"/>
  <c r="AO597" i="1"/>
  <c r="AO596" i="1"/>
  <c r="AO595" i="1"/>
  <c r="AO594" i="1"/>
  <c r="AO593" i="1"/>
  <c r="AO592" i="1"/>
  <c r="AO591" i="1"/>
  <c r="AO590" i="1"/>
  <c r="AO589" i="1"/>
  <c r="AO588" i="1"/>
  <c r="AO587" i="1"/>
  <c r="AO586" i="1"/>
  <c r="AO585" i="1"/>
  <c r="AO584" i="1"/>
  <c r="AO583" i="1"/>
  <c r="AO582" i="1"/>
  <c r="AO581" i="1"/>
  <c r="AO580" i="1"/>
  <c r="AO579" i="1"/>
  <c r="AO578" i="1"/>
  <c r="AO577" i="1"/>
  <c r="AO576" i="1"/>
  <c r="AO575" i="1"/>
  <c r="AO574" i="1"/>
  <c r="AO573" i="1"/>
  <c r="AO572" i="1"/>
  <c r="AO571" i="1"/>
  <c r="AO570" i="1"/>
  <c r="AO569" i="1"/>
  <c r="AO568" i="1"/>
  <c r="AO567" i="1"/>
  <c r="AO566" i="1"/>
  <c r="AO565" i="1"/>
  <c r="AO564" i="1"/>
  <c r="AO563" i="1"/>
  <c r="AO562" i="1"/>
  <c r="AO561" i="1"/>
  <c r="AO560" i="1"/>
  <c r="AO559" i="1"/>
  <c r="AO558" i="1"/>
  <c r="AO557" i="1"/>
  <c r="AO556" i="1"/>
  <c r="AO555" i="1"/>
  <c r="AO554" i="1"/>
  <c r="AO553" i="1"/>
  <c r="AO552" i="1"/>
  <c r="AO551" i="1"/>
  <c r="AO550" i="1"/>
  <c r="AO549" i="1"/>
  <c r="AO548" i="1"/>
  <c r="AO547" i="1"/>
  <c r="AO546" i="1"/>
  <c r="AO545" i="1"/>
  <c r="AO544" i="1"/>
  <c r="AO543" i="1"/>
  <c r="AO542" i="1"/>
  <c r="AO541" i="1"/>
  <c r="AO540" i="1"/>
  <c r="AO539" i="1"/>
  <c r="AO538" i="1"/>
  <c r="AO537" i="1"/>
  <c r="AO536" i="1"/>
  <c r="AO535" i="1"/>
  <c r="AO534" i="1"/>
  <c r="AO533" i="1"/>
  <c r="AO532" i="1"/>
  <c r="AO531" i="1"/>
  <c r="AO530" i="1"/>
  <c r="AO529" i="1"/>
  <c r="AO528" i="1"/>
  <c r="AO527" i="1"/>
  <c r="AO526" i="1"/>
  <c r="AO525" i="1"/>
  <c r="AO524" i="1"/>
  <c r="AO523" i="1"/>
  <c r="AO522" i="1"/>
  <c r="AO521" i="1"/>
  <c r="AO520" i="1"/>
  <c r="AO519" i="1"/>
  <c r="AO518" i="1"/>
  <c r="AO517" i="1"/>
  <c r="AO516" i="1"/>
  <c r="AO515" i="1"/>
  <c r="AO514" i="1"/>
  <c r="AO513" i="1"/>
  <c r="AO512" i="1"/>
  <c r="AO511" i="1"/>
  <c r="AO510" i="1"/>
  <c r="AO509" i="1"/>
  <c r="AO508" i="1"/>
  <c r="AO507" i="1"/>
  <c r="AO506" i="1"/>
  <c r="AO505" i="1"/>
  <c r="AO504" i="1"/>
  <c r="AO503" i="1"/>
  <c r="AO502" i="1"/>
  <c r="AO501" i="1"/>
  <c r="AO500" i="1"/>
  <c r="AO499" i="1"/>
  <c r="AO498" i="1"/>
  <c r="AO497" i="1"/>
  <c r="AO496" i="1"/>
  <c r="AO495" i="1"/>
  <c r="AO494" i="1"/>
  <c r="AO493" i="1"/>
  <c r="AO492" i="1"/>
  <c r="AO491" i="1"/>
  <c r="AO490" i="1"/>
  <c r="AO489" i="1"/>
  <c r="AO488" i="1"/>
  <c r="AO487" i="1"/>
  <c r="AO486" i="1"/>
  <c r="AO485" i="1"/>
  <c r="AO484" i="1"/>
  <c r="AO483" i="1"/>
  <c r="AO482" i="1"/>
  <c r="AO481" i="1"/>
  <c r="AO480" i="1"/>
  <c r="AO479" i="1"/>
  <c r="AO478" i="1"/>
  <c r="AO477" i="1"/>
  <c r="AO476" i="1"/>
  <c r="AO475" i="1"/>
  <c r="AO474" i="1"/>
  <c r="AO473" i="1"/>
  <c r="AO472" i="1"/>
  <c r="AO471" i="1"/>
  <c r="AO470" i="1"/>
  <c r="AO469" i="1"/>
  <c r="AO468" i="1"/>
  <c r="AO467" i="1"/>
  <c r="AO466" i="1"/>
  <c r="AO465" i="1"/>
  <c r="AO464" i="1"/>
  <c r="AO463" i="1"/>
  <c r="AO462" i="1"/>
  <c r="AO461" i="1"/>
  <c r="AO460" i="1"/>
  <c r="AO459" i="1"/>
  <c r="AO458" i="1"/>
  <c r="AO457" i="1"/>
  <c r="AO456" i="1"/>
  <c r="AO455" i="1"/>
  <c r="AO454" i="1"/>
  <c r="AO453" i="1"/>
  <c r="AO452" i="1"/>
  <c r="AO451" i="1"/>
  <c r="AO450" i="1"/>
  <c r="AO449" i="1"/>
  <c r="AO448" i="1"/>
  <c r="AO447" i="1"/>
  <c r="AO446" i="1"/>
  <c r="AO445" i="1"/>
  <c r="AO444" i="1"/>
  <c r="AO443" i="1"/>
  <c r="AO442" i="1"/>
  <c r="AO441" i="1"/>
  <c r="AO440" i="1"/>
  <c r="AO439" i="1"/>
  <c r="AO438" i="1"/>
  <c r="AO437" i="1"/>
  <c r="AO436" i="1"/>
  <c r="AO435" i="1"/>
  <c r="AO434" i="1"/>
  <c r="AO433" i="1"/>
  <c r="AO432" i="1"/>
  <c r="AO431" i="1"/>
  <c r="AO430" i="1"/>
  <c r="AO429" i="1"/>
  <c r="AO428" i="1"/>
  <c r="AO427" i="1"/>
  <c r="AO426" i="1"/>
  <c r="AO425" i="1"/>
  <c r="AO424" i="1"/>
  <c r="AO423" i="1"/>
  <c r="AO422" i="1"/>
  <c r="AO421" i="1"/>
  <c r="AO420" i="1"/>
  <c r="AO419" i="1"/>
  <c r="AO418" i="1"/>
  <c r="AO417" i="1"/>
  <c r="AO416" i="1"/>
  <c r="AO415" i="1"/>
  <c r="AO414" i="1"/>
  <c r="AO413" i="1"/>
  <c r="AO412" i="1"/>
  <c r="AO411" i="1"/>
  <c r="AO410" i="1"/>
  <c r="AO409" i="1"/>
  <c r="AO408" i="1"/>
  <c r="AO407" i="1"/>
  <c r="AO406" i="1"/>
  <c r="AO405" i="1"/>
  <c r="AO404" i="1"/>
  <c r="AO403" i="1"/>
  <c r="AO402" i="1"/>
  <c r="AO401" i="1"/>
  <c r="AO400" i="1"/>
  <c r="AO399" i="1"/>
  <c r="AO398" i="1"/>
  <c r="AO397" i="1"/>
  <c r="AO396" i="1"/>
  <c r="AO395" i="1"/>
  <c r="AO394" i="1"/>
  <c r="AO393" i="1"/>
  <c r="AO392" i="1"/>
  <c r="AO391" i="1"/>
  <c r="AO390" i="1"/>
  <c r="AO389" i="1"/>
  <c r="AO388" i="1"/>
  <c r="AO387" i="1"/>
  <c r="AO386" i="1"/>
  <c r="AO385" i="1"/>
  <c r="AO384" i="1"/>
  <c r="AO383" i="1"/>
  <c r="AO382" i="1"/>
  <c r="AO381" i="1"/>
  <c r="AO380" i="1"/>
  <c r="AO379" i="1"/>
  <c r="AO378" i="1"/>
  <c r="AO377" i="1"/>
  <c r="AO376" i="1"/>
  <c r="AO375" i="1"/>
  <c r="AO374" i="1"/>
  <c r="AO373" i="1"/>
  <c r="AO372" i="1"/>
  <c r="AO371" i="1"/>
  <c r="AO370" i="1"/>
  <c r="AO369" i="1"/>
  <c r="AO368" i="1"/>
  <c r="AO367" i="1"/>
  <c r="AO366" i="1"/>
  <c r="AO365" i="1"/>
  <c r="AO364" i="1"/>
  <c r="AO363" i="1"/>
  <c r="AO362" i="1"/>
  <c r="AO361" i="1"/>
  <c r="AO360" i="1"/>
  <c r="AO359" i="1"/>
  <c r="AO358" i="1"/>
  <c r="AO357" i="1"/>
  <c r="AO356" i="1"/>
  <c r="AO355" i="1"/>
  <c r="AO354" i="1"/>
  <c r="AO353" i="1"/>
  <c r="AO352" i="1"/>
  <c r="AO351" i="1"/>
  <c r="AO350" i="1"/>
  <c r="AO349" i="1"/>
  <c r="AO348" i="1"/>
  <c r="AO347" i="1"/>
  <c r="AO346" i="1"/>
  <c r="AO345" i="1"/>
  <c r="AO344" i="1"/>
  <c r="AO343" i="1"/>
  <c r="AO342" i="1"/>
  <c r="AO341" i="1"/>
  <c r="AO340" i="1"/>
  <c r="AO339" i="1"/>
  <c r="AO338" i="1"/>
  <c r="AO337" i="1"/>
  <c r="AO336" i="1"/>
  <c r="AO335" i="1"/>
  <c r="AO334" i="1"/>
  <c r="AO333" i="1"/>
  <c r="AO332" i="1"/>
  <c r="AO331" i="1"/>
  <c r="AO330" i="1"/>
  <c r="AO329" i="1"/>
  <c r="AO328" i="1"/>
  <c r="AO327" i="1"/>
  <c r="AO326" i="1"/>
  <c r="AO325" i="1"/>
  <c r="AO324" i="1"/>
  <c r="AO323" i="1"/>
  <c r="AO322" i="1"/>
  <c r="AO321" i="1"/>
  <c r="AO320" i="1"/>
  <c r="AO319" i="1"/>
  <c r="AO318" i="1"/>
  <c r="AO317" i="1"/>
  <c r="AO316" i="1"/>
  <c r="AO315" i="1"/>
  <c r="AO314" i="1"/>
  <c r="AO313" i="1"/>
  <c r="AO312" i="1"/>
  <c r="AO311" i="1"/>
  <c r="AO310" i="1"/>
  <c r="AO309" i="1"/>
  <c r="AO308" i="1"/>
  <c r="AO307" i="1"/>
  <c r="AO306" i="1"/>
  <c r="AO305" i="1"/>
  <c r="AO304" i="1"/>
  <c r="AO303" i="1"/>
  <c r="AO302" i="1"/>
  <c r="AO301" i="1"/>
  <c r="AO300" i="1"/>
  <c r="AO299" i="1"/>
  <c r="AO298" i="1"/>
  <c r="AO297" i="1"/>
  <c r="AO296" i="1"/>
  <c r="AO295" i="1"/>
  <c r="AO294" i="1"/>
  <c r="AO293" i="1"/>
  <c r="AO292" i="1"/>
  <c r="AO291" i="1"/>
  <c r="AO290" i="1"/>
  <c r="AO289" i="1"/>
  <c r="AO288" i="1"/>
  <c r="AO287" i="1"/>
  <c r="AO286" i="1"/>
  <c r="AO285" i="1"/>
  <c r="AO284" i="1"/>
  <c r="AO283" i="1"/>
  <c r="AO282" i="1"/>
  <c r="AO281" i="1"/>
  <c r="AO280" i="1"/>
  <c r="AO279" i="1"/>
  <c r="AO278" i="1"/>
  <c r="AO277" i="1"/>
  <c r="AO276" i="1"/>
  <c r="AO275" i="1"/>
  <c r="AO274" i="1"/>
  <c r="AO273" i="1"/>
  <c r="AO272" i="1"/>
  <c r="AO271" i="1"/>
  <c r="AO270" i="1"/>
  <c r="AO269" i="1"/>
  <c r="AO268" i="1"/>
  <c r="AO267" i="1"/>
  <c r="AO266" i="1"/>
  <c r="AO265" i="1"/>
  <c r="AO264" i="1"/>
  <c r="AO263" i="1"/>
  <c r="AO262" i="1"/>
  <c r="AO261" i="1"/>
  <c r="AO260" i="1"/>
  <c r="AO259" i="1"/>
  <c r="AO258" i="1"/>
  <c r="AO257" i="1"/>
  <c r="AO256" i="1"/>
  <c r="AO255" i="1"/>
  <c r="AO254" i="1"/>
  <c r="AO253" i="1"/>
  <c r="AO252" i="1"/>
  <c r="AO251" i="1"/>
  <c r="AO250" i="1"/>
  <c r="AO249" i="1"/>
  <c r="AO248" i="1"/>
  <c r="AO247" i="1"/>
  <c r="AO246" i="1"/>
  <c r="AO245" i="1"/>
  <c r="AO244" i="1"/>
  <c r="AO243" i="1"/>
  <c r="AO242" i="1"/>
  <c r="AO241" i="1"/>
  <c r="AO240" i="1"/>
  <c r="AO239" i="1"/>
  <c r="AO238" i="1"/>
  <c r="AO237" i="1"/>
  <c r="AO236" i="1"/>
  <c r="AO235" i="1"/>
  <c r="AO234" i="1"/>
  <c r="AO233" i="1"/>
  <c r="AO232" i="1"/>
  <c r="AO231" i="1"/>
  <c r="AO230" i="1"/>
  <c r="AO229" i="1"/>
  <c r="AO228" i="1"/>
  <c r="AO227" i="1"/>
  <c r="AO226" i="1"/>
  <c r="AO225" i="1"/>
  <c r="AO224" i="1"/>
  <c r="AO223" i="1"/>
  <c r="AO222" i="1"/>
  <c r="AO221" i="1"/>
  <c r="AO220" i="1"/>
  <c r="AO219" i="1"/>
  <c r="AO218" i="1"/>
  <c r="AO217" i="1"/>
  <c r="AO216" i="1"/>
  <c r="AO215" i="1"/>
  <c r="AO214" i="1"/>
  <c r="AO213" i="1"/>
  <c r="AO212" i="1"/>
  <c r="AO211" i="1"/>
  <c r="AO210" i="1"/>
  <c r="AO209" i="1"/>
  <c r="AO208" i="1"/>
  <c r="AO207" i="1"/>
  <c r="AO206" i="1"/>
  <c r="AO205" i="1"/>
  <c r="AO204" i="1"/>
  <c r="AO203" i="1"/>
  <c r="AO202" i="1"/>
  <c r="AO201" i="1"/>
  <c r="AO200" i="1"/>
  <c r="AO199" i="1"/>
  <c r="AO198" i="1"/>
  <c r="AO197" i="1"/>
  <c r="AO196" i="1"/>
  <c r="AO195" i="1"/>
  <c r="AO194" i="1"/>
  <c r="AO193" i="1"/>
  <c r="AO192" i="1"/>
  <c r="AO191" i="1"/>
  <c r="AO190" i="1"/>
  <c r="AO189" i="1"/>
  <c r="AO188" i="1"/>
  <c r="AO187" i="1"/>
  <c r="AO186" i="1"/>
  <c r="AO185" i="1"/>
  <c r="AO184" i="1"/>
  <c r="AO183" i="1"/>
  <c r="AO182" i="1"/>
  <c r="AO181" i="1"/>
  <c r="AO180" i="1"/>
  <c r="AO179" i="1"/>
  <c r="AO178" i="1"/>
  <c r="AO177" i="1"/>
  <c r="AO176" i="1"/>
  <c r="AO175" i="1"/>
  <c r="AO174" i="1"/>
  <c r="AO173" i="1"/>
  <c r="AO172" i="1"/>
  <c r="AO171" i="1"/>
  <c r="AO170" i="1"/>
  <c r="AO169" i="1"/>
  <c r="AO168" i="1"/>
  <c r="AO167" i="1"/>
  <c r="AO166" i="1"/>
  <c r="AO165" i="1"/>
  <c r="AO164" i="1"/>
  <c r="AO163" i="1"/>
  <c r="AO162" i="1"/>
  <c r="AO161" i="1"/>
  <c r="AO160" i="1"/>
  <c r="AO159" i="1"/>
  <c r="AO158" i="1"/>
  <c r="AO157" i="1"/>
  <c r="AO156" i="1"/>
  <c r="AO155" i="1"/>
  <c r="AO154" i="1"/>
  <c r="AO153" i="1"/>
  <c r="AO152" i="1"/>
  <c r="AO151" i="1"/>
  <c r="AO150" i="1"/>
  <c r="AO149" i="1"/>
  <c r="AO148" i="1"/>
  <c r="AO147" i="1"/>
  <c r="AO146" i="1"/>
  <c r="AO145" i="1"/>
  <c r="AO144" i="1"/>
  <c r="AO143" i="1"/>
  <c r="AO142" i="1"/>
  <c r="AO141" i="1"/>
  <c r="AO140" i="1"/>
  <c r="AO139" i="1"/>
  <c r="AO138" i="1"/>
  <c r="AO137" i="1"/>
  <c r="AO136" i="1"/>
  <c r="AO135" i="1"/>
  <c r="AO134" i="1"/>
  <c r="AO133" i="1"/>
  <c r="AO132" i="1"/>
  <c r="AO131" i="1"/>
  <c r="AO130" i="1"/>
  <c r="AO129" i="1"/>
  <c r="AO128" i="1"/>
  <c r="AO127" i="1"/>
  <c r="AO126" i="1"/>
  <c r="AO125" i="1"/>
  <c r="AO124" i="1"/>
  <c r="AO123" i="1"/>
  <c r="AO122" i="1"/>
  <c r="AO121" i="1"/>
  <c r="AO120" i="1"/>
  <c r="AO119" i="1"/>
  <c r="AO118" i="1"/>
  <c r="AO117" i="1"/>
  <c r="AO116" i="1"/>
  <c r="AO115" i="1"/>
  <c r="AO114" i="1"/>
  <c r="AO113" i="1"/>
  <c r="AO112" i="1"/>
  <c r="AO111" i="1"/>
  <c r="AO110" i="1"/>
  <c r="AO109" i="1"/>
  <c r="AO108" i="1"/>
  <c r="AO107" i="1"/>
  <c r="AO106" i="1"/>
  <c r="AO105" i="1"/>
  <c r="AO104" i="1"/>
  <c r="AO103" i="1"/>
  <c r="AO102" i="1"/>
  <c r="AO101" i="1"/>
  <c r="AO100" i="1"/>
  <c r="AO99" i="1"/>
  <c r="AO98" i="1"/>
  <c r="AO97" i="1"/>
  <c r="AO96" i="1"/>
  <c r="AO95" i="1"/>
  <c r="AO94" i="1"/>
  <c r="AO93" i="1"/>
  <c r="AO92" i="1"/>
  <c r="AO91" i="1"/>
  <c r="AO90" i="1"/>
  <c r="AO89" i="1"/>
  <c r="AO88" i="1"/>
  <c r="AO87" i="1"/>
  <c r="AO86" i="1"/>
  <c r="AO85" i="1"/>
  <c r="AO84" i="1"/>
  <c r="AO83" i="1"/>
  <c r="AO82" i="1"/>
  <c r="AO81" i="1"/>
  <c r="AO80" i="1"/>
  <c r="AO79" i="1"/>
  <c r="AO78" i="1"/>
  <c r="AO77" i="1"/>
  <c r="AO76" i="1"/>
  <c r="AO75" i="1"/>
  <c r="AO74" i="1"/>
  <c r="AO73" i="1"/>
  <c r="AO72" i="1"/>
  <c r="AO71" i="1"/>
  <c r="AO70" i="1"/>
  <c r="AO69" i="1"/>
  <c r="AO68" i="1"/>
  <c r="AO67" i="1"/>
  <c r="AO66" i="1"/>
  <c r="AO65" i="1"/>
  <c r="AO64" i="1"/>
  <c r="AO63" i="1"/>
  <c r="AO62" i="1"/>
  <c r="AO61" i="1"/>
  <c r="AO60" i="1"/>
  <c r="AO59" i="1"/>
  <c r="AO58" i="1"/>
  <c r="AO57" i="1"/>
  <c r="AO56" i="1"/>
  <c r="AO55" i="1"/>
  <c r="AO54" i="1"/>
  <c r="AO53" i="1"/>
  <c r="AO52" i="1"/>
  <c r="AO51" i="1"/>
  <c r="AO50" i="1"/>
  <c r="AO49" i="1"/>
  <c r="AO48" i="1"/>
  <c r="AO47" i="1"/>
  <c r="AO46" i="1"/>
  <c r="AO45" i="1"/>
  <c r="AO44" i="1"/>
  <c r="AO43" i="1"/>
  <c r="AO42" i="1"/>
  <c r="AO41" i="1"/>
  <c r="AO40" i="1"/>
  <c r="AO39" i="1"/>
  <c r="AO38" i="1"/>
  <c r="AO37" i="1"/>
  <c r="AO36" i="1"/>
  <c r="AO35" i="1"/>
  <c r="AO34" i="1"/>
  <c r="AO33" i="1"/>
  <c r="AO32" i="1"/>
  <c r="AO31" i="1"/>
  <c r="AO30" i="1"/>
  <c r="AO29" i="1"/>
  <c r="AO28" i="1"/>
  <c r="AO27" i="1"/>
  <c r="AO26" i="1"/>
  <c r="AO25" i="1"/>
  <c r="AO24" i="1"/>
  <c r="AO23" i="1"/>
  <c r="AO22" i="1"/>
  <c r="AO21" i="1"/>
  <c r="AO20" i="1"/>
  <c r="AO19" i="1"/>
  <c r="AO18" i="1"/>
  <c r="AO17" i="1"/>
  <c r="AO10" i="1"/>
  <c r="AO12" i="1"/>
  <c r="AO14" i="1" s="1"/>
  <c r="AK1112" i="1"/>
  <c r="AK1111" i="1"/>
  <c r="AK1110" i="1"/>
  <c r="AK1109" i="1"/>
  <c r="AK1108" i="1"/>
  <c r="AK1107" i="1"/>
  <c r="AK1106" i="1"/>
  <c r="AK1105" i="1"/>
  <c r="AK1104" i="1"/>
  <c r="AK1103" i="1"/>
  <c r="AK1102" i="1"/>
  <c r="AK1101" i="1"/>
  <c r="AK1100" i="1"/>
  <c r="AK1099" i="1"/>
  <c r="AK1098" i="1"/>
  <c r="AK1097" i="1"/>
  <c r="AK1096" i="1"/>
  <c r="AK1095" i="1"/>
  <c r="AK1094" i="1"/>
  <c r="AK1093" i="1"/>
  <c r="AK1092" i="1"/>
  <c r="AK1091" i="1"/>
  <c r="AK1090" i="1"/>
  <c r="AK1089" i="1"/>
  <c r="AK1088" i="1"/>
  <c r="AK1087" i="1"/>
  <c r="AK1086" i="1"/>
  <c r="AK1085" i="1"/>
  <c r="AK1084" i="1"/>
  <c r="AK1083" i="1"/>
  <c r="AK1082" i="1"/>
  <c r="AK1081" i="1"/>
  <c r="AK1080" i="1"/>
  <c r="AK1079" i="1"/>
  <c r="AK1078" i="1"/>
  <c r="AK1077" i="1"/>
  <c r="AK1076" i="1"/>
  <c r="AK1075" i="1"/>
  <c r="AK1074" i="1"/>
  <c r="AK1073" i="1"/>
  <c r="AK1072" i="1"/>
  <c r="AK1071" i="1"/>
  <c r="AK1070" i="1"/>
  <c r="AK1069" i="1"/>
  <c r="AK1068" i="1"/>
  <c r="AK1067" i="1"/>
  <c r="AK1066" i="1"/>
  <c r="AK1065" i="1"/>
  <c r="AK1064" i="1"/>
  <c r="AK1063" i="1"/>
  <c r="AK1062" i="1"/>
  <c r="AK1061" i="1"/>
  <c r="AK1060" i="1"/>
  <c r="AK1059" i="1"/>
  <c r="AK1058" i="1"/>
  <c r="AK1057" i="1"/>
  <c r="AK1056" i="1"/>
  <c r="AK1055" i="1"/>
  <c r="AK1054" i="1"/>
  <c r="AK1053" i="1"/>
  <c r="AK1052" i="1"/>
  <c r="AK1051" i="1"/>
  <c r="AK1050" i="1"/>
  <c r="AK1049" i="1"/>
  <c r="AK1048" i="1"/>
  <c r="AK1047" i="1"/>
  <c r="AK1046" i="1"/>
  <c r="AK1045" i="1"/>
  <c r="AK1044" i="1"/>
  <c r="AK1043" i="1"/>
  <c r="AK1042" i="1"/>
  <c r="AK1041" i="1"/>
  <c r="AK1040" i="1"/>
  <c r="AK1039" i="1"/>
  <c r="AK1038" i="1"/>
  <c r="AK1037" i="1"/>
  <c r="AK1036" i="1"/>
  <c r="AK1035" i="1"/>
  <c r="AK1034" i="1"/>
  <c r="AK1033" i="1"/>
  <c r="AK1032" i="1"/>
  <c r="AK1031" i="1"/>
  <c r="AK1030" i="1"/>
  <c r="AK1029" i="1"/>
  <c r="AK1028" i="1"/>
  <c r="AK1027" i="1"/>
  <c r="AK1026" i="1"/>
  <c r="AK1025" i="1"/>
  <c r="AK1024" i="1"/>
  <c r="AK1023" i="1"/>
  <c r="AK1022" i="1"/>
  <c r="AK1021" i="1"/>
  <c r="AK1020" i="1"/>
  <c r="AK1019" i="1"/>
  <c r="AK1018" i="1"/>
  <c r="AK1017" i="1"/>
  <c r="AK1016" i="1"/>
  <c r="AK1015" i="1"/>
  <c r="AK1014" i="1"/>
  <c r="AK1013" i="1"/>
  <c r="AK1012" i="1"/>
  <c r="AK1011" i="1"/>
  <c r="AK1010" i="1"/>
  <c r="AK1009" i="1"/>
  <c r="AK1008" i="1"/>
  <c r="AK1007" i="1"/>
  <c r="AK1006" i="1"/>
  <c r="AK1005" i="1"/>
  <c r="AK1004" i="1"/>
  <c r="AK1003" i="1"/>
  <c r="AK1002" i="1"/>
  <c r="AK1001" i="1"/>
  <c r="AK1000" i="1"/>
  <c r="AK999" i="1"/>
  <c r="AK998" i="1"/>
  <c r="AK997" i="1"/>
  <c r="AK996" i="1"/>
  <c r="AK995" i="1"/>
  <c r="AK994" i="1"/>
  <c r="AK993" i="1"/>
  <c r="AK992" i="1"/>
  <c r="AK991" i="1"/>
  <c r="AK990" i="1"/>
  <c r="AK989" i="1"/>
  <c r="AK988" i="1"/>
  <c r="AK987" i="1"/>
  <c r="AK986" i="1"/>
  <c r="AK985" i="1"/>
  <c r="AK984" i="1"/>
  <c r="AK983" i="1"/>
  <c r="AK982" i="1"/>
  <c r="AK981" i="1"/>
  <c r="AK980" i="1"/>
  <c r="AK979" i="1"/>
  <c r="AK978" i="1"/>
  <c r="AK977" i="1"/>
  <c r="AK976" i="1"/>
  <c r="AK975" i="1"/>
  <c r="AK974" i="1"/>
  <c r="AK973" i="1"/>
  <c r="AK972" i="1"/>
  <c r="AK971" i="1"/>
  <c r="AK970" i="1"/>
  <c r="AK969" i="1"/>
  <c r="AK968" i="1"/>
  <c r="AK967" i="1"/>
  <c r="AK966" i="1"/>
  <c r="AK965" i="1"/>
  <c r="AK964" i="1"/>
  <c r="AK963" i="1"/>
  <c r="AK962" i="1"/>
  <c r="AK961" i="1"/>
  <c r="AK960" i="1"/>
  <c r="AK959" i="1"/>
  <c r="AK958" i="1"/>
  <c r="AK957" i="1"/>
  <c r="AK956" i="1"/>
  <c r="AK955" i="1"/>
  <c r="AK954" i="1"/>
  <c r="AK953" i="1"/>
  <c r="AK952" i="1"/>
  <c r="AK951" i="1"/>
  <c r="AK950" i="1"/>
  <c r="AK949" i="1"/>
  <c r="AK948" i="1"/>
  <c r="AK947" i="1"/>
  <c r="AK946" i="1"/>
  <c r="AK945" i="1"/>
  <c r="AK944" i="1"/>
  <c r="AK943" i="1"/>
  <c r="AK942" i="1"/>
  <c r="AK941" i="1"/>
  <c r="AK940" i="1"/>
  <c r="AK939" i="1"/>
  <c r="AK938" i="1"/>
  <c r="AK937" i="1"/>
  <c r="AK936" i="1"/>
  <c r="AK935" i="1"/>
  <c r="AK934" i="1"/>
  <c r="AK933" i="1"/>
  <c r="AK932" i="1"/>
  <c r="AK931" i="1"/>
  <c r="AK930" i="1"/>
  <c r="AK929" i="1"/>
  <c r="AK928" i="1"/>
  <c r="AL929" i="1" s="1"/>
  <c r="AK927" i="1"/>
  <c r="AK926" i="1"/>
  <c r="AK925" i="1"/>
  <c r="AK924" i="1"/>
  <c r="AK923" i="1"/>
  <c r="AK922" i="1"/>
  <c r="AK921" i="1"/>
  <c r="AK920" i="1"/>
  <c r="AK919" i="1"/>
  <c r="AK918" i="1"/>
  <c r="AK917" i="1"/>
  <c r="AK916" i="1"/>
  <c r="AK915" i="1"/>
  <c r="AK914" i="1"/>
  <c r="AK913" i="1"/>
  <c r="AK912" i="1"/>
  <c r="AK911" i="1"/>
  <c r="AK910" i="1"/>
  <c r="AK909" i="1"/>
  <c r="AK908" i="1"/>
  <c r="AK907" i="1"/>
  <c r="AK906" i="1"/>
  <c r="AK905" i="1"/>
  <c r="AK904" i="1"/>
  <c r="AK903" i="1"/>
  <c r="AK902" i="1"/>
  <c r="AK901" i="1"/>
  <c r="AK900" i="1"/>
  <c r="AK899" i="1"/>
  <c r="AK898" i="1"/>
  <c r="AK897" i="1"/>
  <c r="AK896" i="1"/>
  <c r="AK895" i="1"/>
  <c r="AK894" i="1"/>
  <c r="AK893" i="1"/>
  <c r="AK892" i="1"/>
  <c r="AK891" i="1"/>
  <c r="AK890" i="1"/>
  <c r="AK889" i="1"/>
  <c r="AK888" i="1"/>
  <c r="AK887" i="1"/>
  <c r="AK886" i="1"/>
  <c r="AK885" i="1"/>
  <c r="AK884" i="1"/>
  <c r="AK883" i="1"/>
  <c r="AK882" i="1"/>
  <c r="AK881" i="1"/>
  <c r="AK880" i="1"/>
  <c r="AK879" i="1"/>
  <c r="AK878" i="1"/>
  <c r="AK877" i="1"/>
  <c r="AK876" i="1"/>
  <c r="AK875" i="1"/>
  <c r="AK874" i="1"/>
  <c r="AK873" i="1"/>
  <c r="AK872" i="1"/>
  <c r="AK871" i="1"/>
  <c r="AK870" i="1"/>
  <c r="AK869" i="1"/>
  <c r="AK868" i="1"/>
  <c r="AK867" i="1"/>
  <c r="AL868" i="1" s="1"/>
  <c r="AK866" i="1"/>
  <c r="AK865" i="1"/>
  <c r="AK864" i="1"/>
  <c r="AK863" i="1"/>
  <c r="AK862" i="1"/>
  <c r="AK861" i="1"/>
  <c r="AK860" i="1"/>
  <c r="AK859" i="1"/>
  <c r="AK858" i="1"/>
  <c r="AK857" i="1"/>
  <c r="AK856" i="1"/>
  <c r="AK855" i="1"/>
  <c r="AK854" i="1"/>
  <c r="AK853" i="1"/>
  <c r="AK852" i="1"/>
  <c r="AK851" i="1"/>
  <c r="AK850" i="1"/>
  <c r="AK849" i="1"/>
  <c r="AK848" i="1"/>
  <c r="AK847" i="1"/>
  <c r="AK846" i="1"/>
  <c r="AK845" i="1"/>
  <c r="AK844" i="1"/>
  <c r="AK843" i="1"/>
  <c r="AK842" i="1"/>
  <c r="AK841" i="1"/>
  <c r="AK840" i="1"/>
  <c r="AK839" i="1"/>
  <c r="AK838" i="1"/>
  <c r="AK837" i="1"/>
  <c r="AK836" i="1"/>
  <c r="AK835" i="1"/>
  <c r="AK834" i="1"/>
  <c r="AK833" i="1"/>
  <c r="AK832" i="1"/>
  <c r="AK831" i="1"/>
  <c r="AK830" i="1"/>
  <c r="AK829" i="1"/>
  <c r="AK828" i="1"/>
  <c r="AK827" i="1"/>
  <c r="AK826" i="1"/>
  <c r="AK825" i="1"/>
  <c r="AK824" i="1"/>
  <c r="AK823" i="1"/>
  <c r="AK822" i="1"/>
  <c r="AK821" i="1"/>
  <c r="AK820" i="1"/>
  <c r="AK819" i="1"/>
  <c r="AK818" i="1"/>
  <c r="AK817" i="1"/>
  <c r="AK816" i="1"/>
  <c r="AK815" i="1"/>
  <c r="AK814" i="1"/>
  <c r="AK813" i="1"/>
  <c r="AK812" i="1"/>
  <c r="AK811" i="1"/>
  <c r="AK810" i="1"/>
  <c r="AK809" i="1"/>
  <c r="AK808" i="1"/>
  <c r="AK807" i="1"/>
  <c r="AK806" i="1"/>
  <c r="AK805" i="1"/>
  <c r="AK804" i="1"/>
  <c r="AK803" i="1"/>
  <c r="AK802" i="1"/>
  <c r="AK801" i="1"/>
  <c r="AK800" i="1"/>
  <c r="AK799" i="1"/>
  <c r="AK798" i="1"/>
  <c r="AK797" i="1"/>
  <c r="AK796" i="1"/>
  <c r="AK795" i="1"/>
  <c r="AK794" i="1"/>
  <c r="AK793" i="1"/>
  <c r="AK792" i="1"/>
  <c r="AK791" i="1"/>
  <c r="AK790" i="1"/>
  <c r="AK789" i="1"/>
  <c r="AK788" i="1"/>
  <c r="AK787" i="1"/>
  <c r="AK786" i="1"/>
  <c r="AK785" i="1"/>
  <c r="AK784" i="1"/>
  <c r="AK783" i="1"/>
  <c r="AK782" i="1"/>
  <c r="AK781" i="1"/>
  <c r="AK780" i="1"/>
  <c r="AK779" i="1"/>
  <c r="AK778" i="1"/>
  <c r="AK777" i="1"/>
  <c r="AK776" i="1"/>
  <c r="AK775" i="1"/>
  <c r="AK774" i="1"/>
  <c r="AK773" i="1"/>
  <c r="AK772" i="1"/>
  <c r="AK771" i="1"/>
  <c r="AK770" i="1"/>
  <c r="AK769" i="1"/>
  <c r="AK768" i="1"/>
  <c r="AK767" i="1"/>
  <c r="AK766" i="1"/>
  <c r="AK765" i="1"/>
  <c r="AK764" i="1"/>
  <c r="AK763" i="1"/>
  <c r="AK762" i="1"/>
  <c r="AK761" i="1"/>
  <c r="AK760" i="1"/>
  <c r="AK759" i="1"/>
  <c r="AK758" i="1"/>
  <c r="AK757" i="1"/>
  <c r="AK756" i="1"/>
  <c r="AK755" i="1"/>
  <c r="AK754" i="1"/>
  <c r="AK753" i="1"/>
  <c r="AK752" i="1"/>
  <c r="AK751" i="1"/>
  <c r="AK750" i="1"/>
  <c r="AK749" i="1"/>
  <c r="AK748" i="1"/>
  <c r="AK747" i="1"/>
  <c r="AK746" i="1"/>
  <c r="AK745" i="1"/>
  <c r="AK744" i="1"/>
  <c r="AK743" i="1"/>
  <c r="AK742" i="1"/>
  <c r="AK741" i="1"/>
  <c r="AK740" i="1"/>
  <c r="AK739" i="1"/>
  <c r="AK738" i="1"/>
  <c r="AK737" i="1"/>
  <c r="AK736" i="1"/>
  <c r="AK735" i="1"/>
  <c r="AK734" i="1"/>
  <c r="AK733" i="1"/>
  <c r="AK732" i="1"/>
  <c r="AK731" i="1"/>
  <c r="AK730" i="1"/>
  <c r="AK729" i="1"/>
  <c r="AK728" i="1"/>
  <c r="AK727" i="1"/>
  <c r="AK726" i="1"/>
  <c r="AK725" i="1"/>
  <c r="AK724" i="1"/>
  <c r="AK723" i="1"/>
  <c r="AK722" i="1"/>
  <c r="AK721" i="1"/>
  <c r="AK720" i="1"/>
  <c r="AK719" i="1"/>
  <c r="AK718" i="1"/>
  <c r="AK717" i="1"/>
  <c r="AK716" i="1"/>
  <c r="AK715" i="1"/>
  <c r="AL716" i="1" s="1"/>
  <c r="AK714" i="1"/>
  <c r="AK713" i="1"/>
  <c r="AK712" i="1"/>
  <c r="AK711" i="1"/>
  <c r="AK710" i="1"/>
  <c r="AK709" i="1"/>
  <c r="AK708" i="1"/>
  <c r="AK707" i="1"/>
  <c r="AK706" i="1"/>
  <c r="AK705" i="1"/>
  <c r="AK704" i="1"/>
  <c r="AK703" i="1"/>
  <c r="AK702" i="1"/>
  <c r="AK701" i="1"/>
  <c r="AK700" i="1"/>
  <c r="AK699" i="1"/>
  <c r="AK698" i="1"/>
  <c r="AK697" i="1"/>
  <c r="AK696" i="1"/>
  <c r="AK695" i="1"/>
  <c r="AK694" i="1"/>
  <c r="AK693" i="1"/>
  <c r="AK692" i="1"/>
  <c r="AK691" i="1"/>
  <c r="AK690" i="1"/>
  <c r="AK689" i="1"/>
  <c r="AK688" i="1"/>
  <c r="AK687" i="1"/>
  <c r="AK686" i="1"/>
  <c r="AK685" i="1"/>
  <c r="AK684" i="1"/>
  <c r="AK683" i="1"/>
  <c r="AK682" i="1"/>
  <c r="AK681" i="1"/>
  <c r="AK680" i="1"/>
  <c r="AK679" i="1"/>
  <c r="AK678" i="1"/>
  <c r="AK677" i="1"/>
  <c r="AK676" i="1"/>
  <c r="AK675" i="1"/>
  <c r="AK674" i="1"/>
  <c r="AK673" i="1"/>
  <c r="AK672" i="1"/>
  <c r="AK671" i="1"/>
  <c r="AK670" i="1"/>
  <c r="AK669" i="1"/>
  <c r="AK668" i="1"/>
  <c r="AK667" i="1"/>
  <c r="AK666" i="1"/>
  <c r="AK665" i="1"/>
  <c r="AK664" i="1"/>
  <c r="AK663" i="1"/>
  <c r="AK662" i="1"/>
  <c r="AK661" i="1"/>
  <c r="AK660" i="1"/>
  <c r="AK659" i="1"/>
  <c r="AK658" i="1"/>
  <c r="AK657" i="1"/>
  <c r="AK656" i="1"/>
  <c r="AK655" i="1"/>
  <c r="AK654" i="1"/>
  <c r="AK653" i="1"/>
  <c r="AK652" i="1"/>
  <c r="AK651" i="1"/>
  <c r="AK650" i="1"/>
  <c r="AK649" i="1"/>
  <c r="AK648" i="1"/>
  <c r="AK647" i="1"/>
  <c r="AK646" i="1"/>
  <c r="AK645" i="1"/>
  <c r="AK644" i="1"/>
  <c r="AK643" i="1"/>
  <c r="AK642" i="1"/>
  <c r="AK641" i="1"/>
  <c r="AK640" i="1"/>
  <c r="AK639" i="1"/>
  <c r="AK638" i="1"/>
  <c r="AK637" i="1"/>
  <c r="AK636" i="1"/>
  <c r="AK635" i="1"/>
  <c r="AK634" i="1"/>
  <c r="AK633" i="1"/>
  <c r="AK632" i="1"/>
  <c r="AK631" i="1"/>
  <c r="AK630" i="1"/>
  <c r="AK629" i="1"/>
  <c r="AK628" i="1"/>
  <c r="AK627" i="1"/>
  <c r="AK626" i="1"/>
  <c r="AK625" i="1"/>
  <c r="AK624" i="1"/>
  <c r="AK623" i="1"/>
  <c r="AK622" i="1"/>
  <c r="AK621" i="1"/>
  <c r="AK620" i="1"/>
  <c r="AK619" i="1"/>
  <c r="AK618" i="1"/>
  <c r="AK617" i="1"/>
  <c r="AK616" i="1"/>
  <c r="AK615" i="1"/>
  <c r="AK614" i="1"/>
  <c r="AK613" i="1"/>
  <c r="AK612" i="1"/>
  <c r="AK611" i="1"/>
  <c r="AK610" i="1"/>
  <c r="AK609" i="1"/>
  <c r="AK608" i="1"/>
  <c r="AK607" i="1"/>
  <c r="AK606" i="1"/>
  <c r="AK605" i="1"/>
  <c r="AK604" i="1"/>
  <c r="AK603" i="1"/>
  <c r="AK602" i="1"/>
  <c r="AK601" i="1"/>
  <c r="AK600" i="1"/>
  <c r="AK599" i="1"/>
  <c r="AK598" i="1"/>
  <c r="AK597" i="1"/>
  <c r="AK596" i="1"/>
  <c r="AK595" i="1"/>
  <c r="AK594" i="1"/>
  <c r="AK593" i="1"/>
  <c r="AK592" i="1"/>
  <c r="AK591" i="1"/>
  <c r="AK590" i="1"/>
  <c r="AK589" i="1"/>
  <c r="AK588" i="1"/>
  <c r="AK587" i="1"/>
  <c r="AK586" i="1"/>
  <c r="AK585" i="1"/>
  <c r="AK584" i="1"/>
  <c r="AK583" i="1"/>
  <c r="AK582" i="1"/>
  <c r="AK581" i="1"/>
  <c r="AK580" i="1"/>
  <c r="AK579" i="1"/>
  <c r="AK578" i="1"/>
  <c r="AK577" i="1"/>
  <c r="AK576" i="1"/>
  <c r="AK575" i="1"/>
  <c r="AK574" i="1"/>
  <c r="AK573" i="1"/>
  <c r="AK572" i="1"/>
  <c r="AK571" i="1"/>
  <c r="AK570" i="1"/>
  <c r="AK569" i="1"/>
  <c r="AK568" i="1"/>
  <c r="AK567" i="1"/>
  <c r="AK566" i="1"/>
  <c r="AK565" i="1"/>
  <c r="AK564" i="1"/>
  <c r="AK563" i="1"/>
  <c r="AK562" i="1"/>
  <c r="AK561" i="1"/>
  <c r="AK560" i="1"/>
  <c r="AK559" i="1"/>
  <c r="AK558" i="1"/>
  <c r="AK557" i="1"/>
  <c r="AK556" i="1"/>
  <c r="AK555" i="1"/>
  <c r="AK554" i="1"/>
  <c r="AK553" i="1"/>
  <c r="AK552" i="1"/>
  <c r="AK551" i="1"/>
  <c r="AK550" i="1"/>
  <c r="AK549" i="1"/>
  <c r="AK548" i="1"/>
  <c r="AK547" i="1"/>
  <c r="AK546" i="1"/>
  <c r="AK545" i="1"/>
  <c r="AK544" i="1"/>
  <c r="AK543" i="1"/>
  <c r="AK542" i="1"/>
  <c r="AK541" i="1"/>
  <c r="AK540" i="1"/>
  <c r="AK539" i="1"/>
  <c r="AK538" i="1"/>
  <c r="AK537" i="1"/>
  <c r="AK536" i="1"/>
  <c r="AK535" i="1"/>
  <c r="AK534" i="1"/>
  <c r="AK533" i="1"/>
  <c r="AK532" i="1"/>
  <c r="AK531" i="1"/>
  <c r="AK530" i="1"/>
  <c r="AK529" i="1"/>
  <c r="AK528" i="1"/>
  <c r="AK527" i="1"/>
  <c r="AK526" i="1"/>
  <c r="AK525" i="1"/>
  <c r="AK524" i="1"/>
  <c r="AK523" i="1"/>
  <c r="AK522" i="1"/>
  <c r="AK521" i="1"/>
  <c r="AK520" i="1"/>
  <c r="AK519" i="1"/>
  <c r="AK518" i="1"/>
  <c r="AK517" i="1"/>
  <c r="AK516" i="1"/>
  <c r="AK515" i="1"/>
  <c r="AK514" i="1"/>
  <c r="AK513" i="1"/>
  <c r="AK512" i="1"/>
  <c r="AK511" i="1"/>
  <c r="AK510" i="1"/>
  <c r="AK509" i="1"/>
  <c r="AK508" i="1"/>
  <c r="AK507" i="1"/>
  <c r="AK506" i="1"/>
  <c r="AK505" i="1"/>
  <c r="AK504" i="1"/>
  <c r="AK503" i="1"/>
  <c r="AK502" i="1"/>
  <c r="AK501" i="1"/>
  <c r="AK500" i="1"/>
  <c r="AK499" i="1"/>
  <c r="AK498" i="1"/>
  <c r="AK497" i="1"/>
  <c r="AK496" i="1"/>
  <c r="AK495" i="1"/>
  <c r="AK494" i="1"/>
  <c r="AK493" i="1"/>
  <c r="AK492" i="1"/>
  <c r="AK491" i="1"/>
  <c r="AK490" i="1"/>
  <c r="AK489" i="1"/>
  <c r="AK488" i="1"/>
  <c r="AK487" i="1"/>
  <c r="AK486" i="1"/>
  <c r="AK485" i="1"/>
  <c r="AK484" i="1"/>
  <c r="AK483" i="1"/>
  <c r="AK482" i="1"/>
  <c r="AK481" i="1"/>
  <c r="AK480" i="1"/>
  <c r="AK479" i="1"/>
  <c r="AK478" i="1"/>
  <c r="AK477" i="1"/>
  <c r="AK476" i="1"/>
  <c r="AK475" i="1"/>
  <c r="AK474" i="1"/>
  <c r="AK473" i="1"/>
  <c r="AK472" i="1"/>
  <c r="AK471" i="1"/>
  <c r="AK470" i="1"/>
  <c r="AK469" i="1"/>
  <c r="AK468" i="1"/>
  <c r="AK467" i="1"/>
  <c r="AK466" i="1"/>
  <c r="AK465" i="1"/>
  <c r="AK464" i="1"/>
  <c r="AK463" i="1"/>
  <c r="AK462" i="1"/>
  <c r="AK461" i="1"/>
  <c r="AK460" i="1"/>
  <c r="AK459" i="1"/>
  <c r="AK458" i="1"/>
  <c r="AK457" i="1"/>
  <c r="AK456" i="1"/>
  <c r="AK455" i="1"/>
  <c r="AK454" i="1"/>
  <c r="AK453" i="1"/>
  <c r="AK452" i="1"/>
  <c r="AK451" i="1"/>
  <c r="AK450" i="1"/>
  <c r="AK449" i="1"/>
  <c r="AK448" i="1"/>
  <c r="AK447" i="1"/>
  <c r="AK446" i="1"/>
  <c r="AK445" i="1"/>
  <c r="AK444" i="1"/>
  <c r="AK443" i="1"/>
  <c r="AK442" i="1"/>
  <c r="AK441" i="1"/>
  <c r="AK440" i="1"/>
  <c r="AK439" i="1"/>
  <c r="AK438" i="1"/>
  <c r="AK437" i="1"/>
  <c r="AK436" i="1"/>
  <c r="AK435" i="1"/>
  <c r="AK434" i="1"/>
  <c r="AK433" i="1"/>
  <c r="AK432" i="1"/>
  <c r="AK431" i="1"/>
  <c r="AK430" i="1"/>
  <c r="AK429" i="1"/>
  <c r="AK428" i="1"/>
  <c r="AK427" i="1"/>
  <c r="AK426" i="1"/>
  <c r="AK425" i="1"/>
  <c r="AK424" i="1"/>
  <c r="AK423" i="1"/>
  <c r="AK422" i="1"/>
  <c r="AK421" i="1"/>
  <c r="AK420" i="1"/>
  <c r="AK419" i="1"/>
  <c r="AK418" i="1"/>
  <c r="AK417" i="1"/>
  <c r="AK416" i="1"/>
  <c r="AK415" i="1"/>
  <c r="AK414" i="1"/>
  <c r="AK413" i="1"/>
  <c r="AK412" i="1"/>
  <c r="AK411" i="1"/>
  <c r="AK410" i="1"/>
  <c r="AK409" i="1"/>
  <c r="AK408" i="1"/>
  <c r="AK407" i="1"/>
  <c r="AK406" i="1"/>
  <c r="AK405" i="1"/>
  <c r="AK404" i="1"/>
  <c r="AK403" i="1"/>
  <c r="AK402" i="1"/>
  <c r="AK401" i="1"/>
  <c r="AK400" i="1"/>
  <c r="AK399" i="1"/>
  <c r="AK398" i="1"/>
  <c r="AK397" i="1"/>
  <c r="AK396" i="1"/>
  <c r="AK395" i="1"/>
  <c r="AK394" i="1"/>
  <c r="AK393" i="1"/>
  <c r="AK392" i="1"/>
  <c r="AK391" i="1"/>
  <c r="AK390" i="1"/>
  <c r="AK389" i="1"/>
  <c r="AK388" i="1"/>
  <c r="AK387" i="1"/>
  <c r="AK386" i="1"/>
  <c r="AK385" i="1"/>
  <c r="AK384" i="1"/>
  <c r="AK383" i="1"/>
  <c r="AK382" i="1"/>
  <c r="AK381" i="1"/>
  <c r="AK380" i="1"/>
  <c r="AK379" i="1"/>
  <c r="AK378" i="1"/>
  <c r="AK377" i="1"/>
  <c r="AK376" i="1"/>
  <c r="AK375" i="1"/>
  <c r="AK374" i="1"/>
  <c r="AK373" i="1"/>
  <c r="AK372" i="1"/>
  <c r="AK371" i="1"/>
  <c r="AK370" i="1"/>
  <c r="AK369" i="1"/>
  <c r="AK368" i="1"/>
  <c r="AK367" i="1"/>
  <c r="AK366" i="1"/>
  <c r="AK365" i="1"/>
  <c r="AK364" i="1"/>
  <c r="AK363" i="1"/>
  <c r="AK362" i="1"/>
  <c r="AK361" i="1"/>
  <c r="AK360" i="1"/>
  <c r="AK359" i="1"/>
  <c r="AK358" i="1"/>
  <c r="AK357" i="1"/>
  <c r="AK356" i="1"/>
  <c r="AK355" i="1"/>
  <c r="AK354" i="1"/>
  <c r="AK353" i="1"/>
  <c r="AK352" i="1"/>
  <c r="AK351" i="1"/>
  <c r="AK350" i="1"/>
  <c r="AK349" i="1"/>
  <c r="AK348" i="1"/>
  <c r="AK347" i="1"/>
  <c r="AK346" i="1"/>
  <c r="AK345" i="1"/>
  <c r="AK344" i="1"/>
  <c r="AK343" i="1"/>
  <c r="AK342" i="1"/>
  <c r="AK341" i="1"/>
  <c r="AK340" i="1"/>
  <c r="AK339" i="1"/>
  <c r="AK338" i="1"/>
  <c r="AK337" i="1"/>
  <c r="AK336" i="1"/>
  <c r="AK335" i="1"/>
  <c r="AK334" i="1"/>
  <c r="AK333" i="1"/>
  <c r="AK332" i="1"/>
  <c r="AK331" i="1"/>
  <c r="AK330" i="1"/>
  <c r="AK329" i="1"/>
  <c r="AK328" i="1"/>
  <c r="AK327" i="1"/>
  <c r="AK326" i="1"/>
  <c r="AK325" i="1"/>
  <c r="AK324" i="1"/>
  <c r="AK323" i="1"/>
  <c r="AK322" i="1"/>
  <c r="AK321" i="1"/>
  <c r="AK320" i="1"/>
  <c r="AK319" i="1"/>
  <c r="AK318" i="1"/>
  <c r="AK317" i="1"/>
  <c r="AK316" i="1"/>
  <c r="AK315" i="1"/>
  <c r="AK314" i="1"/>
  <c r="AK313" i="1"/>
  <c r="AK312" i="1"/>
  <c r="AK311" i="1"/>
  <c r="AK310" i="1"/>
  <c r="AK309" i="1"/>
  <c r="AK308" i="1"/>
  <c r="AK307" i="1"/>
  <c r="AK306" i="1"/>
  <c r="AK305" i="1"/>
  <c r="AK304" i="1"/>
  <c r="AK303" i="1"/>
  <c r="AK302" i="1"/>
  <c r="AK301" i="1"/>
  <c r="AK300" i="1"/>
  <c r="AK299" i="1"/>
  <c r="AK298" i="1"/>
  <c r="AK297" i="1"/>
  <c r="AK296" i="1"/>
  <c r="AK295" i="1"/>
  <c r="AK294" i="1"/>
  <c r="AK293" i="1"/>
  <c r="AK292" i="1"/>
  <c r="AK291" i="1"/>
  <c r="AK290" i="1"/>
  <c r="AK289" i="1"/>
  <c r="AK288" i="1"/>
  <c r="AK287" i="1"/>
  <c r="AK286" i="1"/>
  <c r="AK285" i="1"/>
  <c r="AK284" i="1"/>
  <c r="AK283" i="1"/>
  <c r="AK282" i="1"/>
  <c r="AK281" i="1"/>
  <c r="AK280" i="1"/>
  <c r="AK279" i="1"/>
  <c r="AK278" i="1"/>
  <c r="AK277" i="1"/>
  <c r="AK276" i="1"/>
  <c r="AK275" i="1"/>
  <c r="AK274" i="1"/>
  <c r="AK273" i="1"/>
  <c r="AK272" i="1"/>
  <c r="AK271" i="1"/>
  <c r="AK270" i="1"/>
  <c r="AK269" i="1"/>
  <c r="AK268" i="1"/>
  <c r="AK267" i="1"/>
  <c r="AK266" i="1"/>
  <c r="AK265" i="1"/>
  <c r="AK264" i="1"/>
  <c r="AK263" i="1"/>
  <c r="AK262" i="1"/>
  <c r="AK261" i="1"/>
  <c r="AK260" i="1"/>
  <c r="AK259" i="1"/>
  <c r="AK258" i="1"/>
  <c r="AK257" i="1"/>
  <c r="AK256" i="1"/>
  <c r="AK255" i="1"/>
  <c r="AK254" i="1"/>
  <c r="AK253" i="1"/>
  <c r="AK252" i="1"/>
  <c r="AK251" i="1"/>
  <c r="AK250" i="1"/>
  <c r="AK249" i="1"/>
  <c r="AK248" i="1"/>
  <c r="AK247" i="1"/>
  <c r="AK246" i="1"/>
  <c r="AK245" i="1"/>
  <c r="AK244" i="1"/>
  <c r="AK243" i="1"/>
  <c r="AK242" i="1"/>
  <c r="AK241" i="1"/>
  <c r="AK240" i="1"/>
  <c r="AK239" i="1"/>
  <c r="AK238" i="1"/>
  <c r="AK237" i="1"/>
  <c r="AK236" i="1"/>
  <c r="AK235" i="1"/>
  <c r="AK234" i="1"/>
  <c r="AK233" i="1"/>
  <c r="AK232" i="1"/>
  <c r="AK231" i="1"/>
  <c r="AK230" i="1"/>
  <c r="AK229" i="1"/>
  <c r="AK228" i="1"/>
  <c r="AK227" i="1"/>
  <c r="AK226" i="1"/>
  <c r="AK225" i="1"/>
  <c r="AK224" i="1"/>
  <c r="AK223" i="1"/>
  <c r="AK222" i="1"/>
  <c r="AK221" i="1"/>
  <c r="AK220" i="1"/>
  <c r="AK219" i="1"/>
  <c r="AK218" i="1"/>
  <c r="AK217" i="1"/>
  <c r="AK216" i="1"/>
  <c r="AK215" i="1"/>
  <c r="AK214" i="1"/>
  <c r="AK213" i="1"/>
  <c r="AK212" i="1"/>
  <c r="AK211" i="1"/>
  <c r="AK210" i="1"/>
  <c r="AK209" i="1"/>
  <c r="AK208" i="1"/>
  <c r="AK207" i="1"/>
  <c r="AK206" i="1"/>
  <c r="AK205" i="1"/>
  <c r="AK204" i="1"/>
  <c r="AK203" i="1"/>
  <c r="AK202" i="1"/>
  <c r="AK201" i="1"/>
  <c r="AK200" i="1"/>
  <c r="AK199" i="1"/>
  <c r="AK198" i="1"/>
  <c r="AK197" i="1"/>
  <c r="AK196" i="1"/>
  <c r="AK195" i="1"/>
  <c r="AK194" i="1"/>
  <c r="AK193" i="1"/>
  <c r="AK192" i="1"/>
  <c r="AK191" i="1"/>
  <c r="AK190" i="1"/>
  <c r="AK189" i="1"/>
  <c r="AK188" i="1"/>
  <c r="AK187" i="1"/>
  <c r="AK186" i="1"/>
  <c r="AK185" i="1"/>
  <c r="AK184" i="1"/>
  <c r="AK183" i="1"/>
  <c r="AK182" i="1"/>
  <c r="AK181" i="1"/>
  <c r="AK180" i="1"/>
  <c r="AK179" i="1"/>
  <c r="AK178" i="1"/>
  <c r="AK177" i="1"/>
  <c r="AK176" i="1"/>
  <c r="AK175" i="1"/>
  <c r="AK174" i="1"/>
  <c r="AK173" i="1"/>
  <c r="AK172" i="1"/>
  <c r="AK171" i="1"/>
  <c r="AK170" i="1"/>
  <c r="AK169" i="1"/>
  <c r="AK168" i="1"/>
  <c r="AK167" i="1"/>
  <c r="AK166" i="1"/>
  <c r="AK165" i="1"/>
  <c r="AK164" i="1"/>
  <c r="AK163" i="1"/>
  <c r="AK162" i="1"/>
  <c r="AK161" i="1"/>
  <c r="AK160" i="1"/>
  <c r="AK159" i="1"/>
  <c r="AK158" i="1"/>
  <c r="AK157" i="1"/>
  <c r="AK156" i="1"/>
  <c r="AK155" i="1"/>
  <c r="AK154" i="1"/>
  <c r="AK153" i="1"/>
  <c r="AK152" i="1"/>
  <c r="AK151" i="1"/>
  <c r="AK150" i="1"/>
  <c r="AK149" i="1"/>
  <c r="AK148" i="1"/>
  <c r="AK147" i="1"/>
  <c r="AK146" i="1"/>
  <c r="AK145" i="1"/>
  <c r="AK144" i="1"/>
  <c r="AK143" i="1"/>
  <c r="AK142" i="1"/>
  <c r="AK141" i="1"/>
  <c r="AK140" i="1"/>
  <c r="AK139" i="1"/>
  <c r="AK138" i="1"/>
  <c r="AK137" i="1"/>
  <c r="AK136" i="1"/>
  <c r="AK135" i="1"/>
  <c r="AK134" i="1"/>
  <c r="AK133" i="1"/>
  <c r="AK132" i="1"/>
  <c r="AK131" i="1"/>
  <c r="AK130" i="1"/>
  <c r="AK129" i="1"/>
  <c r="AK128" i="1"/>
  <c r="AK127" i="1"/>
  <c r="AK126" i="1"/>
  <c r="AK125" i="1"/>
  <c r="AK124" i="1"/>
  <c r="AK123" i="1"/>
  <c r="AK122" i="1"/>
  <c r="AK121" i="1"/>
  <c r="AK120" i="1"/>
  <c r="AK119" i="1"/>
  <c r="AK118" i="1"/>
  <c r="AK117" i="1"/>
  <c r="AK116" i="1"/>
  <c r="AK115" i="1"/>
  <c r="AK114" i="1"/>
  <c r="AK113" i="1"/>
  <c r="AK112" i="1"/>
  <c r="AK111" i="1"/>
  <c r="AK110" i="1"/>
  <c r="AK109" i="1"/>
  <c r="AK108" i="1"/>
  <c r="AK107" i="1"/>
  <c r="AK106" i="1"/>
  <c r="AK105" i="1"/>
  <c r="AK104" i="1"/>
  <c r="AK103" i="1"/>
  <c r="AK102" i="1"/>
  <c r="AK101" i="1"/>
  <c r="AK100" i="1"/>
  <c r="AK99" i="1"/>
  <c r="AK98" i="1"/>
  <c r="AK97" i="1"/>
  <c r="AK96" i="1"/>
  <c r="AK95" i="1"/>
  <c r="AK94" i="1"/>
  <c r="AK93" i="1"/>
  <c r="AK92" i="1"/>
  <c r="AK91" i="1"/>
  <c r="AK90" i="1"/>
  <c r="AK89" i="1"/>
  <c r="AK88" i="1"/>
  <c r="AK87" i="1"/>
  <c r="AK86" i="1"/>
  <c r="AK85" i="1"/>
  <c r="AK84" i="1"/>
  <c r="AK83" i="1"/>
  <c r="AK82" i="1"/>
  <c r="AK81" i="1"/>
  <c r="AK80" i="1"/>
  <c r="AK79" i="1"/>
  <c r="AK78" i="1"/>
  <c r="AK77" i="1"/>
  <c r="AK76" i="1"/>
  <c r="AK75" i="1"/>
  <c r="AK74" i="1"/>
  <c r="AK73" i="1"/>
  <c r="AK72" i="1"/>
  <c r="AK71" i="1"/>
  <c r="AK70" i="1"/>
  <c r="AK69" i="1"/>
  <c r="AK68" i="1"/>
  <c r="AK67" i="1"/>
  <c r="AK66" i="1"/>
  <c r="AK65" i="1"/>
  <c r="AK64" i="1"/>
  <c r="AK63" i="1"/>
  <c r="AK62" i="1"/>
  <c r="AK61" i="1"/>
  <c r="AK60" i="1"/>
  <c r="AK59" i="1"/>
  <c r="AK58" i="1"/>
  <c r="AK57" i="1"/>
  <c r="AK56" i="1"/>
  <c r="AK55" i="1"/>
  <c r="AK54" i="1"/>
  <c r="AK53" i="1"/>
  <c r="AK52" i="1"/>
  <c r="AK51" i="1"/>
  <c r="AK50" i="1"/>
  <c r="AK49" i="1"/>
  <c r="AK48" i="1"/>
  <c r="AK47" i="1"/>
  <c r="AK46" i="1"/>
  <c r="AK45" i="1"/>
  <c r="AK44" i="1"/>
  <c r="AK43" i="1"/>
  <c r="AK42" i="1"/>
  <c r="AK41" i="1"/>
  <c r="AK40" i="1"/>
  <c r="AK39" i="1"/>
  <c r="AK38" i="1"/>
  <c r="AK37" i="1"/>
  <c r="AK36" i="1"/>
  <c r="AK35" i="1"/>
  <c r="AK34" i="1"/>
  <c r="AK33" i="1"/>
  <c r="AK32" i="1"/>
  <c r="AK31" i="1"/>
  <c r="AK30" i="1"/>
  <c r="AK29" i="1"/>
  <c r="AK28" i="1"/>
  <c r="AK27" i="1"/>
  <c r="AK26" i="1"/>
  <c r="AK25" i="1"/>
  <c r="AK24" i="1"/>
  <c r="AK23" i="1"/>
  <c r="AK22" i="1"/>
  <c r="AK21" i="1"/>
  <c r="AK20" i="1"/>
  <c r="AK19" i="1"/>
  <c r="AK18" i="1"/>
  <c r="AK17" i="1"/>
  <c r="AK12" i="1"/>
  <c r="AK13" i="1" s="1"/>
  <c r="AK10" i="1"/>
  <c r="AG1112" i="1"/>
  <c r="AG1111" i="1"/>
  <c r="AG1110" i="1"/>
  <c r="AG1109" i="1"/>
  <c r="AG1108" i="1"/>
  <c r="AG1107" i="1"/>
  <c r="AG1106" i="1"/>
  <c r="AG1105" i="1"/>
  <c r="AG1104" i="1"/>
  <c r="AG1103" i="1"/>
  <c r="AG1102" i="1"/>
  <c r="AG1101" i="1"/>
  <c r="AG1100" i="1"/>
  <c r="AG1099" i="1"/>
  <c r="AG1098" i="1"/>
  <c r="AG1097" i="1"/>
  <c r="AG1096" i="1"/>
  <c r="AG1095" i="1"/>
  <c r="AG1094" i="1"/>
  <c r="AG1093" i="1"/>
  <c r="AG1092" i="1"/>
  <c r="AG1091" i="1"/>
  <c r="AG1090" i="1"/>
  <c r="AG1089" i="1"/>
  <c r="AG1088" i="1"/>
  <c r="AG1087" i="1"/>
  <c r="AG1086" i="1"/>
  <c r="AG1085" i="1"/>
  <c r="AG1084" i="1"/>
  <c r="AG1083" i="1"/>
  <c r="AG1082" i="1"/>
  <c r="AG1081" i="1"/>
  <c r="AG1080" i="1"/>
  <c r="AG1079" i="1"/>
  <c r="AG1078" i="1"/>
  <c r="AG1077" i="1"/>
  <c r="AG1076" i="1"/>
  <c r="AG1075" i="1"/>
  <c r="AG1074" i="1"/>
  <c r="AG1073" i="1"/>
  <c r="AG1072" i="1"/>
  <c r="AG1071" i="1"/>
  <c r="AG1070" i="1"/>
  <c r="AG1069" i="1"/>
  <c r="AG1068" i="1"/>
  <c r="AG1067" i="1"/>
  <c r="AG1066" i="1"/>
  <c r="AG1065" i="1"/>
  <c r="AG1064" i="1"/>
  <c r="AG1063" i="1"/>
  <c r="AG1062" i="1"/>
  <c r="AG1061" i="1"/>
  <c r="AG1060" i="1"/>
  <c r="AG1059" i="1"/>
  <c r="AG1058" i="1"/>
  <c r="AG1057" i="1"/>
  <c r="AG1056" i="1"/>
  <c r="AG1055" i="1"/>
  <c r="AG1054" i="1"/>
  <c r="AG1053" i="1"/>
  <c r="AG1052" i="1"/>
  <c r="AG1051" i="1"/>
  <c r="AG1050" i="1"/>
  <c r="AG1049" i="1"/>
  <c r="AG1048" i="1"/>
  <c r="AG1047" i="1"/>
  <c r="AG1046" i="1"/>
  <c r="AG1045" i="1"/>
  <c r="AG1044" i="1"/>
  <c r="AG1043" i="1"/>
  <c r="AG1042" i="1"/>
  <c r="AG1041" i="1"/>
  <c r="AG1040" i="1"/>
  <c r="AG1039" i="1"/>
  <c r="AG1038" i="1"/>
  <c r="AG1037" i="1"/>
  <c r="AG1036" i="1"/>
  <c r="AG1035" i="1"/>
  <c r="AG1034" i="1"/>
  <c r="AG1033" i="1"/>
  <c r="AG1032" i="1"/>
  <c r="AG1031" i="1"/>
  <c r="AG1030" i="1"/>
  <c r="AG1029" i="1"/>
  <c r="AG1028" i="1"/>
  <c r="AG1027" i="1"/>
  <c r="AG1026" i="1"/>
  <c r="AG1025" i="1"/>
  <c r="AG1024" i="1"/>
  <c r="AG1023" i="1"/>
  <c r="AG1022" i="1"/>
  <c r="AG1021" i="1"/>
  <c r="AG1020" i="1"/>
  <c r="AG1019" i="1"/>
  <c r="AG1018" i="1"/>
  <c r="AG1017" i="1"/>
  <c r="AG1016" i="1"/>
  <c r="AG1015" i="1"/>
  <c r="AG1014" i="1"/>
  <c r="AG1013" i="1"/>
  <c r="AG1012" i="1"/>
  <c r="AG1011" i="1"/>
  <c r="AG1010" i="1"/>
  <c r="AG1009" i="1"/>
  <c r="AG1008" i="1"/>
  <c r="AG1007" i="1"/>
  <c r="AG1006" i="1"/>
  <c r="AG1005" i="1"/>
  <c r="AG1004" i="1"/>
  <c r="AG1003" i="1"/>
  <c r="AG1002" i="1"/>
  <c r="AG1001" i="1"/>
  <c r="AG1000" i="1"/>
  <c r="AG999" i="1"/>
  <c r="AG998" i="1"/>
  <c r="AG997" i="1"/>
  <c r="AG996" i="1"/>
  <c r="AG995" i="1"/>
  <c r="AG994" i="1"/>
  <c r="AG993" i="1"/>
  <c r="AG992" i="1"/>
  <c r="AG991" i="1"/>
  <c r="AG990" i="1"/>
  <c r="AG989" i="1"/>
  <c r="AG988" i="1"/>
  <c r="AG987" i="1"/>
  <c r="AG986" i="1"/>
  <c r="AG985" i="1"/>
  <c r="AG984" i="1"/>
  <c r="AG983" i="1"/>
  <c r="AG982" i="1"/>
  <c r="AG981" i="1"/>
  <c r="AG980" i="1"/>
  <c r="AG979" i="1"/>
  <c r="AG978" i="1"/>
  <c r="AG977" i="1"/>
  <c r="AG976" i="1"/>
  <c r="AG975" i="1"/>
  <c r="AG974" i="1"/>
  <c r="AG973" i="1"/>
  <c r="AG972" i="1"/>
  <c r="AG971" i="1"/>
  <c r="AG970" i="1"/>
  <c r="AG969" i="1"/>
  <c r="AG968" i="1"/>
  <c r="AG967" i="1"/>
  <c r="AG966" i="1"/>
  <c r="AG965" i="1"/>
  <c r="AG964" i="1"/>
  <c r="AG963" i="1"/>
  <c r="AG962" i="1"/>
  <c r="AG961" i="1"/>
  <c r="AG960" i="1"/>
  <c r="AG959" i="1"/>
  <c r="AG958" i="1"/>
  <c r="AG957" i="1"/>
  <c r="AG956" i="1"/>
  <c r="AG955" i="1"/>
  <c r="AG954" i="1"/>
  <c r="AG953" i="1"/>
  <c r="AG952" i="1"/>
  <c r="AG951" i="1"/>
  <c r="AG950" i="1"/>
  <c r="AG949" i="1"/>
  <c r="AG948" i="1"/>
  <c r="AG947" i="1"/>
  <c r="AG946" i="1"/>
  <c r="AG945" i="1"/>
  <c r="AG944" i="1"/>
  <c r="AG943" i="1"/>
  <c r="AG942" i="1"/>
  <c r="AG941" i="1"/>
  <c r="AG940" i="1"/>
  <c r="AG939" i="1"/>
  <c r="AG938" i="1"/>
  <c r="AG937" i="1"/>
  <c r="AG936" i="1"/>
  <c r="AG935" i="1"/>
  <c r="AG934" i="1"/>
  <c r="AG933" i="1"/>
  <c r="AG932" i="1"/>
  <c r="AG931" i="1"/>
  <c r="AG930" i="1"/>
  <c r="AG929" i="1"/>
  <c r="AG928" i="1"/>
  <c r="AG927" i="1"/>
  <c r="AG926" i="1"/>
  <c r="AG925" i="1"/>
  <c r="AG924" i="1"/>
  <c r="AG923" i="1"/>
  <c r="AG922" i="1"/>
  <c r="AG921" i="1"/>
  <c r="AG920" i="1"/>
  <c r="AG919" i="1"/>
  <c r="AG918" i="1"/>
  <c r="AG917" i="1"/>
  <c r="AG916" i="1"/>
  <c r="AG915" i="1"/>
  <c r="AG914" i="1"/>
  <c r="AG913" i="1"/>
  <c r="AG912" i="1"/>
  <c r="AG911" i="1"/>
  <c r="AG910" i="1"/>
  <c r="AG909" i="1"/>
  <c r="AG908" i="1"/>
  <c r="AG907" i="1"/>
  <c r="AG906" i="1"/>
  <c r="AG905" i="1"/>
  <c r="AG904" i="1"/>
  <c r="AG903" i="1"/>
  <c r="AG902" i="1"/>
  <c r="AG901" i="1"/>
  <c r="AG900" i="1"/>
  <c r="AG899" i="1"/>
  <c r="AG898" i="1"/>
  <c r="AH899" i="1" s="1"/>
  <c r="AG897" i="1"/>
  <c r="AG896" i="1"/>
  <c r="AG895" i="1"/>
  <c r="AG894" i="1"/>
  <c r="AG893" i="1"/>
  <c r="AG892" i="1"/>
  <c r="AG891" i="1"/>
  <c r="AG890" i="1"/>
  <c r="AG889" i="1"/>
  <c r="AG888" i="1"/>
  <c r="AG887" i="1"/>
  <c r="AG886" i="1"/>
  <c r="AG885" i="1"/>
  <c r="AG884" i="1"/>
  <c r="AG883" i="1"/>
  <c r="AG882" i="1"/>
  <c r="AG881" i="1"/>
  <c r="AG880" i="1"/>
  <c r="AG879" i="1"/>
  <c r="AG878" i="1"/>
  <c r="AG877" i="1"/>
  <c r="AG876" i="1"/>
  <c r="AG875" i="1"/>
  <c r="AG874" i="1"/>
  <c r="AG873" i="1"/>
  <c r="AG872" i="1"/>
  <c r="AG871" i="1"/>
  <c r="AG870" i="1"/>
  <c r="AG869" i="1"/>
  <c r="AG868" i="1"/>
  <c r="AG867" i="1"/>
  <c r="AG866" i="1"/>
  <c r="AG865" i="1"/>
  <c r="AG864" i="1"/>
  <c r="AG863" i="1"/>
  <c r="AG862" i="1"/>
  <c r="AG861" i="1"/>
  <c r="AG860" i="1"/>
  <c r="AG859" i="1"/>
  <c r="AG858" i="1"/>
  <c r="AG857" i="1"/>
  <c r="AG856" i="1"/>
  <c r="AG855" i="1"/>
  <c r="AG854" i="1"/>
  <c r="AG853" i="1"/>
  <c r="AG852" i="1"/>
  <c r="AG851" i="1"/>
  <c r="AG850" i="1"/>
  <c r="AG849" i="1"/>
  <c r="AG848" i="1"/>
  <c r="AG847" i="1"/>
  <c r="AG846" i="1"/>
  <c r="AG845" i="1"/>
  <c r="AG844" i="1"/>
  <c r="AG843" i="1"/>
  <c r="AG842" i="1"/>
  <c r="AG841" i="1"/>
  <c r="AG840" i="1"/>
  <c r="AG839" i="1"/>
  <c r="AG838" i="1"/>
  <c r="AG837" i="1"/>
  <c r="AH838" i="1" s="1"/>
  <c r="AG836" i="1"/>
  <c r="AG835" i="1"/>
  <c r="AG834" i="1"/>
  <c r="AG833" i="1"/>
  <c r="AG832" i="1"/>
  <c r="AG831" i="1"/>
  <c r="AG830" i="1"/>
  <c r="AG829" i="1"/>
  <c r="AG828" i="1"/>
  <c r="AG827" i="1"/>
  <c r="AG826" i="1"/>
  <c r="AG825" i="1"/>
  <c r="AG824" i="1"/>
  <c r="AG823" i="1"/>
  <c r="AG822" i="1"/>
  <c r="AG821" i="1"/>
  <c r="AG820" i="1"/>
  <c r="AG819" i="1"/>
  <c r="AG818" i="1"/>
  <c r="AG817" i="1"/>
  <c r="AG816" i="1"/>
  <c r="AG815" i="1"/>
  <c r="AG814" i="1"/>
  <c r="AG813" i="1"/>
  <c r="AG812" i="1"/>
  <c r="AG811" i="1"/>
  <c r="AG810" i="1"/>
  <c r="AG809" i="1"/>
  <c r="AG808" i="1"/>
  <c r="AG807" i="1"/>
  <c r="AG806" i="1"/>
  <c r="AG805" i="1"/>
  <c r="AG804" i="1"/>
  <c r="AG803" i="1"/>
  <c r="AG802" i="1"/>
  <c r="AG801" i="1"/>
  <c r="AG800" i="1"/>
  <c r="AG799" i="1"/>
  <c r="AG798" i="1"/>
  <c r="AG797" i="1"/>
  <c r="AG796" i="1"/>
  <c r="AG795" i="1"/>
  <c r="AG794" i="1"/>
  <c r="AG793" i="1"/>
  <c r="AG792" i="1"/>
  <c r="AG791" i="1"/>
  <c r="AG790" i="1"/>
  <c r="AG789" i="1"/>
  <c r="AG788" i="1"/>
  <c r="AG787" i="1"/>
  <c r="AG786" i="1"/>
  <c r="AG785" i="1"/>
  <c r="AG784" i="1"/>
  <c r="AG783" i="1"/>
  <c r="AG782" i="1"/>
  <c r="AG781" i="1"/>
  <c r="AG780" i="1"/>
  <c r="AG779" i="1"/>
  <c r="AG778" i="1"/>
  <c r="AG777" i="1"/>
  <c r="AG776" i="1"/>
  <c r="AG775" i="1"/>
  <c r="AG774" i="1"/>
  <c r="AG773" i="1"/>
  <c r="AG772" i="1"/>
  <c r="AG771" i="1"/>
  <c r="AG770" i="1"/>
  <c r="AG769" i="1"/>
  <c r="AG768" i="1"/>
  <c r="AG767" i="1"/>
  <c r="AG766" i="1"/>
  <c r="AG765" i="1"/>
  <c r="AG764" i="1"/>
  <c r="AG763" i="1"/>
  <c r="AG762" i="1"/>
  <c r="AG761" i="1"/>
  <c r="AG760" i="1"/>
  <c r="AG759" i="1"/>
  <c r="AG758" i="1"/>
  <c r="AG757" i="1"/>
  <c r="AG756" i="1"/>
  <c r="AG755" i="1"/>
  <c r="AG754" i="1"/>
  <c r="AG753" i="1"/>
  <c r="AG752" i="1"/>
  <c r="AG751" i="1"/>
  <c r="AG750" i="1"/>
  <c r="AG749" i="1"/>
  <c r="AG748" i="1"/>
  <c r="AG747" i="1"/>
  <c r="AG746" i="1"/>
  <c r="AG745" i="1"/>
  <c r="AG744" i="1"/>
  <c r="AG743" i="1"/>
  <c r="AG742" i="1"/>
  <c r="AG741" i="1"/>
  <c r="AG740" i="1"/>
  <c r="AG739" i="1"/>
  <c r="AG738" i="1"/>
  <c r="AG737" i="1"/>
  <c r="AG736" i="1"/>
  <c r="AG735" i="1"/>
  <c r="AG734" i="1"/>
  <c r="AG733" i="1"/>
  <c r="AG732" i="1"/>
  <c r="AG731" i="1"/>
  <c r="AG730" i="1"/>
  <c r="AG729" i="1"/>
  <c r="AG728" i="1"/>
  <c r="AG727" i="1"/>
  <c r="AG726" i="1"/>
  <c r="AG725" i="1"/>
  <c r="AG724" i="1"/>
  <c r="AG723" i="1"/>
  <c r="AG722" i="1"/>
  <c r="AG721" i="1"/>
  <c r="AG720" i="1"/>
  <c r="AG719" i="1"/>
  <c r="AG718" i="1"/>
  <c r="AG717" i="1"/>
  <c r="AG716" i="1"/>
  <c r="AG715" i="1"/>
  <c r="AG714" i="1"/>
  <c r="AG713" i="1"/>
  <c r="AG712" i="1"/>
  <c r="AG711" i="1"/>
  <c r="AG710" i="1"/>
  <c r="AG709" i="1"/>
  <c r="AG708" i="1"/>
  <c r="AG707" i="1"/>
  <c r="AG706" i="1"/>
  <c r="AG705" i="1"/>
  <c r="AG704" i="1"/>
  <c r="AG703" i="1"/>
  <c r="AG702" i="1"/>
  <c r="AG701" i="1"/>
  <c r="AG700" i="1"/>
  <c r="AG699" i="1"/>
  <c r="AG698" i="1"/>
  <c r="AG697" i="1"/>
  <c r="AG696" i="1"/>
  <c r="AG695" i="1"/>
  <c r="AG694" i="1"/>
  <c r="AG693" i="1"/>
  <c r="AG692" i="1"/>
  <c r="AG691" i="1"/>
  <c r="AG690" i="1"/>
  <c r="AG689" i="1"/>
  <c r="AG688" i="1"/>
  <c r="AG687" i="1"/>
  <c r="AG686" i="1"/>
  <c r="AG685" i="1"/>
  <c r="AH686" i="1" s="1"/>
  <c r="AG684" i="1"/>
  <c r="AG683" i="1"/>
  <c r="AG682" i="1"/>
  <c r="AG681" i="1"/>
  <c r="AG680" i="1"/>
  <c r="AG679" i="1"/>
  <c r="AG678" i="1"/>
  <c r="AG677" i="1"/>
  <c r="AG676" i="1"/>
  <c r="AG675" i="1"/>
  <c r="AG674" i="1"/>
  <c r="AG673" i="1"/>
  <c r="AG672" i="1"/>
  <c r="AG671" i="1"/>
  <c r="AG670" i="1"/>
  <c r="AG669" i="1"/>
  <c r="AG668" i="1"/>
  <c r="AG667" i="1"/>
  <c r="AG666" i="1"/>
  <c r="AG665" i="1"/>
  <c r="AG664" i="1"/>
  <c r="AG663" i="1"/>
  <c r="AG662" i="1"/>
  <c r="AG661" i="1"/>
  <c r="AG660" i="1"/>
  <c r="AG659" i="1"/>
  <c r="AG658" i="1"/>
  <c r="AG657" i="1"/>
  <c r="AG656" i="1"/>
  <c r="AG655" i="1"/>
  <c r="AG654" i="1"/>
  <c r="AG653" i="1"/>
  <c r="AG652" i="1"/>
  <c r="AG651" i="1"/>
  <c r="AG650" i="1"/>
  <c r="AG649" i="1"/>
  <c r="AG648" i="1"/>
  <c r="AG647" i="1"/>
  <c r="AG646" i="1"/>
  <c r="AG645" i="1"/>
  <c r="AG644" i="1"/>
  <c r="AG643" i="1"/>
  <c r="AG642" i="1"/>
  <c r="AG641" i="1"/>
  <c r="AG640" i="1"/>
  <c r="AG639" i="1"/>
  <c r="AG638" i="1"/>
  <c r="AG637" i="1"/>
  <c r="AG636" i="1"/>
  <c r="AG635" i="1"/>
  <c r="AG634" i="1"/>
  <c r="AG633" i="1"/>
  <c r="AG632" i="1"/>
  <c r="AG631" i="1"/>
  <c r="AG630" i="1"/>
  <c r="AG629" i="1"/>
  <c r="AG628" i="1"/>
  <c r="AG627" i="1"/>
  <c r="AG626" i="1"/>
  <c r="AG625" i="1"/>
  <c r="AG624" i="1"/>
  <c r="AG623" i="1"/>
  <c r="AG622" i="1"/>
  <c r="AG621" i="1"/>
  <c r="AG620" i="1"/>
  <c r="AG619" i="1"/>
  <c r="AG618" i="1"/>
  <c r="AG617" i="1"/>
  <c r="AG616" i="1"/>
  <c r="AG615" i="1"/>
  <c r="AG614" i="1"/>
  <c r="AG613" i="1"/>
  <c r="AG612" i="1"/>
  <c r="AG611" i="1"/>
  <c r="AG610" i="1"/>
  <c r="AG609" i="1"/>
  <c r="AG608" i="1"/>
  <c r="AG607" i="1"/>
  <c r="AG606" i="1"/>
  <c r="AG605" i="1"/>
  <c r="AG604" i="1"/>
  <c r="AG603" i="1"/>
  <c r="AG602" i="1"/>
  <c r="AG601" i="1"/>
  <c r="AG600" i="1"/>
  <c r="AG599" i="1"/>
  <c r="AG598" i="1"/>
  <c r="AG597" i="1"/>
  <c r="AG596" i="1"/>
  <c r="AG595" i="1"/>
  <c r="AG594" i="1"/>
  <c r="AG593" i="1"/>
  <c r="AG592" i="1"/>
  <c r="AG591" i="1"/>
  <c r="AG590" i="1"/>
  <c r="AG589" i="1"/>
  <c r="AG588" i="1"/>
  <c r="AG587" i="1"/>
  <c r="AG586" i="1"/>
  <c r="AG585" i="1"/>
  <c r="AG584" i="1"/>
  <c r="AG583" i="1"/>
  <c r="AG582" i="1"/>
  <c r="AG581" i="1"/>
  <c r="AG580" i="1"/>
  <c r="AG579" i="1"/>
  <c r="AG578" i="1"/>
  <c r="AG577" i="1"/>
  <c r="AG576" i="1"/>
  <c r="AG575" i="1"/>
  <c r="AG574" i="1"/>
  <c r="AG573" i="1"/>
  <c r="AG572" i="1"/>
  <c r="AG571" i="1"/>
  <c r="AG570" i="1"/>
  <c r="AG569" i="1"/>
  <c r="AG568" i="1"/>
  <c r="AG567" i="1"/>
  <c r="AG566" i="1"/>
  <c r="AG565" i="1"/>
  <c r="AG564" i="1"/>
  <c r="AG563" i="1"/>
  <c r="AG562" i="1"/>
  <c r="AH563" i="1" s="1"/>
  <c r="AG561" i="1"/>
  <c r="AG560" i="1"/>
  <c r="AG559" i="1"/>
  <c r="AG558" i="1"/>
  <c r="AG557" i="1"/>
  <c r="AG556" i="1"/>
  <c r="AG555" i="1"/>
  <c r="AG554" i="1"/>
  <c r="AG553" i="1"/>
  <c r="AG552" i="1"/>
  <c r="AG551" i="1"/>
  <c r="AG550" i="1"/>
  <c r="AG549" i="1"/>
  <c r="AG548" i="1"/>
  <c r="AG547" i="1"/>
  <c r="AG546" i="1"/>
  <c r="AG545" i="1"/>
  <c r="AG544" i="1"/>
  <c r="AG543" i="1"/>
  <c r="AG542" i="1"/>
  <c r="AG541" i="1"/>
  <c r="AG540" i="1"/>
  <c r="AG539" i="1"/>
  <c r="AG538" i="1"/>
  <c r="AG537" i="1"/>
  <c r="AG536" i="1"/>
  <c r="AG535" i="1"/>
  <c r="AG534" i="1"/>
  <c r="AG533" i="1"/>
  <c r="AG532" i="1"/>
  <c r="AG531" i="1"/>
  <c r="AG530" i="1"/>
  <c r="AG529" i="1"/>
  <c r="AG528" i="1"/>
  <c r="AG527" i="1"/>
  <c r="AG526" i="1"/>
  <c r="AG525" i="1"/>
  <c r="AG524" i="1"/>
  <c r="AG523" i="1"/>
  <c r="AG522" i="1"/>
  <c r="AG521" i="1"/>
  <c r="AG520" i="1"/>
  <c r="AG519" i="1"/>
  <c r="AG518" i="1"/>
  <c r="AG517" i="1"/>
  <c r="AG516" i="1"/>
  <c r="AG515" i="1"/>
  <c r="AG514" i="1"/>
  <c r="AG513" i="1"/>
  <c r="AG512" i="1"/>
  <c r="AG511" i="1"/>
  <c r="AG510" i="1"/>
  <c r="AG509" i="1"/>
  <c r="AG508" i="1"/>
  <c r="AG507" i="1"/>
  <c r="AG506" i="1"/>
  <c r="AG505" i="1"/>
  <c r="AG504" i="1"/>
  <c r="AG503" i="1"/>
  <c r="AG502" i="1"/>
  <c r="AG501" i="1"/>
  <c r="AH502" i="1" s="1"/>
  <c r="AG500" i="1"/>
  <c r="AG499" i="1"/>
  <c r="AG498" i="1"/>
  <c r="AG497" i="1"/>
  <c r="AG496" i="1"/>
  <c r="AG495" i="1"/>
  <c r="AG494" i="1"/>
  <c r="AG493" i="1"/>
  <c r="AG492" i="1"/>
  <c r="AG491" i="1"/>
  <c r="AG490" i="1"/>
  <c r="AG489" i="1"/>
  <c r="AG488" i="1"/>
  <c r="AG487" i="1"/>
  <c r="AG486" i="1"/>
  <c r="AG485" i="1"/>
  <c r="AG484" i="1"/>
  <c r="AG483" i="1"/>
  <c r="AG482" i="1"/>
  <c r="AG481" i="1"/>
  <c r="AG480" i="1"/>
  <c r="AG479" i="1"/>
  <c r="AG478" i="1"/>
  <c r="AG477" i="1"/>
  <c r="AG476" i="1"/>
  <c r="AG475" i="1"/>
  <c r="AG474" i="1"/>
  <c r="AG473" i="1"/>
  <c r="AG472" i="1"/>
  <c r="AG471" i="1"/>
  <c r="AG470" i="1"/>
  <c r="AG469" i="1"/>
  <c r="AG468" i="1"/>
  <c r="AG467" i="1"/>
  <c r="AG466" i="1"/>
  <c r="AG465" i="1"/>
  <c r="AG464" i="1"/>
  <c r="AG463" i="1"/>
  <c r="AG462" i="1"/>
  <c r="AG461" i="1"/>
  <c r="AG460" i="1"/>
  <c r="AG459" i="1"/>
  <c r="AG458" i="1"/>
  <c r="AG457" i="1"/>
  <c r="AG456" i="1"/>
  <c r="AG455" i="1"/>
  <c r="AG454" i="1"/>
  <c r="AG453" i="1"/>
  <c r="AG452" i="1"/>
  <c r="AG451" i="1"/>
  <c r="AG450" i="1"/>
  <c r="AG449" i="1"/>
  <c r="AG448" i="1"/>
  <c r="AG447" i="1"/>
  <c r="AG446" i="1"/>
  <c r="AG445" i="1"/>
  <c r="AG444" i="1"/>
  <c r="AG443" i="1"/>
  <c r="AG442" i="1"/>
  <c r="AG441" i="1"/>
  <c r="AG440" i="1"/>
  <c r="AG439" i="1"/>
  <c r="AG438" i="1"/>
  <c r="AG437" i="1"/>
  <c r="AG436" i="1"/>
  <c r="AG435" i="1"/>
  <c r="AG434" i="1"/>
  <c r="AG433" i="1"/>
  <c r="AG432" i="1"/>
  <c r="AG431" i="1"/>
  <c r="AG430" i="1"/>
  <c r="AG429" i="1"/>
  <c r="AG428" i="1"/>
  <c r="AG427" i="1"/>
  <c r="AG426" i="1"/>
  <c r="AG425" i="1"/>
  <c r="AG424" i="1"/>
  <c r="AG423" i="1"/>
  <c r="AG422" i="1"/>
  <c r="AG421" i="1"/>
  <c r="AG420" i="1"/>
  <c r="AG419" i="1"/>
  <c r="AG418" i="1"/>
  <c r="AG417" i="1"/>
  <c r="AG416" i="1"/>
  <c r="AG415" i="1"/>
  <c r="AG414" i="1"/>
  <c r="AG413" i="1"/>
  <c r="AG412" i="1"/>
  <c r="AG411" i="1"/>
  <c r="AG410" i="1"/>
  <c r="AG409" i="1"/>
  <c r="AG408" i="1"/>
  <c r="AG407" i="1"/>
  <c r="AG406" i="1"/>
  <c r="AG405" i="1"/>
  <c r="AG404" i="1"/>
  <c r="AG403" i="1"/>
  <c r="AG402" i="1"/>
  <c r="AG401" i="1"/>
  <c r="AG400" i="1"/>
  <c r="AG399" i="1"/>
  <c r="AG398" i="1"/>
  <c r="AG397" i="1"/>
  <c r="AG396" i="1"/>
  <c r="AG395" i="1"/>
  <c r="AG394" i="1"/>
  <c r="AG393" i="1"/>
  <c r="AG392" i="1"/>
  <c r="AG391" i="1"/>
  <c r="AG390" i="1"/>
  <c r="AG389" i="1"/>
  <c r="AG388" i="1"/>
  <c r="AG387" i="1"/>
  <c r="AG386" i="1"/>
  <c r="AG385" i="1"/>
  <c r="AG384" i="1"/>
  <c r="AG383" i="1"/>
  <c r="AG382" i="1"/>
  <c r="AG381" i="1"/>
  <c r="AG380" i="1"/>
  <c r="AG379" i="1"/>
  <c r="AG378" i="1"/>
  <c r="AG377" i="1"/>
  <c r="AG376" i="1"/>
  <c r="AG375" i="1"/>
  <c r="AG374" i="1"/>
  <c r="AG373" i="1"/>
  <c r="AG372" i="1"/>
  <c r="AG371" i="1"/>
  <c r="AG370" i="1"/>
  <c r="AG369" i="1"/>
  <c r="AG368" i="1"/>
  <c r="AG367" i="1"/>
  <c r="AG366" i="1"/>
  <c r="AG365" i="1"/>
  <c r="AG364" i="1"/>
  <c r="AG363" i="1"/>
  <c r="AG362" i="1"/>
  <c r="AG361" i="1"/>
  <c r="AG360" i="1"/>
  <c r="AG359" i="1"/>
  <c r="AG358" i="1"/>
  <c r="AG357" i="1"/>
  <c r="AG356" i="1"/>
  <c r="AG355" i="1"/>
  <c r="AG354" i="1"/>
  <c r="AG353" i="1"/>
  <c r="AG352" i="1"/>
  <c r="AG351" i="1"/>
  <c r="AG350" i="1"/>
  <c r="AG349" i="1"/>
  <c r="AG348" i="1"/>
  <c r="AG347" i="1"/>
  <c r="AG346" i="1"/>
  <c r="AG345" i="1"/>
  <c r="AG344" i="1"/>
  <c r="AG343" i="1"/>
  <c r="AG342" i="1"/>
  <c r="AG341" i="1"/>
  <c r="AG340" i="1"/>
  <c r="AG339" i="1"/>
  <c r="AG338" i="1"/>
  <c r="AG337" i="1"/>
  <c r="AG336" i="1"/>
  <c r="AG335" i="1"/>
  <c r="AG334" i="1"/>
  <c r="AG333" i="1"/>
  <c r="AG332" i="1"/>
  <c r="AG331" i="1"/>
  <c r="AG330" i="1"/>
  <c r="AG329" i="1"/>
  <c r="AG328" i="1"/>
  <c r="AG327" i="1"/>
  <c r="AG326" i="1"/>
  <c r="AG325" i="1"/>
  <c r="AG324" i="1"/>
  <c r="AG323" i="1"/>
  <c r="AG322" i="1"/>
  <c r="AG321" i="1"/>
  <c r="AG320" i="1"/>
  <c r="AG319" i="1"/>
  <c r="AG318" i="1"/>
  <c r="AG317" i="1"/>
  <c r="AG316" i="1"/>
  <c r="AG315" i="1"/>
  <c r="AG314" i="1"/>
  <c r="AG313" i="1"/>
  <c r="AG312" i="1"/>
  <c r="AG311" i="1"/>
  <c r="AG310" i="1"/>
  <c r="AG309" i="1"/>
  <c r="AG308" i="1"/>
  <c r="AG307" i="1"/>
  <c r="AG306" i="1"/>
  <c r="AG305" i="1"/>
  <c r="AG304" i="1"/>
  <c r="AG303" i="1"/>
  <c r="AG302" i="1"/>
  <c r="AG301" i="1"/>
  <c r="AG300" i="1"/>
  <c r="AG299" i="1"/>
  <c r="AG298" i="1"/>
  <c r="AG297" i="1"/>
  <c r="AG296" i="1"/>
  <c r="AG295" i="1"/>
  <c r="AG294" i="1"/>
  <c r="AG293" i="1"/>
  <c r="AG292" i="1"/>
  <c r="AG291" i="1"/>
  <c r="AG290" i="1"/>
  <c r="AG289" i="1"/>
  <c r="AG288" i="1"/>
  <c r="AG287" i="1"/>
  <c r="AG286" i="1"/>
  <c r="AG285" i="1"/>
  <c r="AG284" i="1"/>
  <c r="AG283" i="1"/>
  <c r="AG282" i="1"/>
  <c r="AG281" i="1"/>
  <c r="AG280" i="1"/>
  <c r="AG279" i="1"/>
  <c r="AG278" i="1"/>
  <c r="AG277" i="1"/>
  <c r="AG276" i="1"/>
  <c r="AG275" i="1"/>
  <c r="AG274" i="1"/>
  <c r="AG273" i="1"/>
  <c r="AG272" i="1"/>
  <c r="AG271" i="1"/>
  <c r="AG270" i="1"/>
  <c r="AG269" i="1"/>
  <c r="AG268" i="1"/>
  <c r="AG267" i="1"/>
  <c r="AG266" i="1"/>
  <c r="AG265" i="1"/>
  <c r="AG264" i="1"/>
  <c r="AG263" i="1"/>
  <c r="AG262" i="1"/>
  <c r="AG261" i="1"/>
  <c r="AG260" i="1"/>
  <c r="AG259" i="1"/>
  <c r="AG258" i="1"/>
  <c r="AG257" i="1"/>
  <c r="AG256" i="1"/>
  <c r="AG255" i="1"/>
  <c r="AG254" i="1"/>
  <c r="AG253" i="1"/>
  <c r="AG252" i="1"/>
  <c r="AG251" i="1"/>
  <c r="AG250" i="1"/>
  <c r="AG249" i="1"/>
  <c r="AG248" i="1"/>
  <c r="AG247" i="1"/>
  <c r="AG246" i="1"/>
  <c r="AG245" i="1"/>
  <c r="AG244" i="1"/>
  <c r="AG243" i="1"/>
  <c r="AG242" i="1"/>
  <c r="AG241" i="1"/>
  <c r="AG240" i="1"/>
  <c r="AG239" i="1"/>
  <c r="AG238" i="1"/>
  <c r="AG237" i="1"/>
  <c r="AG236" i="1"/>
  <c r="AG235" i="1"/>
  <c r="AG234" i="1"/>
  <c r="AG233" i="1"/>
  <c r="AG232" i="1"/>
  <c r="AG231" i="1"/>
  <c r="AG230" i="1"/>
  <c r="AG229" i="1"/>
  <c r="AG228" i="1"/>
  <c r="AG227" i="1"/>
  <c r="AG226" i="1"/>
  <c r="AG225" i="1"/>
  <c r="AG224" i="1"/>
  <c r="AG223" i="1"/>
  <c r="AG222" i="1"/>
  <c r="AG221" i="1"/>
  <c r="AG220" i="1"/>
  <c r="AG219" i="1"/>
  <c r="AG218" i="1"/>
  <c r="AG217" i="1"/>
  <c r="AG216" i="1"/>
  <c r="AG215" i="1"/>
  <c r="AG214" i="1"/>
  <c r="AG213" i="1"/>
  <c r="AG212" i="1"/>
  <c r="AG211" i="1"/>
  <c r="AG210" i="1"/>
  <c r="AG209" i="1"/>
  <c r="AG208" i="1"/>
  <c r="AG207" i="1"/>
  <c r="AG206" i="1"/>
  <c r="AG205" i="1"/>
  <c r="AG204" i="1"/>
  <c r="AG203" i="1"/>
  <c r="AG202" i="1"/>
  <c r="AG201" i="1"/>
  <c r="AG200" i="1"/>
  <c r="AG199" i="1"/>
  <c r="AG198" i="1"/>
  <c r="AG197" i="1"/>
  <c r="AG196" i="1"/>
  <c r="AG195" i="1"/>
  <c r="AG194" i="1"/>
  <c r="AG193" i="1"/>
  <c r="AG192" i="1"/>
  <c r="AG191" i="1"/>
  <c r="AG190" i="1"/>
  <c r="AG189" i="1"/>
  <c r="AG188" i="1"/>
  <c r="AG187" i="1"/>
  <c r="AG186" i="1"/>
  <c r="AG185" i="1"/>
  <c r="AG184" i="1"/>
  <c r="AG183" i="1"/>
  <c r="AG182" i="1"/>
  <c r="AG181" i="1"/>
  <c r="AG180" i="1"/>
  <c r="AG179" i="1"/>
  <c r="AG178" i="1"/>
  <c r="AG177" i="1"/>
  <c r="AG176" i="1"/>
  <c r="AG175" i="1"/>
  <c r="AG174" i="1"/>
  <c r="AG173" i="1"/>
  <c r="AG172" i="1"/>
  <c r="AG171" i="1"/>
  <c r="AG170" i="1"/>
  <c r="AG169" i="1"/>
  <c r="AG168" i="1"/>
  <c r="AG167" i="1"/>
  <c r="AG166" i="1"/>
  <c r="AG165" i="1"/>
  <c r="AG164" i="1"/>
  <c r="AG163" i="1"/>
  <c r="AG162" i="1"/>
  <c r="AG161" i="1"/>
  <c r="AG160" i="1"/>
  <c r="AG159" i="1"/>
  <c r="AG158" i="1"/>
  <c r="AG157" i="1"/>
  <c r="AG156" i="1"/>
  <c r="AG155" i="1"/>
  <c r="AG154" i="1"/>
  <c r="AG153" i="1"/>
  <c r="AG152" i="1"/>
  <c r="AG151" i="1"/>
  <c r="AG150" i="1"/>
  <c r="AG149" i="1"/>
  <c r="AG148" i="1"/>
  <c r="AG147" i="1"/>
  <c r="AG146" i="1"/>
  <c r="AG145" i="1"/>
  <c r="AG144" i="1"/>
  <c r="AG143" i="1"/>
  <c r="AG142" i="1"/>
  <c r="AG141" i="1"/>
  <c r="AG140" i="1"/>
  <c r="AG139" i="1"/>
  <c r="AG138" i="1"/>
  <c r="AG137" i="1"/>
  <c r="AG136" i="1"/>
  <c r="AG135" i="1"/>
  <c r="AG134" i="1"/>
  <c r="AG133" i="1"/>
  <c r="AG132" i="1"/>
  <c r="AG131" i="1"/>
  <c r="AG130" i="1"/>
  <c r="AG129" i="1"/>
  <c r="AG128" i="1"/>
  <c r="AG127" i="1"/>
  <c r="AG126" i="1"/>
  <c r="AG125" i="1"/>
  <c r="AG124" i="1"/>
  <c r="AG123" i="1"/>
  <c r="AG122" i="1"/>
  <c r="AG121" i="1"/>
  <c r="AG120" i="1"/>
  <c r="AG119" i="1"/>
  <c r="AG118" i="1"/>
  <c r="AG117" i="1"/>
  <c r="AG116" i="1"/>
  <c r="AG115" i="1"/>
  <c r="AG114" i="1"/>
  <c r="AG113" i="1"/>
  <c r="AG112" i="1"/>
  <c r="AG111" i="1"/>
  <c r="AG110" i="1"/>
  <c r="AG109" i="1"/>
  <c r="AG108" i="1"/>
  <c r="AG107" i="1"/>
  <c r="AG106" i="1"/>
  <c r="AG105" i="1"/>
  <c r="AG104" i="1"/>
  <c r="AG103" i="1"/>
  <c r="AG102" i="1"/>
  <c r="AG101" i="1"/>
  <c r="AG100" i="1"/>
  <c r="AG99" i="1"/>
  <c r="AG98" i="1"/>
  <c r="AG97" i="1"/>
  <c r="AG96" i="1"/>
  <c r="AG95" i="1"/>
  <c r="AG94" i="1"/>
  <c r="AG93" i="1"/>
  <c r="AG92" i="1"/>
  <c r="AG91" i="1"/>
  <c r="AG90" i="1"/>
  <c r="AG89" i="1"/>
  <c r="AG88" i="1"/>
  <c r="AG87" i="1"/>
  <c r="AG86" i="1"/>
  <c r="AG85" i="1"/>
  <c r="AG84" i="1"/>
  <c r="AG83" i="1"/>
  <c r="AG82" i="1"/>
  <c r="AG81" i="1"/>
  <c r="AG80" i="1"/>
  <c r="AG79" i="1"/>
  <c r="AG78" i="1"/>
  <c r="AG77" i="1"/>
  <c r="AG76" i="1"/>
  <c r="AG75" i="1"/>
  <c r="AG74" i="1"/>
  <c r="AG73" i="1"/>
  <c r="AG72" i="1"/>
  <c r="AG71" i="1"/>
  <c r="AG70" i="1"/>
  <c r="AG69" i="1"/>
  <c r="AG68" i="1"/>
  <c r="AG67" i="1"/>
  <c r="AG66" i="1"/>
  <c r="AG65" i="1"/>
  <c r="AG64" i="1"/>
  <c r="AG63" i="1"/>
  <c r="AG62" i="1"/>
  <c r="AG61" i="1"/>
  <c r="AG60" i="1"/>
  <c r="AG59" i="1"/>
  <c r="AG58" i="1"/>
  <c r="AG57" i="1"/>
  <c r="AG56" i="1"/>
  <c r="AG55" i="1"/>
  <c r="AG54" i="1"/>
  <c r="AG53" i="1"/>
  <c r="AG52" i="1"/>
  <c r="AG51" i="1"/>
  <c r="AG50" i="1"/>
  <c r="AG49" i="1"/>
  <c r="AG48" i="1"/>
  <c r="AG47" i="1"/>
  <c r="AG46" i="1"/>
  <c r="AG45" i="1"/>
  <c r="AG44" i="1"/>
  <c r="AG43" i="1"/>
  <c r="AG42" i="1"/>
  <c r="AG41" i="1"/>
  <c r="AG40" i="1"/>
  <c r="AG39" i="1"/>
  <c r="AG38" i="1"/>
  <c r="AG37" i="1"/>
  <c r="AG36" i="1"/>
  <c r="AG35" i="1"/>
  <c r="AG34" i="1"/>
  <c r="AG33" i="1"/>
  <c r="AG32" i="1"/>
  <c r="AG31" i="1"/>
  <c r="AG30" i="1"/>
  <c r="AG29" i="1"/>
  <c r="AG28" i="1"/>
  <c r="AG27" i="1"/>
  <c r="AG26" i="1"/>
  <c r="AG25" i="1"/>
  <c r="AG24" i="1"/>
  <c r="AG23" i="1"/>
  <c r="AG22" i="1"/>
  <c r="AG21" i="1"/>
  <c r="AG20" i="1"/>
  <c r="AG19" i="1"/>
  <c r="AG18" i="1"/>
  <c r="AG17" i="1"/>
  <c r="AG10" i="1"/>
  <c r="AG12" i="1"/>
  <c r="AG14" i="1" s="1"/>
  <c r="AA1112" i="1"/>
  <c r="AA1111" i="1"/>
  <c r="AA1110" i="1"/>
  <c r="AA1109" i="1"/>
  <c r="AA1108" i="1"/>
  <c r="AA1107" i="1"/>
  <c r="AA1106" i="1"/>
  <c r="AA1105" i="1"/>
  <c r="AA1104" i="1"/>
  <c r="AA1103" i="1"/>
  <c r="AA1102" i="1"/>
  <c r="AA1101" i="1"/>
  <c r="AA1100" i="1"/>
  <c r="AA1099" i="1"/>
  <c r="AA1098" i="1"/>
  <c r="AA1097" i="1"/>
  <c r="AA1096" i="1"/>
  <c r="AA1095" i="1"/>
  <c r="AA1094" i="1"/>
  <c r="AA1093" i="1"/>
  <c r="AA1092" i="1"/>
  <c r="AA1091" i="1"/>
  <c r="AA1090" i="1"/>
  <c r="AA1089" i="1"/>
  <c r="AA1088" i="1"/>
  <c r="AA1087" i="1"/>
  <c r="AA1086" i="1"/>
  <c r="AA1085" i="1"/>
  <c r="AA1084" i="1"/>
  <c r="AA1083" i="1"/>
  <c r="AA1082" i="1"/>
  <c r="AA1081" i="1"/>
  <c r="AB1082" i="1" s="1"/>
  <c r="AA1080" i="1"/>
  <c r="AA1079" i="1"/>
  <c r="AA1078" i="1"/>
  <c r="AA1077" i="1"/>
  <c r="AA1076" i="1"/>
  <c r="AA1075" i="1"/>
  <c r="AA1074" i="1"/>
  <c r="AA1073" i="1"/>
  <c r="AA1072" i="1"/>
  <c r="AA1071" i="1"/>
  <c r="AA1070" i="1"/>
  <c r="AA1069" i="1"/>
  <c r="AA1068" i="1"/>
  <c r="AA1067" i="1"/>
  <c r="AA1066" i="1"/>
  <c r="AA1065" i="1"/>
  <c r="AA1064" i="1"/>
  <c r="AA1063" i="1"/>
  <c r="AA1062" i="1"/>
  <c r="AA1061" i="1"/>
  <c r="AA1060" i="1"/>
  <c r="AA1059" i="1"/>
  <c r="AA1058" i="1"/>
  <c r="AA1057" i="1"/>
  <c r="AA1056" i="1"/>
  <c r="AA1055" i="1"/>
  <c r="AA1054" i="1"/>
  <c r="AA1053" i="1"/>
  <c r="AA1052" i="1"/>
  <c r="AA1051" i="1"/>
  <c r="AB1052" i="1" s="1"/>
  <c r="AA1050" i="1"/>
  <c r="AA1049" i="1"/>
  <c r="AA1048" i="1"/>
  <c r="AA1047" i="1"/>
  <c r="AA1046" i="1"/>
  <c r="AA1045" i="1"/>
  <c r="AA1044" i="1"/>
  <c r="AA1043" i="1"/>
  <c r="AA1042" i="1"/>
  <c r="AA1041" i="1"/>
  <c r="AA1040" i="1"/>
  <c r="AA1039" i="1"/>
  <c r="AA1038" i="1"/>
  <c r="AA1037" i="1"/>
  <c r="AA1036" i="1"/>
  <c r="AA1035" i="1"/>
  <c r="AA1034" i="1"/>
  <c r="AA1033" i="1"/>
  <c r="AA1032" i="1"/>
  <c r="AA1031" i="1"/>
  <c r="AA1030" i="1"/>
  <c r="AA1029" i="1"/>
  <c r="AA1028" i="1"/>
  <c r="AA1027" i="1"/>
  <c r="AA1026" i="1"/>
  <c r="AA1025" i="1"/>
  <c r="AA1024" i="1"/>
  <c r="AA1023" i="1"/>
  <c r="AA1022" i="1"/>
  <c r="AA1021" i="1"/>
  <c r="AA1020" i="1"/>
  <c r="AB1021" i="1" s="1"/>
  <c r="AA1019" i="1"/>
  <c r="AA1018" i="1"/>
  <c r="AA1017" i="1"/>
  <c r="AA1016" i="1"/>
  <c r="AA1015" i="1"/>
  <c r="AA1014" i="1"/>
  <c r="AA1013" i="1"/>
  <c r="AA1012" i="1"/>
  <c r="AA1011" i="1"/>
  <c r="AA1010" i="1"/>
  <c r="AA1009" i="1"/>
  <c r="AA1008" i="1"/>
  <c r="AA1007" i="1"/>
  <c r="AA1006" i="1"/>
  <c r="AA1005" i="1"/>
  <c r="AA1004" i="1"/>
  <c r="AA1003" i="1"/>
  <c r="AA1002" i="1"/>
  <c r="AA1001" i="1"/>
  <c r="AA1000" i="1"/>
  <c r="AA999" i="1"/>
  <c r="AA998" i="1"/>
  <c r="AA997" i="1"/>
  <c r="AA996" i="1"/>
  <c r="AA995" i="1"/>
  <c r="AA994" i="1"/>
  <c r="AA993" i="1"/>
  <c r="AA992" i="1"/>
  <c r="AA991" i="1"/>
  <c r="AA990" i="1"/>
  <c r="AB991" i="1" s="1"/>
  <c r="AA989" i="1"/>
  <c r="AA988" i="1"/>
  <c r="AA987" i="1"/>
  <c r="AA986" i="1"/>
  <c r="AA985" i="1"/>
  <c r="AA984" i="1"/>
  <c r="AA983" i="1"/>
  <c r="AA982" i="1"/>
  <c r="AA981" i="1"/>
  <c r="AA980" i="1"/>
  <c r="AA979" i="1"/>
  <c r="AA978" i="1"/>
  <c r="AA977" i="1"/>
  <c r="AA976" i="1"/>
  <c r="AA975" i="1"/>
  <c r="AA974" i="1"/>
  <c r="AA973" i="1"/>
  <c r="AA972" i="1"/>
  <c r="AA971" i="1"/>
  <c r="AA970" i="1"/>
  <c r="AA969" i="1"/>
  <c r="AA968" i="1"/>
  <c r="AA967" i="1"/>
  <c r="AA966" i="1"/>
  <c r="AA965" i="1"/>
  <c r="AA964" i="1"/>
  <c r="AA963" i="1"/>
  <c r="AA962" i="1"/>
  <c r="AA961" i="1"/>
  <c r="AA960" i="1"/>
  <c r="AA959" i="1"/>
  <c r="AA958" i="1"/>
  <c r="AA957" i="1"/>
  <c r="AA956" i="1"/>
  <c r="AA955" i="1"/>
  <c r="AA954" i="1"/>
  <c r="AA953" i="1"/>
  <c r="AA952" i="1"/>
  <c r="AA951" i="1"/>
  <c r="AA950" i="1"/>
  <c r="AA949" i="1"/>
  <c r="AA948" i="1"/>
  <c r="AA947" i="1"/>
  <c r="AA946" i="1"/>
  <c r="AA945" i="1"/>
  <c r="AA944" i="1"/>
  <c r="AA943" i="1"/>
  <c r="AA942" i="1"/>
  <c r="AA941" i="1"/>
  <c r="AA940" i="1"/>
  <c r="AA939" i="1"/>
  <c r="AA938" i="1"/>
  <c r="AA937" i="1"/>
  <c r="AA936" i="1"/>
  <c r="AA935" i="1"/>
  <c r="AA934" i="1"/>
  <c r="AA933" i="1"/>
  <c r="AA932" i="1"/>
  <c r="AA931" i="1"/>
  <c r="AA930" i="1"/>
  <c r="AA929" i="1"/>
  <c r="AA928" i="1"/>
  <c r="AB929" i="1" s="1"/>
  <c r="AA927" i="1"/>
  <c r="AA926" i="1"/>
  <c r="AA925" i="1"/>
  <c r="AA924" i="1"/>
  <c r="AA923" i="1"/>
  <c r="AA922" i="1"/>
  <c r="AA921" i="1"/>
  <c r="AA920" i="1"/>
  <c r="AA919" i="1"/>
  <c r="AA918" i="1"/>
  <c r="AA917" i="1"/>
  <c r="AA916" i="1"/>
  <c r="AA915" i="1"/>
  <c r="AA914" i="1"/>
  <c r="AA913" i="1"/>
  <c r="AA912" i="1"/>
  <c r="AA911" i="1"/>
  <c r="AA910" i="1"/>
  <c r="AA909" i="1"/>
  <c r="AA908" i="1"/>
  <c r="AA907" i="1"/>
  <c r="AA906" i="1"/>
  <c r="AA905" i="1"/>
  <c r="AA904" i="1"/>
  <c r="AA903" i="1"/>
  <c r="AA902" i="1"/>
  <c r="AA901" i="1"/>
  <c r="AA900" i="1"/>
  <c r="AA899" i="1"/>
  <c r="AA898" i="1"/>
  <c r="AB899" i="1" s="1"/>
  <c r="AA897" i="1"/>
  <c r="AA896" i="1"/>
  <c r="AA895" i="1"/>
  <c r="AA894" i="1"/>
  <c r="AA893" i="1"/>
  <c r="AA892" i="1"/>
  <c r="AA891" i="1"/>
  <c r="AA890" i="1"/>
  <c r="AA889" i="1"/>
  <c r="AA888" i="1"/>
  <c r="AA887" i="1"/>
  <c r="AA886" i="1"/>
  <c r="AA885" i="1"/>
  <c r="AA884" i="1"/>
  <c r="AA883" i="1"/>
  <c r="AA882" i="1"/>
  <c r="AA881" i="1"/>
  <c r="AA880" i="1"/>
  <c r="AA879" i="1"/>
  <c r="AA878" i="1"/>
  <c r="AA877" i="1"/>
  <c r="AA876" i="1"/>
  <c r="AA875" i="1"/>
  <c r="AA874" i="1"/>
  <c r="AA873" i="1"/>
  <c r="AA872" i="1"/>
  <c r="AA871" i="1"/>
  <c r="AA870" i="1"/>
  <c r="AA869" i="1"/>
  <c r="AA868" i="1"/>
  <c r="AA867" i="1"/>
  <c r="AB868" i="1" s="1"/>
  <c r="AA866" i="1"/>
  <c r="AA865" i="1"/>
  <c r="AA864" i="1"/>
  <c r="AA863" i="1"/>
  <c r="AA862" i="1"/>
  <c r="AA861" i="1"/>
  <c r="AA860" i="1"/>
  <c r="AA859" i="1"/>
  <c r="AA858" i="1"/>
  <c r="AA857" i="1"/>
  <c r="AA856" i="1"/>
  <c r="AA855" i="1"/>
  <c r="AA854" i="1"/>
  <c r="AA853" i="1"/>
  <c r="AA852" i="1"/>
  <c r="AA851" i="1"/>
  <c r="AA850" i="1"/>
  <c r="AA849" i="1"/>
  <c r="AA848" i="1"/>
  <c r="AA847" i="1"/>
  <c r="AA846" i="1"/>
  <c r="AA845" i="1"/>
  <c r="AA844" i="1"/>
  <c r="AA843" i="1"/>
  <c r="AA842" i="1"/>
  <c r="AA841" i="1"/>
  <c r="AA840" i="1"/>
  <c r="AA839" i="1"/>
  <c r="AA838" i="1"/>
  <c r="AA837" i="1"/>
  <c r="AB838" i="1" s="1"/>
  <c r="AA836" i="1"/>
  <c r="AA835" i="1"/>
  <c r="AA834" i="1"/>
  <c r="AA833" i="1"/>
  <c r="AA832" i="1"/>
  <c r="AA831" i="1"/>
  <c r="AA830" i="1"/>
  <c r="AA829" i="1"/>
  <c r="AA828" i="1"/>
  <c r="AA827" i="1"/>
  <c r="AA826" i="1"/>
  <c r="AA825" i="1"/>
  <c r="AA824" i="1"/>
  <c r="AA823" i="1"/>
  <c r="AA822" i="1"/>
  <c r="AA821" i="1"/>
  <c r="AA820" i="1"/>
  <c r="AA819" i="1"/>
  <c r="AA818" i="1"/>
  <c r="AA817" i="1"/>
  <c r="AA816" i="1"/>
  <c r="AA815" i="1"/>
  <c r="AA814" i="1"/>
  <c r="AA813" i="1"/>
  <c r="AA812" i="1"/>
  <c r="AA811" i="1"/>
  <c r="AA810" i="1"/>
  <c r="AA809" i="1"/>
  <c r="AA808" i="1"/>
  <c r="AA807" i="1"/>
  <c r="AA806" i="1"/>
  <c r="AB807" i="1" s="1"/>
  <c r="AA805" i="1"/>
  <c r="AA804" i="1"/>
  <c r="AA803" i="1"/>
  <c r="AA802" i="1"/>
  <c r="AA801" i="1"/>
  <c r="AA800" i="1"/>
  <c r="AA799" i="1"/>
  <c r="AA798" i="1"/>
  <c r="AA797" i="1"/>
  <c r="AA796" i="1"/>
  <c r="AA795" i="1"/>
  <c r="AA794" i="1"/>
  <c r="AA793" i="1"/>
  <c r="AA792" i="1"/>
  <c r="AA791" i="1"/>
  <c r="AA790" i="1"/>
  <c r="AA789" i="1"/>
  <c r="AA788" i="1"/>
  <c r="AA787" i="1"/>
  <c r="AA786" i="1"/>
  <c r="AA785" i="1"/>
  <c r="AA784" i="1"/>
  <c r="AA783" i="1"/>
  <c r="AA782" i="1"/>
  <c r="AA781" i="1"/>
  <c r="AA780" i="1"/>
  <c r="AA779" i="1"/>
  <c r="AA778" i="1"/>
  <c r="AA777" i="1"/>
  <c r="AB778" i="1" s="1"/>
  <c r="AA776" i="1"/>
  <c r="AA775" i="1"/>
  <c r="AA774" i="1"/>
  <c r="AA773" i="1"/>
  <c r="AA772" i="1"/>
  <c r="AA771" i="1"/>
  <c r="AA770" i="1"/>
  <c r="AA769" i="1"/>
  <c r="AA768" i="1"/>
  <c r="AA767" i="1"/>
  <c r="AA766" i="1"/>
  <c r="AA765" i="1"/>
  <c r="AA764" i="1"/>
  <c r="AA763" i="1"/>
  <c r="AA762" i="1"/>
  <c r="AA761" i="1"/>
  <c r="AA760" i="1"/>
  <c r="AA759" i="1"/>
  <c r="AA758" i="1"/>
  <c r="AA757" i="1"/>
  <c r="AA756" i="1"/>
  <c r="AA755" i="1"/>
  <c r="AA754" i="1"/>
  <c r="AA753" i="1"/>
  <c r="AA752" i="1"/>
  <c r="AA751" i="1"/>
  <c r="AA750" i="1"/>
  <c r="AA749" i="1"/>
  <c r="AA748" i="1"/>
  <c r="AA747" i="1"/>
  <c r="AA746" i="1"/>
  <c r="AA745" i="1"/>
  <c r="AA744" i="1"/>
  <c r="AA743" i="1"/>
  <c r="AA742" i="1"/>
  <c r="AA741" i="1"/>
  <c r="AA740" i="1"/>
  <c r="AA739" i="1"/>
  <c r="AA738" i="1"/>
  <c r="AA737" i="1"/>
  <c r="AA736" i="1"/>
  <c r="AA735" i="1"/>
  <c r="AA734" i="1"/>
  <c r="AA733" i="1"/>
  <c r="AA732" i="1"/>
  <c r="AA731" i="1"/>
  <c r="AA730" i="1"/>
  <c r="AA729" i="1"/>
  <c r="AA728" i="1"/>
  <c r="AA727" i="1"/>
  <c r="AA726" i="1"/>
  <c r="AA725" i="1"/>
  <c r="AA724" i="1"/>
  <c r="AA723" i="1"/>
  <c r="AA722" i="1"/>
  <c r="AA721" i="1"/>
  <c r="AA720" i="1"/>
  <c r="AA719" i="1"/>
  <c r="AA718" i="1"/>
  <c r="AA717" i="1"/>
  <c r="AA716" i="1"/>
  <c r="AA715" i="1"/>
  <c r="AB716" i="1" s="1"/>
  <c r="AA714" i="1"/>
  <c r="AA713" i="1"/>
  <c r="AA712" i="1"/>
  <c r="AA711" i="1"/>
  <c r="AA710" i="1"/>
  <c r="AA709" i="1"/>
  <c r="AA708" i="1"/>
  <c r="AA707" i="1"/>
  <c r="AA706" i="1"/>
  <c r="AA705" i="1"/>
  <c r="AA704" i="1"/>
  <c r="AA703" i="1"/>
  <c r="AA702" i="1"/>
  <c r="AA701" i="1"/>
  <c r="AA700" i="1"/>
  <c r="AA699" i="1"/>
  <c r="AA698" i="1"/>
  <c r="AA697" i="1"/>
  <c r="AA696" i="1"/>
  <c r="AA695" i="1"/>
  <c r="AA694" i="1"/>
  <c r="AA693" i="1"/>
  <c r="AA692" i="1"/>
  <c r="AA691" i="1"/>
  <c r="AA690" i="1"/>
  <c r="AA689" i="1"/>
  <c r="AA688" i="1"/>
  <c r="AA687" i="1"/>
  <c r="AA686" i="1"/>
  <c r="AA685" i="1"/>
  <c r="AB686" i="1" s="1"/>
  <c r="AA684" i="1"/>
  <c r="AA683" i="1"/>
  <c r="AA682" i="1"/>
  <c r="AA681" i="1"/>
  <c r="AA680" i="1"/>
  <c r="AA679" i="1"/>
  <c r="AA678" i="1"/>
  <c r="AA677" i="1"/>
  <c r="AA676" i="1"/>
  <c r="AA675" i="1"/>
  <c r="AA674" i="1"/>
  <c r="AA673" i="1"/>
  <c r="AA672" i="1"/>
  <c r="AA671" i="1"/>
  <c r="AA670" i="1"/>
  <c r="AA669" i="1"/>
  <c r="AA668" i="1"/>
  <c r="AA667" i="1"/>
  <c r="AA666" i="1"/>
  <c r="AA665" i="1"/>
  <c r="AA664" i="1"/>
  <c r="AA663" i="1"/>
  <c r="AA662" i="1"/>
  <c r="AA661" i="1"/>
  <c r="AA660" i="1"/>
  <c r="AA659" i="1"/>
  <c r="AA658" i="1"/>
  <c r="AA657" i="1"/>
  <c r="AA656" i="1"/>
  <c r="AA655" i="1"/>
  <c r="AA654" i="1"/>
  <c r="AB655" i="1" s="1"/>
  <c r="AA653" i="1"/>
  <c r="AA652" i="1"/>
  <c r="AA651" i="1"/>
  <c r="AA650" i="1"/>
  <c r="AA649" i="1"/>
  <c r="AA648" i="1"/>
  <c r="AA647" i="1"/>
  <c r="AA646" i="1"/>
  <c r="AA645" i="1"/>
  <c r="AA644" i="1"/>
  <c r="AA643" i="1"/>
  <c r="AA642" i="1"/>
  <c r="AA641" i="1"/>
  <c r="AA640" i="1"/>
  <c r="AA639" i="1"/>
  <c r="AA638" i="1"/>
  <c r="AA637" i="1"/>
  <c r="AA636" i="1"/>
  <c r="AA635" i="1"/>
  <c r="AA634" i="1"/>
  <c r="AA633" i="1"/>
  <c r="AA632" i="1"/>
  <c r="AA631" i="1"/>
  <c r="AA630" i="1"/>
  <c r="AA629" i="1"/>
  <c r="AA628" i="1"/>
  <c r="AA627" i="1"/>
  <c r="AA626" i="1"/>
  <c r="AA625" i="1"/>
  <c r="AA624" i="1"/>
  <c r="AA623" i="1"/>
  <c r="AA622" i="1"/>
  <c r="AA621" i="1"/>
  <c r="AA620" i="1"/>
  <c r="AA619" i="1"/>
  <c r="AA618" i="1"/>
  <c r="AA617" i="1"/>
  <c r="AA616" i="1"/>
  <c r="AA615" i="1"/>
  <c r="AA614" i="1"/>
  <c r="AA613" i="1"/>
  <c r="AA612" i="1"/>
  <c r="AA611" i="1"/>
  <c r="AA610" i="1"/>
  <c r="AA609" i="1"/>
  <c r="AA608" i="1"/>
  <c r="AA607" i="1"/>
  <c r="AA606" i="1"/>
  <c r="AA605" i="1"/>
  <c r="AA604" i="1"/>
  <c r="AA603" i="1"/>
  <c r="AA602" i="1"/>
  <c r="AA601" i="1"/>
  <c r="AA600" i="1"/>
  <c r="AA599" i="1"/>
  <c r="AA598" i="1"/>
  <c r="AA597" i="1"/>
  <c r="AA596" i="1"/>
  <c r="AA595" i="1"/>
  <c r="AA594" i="1"/>
  <c r="AA593" i="1"/>
  <c r="AA592" i="1"/>
  <c r="AA591" i="1"/>
  <c r="AA590" i="1"/>
  <c r="AA589" i="1"/>
  <c r="AA588" i="1"/>
  <c r="AA587" i="1"/>
  <c r="AA586" i="1"/>
  <c r="AA585" i="1"/>
  <c r="AA584" i="1"/>
  <c r="AA583" i="1"/>
  <c r="AA582" i="1"/>
  <c r="AA581" i="1"/>
  <c r="AA580" i="1"/>
  <c r="AA579" i="1"/>
  <c r="AA578" i="1"/>
  <c r="AA577" i="1"/>
  <c r="AA576" i="1"/>
  <c r="AA575" i="1"/>
  <c r="AA574" i="1"/>
  <c r="AA573" i="1"/>
  <c r="AA572" i="1"/>
  <c r="AA571" i="1"/>
  <c r="AA570" i="1"/>
  <c r="AA569" i="1"/>
  <c r="AA568" i="1"/>
  <c r="AA567" i="1"/>
  <c r="AA566" i="1"/>
  <c r="AA565" i="1"/>
  <c r="AA564" i="1"/>
  <c r="AA563" i="1"/>
  <c r="AA562" i="1"/>
  <c r="AB563" i="1" s="1"/>
  <c r="AA561" i="1"/>
  <c r="AA560" i="1"/>
  <c r="AA559" i="1"/>
  <c r="AA558" i="1"/>
  <c r="AA557" i="1"/>
  <c r="AA556" i="1"/>
  <c r="AA555" i="1"/>
  <c r="AA554" i="1"/>
  <c r="AA553" i="1"/>
  <c r="AA552" i="1"/>
  <c r="AA551" i="1"/>
  <c r="AA550" i="1"/>
  <c r="AA549" i="1"/>
  <c r="AA548" i="1"/>
  <c r="AA547" i="1"/>
  <c r="AA546" i="1"/>
  <c r="AA545" i="1"/>
  <c r="AA544" i="1"/>
  <c r="AA543" i="1"/>
  <c r="AA542" i="1"/>
  <c r="AA541" i="1"/>
  <c r="AA540" i="1"/>
  <c r="AA539" i="1"/>
  <c r="AA538" i="1"/>
  <c r="AA537" i="1"/>
  <c r="AA536" i="1"/>
  <c r="AA535" i="1"/>
  <c r="AA534" i="1"/>
  <c r="AA533" i="1"/>
  <c r="AA532" i="1"/>
  <c r="AB533" i="1" s="1"/>
  <c r="AA531" i="1"/>
  <c r="AA530" i="1"/>
  <c r="AA529" i="1"/>
  <c r="AA528" i="1"/>
  <c r="AA527" i="1"/>
  <c r="AA526" i="1"/>
  <c r="AA525" i="1"/>
  <c r="AA524" i="1"/>
  <c r="AA523" i="1"/>
  <c r="AA522" i="1"/>
  <c r="AA521" i="1"/>
  <c r="AA520" i="1"/>
  <c r="AA519" i="1"/>
  <c r="AA518" i="1"/>
  <c r="AA517" i="1"/>
  <c r="AA516" i="1"/>
  <c r="AA515" i="1"/>
  <c r="AA514" i="1"/>
  <c r="AA513" i="1"/>
  <c r="AA512" i="1"/>
  <c r="AA511" i="1"/>
  <c r="AA510" i="1"/>
  <c r="AA509" i="1"/>
  <c r="AA508" i="1"/>
  <c r="AA507" i="1"/>
  <c r="AA506" i="1"/>
  <c r="AA505" i="1"/>
  <c r="AA504" i="1"/>
  <c r="AA503" i="1"/>
  <c r="AA502" i="1"/>
  <c r="AA501" i="1"/>
  <c r="AB502" i="1" s="1"/>
  <c r="AA500" i="1"/>
  <c r="AA499" i="1"/>
  <c r="AA498" i="1"/>
  <c r="AA497" i="1"/>
  <c r="AA496" i="1"/>
  <c r="AA495" i="1"/>
  <c r="AA494" i="1"/>
  <c r="AA493" i="1"/>
  <c r="AA492" i="1"/>
  <c r="AA491" i="1"/>
  <c r="AA490" i="1"/>
  <c r="AA489" i="1"/>
  <c r="AA488" i="1"/>
  <c r="AA487" i="1"/>
  <c r="AA486" i="1"/>
  <c r="AA485" i="1"/>
  <c r="AA484" i="1"/>
  <c r="AA483" i="1"/>
  <c r="AA482" i="1"/>
  <c r="AA481" i="1"/>
  <c r="AA480" i="1"/>
  <c r="AA479" i="1"/>
  <c r="AA478" i="1"/>
  <c r="AA477" i="1"/>
  <c r="AA476" i="1"/>
  <c r="AA475" i="1"/>
  <c r="AA474" i="1"/>
  <c r="AA473" i="1"/>
  <c r="AA472" i="1"/>
  <c r="AA471" i="1"/>
  <c r="AB472" i="1" s="1"/>
  <c r="AA470" i="1"/>
  <c r="AA469" i="1"/>
  <c r="AA468" i="1"/>
  <c r="AA467" i="1"/>
  <c r="AA466" i="1"/>
  <c r="AA465" i="1"/>
  <c r="AA464" i="1"/>
  <c r="AA463" i="1"/>
  <c r="AA462" i="1"/>
  <c r="AA461" i="1"/>
  <c r="AA460" i="1"/>
  <c r="AA459" i="1"/>
  <c r="AA458" i="1"/>
  <c r="AA457" i="1"/>
  <c r="AA456" i="1"/>
  <c r="AA455" i="1"/>
  <c r="AA454" i="1"/>
  <c r="AA453" i="1"/>
  <c r="AA452" i="1"/>
  <c r="AA451" i="1"/>
  <c r="AA450" i="1"/>
  <c r="AA449" i="1"/>
  <c r="AA448" i="1"/>
  <c r="AA447" i="1"/>
  <c r="AA446" i="1"/>
  <c r="AA445" i="1"/>
  <c r="AA444" i="1"/>
  <c r="AA443" i="1"/>
  <c r="AA442" i="1"/>
  <c r="AA441" i="1"/>
  <c r="AA440" i="1"/>
  <c r="AB441" i="1" s="1"/>
  <c r="AA439" i="1"/>
  <c r="AA438" i="1"/>
  <c r="AA437" i="1"/>
  <c r="AA436" i="1"/>
  <c r="AA435" i="1"/>
  <c r="AA434" i="1"/>
  <c r="AA433" i="1"/>
  <c r="AA432" i="1"/>
  <c r="AA431" i="1"/>
  <c r="AA430" i="1"/>
  <c r="AA429" i="1"/>
  <c r="AA428" i="1"/>
  <c r="AA427" i="1"/>
  <c r="AA426" i="1"/>
  <c r="AA425" i="1"/>
  <c r="AA424" i="1"/>
  <c r="AA423" i="1"/>
  <c r="AA422" i="1"/>
  <c r="AA421" i="1"/>
  <c r="AA420" i="1"/>
  <c r="AA419" i="1"/>
  <c r="AA418" i="1"/>
  <c r="AA417" i="1"/>
  <c r="AA416" i="1"/>
  <c r="AA415" i="1"/>
  <c r="AA414" i="1"/>
  <c r="AA413" i="1"/>
  <c r="AA412" i="1"/>
  <c r="AB413" i="1" s="1"/>
  <c r="AA411" i="1"/>
  <c r="AA410" i="1"/>
  <c r="AA409" i="1"/>
  <c r="AA408" i="1"/>
  <c r="AA407" i="1"/>
  <c r="AA406" i="1"/>
  <c r="AA405" i="1"/>
  <c r="AA404" i="1"/>
  <c r="AA403" i="1"/>
  <c r="AA402" i="1"/>
  <c r="AA401" i="1"/>
  <c r="AA400" i="1"/>
  <c r="AA399" i="1"/>
  <c r="AA398" i="1"/>
  <c r="AA397" i="1"/>
  <c r="AA396" i="1"/>
  <c r="AA395" i="1"/>
  <c r="AA394" i="1"/>
  <c r="AA393" i="1"/>
  <c r="AA392" i="1"/>
  <c r="AA391" i="1"/>
  <c r="AA390" i="1"/>
  <c r="AA389" i="1"/>
  <c r="AA388" i="1"/>
  <c r="AA387" i="1"/>
  <c r="AA386" i="1"/>
  <c r="AA385" i="1"/>
  <c r="AA384" i="1"/>
  <c r="AA383" i="1"/>
  <c r="AA382" i="1"/>
  <c r="AA381" i="1"/>
  <c r="AA380" i="1"/>
  <c r="AA379" i="1"/>
  <c r="AA378" i="1"/>
  <c r="AA377" i="1"/>
  <c r="AA376" i="1"/>
  <c r="AA375" i="1"/>
  <c r="AA374" i="1"/>
  <c r="AA373" i="1"/>
  <c r="AA372" i="1"/>
  <c r="AA371" i="1"/>
  <c r="AA370" i="1"/>
  <c r="AA369" i="1"/>
  <c r="AA368" i="1"/>
  <c r="AA367" i="1"/>
  <c r="AA366" i="1"/>
  <c r="AA365" i="1"/>
  <c r="AA364" i="1"/>
  <c r="AA363" i="1"/>
  <c r="AA362" i="1"/>
  <c r="AA361" i="1"/>
  <c r="AA360" i="1"/>
  <c r="AA359" i="1"/>
  <c r="AA358" i="1"/>
  <c r="AA357" i="1"/>
  <c r="AA356" i="1"/>
  <c r="AA355" i="1"/>
  <c r="AA354" i="1"/>
  <c r="AA353" i="1"/>
  <c r="AA352" i="1"/>
  <c r="AA351" i="1"/>
  <c r="AA350" i="1"/>
  <c r="AA349" i="1"/>
  <c r="AA348" i="1"/>
  <c r="AA347" i="1"/>
  <c r="AA346" i="1"/>
  <c r="AA345" i="1"/>
  <c r="AA344" i="1"/>
  <c r="AA343" i="1"/>
  <c r="AA342" i="1"/>
  <c r="AA341" i="1"/>
  <c r="AA340" i="1"/>
  <c r="AA339" i="1"/>
  <c r="AA338" i="1"/>
  <c r="AA337" i="1"/>
  <c r="AA336" i="1"/>
  <c r="AA335" i="1"/>
  <c r="AA334" i="1"/>
  <c r="AA333" i="1"/>
  <c r="AA332" i="1"/>
  <c r="AA331" i="1"/>
  <c r="AA330" i="1"/>
  <c r="AA329" i="1"/>
  <c r="AA328" i="1"/>
  <c r="AA327" i="1"/>
  <c r="AA326" i="1"/>
  <c r="AA325" i="1"/>
  <c r="AA324" i="1"/>
  <c r="AA323" i="1"/>
  <c r="AA322" i="1"/>
  <c r="AA321" i="1"/>
  <c r="AA320" i="1"/>
  <c r="AA319" i="1"/>
  <c r="AA318" i="1"/>
  <c r="AA317" i="1"/>
  <c r="AA316" i="1"/>
  <c r="AA315" i="1"/>
  <c r="AA314" i="1"/>
  <c r="AA313" i="1"/>
  <c r="AA312" i="1"/>
  <c r="AA311" i="1"/>
  <c r="AA310" i="1"/>
  <c r="AA309" i="1"/>
  <c r="AA308" i="1"/>
  <c r="AA307" i="1"/>
  <c r="AA306" i="1"/>
  <c r="AA305" i="1"/>
  <c r="AA304" i="1"/>
  <c r="AA303" i="1"/>
  <c r="AA302" i="1"/>
  <c r="AA301" i="1"/>
  <c r="AA300" i="1"/>
  <c r="AA299" i="1"/>
  <c r="AA298" i="1"/>
  <c r="AA297" i="1"/>
  <c r="AA296" i="1"/>
  <c r="AA295" i="1"/>
  <c r="AA294" i="1"/>
  <c r="AA293" i="1"/>
  <c r="AA292" i="1"/>
  <c r="AA291" i="1"/>
  <c r="AA290" i="1"/>
  <c r="AA289" i="1"/>
  <c r="AA288" i="1"/>
  <c r="AA287" i="1"/>
  <c r="AA286" i="1"/>
  <c r="AA285" i="1"/>
  <c r="AA284" i="1"/>
  <c r="AA283" i="1"/>
  <c r="AA282" i="1"/>
  <c r="AA281" i="1"/>
  <c r="AA280" i="1"/>
  <c r="AA279" i="1"/>
  <c r="AA278" i="1"/>
  <c r="AA277" i="1"/>
  <c r="AA276" i="1"/>
  <c r="AA275" i="1"/>
  <c r="AA274" i="1"/>
  <c r="AA273" i="1"/>
  <c r="AA272" i="1"/>
  <c r="AA271" i="1"/>
  <c r="AA270" i="1"/>
  <c r="AA269" i="1"/>
  <c r="AA268" i="1"/>
  <c r="AA267" i="1"/>
  <c r="AA266" i="1"/>
  <c r="AA265" i="1"/>
  <c r="AA264" i="1"/>
  <c r="AA263" i="1"/>
  <c r="AA262" i="1"/>
  <c r="AA261" i="1"/>
  <c r="AA260" i="1"/>
  <c r="AA259" i="1"/>
  <c r="AA258" i="1"/>
  <c r="AA257" i="1"/>
  <c r="AA256" i="1"/>
  <c r="AA255" i="1"/>
  <c r="AA254" i="1"/>
  <c r="AA253" i="1"/>
  <c r="AA252" i="1"/>
  <c r="AA251" i="1"/>
  <c r="AA250" i="1"/>
  <c r="AA249" i="1"/>
  <c r="AA248" i="1"/>
  <c r="AA247" i="1"/>
  <c r="AA246" i="1"/>
  <c r="AA245" i="1"/>
  <c r="AA244" i="1"/>
  <c r="AA243" i="1"/>
  <c r="AA242" i="1"/>
  <c r="AA241" i="1"/>
  <c r="AA240" i="1"/>
  <c r="AA239" i="1"/>
  <c r="AA238" i="1"/>
  <c r="AA237" i="1"/>
  <c r="AA236" i="1"/>
  <c r="AA235" i="1"/>
  <c r="AA234" i="1"/>
  <c r="AA233" i="1"/>
  <c r="AA232" i="1"/>
  <c r="AA231" i="1"/>
  <c r="AA230" i="1"/>
  <c r="AA229" i="1"/>
  <c r="AA228" i="1"/>
  <c r="AA227" i="1"/>
  <c r="AA226" i="1"/>
  <c r="AA225" i="1"/>
  <c r="AA224" i="1"/>
  <c r="AA223" i="1"/>
  <c r="AA222" i="1"/>
  <c r="AA221" i="1"/>
  <c r="AA220" i="1"/>
  <c r="AA219" i="1"/>
  <c r="AA218" i="1"/>
  <c r="AA217" i="1"/>
  <c r="AA216" i="1"/>
  <c r="AA215" i="1"/>
  <c r="AA214" i="1"/>
  <c r="AA213" i="1"/>
  <c r="AA212" i="1"/>
  <c r="AA211" i="1"/>
  <c r="AA210" i="1"/>
  <c r="AA209" i="1"/>
  <c r="AA208" i="1"/>
  <c r="AA207" i="1"/>
  <c r="AA206" i="1"/>
  <c r="AA205" i="1"/>
  <c r="AA204" i="1"/>
  <c r="AA203" i="1"/>
  <c r="AA202" i="1"/>
  <c r="AA201" i="1"/>
  <c r="AA200" i="1"/>
  <c r="AA199" i="1"/>
  <c r="AA198" i="1"/>
  <c r="AA197" i="1"/>
  <c r="AA196" i="1"/>
  <c r="AA195" i="1"/>
  <c r="AA194" i="1"/>
  <c r="AA193" i="1"/>
  <c r="AA192" i="1"/>
  <c r="AA191" i="1"/>
  <c r="AA190" i="1"/>
  <c r="AA189" i="1"/>
  <c r="AA188" i="1"/>
  <c r="AA187" i="1"/>
  <c r="AA186" i="1"/>
  <c r="AA185" i="1"/>
  <c r="AA184" i="1"/>
  <c r="AA183" i="1"/>
  <c r="AA182" i="1"/>
  <c r="AA181" i="1"/>
  <c r="AA180" i="1"/>
  <c r="AA179" i="1"/>
  <c r="AA178" i="1"/>
  <c r="AA177" i="1"/>
  <c r="AA176" i="1"/>
  <c r="AA175" i="1"/>
  <c r="AA174" i="1"/>
  <c r="AA173" i="1"/>
  <c r="AA172" i="1"/>
  <c r="AA171" i="1"/>
  <c r="AA170" i="1"/>
  <c r="AA169" i="1"/>
  <c r="AA168" i="1"/>
  <c r="AA167" i="1"/>
  <c r="AA166" i="1"/>
  <c r="AA165" i="1"/>
  <c r="AA164" i="1"/>
  <c r="AA163" i="1"/>
  <c r="AA162" i="1"/>
  <c r="AA161" i="1"/>
  <c r="AA160" i="1"/>
  <c r="AA159" i="1"/>
  <c r="AA158" i="1"/>
  <c r="AA157" i="1"/>
  <c r="AA156" i="1"/>
  <c r="AA155" i="1"/>
  <c r="AA154" i="1"/>
  <c r="AA153" i="1"/>
  <c r="AA152" i="1"/>
  <c r="AA151" i="1"/>
  <c r="AA150" i="1"/>
  <c r="AA149" i="1"/>
  <c r="AA148" i="1"/>
  <c r="AA147" i="1"/>
  <c r="AA146" i="1"/>
  <c r="AA145" i="1"/>
  <c r="AA144" i="1"/>
  <c r="AA143" i="1"/>
  <c r="AA142" i="1"/>
  <c r="AA141" i="1"/>
  <c r="AA140" i="1"/>
  <c r="AA139" i="1"/>
  <c r="AA138" i="1"/>
  <c r="AA137" i="1"/>
  <c r="AA136" i="1"/>
  <c r="AA135" i="1"/>
  <c r="AA134" i="1"/>
  <c r="AA133" i="1"/>
  <c r="AA132" i="1"/>
  <c r="AA131" i="1"/>
  <c r="AA130" i="1"/>
  <c r="AA129" i="1"/>
  <c r="AA128" i="1"/>
  <c r="AA127" i="1"/>
  <c r="AA126" i="1"/>
  <c r="AA125" i="1"/>
  <c r="AA124" i="1"/>
  <c r="AA123" i="1"/>
  <c r="AA122" i="1"/>
  <c r="AA121" i="1"/>
  <c r="AA120" i="1"/>
  <c r="AA119" i="1"/>
  <c r="AA118" i="1"/>
  <c r="AA117" i="1"/>
  <c r="AA116" i="1"/>
  <c r="AA115" i="1"/>
  <c r="AA114" i="1"/>
  <c r="AA113" i="1"/>
  <c r="AA112" i="1"/>
  <c r="AA111" i="1"/>
  <c r="AA110" i="1"/>
  <c r="AA109" i="1"/>
  <c r="AA108" i="1"/>
  <c r="AA107" i="1"/>
  <c r="AA106" i="1"/>
  <c r="AA105" i="1"/>
  <c r="AA104" i="1"/>
  <c r="AA103" i="1"/>
  <c r="AA102" i="1"/>
  <c r="AA101" i="1"/>
  <c r="AA100" i="1"/>
  <c r="AA99" i="1"/>
  <c r="AA98" i="1"/>
  <c r="AA97" i="1"/>
  <c r="AA96" i="1"/>
  <c r="AA95" i="1"/>
  <c r="AA94" i="1"/>
  <c r="AA93" i="1"/>
  <c r="AA92" i="1"/>
  <c r="AA91" i="1"/>
  <c r="AA90" i="1"/>
  <c r="AA89" i="1"/>
  <c r="AA88" i="1"/>
  <c r="AA87" i="1"/>
  <c r="AA86" i="1"/>
  <c r="AA85" i="1"/>
  <c r="AA84" i="1"/>
  <c r="AA83" i="1"/>
  <c r="AA82" i="1"/>
  <c r="AA81" i="1"/>
  <c r="AA80" i="1"/>
  <c r="AA79" i="1"/>
  <c r="AA78" i="1"/>
  <c r="AA77" i="1"/>
  <c r="AA76" i="1"/>
  <c r="AA75" i="1"/>
  <c r="AA74" i="1"/>
  <c r="AA73" i="1"/>
  <c r="AA72" i="1"/>
  <c r="AA71" i="1"/>
  <c r="AA70" i="1"/>
  <c r="AA69" i="1"/>
  <c r="AA68" i="1"/>
  <c r="AA67" i="1"/>
  <c r="AA66" i="1"/>
  <c r="AA65" i="1"/>
  <c r="AA64" i="1"/>
  <c r="AA63" i="1"/>
  <c r="AA62" i="1"/>
  <c r="AA61" i="1"/>
  <c r="AA60" i="1"/>
  <c r="AA59" i="1"/>
  <c r="AA58" i="1"/>
  <c r="AA57" i="1"/>
  <c r="AA56" i="1"/>
  <c r="AA55" i="1"/>
  <c r="AA54" i="1"/>
  <c r="AA53" i="1"/>
  <c r="AA52" i="1"/>
  <c r="AA51" i="1"/>
  <c r="AA50" i="1"/>
  <c r="AA49" i="1"/>
  <c r="AA48" i="1"/>
  <c r="AA47" i="1"/>
  <c r="AA46" i="1"/>
  <c r="AA45" i="1"/>
  <c r="AA44" i="1"/>
  <c r="AA43" i="1"/>
  <c r="AA42" i="1"/>
  <c r="AA41" i="1"/>
  <c r="AA40" i="1"/>
  <c r="AA39" i="1"/>
  <c r="AA38" i="1"/>
  <c r="AA37" i="1"/>
  <c r="AA36" i="1"/>
  <c r="AA35" i="1"/>
  <c r="AA34" i="1"/>
  <c r="AA33" i="1"/>
  <c r="AA32" i="1"/>
  <c r="AA31" i="1"/>
  <c r="AA30" i="1"/>
  <c r="AA29" i="1"/>
  <c r="AA28" i="1"/>
  <c r="AA27" i="1"/>
  <c r="AA26" i="1"/>
  <c r="AA25" i="1"/>
  <c r="AA24" i="1"/>
  <c r="AA23" i="1"/>
  <c r="AA22" i="1"/>
  <c r="AA21" i="1"/>
  <c r="AA20" i="1"/>
  <c r="AA19" i="1"/>
  <c r="AA18" i="1"/>
  <c r="AA17" i="1"/>
  <c r="AA12" i="1"/>
  <c r="AA14" i="1" s="1"/>
  <c r="W1112" i="1"/>
  <c r="W1111" i="1"/>
  <c r="W1110" i="1"/>
  <c r="W1109" i="1"/>
  <c r="W1108" i="1"/>
  <c r="W1107" i="1"/>
  <c r="W1106" i="1"/>
  <c r="W1105" i="1"/>
  <c r="W1104" i="1"/>
  <c r="W1103" i="1"/>
  <c r="W1102" i="1"/>
  <c r="W1101" i="1"/>
  <c r="W1100" i="1"/>
  <c r="W1099" i="1"/>
  <c r="W1098" i="1"/>
  <c r="W1097" i="1"/>
  <c r="W1096" i="1"/>
  <c r="W1095" i="1"/>
  <c r="W1094" i="1"/>
  <c r="W1093" i="1"/>
  <c r="W1092" i="1"/>
  <c r="W1091" i="1"/>
  <c r="W1090" i="1"/>
  <c r="W1089" i="1"/>
  <c r="W1088" i="1"/>
  <c r="W1087" i="1"/>
  <c r="W1086" i="1"/>
  <c r="W1085" i="1"/>
  <c r="W1084" i="1"/>
  <c r="W1083" i="1"/>
  <c r="W1082" i="1"/>
  <c r="W1081" i="1"/>
  <c r="W1080" i="1"/>
  <c r="W1079" i="1"/>
  <c r="W1078" i="1"/>
  <c r="W1077" i="1"/>
  <c r="W1076" i="1"/>
  <c r="W1075" i="1"/>
  <c r="W1074" i="1"/>
  <c r="W1073" i="1"/>
  <c r="W1072" i="1"/>
  <c r="W1071" i="1"/>
  <c r="W1070" i="1"/>
  <c r="W1069" i="1"/>
  <c r="W1068" i="1"/>
  <c r="W1067" i="1"/>
  <c r="W1066" i="1"/>
  <c r="W1065" i="1"/>
  <c r="W1064" i="1"/>
  <c r="W1063" i="1"/>
  <c r="W1062" i="1"/>
  <c r="W1061" i="1"/>
  <c r="W1060" i="1"/>
  <c r="W1059" i="1"/>
  <c r="W1058" i="1"/>
  <c r="W1057" i="1"/>
  <c r="W1056" i="1"/>
  <c r="W1055" i="1"/>
  <c r="W1054" i="1"/>
  <c r="W1053" i="1"/>
  <c r="W1052" i="1"/>
  <c r="W1051" i="1"/>
  <c r="W1050" i="1"/>
  <c r="W1049" i="1"/>
  <c r="W1048" i="1"/>
  <c r="W1047" i="1"/>
  <c r="W1046" i="1"/>
  <c r="W1045" i="1"/>
  <c r="W1044" i="1"/>
  <c r="W1043" i="1"/>
  <c r="W1042" i="1"/>
  <c r="W1041" i="1"/>
  <c r="W1040" i="1"/>
  <c r="W1039" i="1"/>
  <c r="W1038" i="1"/>
  <c r="W1037" i="1"/>
  <c r="W1036" i="1"/>
  <c r="W1035" i="1"/>
  <c r="W1034" i="1"/>
  <c r="W1033" i="1"/>
  <c r="W1032" i="1"/>
  <c r="W1031" i="1"/>
  <c r="W1030" i="1"/>
  <c r="W1029" i="1"/>
  <c r="W1028" i="1"/>
  <c r="W1027" i="1"/>
  <c r="W1026" i="1"/>
  <c r="W1025" i="1"/>
  <c r="W1024" i="1"/>
  <c r="W1023" i="1"/>
  <c r="W1022" i="1"/>
  <c r="W1021" i="1"/>
  <c r="W1020" i="1"/>
  <c r="W1019" i="1"/>
  <c r="W1018" i="1"/>
  <c r="W1017" i="1"/>
  <c r="W1016" i="1"/>
  <c r="W1015" i="1"/>
  <c r="W1014" i="1"/>
  <c r="W1013" i="1"/>
  <c r="W1012" i="1"/>
  <c r="W1011" i="1"/>
  <c r="W1010" i="1"/>
  <c r="W1009" i="1"/>
  <c r="W1008" i="1"/>
  <c r="W1007" i="1"/>
  <c r="W1006" i="1"/>
  <c r="W1005" i="1"/>
  <c r="W1004" i="1"/>
  <c r="W1003" i="1"/>
  <c r="W1002" i="1"/>
  <c r="W1001" i="1"/>
  <c r="W1000" i="1"/>
  <c r="W999" i="1"/>
  <c r="W998" i="1"/>
  <c r="W997" i="1"/>
  <c r="W996" i="1"/>
  <c r="W995" i="1"/>
  <c r="W994" i="1"/>
  <c r="W993" i="1"/>
  <c r="W992" i="1"/>
  <c r="W991" i="1"/>
  <c r="W990" i="1"/>
  <c r="W989" i="1"/>
  <c r="W988" i="1"/>
  <c r="W987" i="1"/>
  <c r="W986" i="1"/>
  <c r="W985" i="1"/>
  <c r="W984" i="1"/>
  <c r="W983" i="1"/>
  <c r="W982" i="1"/>
  <c r="W981" i="1"/>
  <c r="W980" i="1"/>
  <c r="W979" i="1"/>
  <c r="W978" i="1"/>
  <c r="W977" i="1"/>
  <c r="W976" i="1"/>
  <c r="W975" i="1"/>
  <c r="W974" i="1"/>
  <c r="W973" i="1"/>
  <c r="W972" i="1"/>
  <c r="W971" i="1"/>
  <c r="W970" i="1"/>
  <c r="W969" i="1"/>
  <c r="W968" i="1"/>
  <c r="W967" i="1"/>
  <c r="W966" i="1"/>
  <c r="W965" i="1"/>
  <c r="W964" i="1"/>
  <c r="W963" i="1"/>
  <c r="W962" i="1"/>
  <c r="W961" i="1"/>
  <c r="W960" i="1"/>
  <c r="W959" i="1"/>
  <c r="W958" i="1"/>
  <c r="W957" i="1"/>
  <c r="W956" i="1"/>
  <c r="W955" i="1"/>
  <c r="W954" i="1"/>
  <c r="W953" i="1"/>
  <c r="W952" i="1"/>
  <c r="W951" i="1"/>
  <c r="W950" i="1"/>
  <c r="W949" i="1"/>
  <c r="W948" i="1"/>
  <c r="W947" i="1"/>
  <c r="W946" i="1"/>
  <c r="W945" i="1"/>
  <c r="W944" i="1"/>
  <c r="W943" i="1"/>
  <c r="W942" i="1"/>
  <c r="W941" i="1"/>
  <c r="W940" i="1"/>
  <c r="W939" i="1"/>
  <c r="W938" i="1"/>
  <c r="W937" i="1"/>
  <c r="W936" i="1"/>
  <c r="W935" i="1"/>
  <c r="W934" i="1"/>
  <c r="W933" i="1"/>
  <c r="W932" i="1"/>
  <c r="W931" i="1"/>
  <c r="W930" i="1"/>
  <c r="W929" i="1"/>
  <c r="W928" i="1"/>
  <c r="W927" i="1"/>
  <c r="W926" i="1"/>
  <c r="W925" i="1"/>
  <c r="W924" i="1"/>
  <c r="W923" i="1"/>
  <c r="W922" i="1"/>
  <c r="W921" i="1"/>
  <c r="W920" i="1"/>
  <c r="W919" i="1"/>
  <c r="W918" i="1"/>
  <c r="W917" i="1"/>
  <c r="W916" i="1"/>
  <c r="W915" i="1"/>
  <c r="W914" i="1"/>
  <c r="W913" i="1"/>
  <c r="W912" i="1"/>
  <c r="W911" i="1"/>
  <c r="W910" i="1"/>
  <c r="W909" i="1"/>
  <c r="W908" i="1"/>
  <c r="W907" i="1"/>
  <c r="W906" i="1"/>
  <c r="W905" i="1"/>
  <c r="W904" i="1"/>
  <c r="W903" i="1"/>
  <c r="W902" i="1"/>
  <c r="W901" i="1"/>
  <c r="W900" i="1"/>
  <c r="W899" i="1"/>
  <c r="W898" i="1"/>
  <c r="W897" i="1"/>
  <c r="W896" i="1"/>
  <c r="W895" i="1"/>
  <c r="W894" i="1"/>
  <c r="W893" i="1"/>
  <c r="W892" i="1"/>
  <c r="W891" i="1"/>
  <c r="W890" i="1"/>
  <c r="W889" i="1"/>
  <c r="W888" i="1"/>
  <c r="W887" i="1"/>
  <c r="W886" i="1"/>
  <c r="W885" i="1"/>
  <c r="W884" i="1"/>
  <c r="W883" i="1"/>
  <c r="W882" i="1"/>
  <c r="W881" i="1"/>
  <c r="W880" i="1"/>
  <c r="W879" i="1"/>
  <c r="W878" i="1"/>
  <c r="W877" i="1"/>
  <c r="W876" i="1"/>
  <c r="W875" i="1"/>
  <c r="W874" i="1"/>
  <c r="W873" i="1"/>
  <c r="W872" i="1"/>
  <c r="W871" i="1"/>
  <c r="W870" i="1"/>
  <c r="W869" i="1"/>
  <c r="W868" i="1"/>
  <c r="W867" i="1"/>
  <c r="W866" i="1"/>
  <c r="W865" i="1"/>
  <c r="W864" i="1"/>
  <c r="W863" i="1"/>
  <c r="W862" i="1"/>
  <c r="W861" i="1"/>
  <c r="W860" i="1"/>
  <c r="W859" i="1"/>
  <c r="W858" i="1"/>
  <c r="W857" i="1"/>
  <c r="W856" i="1"/>
  <c r="W855" i="1"/>
  <c r="W854" i="1"/>
  <c r="W853" i="1"/>
  <c r="W852" i="1"/>
  <c r="W851" i="1"/>
  <c r="W850" i="1"/>
  <c r="W849" i="1"/>
  <c r="W848" i="1"/>
  <c r="W847" i="1"/>
  <c r="W846" i="1"/>
  <c r="W845" i="1"/>
  <c r="W844" i="1"/>
  <c r="W843" i="1"/>
  <c r="W842" i="1"/>
  <c r="W841" i="1"/>
  <c r="W840" i="1"/>
  <c r="W839" i="1"/>
  <c r="W838" i="1"/>
  <c r="W837" i="1"/>
  <c r="X838" i="1" s="1"/>
  <c r="W836" i="1"/>
  <c r="W835" i="1"/>
  <c r="W834" i="1"/>
  <c r="W833" i="1"/>
  <c r="W832" i="1"/>
  <c r="W831" i="1"/>
  <c r="W830" i="1"/>
  <c r="W829" i="1"/>
  <c r="W828" i="1"/>
  <c r="W827" i="1"/>
  <c r="W826" i="1"/>
  <c r="W825" i="1"/>
  <c r="W824" i="1"/>
  <c r="W823" i="1"/>
  <c r="W822" i="1"/>
  <c r="W821" i="1"/>
  <c r="W820" i="1"/>
  <c r="W819" i="1"/>
  <c r="W818" i="1"/>
  <c r="W817" i="1"/>
  <c r="W816" i="1"/>
  <c r="W815" i="1"/>
  <c r="W814" i="1"/>
  <c r="W813" i="1"/>
  <c r="W812" i="1"/>
  <c r="W811" i="1"/>
  <c r="W810" i="1"/>
  <c r="W809" i="1"/>
  <c r="W808" i="1"/>
  <c r="W807" i="1"/>
  <c r="W806" i="1"/>
  <c r="W805" i="1"/>
  <c r="W804" i="1"/>
  <c r="W803" i="1"/>
  <c r="W802" i="1"/>
  <c r="W801" i="1"/>
  <c r="W800" i="1"/>
  <c r="W799" i="1"/>
  <c r="W798" i="1"/>
  <c r="W797" i="1"/>
  <c r="W796" i="1"/>
  <c r="W795" i="1"/>
  <c r="W794" i="1"/>
  <c r="W793" i="1"/>
  <c r="W792" i="1"/>
  <c r="W791" i="1"/>
  <c r="W790" i="1"/>
  <c r="W789" i="1"/>
  <c r="W788" i="1"/>
  <c r="W787" i="1"/>
  <c r="W786" i="1"/>
  <c r="W785" i="1"/>
  <c r="W784" i="1"/>
  <c r="W783" i="1"/>
  <c r="W782" i="1"/>
  <c r="W781" i="1"/>
  <c r="W780" i="1"/>
  <c r="W779" i="1"/>
  <c r="W778" i="1"/>
  <c r="W777" i="1"/>
  <c r="W776" i="1"/>
  <c r="W775" i="1"/>
  <c r="W774" i="1"/>
  <c r="W773" i="1"/>
  <c r="W772" i="1"/>
  <c r="W771" i="1"/>
  <c r="W770" i="1"/>
  <c r="W769" i="1"/>
  <c r="W768" i="1"/>
  <c r="W767" i="1"/>
  <c r="W766" i="1"/>
  <c r="W765" i="1"/>
  <c r="W764" i="1"/>
  <c r="W763" i="1"/>
  <c r="W762" i="1"/>
  <c r="W761" i="1"/>
  <c r="W760" i="1"/>
  <c r="W759" i="1"/>
  <c r="W758" i="1"/>
  <c r="W757" i="1"/>
  <c r="W756" i="1"/>
  <c r="W755" i="1"/>
  <c r="W754" i="1"/>
  <c r="W753" i="1"/>
  <c r="W752" i="1"/>
  <c r="W751" i="1"/>
  <c r="W750" i="1"/>
  <c r="W749" i="1"/>
  <c r="W748" i="1"/>
  <c r="W747" i="1"/>
  <c r="W746" i="1"/>
  <c r="W745" i="1"/>
  <c r="W744" i="1"/>
  <c r="W743" i="1"/>
  <c r="W742" i="1"/>
  <c r="W741" i="1"/>
  <c r="W740" i="1"/>
  <c r="W739" i="1"/>
  <c r="W738" i="1"/>
  <c r="W737" i="1"/>
  <c r="W736" i="1"/>
  <c r="W735" i="1"/>
  <c r="W734" i="1"/>
  <c r="W733" i="1"/>
  <c r="W732" i="1"/>
  <c r="W731" i="1"/>
  <c r="W730" i="1"/>
  <c r="W729" i="1"/>
  <c r="W728" i="1"/>
  <c r="W727" i="1"/>
  <c r="W726" i="1"/>
  <c r="W725" i="1"/>
  <c r="W724" i="1"/>
  <c r="W723" i="1"/>
  <c r="W722" i="1"/>
  <c r="W721" i="1"/>
  <c r="W720" i="1"/>
  <c r="W719" i="1"/>
  <c r="W718" i="1"/>
  <c r="W717" i="1"/>
  <c r="W716" i="1"/>
  <c r="W715" i="1"/>
  <c r="W714" i="1"/>
  <c r="W713" i="1"/>
  <c r="W712" i="1"/>
  <c r="W711" i="1"/>
  <c r="W710" i="1"/>
  <c r="W709" i="1"/>
  <c r="W708" i="1"/>
  <c r="W707" i="1"/>
  <c r="W706" i="1"/>
  <c r="W705" i="1"/>
  <c r="W704" i="1"/>
  <c r="W703" i="1"/>
  <c r="W702" i="1"/>
  <c r="W701" i="1"/>
  <c r="W700" i="1"/>
  <c r="W699" i="1"/>
  <c r="W698" i="1"/>
  <c r="W697" i="1"/>
  <c r="W696" i="1"/>
  <c r="W695" i="1"/>
  <c r="W694" i="1"/>
  <c r="W693" i="1"/>
  <c r="W692" i="1"/>
  <c r="W691" i="1"/>
  <c r="W690" i="1"/>
  <c r="W689" i="1"/>
  <c r="W688" i="1"/>
  <c r="W687" i="1"/>
  <c r="W686" i="1"/>
  <c r="W685" i="1"/>
  <c r="X686" i="1" s="1"/>
  <c r="W684" i="1"/>
  <c r="W683" i="1"/>
  <c r="W682" i="1"/>
  <c r="W681" i="1"/>
  <c r="W680" i="1"/>
  <c r="W679" i="1"/>
  <c r="W678" i="1"/>
  <c r="W677" i="1"/>
  <c r="W676" i="1"/>
  <c r="W675" i="1"/>
  <c r="W674" i="1"/>
  <c r="W673" i="1"/>
  <c r="W672" i="1"/>
  <c r="W671" i="1"/>
  <c r="W670" i="1"/>
  <c r="W669" i="1"/>
  <c r="W668" i="1"/>
  <c r="W667" i="1"/>
  <c r="W666" i="1"/>
  <c r="W665" i="1"/>
  <c r="W664" i="1"/>
  <c r="W663" i="1"/>
  <c r="W662" i="1"/>
  <c r="W661" i="1"/>
  <c r="W660" i="1"/>
  <c r="W659" i="1"/>
  <c r="W658" i="1"/>
  <c r="W657" i="1"/>
  <c r="W656" i="1"/>
  <c r="W655" i="1"/>
  <c r="W654" i="1"/>
  <c r="W653" i="1"/>
  <c r="W652" i="1"/>
  <c r="W651" i="1"/>
  <c r="W650" i="1"/>
  <c r="W649" i="1"/>
  <c r="W648" i="1"/>
  <c r="W647" i="1"/>
  <c r="W646" i="1"/>
  <c r="W645" i="1"/>
  <c r="W644" i="1"/>
  <c r="W643" i="1"/>
  <c r="W642" i="1"/>
  <c r="W641" i="1"/>
  <c r="W640" i="1"/>
  <c r="W639" i="1"/>
  <c r="W638" i="1"/>
  <c r="W637" i="1"/>
  <c r="W636" i="1"/>
  <c r="W635" i="1"/>
  <c r="W634" i="1"/>
  <c r="W633" i="1"/>
  <c r="W632" i="1"/>
  <c r="W631" i="1"/>
  <c r="W630" i="1"/>
  <c r="W629" i="1"/>
  <c r="W628" i="1"/>
  <c r="W627" i="1"/>
  <c r="W626" i="1"/>
  <c r="W625" i="1"/>
  <c r="W624" i="1"/>
  <c r="W623" i="1"/>
  <c r="W622" i="1"/>
  <c r="W621" i="1"/>
  <c r="W620" i="1"/>
  <c r="W619" i="1"/>
  <c r="W618" i="1"/>
  <c r="W617" i="1"/>
  <c r="W616" i="1"/>
  <c r="W615" i="1"/>
  <c r="W614" i="1"/>
  <c r="W613" i="1"/>
  <c r="W612" i="1"/>
  <c r="W611" i="1"/>
  <c r="W610" i="1"/>
  <c r="W609" i="1"/>
  <c r="W608" i="1"/>
  <c r="W607" i="1"/>
  <c r="W606" i="1"/>
  <c r="W605" i="1"/>
  <c r="W604" i="1"/>
  <c r="W603" i="1"/>
  <c r="W602" i="1"/>
  <c r="W601" i="1"/>
  <c r="W600" i="1"/>
  <c r="W599" i="1"/>
  <c r="W598" i="1"/>
  <c r="W597" i="1"/>
  <c r="W596" i="1"/>
  <c r="W595" i="1"/>
  <c r="W594" i="1"/>
  <c r="W593" i="1"/>
  <c r="W592" i="1"/>
  <c r="W591" i="1"/>
  <c r="W590" i="1"/>
  <c r="W589" i="1"/>
  <c r="W588" i="1"/>
  <c r="W587" i="1"/>
  <c r="W586" i="1"/>
  <c r="W585" i="1"/>
  <c r="W584" i="1"/>
  <c r="W583" i="1"/>
  <c r="W582" i="1"/>
  <c r="W581" i="1"/>
  <c r="W580" i="1"/>
  <c r="W579" i="1"/>
  <c r="W578" i="1"/>
  <c r="W577" i="1"/>
  <c r="W576" i="1"/>
  <c r="W575" i="1"/>
  <c r="W574" i="1"/>
  <c r="W573" i="1"/>
  <c r="W572" i="1"/>
  <c r="W571" i="1"/>
  <c r="W570" i="1"/>
  <c r="W569" i="1"/>
  <c r="W568" i="1"/>
  <c r="W567" i="1"/>
  <c r="W566" i="1"/>
  <c r="W565" i="1"/>
  <c r="W564" i="1"/>
  <c r="W563" i="1"/>
  <c r="W562" i="1"/>
  <c r="W561" i="1"/>
  <c r="W560" i="1"/>
  <c r="W559" i="1"/>
  <c r="W558" i="1"/>
  <c r="W557" i="1"/>
  <c r="W556" i="1"/>
  <c r="W555" i="1"/>
  <c r="W554" i="1"/>
  <c r="W553" i="1"/>
  <c r="W552" i="1"/>
  <c r="W551" i="1"/>
  <c r="W550" i="1"/>
  <c r="W549" i="1"/>
  <c r="W548" i="1"/>
  <c r="W547" i="1"/>
  <c r="W546" i="1"/>
  <c r="W545" i="1"/>
  <c r="W544" i="1"/>
  <c r="W543" i="1"/>
  <c r="W542" i="1"/>
  <c r="W541" i="1"/>
  <c r="W540" i="1"/>
  <c r="W539" i="1"/>
  <c r="W538" i="1"/>
  <c r="W537" i="1"/>
  <c r="W536" i="1"/>
  <c r="W535" i="1"/>
  <c r="W534" i="1"/>
  <c r="W533" i="1"/>
  <c r="W532" i="1"/>
  <c r="W531" i="1"/>
  <c r="W530" i="1"/>
  <c r="W529" i="1"/>
  <c r="W528" i="1"/>
  <c r="W527" i="1"/>
  <c r="W526" i="1"/>
  <c r="W525" i="1"/>
  <c r="W524" i="1"/>
  <c r="W523" i="1"/>
  <c r="W522" i="1"/>
  <c r="W521" i="1"/>
  <c r="W520" i="1"/>
  <c r="W519" i="1"/>
  <c r="W518" i="1"/>
  <c r="W517" i="1"/>
  <c r="W516" i="1"/>
  <c r="W515" i="1"/>
  <c r="W514" i="1"/>
  <c r="W513" i="1"/>
  <c r="W512" i="1"/>
  <c r="W511" i="1"/>
  <c r="W510" i="1"/>
  <c r="W509" i="1"/>
  <c r="W508" i="1"/>
  <c r="W507" i="1"/>
  <c r="W506" i="1"/>
  <c r="W505" i="1"/>
  <c r="W504" i="1"/>
  <c r="W503" i="1"/>
  <c r="W502" i="1"/>
  <c r="W501" i="1"/>
  <c r="X502" i="1" s="1"/>
  <c r="W500" i="1"/>
  <c r="W499" i="1"/>
  <c r="W498" i="1"/>
  <c r="W497" i="1"/>
  <c r="W496" i="1"/>
  <c r="W495" i="1"/>
  <c r="W494" i="1"/>
  <c r="W493" i="1"/>
  <c r="W492" i="1"/>
  <c r="W491" i="1"/>
  <c r="W490" i="1"/>
  <c r="W489" i="1"/>
  <c r="W488" i="1"/>
  <c r="W487" i="1"/>
  <c r="W486" i="1"/>
  <c r="W485" i="1"/>
  <c r="W484" i="1"/>
  <c r="W483" i="1"/>
  <c r="W482" i="1"/>
  <c r="W481" i="1"/>
  <c r="W480" i="1"/>
  <c r="W479" i="1"/>
  <c r="W478" i="1"/>
  <c r="W477" i="1"/>
  <c r="W476" i="1"/>
  <c r="W475" i="1"/>
  <c r="W474" i="1"/>
  <c r="W473" i="1"/>
  <c r="W472" i="1"/>
  <c r="W471" i="1"/>
  <c r="W470" i="1"/>
  <c r="W469" i="1"/>
  <c r="W468" i="1"/>
  <c r="W467" i="1"/>
  <c r="W466" i="1"/>
  <c r="W465" i="1"/>
  <c r="W464" i="1"/>
  <c r="W463" i="1"/>
  <c r="W462" i="1"/>
  <c r="W461" i="1"/>
  <c r="W460" i="1"/>
  <c r="W459" i="1"/>
  <c r="W458" i="1"/>
  <c r="W457" i="1"/>
  <c r="W456" i="1"/>
  <c r="W455" i="1"/>
  <c r="W454" i="1"/>
  <c r="W453" i="1"/>
  <c r="W452" i="1"/>
  <c r="W451" i="1"/>
  <c r="W450" i="1"/>
  <c r="W449" i="1"/>
  <c r="W448" i="1"/>
  <c r="W447" i="1"/>
  <c r="W446" i="1"/>
  <c r="W445" i="1"/>
  <c r="W444" i="1"/>
  <c r="W443" i="1"/>
  <c r="W442" i="1"/>
  <c r="W441" i="1"/>
  <c r="W440" i="1"/>
  <c r="W439" i="1"/>
  <c r="W438" i="1"/>
  <c r="W437" i="1"/>
  <c r="W436" i="1"/>
  <c r="W435" i="1"/>
  <c r="W434" i="1"/>
  <c r="W433" i="1"/>
  <c r="W432" i="1"/>
  <c r="W431" i="1"/>
  <c r="W430" i="1"/>
  <c r="W429" i="1"/>
  <c r="W428" i="1"/>
  <c r="W427" i="1"/>
  <c r="W426" i="1"/>
  <c r="W425" i="1"/>
  <c r="W424" i="1"/>
  <c r="W423" i="1"/>
  <c r="W422" i="1"/>
  <c r="W421" i="1"/>
  <c r="W420" i="1"/>
  <c r="W419" i="1"/>
  <c r="W418" i="1"/>
  <c r="W417" i="1"/>
  <c r="W416" i="1"/>
  <c r="W415" i="1"/>
  <c r="W414" i="1"/>
  <c r="W413" i="1"/>
  <c r="W412" i="1"/>
  <c r="W411" i="1"/>
  <c r="W410" i="1"/>
  <c r="W409" i="1"/>
  <c r="W408" i="1"/>
  <c r="W407" i="1"/>
  <c r="W406" i="1"/>
  <c r="W405" i="1"/>
  <c r="W404" i="1"/>
  <c r="W403" i="1"/>
  <c r="W402" i="1"/>
  <c r="W401" i="1"/>
  <c r="W400" i="1"/>
  <c r="W399" i="1"/>
  <c r="W398" i="1"/>
  <c r="W397" i="1"/>
  <c r="W396" i="1"/>
  <c r="W395" i="1"/>
  <c r="W394" i="1"/>
  <c r="W393" i="1"/>
  <c r="W392" i="1"/>
  <c r="W391" i="1"/>
  <c r="W390" i="1"/>
  <c r="W389" i="1"/>
  <c r="W388" i="1"/>
  <c r="W387" i="1"/>
  <c r="W386" i="1"/>
  <c r="W385" i="1"/>
  <c r="W384" i="1"/>
  <c r="W383" i="1"/>
  <c r="W382" i="1"/>
  <c r="W381" i="1"/>
  <c r="W380" i="1"/>
  <c r="W379" i="1"/>
  <c r="W378" i="1"/>
  <c r="W377" i="1"/>
  <c r="W376" i="1"/>
  <c r="W375" i="1"/>
  <c r="W374" i="1"/>
  <c r="W373" i="1"/>
  <c r="W372" i="1"/>
  <c r="W371" i="1"/>
  <c r="W370" i="1"/>
  <c r="W369" i="1"/>
  <c r="W368" i="1"/>
  <c r="W367" i="1"/>
  <c r="W366" i="1"/>
  <c r="W365" i="1"/>
  <c r="W364" i="1"/>
  <c r="W363" i="1"/>
  <c r="W362" i="1"/>
  <c r="W361" i="1"/>
  <c r="W360" i="1"/>
  <c r="W359" i="1"/>
  <c r="W358" i="1"/>
  <c r="W357" i="1"/>
  <c r="W356" i="1"/>
  <c r="W355" i="1"/>
  <c r="W354" i="1"/>
  <c r="W353" i="1"/>
  <c r="W352" i="1"/>
  <c r="W351" i="1"/>
  <c r="W350" i="1"/>
  <c r="W349" i="1"/>
  <c r="W348" i="1"/>
  <c r="W347" i="1"/>
  <c r="W346" i="1"/>
  <c r="W345" i="1"/>
  <c r="W344" i="1"/>
  <c r="W343" i="1"/>
  <c r="W342" i="1"/>
  <c r="W341" i="1"/>
  <c r="W340" i="1"/>
  <c r="W339" i="1"/>
  <c r="W338" i="1"/>
  <c r="W337" i="1"/>
  <c r="W336" i="1"/>
  <c r="W335" i="1"/>
  <c r="W334" i="1"/>
  <c r="W333" i="1"/>
  <c r="W332" i="1"/>
  <c r="W331" i="1"/>
  <c r="W330" i="1"/>
  <c r="W329" i="1"/>
  <c r="W328" i="1"/>
  <c r="W327" i="1"/>
  <c r="W326" i="1"/>
  <c r="W325" i="1"/>
  <c r="W324" i="1"/>
  <c r="W323" i="1"/>
  <c r="W322" i="1"/>
  <c r="W321" i="1"/>
  <c r="W320" i="1"/>
  <c r="W319" i="1"/>
  <c r="W318" i="1"/>
  <c r="W317" i="1"/>
  <c r="W316" i="1"/>
  <c r="W315" i="1"/>
  <c r="W314" i="1"/>
  <c r="W313" i="1"/>
  <c r="W312" i="1"/>
  <c r="W311" i="1"/>
  <c r="W310" i="1"/>
  <c r="W309" i="1"/>
  <c r="W308" i="1"/>
  <c r="W307" i="1"/>
  <c r="W306" i="1"/>
  <c r="W305" i="1"/>
  <c r="W304" i="1"/>
  <c r="W303" i="1"/>
  <c r="W302" i="1"/>
  <c r="W301" i="1"/>
  <c r="W300" i="1"/>
  <c r="W299" i="1"/>
  <c r="W298" i="1"/>
  <c r="W297" i="1"/>
  <c r="W296" i="1"/>
  <c r="W295" i="1"/>
  <c r="W294" i="1"/>
  <c r="W293" i="1"/>
  <c r="W292" i="1"/>
  <c r="W291" i="1"/>
  <c r="W290" i="1"/>
  <c r="W289" i="1"/>
  <c r="W288" i="1"/>
  <c r="W287" i="1"/>
  <c r="W286" i="1"/>
  <c r="W285" i="1"/>
  <c r="W284" i="1"/>
  <c r="W283" i="1"/>
  <c r="W282" i="1"/>
  <c r="W281" i="1"/>
  <c r="W280" i="1"/>
  <c r="W279" i="1"/>
  <c r="W278" i="1"/>
  <c r="W277" i="1"/>
  <c r="W276" i="1"/>
  <c r="W275" i="1"/>
  <c r="W274" i="1"/>
  <c r="W273" i="1"/>
  <c r="W272" i="1"/>
  <c r="W271" i="1"/>
  <c r="W270" i="1"/>
  <c r="W269" i="1"/>
  <c r="W268" i="1"/>
  <c r="W267" i="1"/>
  <c r="W266" i="1"/>
  <c r="W265" i="1"/>
  <c r="W264" i="1"/>
  <c r="W263" i="1"/>
  <c r="W262" i="1"/>
  <c r="W261" i="1"/>
  <c r="W260" i="1"/>
  <c r="W259" i="1"/>
  <c r="W258" i="1"/>
  <c r="W257" i="1"/>
  <c r="W256" i="1"/>
  <c r="W255" i="1"/>
  <c r="W254" i="1"/>
  <c r="W253" i="1"/>
  <c r="W252" i="1"/>
  <c r="W251" i="1"/>
  <c r="W250" i="1"/>
  <c r="W249" i="1"/>
  <c r="W248" i="1"/>
  <c r="W247" i="1"/>
  <c r="W246" i="1"/>
  <c r="W245" i="1"/>
  <c r="W244" i="1"/>
  <c r="W243" i="1"/>
  <c r="W242" i="1"/>
  <c r="W241" i="1"/>
  <c r="W240" i="1"/>
  <c r="W239" i="1"/>
  <c r="W238" i="1"/>
  <c r="W237" i="1"/>
  <c r="W236" i="1"/>
  <c r="W235" i="1"/>
  <c r="W234" i="1"/>
  <c r="W233" i="1"/>
  <c r="W232" i="1"/>
  <c r="W231" i="1"/>
  <c r="W230" i="1"/>
  <c r="W229" i="1"/>
  <c r="W228" i="1"/>
  <c r="W227" i="1"/>
  <c r="W226" i="1"/>
  <c r="W225" i="1"/>
  <c r="W224" i="1"/>
  <c r="W223" i="1"/>
  <c r="W222" i="1"/>
  <c r="W221" i="1"/>
  <c r="W220" i="1"/>
  <c r="W219" i="1"/>
  <c r="W218" i="1"/>
  <c r="W217" i="1"/>
  <c r="W216" i="1"/>
  <c r="W215" i="1"/>
  <c r="W214" i="1"/>
  <c r="W213" i="1"/>
  <c r="W212" i="1"/>
  <c r="W211" i="1"/>
  <c r="W210" i="1"/>
  <c r="W209" i="1"/>
  <c r="W208" i="1"/>
  <c r="W207" i="1"/>
  <c r="W206" i="1"/>
  <c r="W205" i="1"/>
  <c r="W204" i="1"/>
  <c r="W203" i="1"/>
  <c r="W202" i="1"/>
  <c r="W201" i="1"/>
  <c r="W200" i="1"/>
  <c r="W199" i="1"/>
  <c r="W198" i="1"/>
  <c r="W197" i="1"/>
  <c r="W196" i="1"/>
  <c r="W195" i="1"/>
  <c r="W194" i="1"/>
  <c r="W193" i="1"/>
  <c r="W192" i="1"/>
  <c r="W191" i="1"/>
  <c r="W190" i="1"/>
  <c r="W189" i="1"/>
  <c r="W188" i="1"/>
  <c r="W187" i="1"/>
  <c r="W186" i="1"/>
  <c r="W185" i="1"/>
  <c r="W184" i="1"/>
  <c r="W183" i="1"/>
  <c r="W182" i="1"/>
  <c r="W181" i="1"/>
  <c r="W180" i="1"/>
  <c r="W179" i="1"/>
  <c r="W178" i="1"/>
  <c r="W177" i="1"/>
  <c r="W176" i="1"/>
  <c r="W175" i="1"/>
  <c r="W174" i="1"/>
  <c r="W173" i="1"/>
  <c r="W172" i="1"/>
  <c r="W171" i="1"/>
  <c r="W170" i="1"/>
  <c r="W169" i="1"/>
  <c r="W168" i="1"/>
  <c r="W167" i="1"/>
  <c r="W166" i="1"/>
  <c r="W165" i="1"/>
  <c r="W164" i="1"/>
  <c r="W163" i="1"/>
  <c r="W162" i="1"/>
  <c r="W161" i="1"/>
  <c r="W160" i="1"/>
  <c r="W159" i="1"/>
  <c r="W158" i="1"/>
  <c r="W157" i="1"/>
  <c r="W156" i="1"/>
  <c r="W155" i="1"/>
  <c r="W154" i="1"/>
  <c r="W153" i="1"/>
  <c r="W152" i="1"/>
  <c r="W151" i="1"/>
  <c r="W150" i="1"/>
  <c r="W149" i="1"/>
  <c r="W148" i="1"/>
  <c r="W147" i="1"/>
  <c r="W146" i="1"/>
  <c r="W145" i="1"/>
  <c r="W144" i="1"/>
  <c r="W143" i="1"/>
  <c r="W142" i="1"/>
  <c r="W141" i="1"/>
  <c r="W140" i="1"/>
  <c r="W139" i="1"/>
  <c r="W138" i="1"/>
  <c r="W137" i="1"/>
  <c r="W136" i="1"/>
  <c r="W135" i="1"/>
  <c r="W134" i="1"/>
  <c r="W133" i="1"/>
  <c r="W132" i="1"/>
  <c r="W131" i="1"/>
  <c r="W130" i="1"/>
  <c r="W129" i="1"/>
  <c r="W128" i="1"/>
  <c r="W127" i="1"/>
  <c r="W126" i="1"/>
  <c r="W125" i="1"/>
  <c r="W124" i="1"/>
  <c r="W123" i="1"/>
  <c r="W122" i="1"/>
  <c r="W121" i="1"/>
  <c r="W120" i="1"/>
  <c r="W119" i="1"/>
  <c r="W118" i="1"/>
  <c r="W117" i="1"/>
  <c r="W116" i="1"/>
  <c r="W115" i="1"/>
  <c r="W114" i="1"/>
  <c r="W113" i="1"/>
  <c r="W112" i="1"/>
  <c r="W111" i="1"/>
  <c r="W110" i="1"/>
  <c r="W109" i="1"/>
  <c r="W108" i="1"/>
  <c r="W107" i="1"/>
  <c r="W106" i="1"/>
  <c r="W105" i="1"/>
  <c r="W104" i="1"/>
  <c r="W103" i="1"/>
  <c r="W102" i="1"/>
  <c r="W101" i="1"/>
  <c r="W100" i="1"/>
  <c r="W99" i="1"/>
  <c r="W98" i="1"/>
  <c r="W97" i="1"/>
  <c r="W96" i="1"/>
  <c r="W95" i="1"/>
  <c r="W94" i="1"/>
  <c r="W93" i="1"/>
  <c r="W92" i="1"/>
  <c r="W91" i="1"/>
  <c r="W90" i="1"/>
  <c r="W89" i="1"/>
  <c r="W88" i="1"/>
  <c r="W87" i="1"/>
  <c r="W86" i="1"/>
  <c r="W85" i="1"/>
  <c r="W84" i="1"/>
  <c r="W83" i="1"/>
  <c r="W82" i="1"/>
  <c r="W81" i="1"/>
  <c r="W80" i="1"/>
  <c r="W79" i="1"/>
  <c r="W78" i="1"/>
  <c r="W77" i="1"/>
  <c r="W76" i="1"/>
  <c r="W75" i="1"/>
  <c r="W74" i="1"/>
  <c r="W73" i="1"/>
  <c r="W72" i="1"/>
  <c r="W71" i="1"/>
  <c r="W70" i="1"/>
  <c r="W69" i="1"/>
  <c r="W68" i="1"/>
  <c r="W67" i="1"/>
  <c r="W66" i="1"/>
  <c r="W65" i="1"/>
  <c r="W64" i="1"/>
  <c r="W63" i="1"/>
  <c r="W62" i="1"/>
  <c r="W61" i="1"/>
  <c r="W60" i="1"/>
  <c r="W59" i="1"/>
  <c r="W58" i="1"/>
  <c r="W57" i="1"/>
  <c r="W56" i="1"/>
  <c r="W55" i="1"/>
  <c r="W54" i="1"/>
  <c r="W53" i="1"/>
  <c r="W52" i="1"/>
  <c r="W51" i="1"/>
  <c r="W50" i="1"/>
  <c r="W49" i="1"/>
  <c r="W48" i="1"/>
  <c r="W47" i="1"/>
  <c r="W46" i="1"/>
  <c r="W45" i="1"/>
  <c r="W44" i="1"/>
  <c r="W43" i="1"/>
  <c r="W42" i="1"/>
  <c r="W41" i="1"/>
  <c r="W40" i="1"/>
  <c r="W39" i="1"/>
  <c r="W38" i="1"/>
  <c r="W37" i="1"/>
  <c r="W36" i="1"/>
  <c r="W35" i="1"/>
  <c r="W34" i="1"/>
  <c r="W33" i="1"/>
  <c r="W32" i="1"/>
  <c r="W31" i="1"/>
  <c r="W30" i="1"/>
  <c r="W29" i="1"/>
  <c r="W28" i="1"/>
  <c r="W27" i="1"/>
  <c r="W26" i="1"/>
  <c r="W25" i="1"/>
  <c r="W24" i="1"/>
  <c r="W23" i="1"/>
  <c r="W22" i="1"/>
  <c r="W21" i="1"/>
  <c r="W20" i="1"/>
  <c r="W19" i="1"/>
  <c r="W18" i="1"/>
  <c r="W17" i="1"/>
  <c r="W10" i="1"/>
  <c r="W12" i="1"/>
  <c r="S1112" i="1"/>
  <c r="S1111" i="1"/>
  <c r="S1110" i="1"/>
  <c r="S1109" i="1"/>
  <c r="S1108" i="1"/>
  <c r="S1107" i="1"/>
  <c r="S1106" i="1"/>
  <c r="S1105" i="1"/>
  <c r="S1104" i="1"/>
  <c r="S1103" i="1"/>
  <c r="S1102" i="1"/>
  <c r="S1101" i="1"/>
  <c r="S1100" i="1"/>
  <c r="S1099" i="1"/>
  <c r="S1098" i="1"/>
  <c r="S1097" i="1"/>
  <c r="S1096" i="1"/>
  <c r="S1095" i="1"/>
  <c r="S1094" i="1"/>
  <c r="S1093" i="1"/>
  <c r="S1092" i="1"/>
  <c r="S1091" i="1"/>
  <c r="S1090" i="1"/>
  <c r="S1089" i="1"/>
  <c r="S1088" i="1"/>
  <c r="S1087" i="1"/>
  <c r="S1086" i="1"/>
  <c r="S1085" i="1"/>
  <c r="S1084" i="1"/>
  <c r="S1083" i="1"/>
  <c r="S1082" i="1"/>
  <c r="S1081" i="1"/>
  <c r="S1080" i="1"/>
  <c r="S1079" i="1"/>
  <c r="S1078" i="1"/>
  <c r="S1077" i="1"/>
  <c r="S1076" i="1"/>
  <c r="S1075" i="1"/>
  <c r="S1074" i="1"/>
  <c r="S1073" i="1"/>
  <c r="S1072" i="1"/>
  <c r="S1071" i="1"/>
  <c r="S1070" i="1"/>
  <c r="S1069" i="1"/>
  <c r="S1068" i="1"/>
  <c r="S1067" i="1"/>
  <c r="S1066" i="1"/>
  <c r="S1065" i="1"/>
  <c r="S1064" i="1"/>
  <c r="S1063" i="1"/>
  <c r="S1062" i="1"/>
  <c r="S1061" i="1"/>
  <c r="S1060" i="1"/>
  <c r="S1059" i="1"/>
  <c r="S1058" i="1"/>
  <c r="S1057" i="1"/>
  <c r="S1056" i="1"/>
  <c r="S1055" i="1"/>
  <c r="S1054" i="1"/>
  <c r="S1053" i="1"/>
  <c r="S1052" i="1"/>
  <c r="S1051" i="1"/>
  <c r="S1050" i="1"/>
  <c r="S1049" i="1"/>
  <c r="S1048" i="1"/>
  <c r="S1047" i="1"/>
  <c r="S1046" i="1"/>
  <c r="S1045" i="1"/>
  <c r="S1044" i="1"/>
  <c r="S1043" i="1"/>
  <c r="S1042" i="1"/>
  <c r="S1041" i="1"/>
  <c r="S1040" i="1"/>
  <c r="S1039" i="1"/>
  <c r="S1038" i="1"/>
  <c r="S1037" i="1"/>
  <c r="S1036" i="1"/>
  <c r="S1035" i="1"/>
  <c r="S1034" i="1"/>
  <c r="S1033" i="1"/>
  <c r="S1032" i="1"/>
  <c r="S1031" i="1"/>
  <c r="S1030" i="1"/>
  <c r="S1029" i="1"/>
  <c r="S1028" i="1"/>
  <c r="S1027" i="1"/>
  <c r="S1026" i="1"/>
  <c r="S1025" i="1"/>
  <c r="S1024" i="1"/>
  <c r="S1023" i="1"/>
  <c r="S1022" i="1"/>
  <c r="S1021" i="1"/>
  <c r="S1020" i="1"/>
  <c r="S1019" i="1"/>
  <c r="S1018" i="1"/>
  <c r="S1017" i="1"/>
  <c r="S1016" i="1"/>
  <c r="S1015" i="1"/>
  <c r="S1014" i="1"/>
  <c r="S1013" i="1"/>
  <c r="S1012" i="1"/>
  <c r="S1011" i="1"/>
  <c r="S1010" i="1"/>
  <c r="S1009" i="1"/>
  <c r="S1008" i="1"/>
  <c r="S1007" i="1"/>
  <c r="S1006" i="1"/>
  <c r="S1005" i="1"/>
  <c r="S1004" i="1"/>
  <c r="S1003" i="1"/>
  <c r="S1002" i="1"/>
  <c r="S1001" i="1"/>
  <c r="S1000" i="1"/>
  <c r="S999" i="1"/>
  <c r="S998" i="1"/>
  <c r="S997" i="1"/>
  <c r="S996" i="1"/>
  <c r="S995" i="1"/>
  <c r="S994" i="1"/>
  <c r="S993" i="1"/>
  <c r="S992" i="1"/>
  <c r="S991" i="1"/>
  <c r="S990" i="1"/>
  <c r="S989" i="1"/>
  <c r="S988" i="1"/>
  <c r="S987" i="1"/>
  <c r="S986" i="1"/>
  <c r="S985" i="1"/>
  <c r="S984" i="1"/>
  <c r="S983" i="1"/>
  <c r="S982" i="1"/>
  <c r="S981" i="1"/>
  <c r="S980" i="1"/>
  <c r="S979" i="1"/>
  <c r="S978" i="1"/>
  <c r="S977" i="1"/>
  <c r="S976" i="1"/>
  <c r="S975" i="1"/>
  <c r="S974" i="1"/>
  <c r="S973" i="1"/>
  <c r="S972" i="1"/>
  <c r="S971" i="1"/>
  <c r="S970" i="1"/>
  <c r="S969" i="1"/>
  <c r="S968" i="1"/>
  <c r="S967" i="1"/>
  <c r="S966" i="1"/>
  <c r="S965" i="1"/>
  <c r="S964" i="1"/>
  <c r="S963" i="1"/>
  <c r="S962" i="1"/>
  <c r="S961" i="1"/>
  <c r="S960" i="1"/>
  <c r="S959" i="1"/>
  <c r="S958" i="1"/>
  <c r="S957" i="1"/>
  <c r="S956" i="1"/>
  <c r="S955" i="1"/>
  <c r="S954" i="1"/>
  <c r="S953" i="1"/>
  <c r="S952" i="1"/>
  <c r="S951" i="1"/>
  <c r="S950" i="1"/>
  <c r="S949" i="1"/>
  <c r="S948" i="1"/>
  <c r="S947" i="1"/>
  <c r="S946" i="1"/>
  <c r="S945" i="1"/>
  <c r="S944" i="1"/>
  <c r="S943" i="1"/>
  <c r="S942" i="1"/>
  <c r="S941" i="1"/>
  <c r="S940" i="1"/>
  <c r="S939" i="1"/>
  <c r="S938" i="1"/>
  <c r="S937" i="1"/>
  <c r="S936" i="1"/>
  <c r="S935" i="1"/>
  <c r="S934" i="1"/>
  <c r="S933" i="1"/>
  <c r="S932" i="1"/>
  <c r="S931" i="1"/>
  <c r="S930" i="1"/>
  <c r="S929" i="1"/>
  <c r="S928" i="1"/>
  <c r="S927" i="1"/>
  <c r="S926" i="1"/>
  <c r="S925" i="1"/>
  <c r="S924" i="1"/>
  <c r="S923" i="1"/>
  <c r="S922" i="1"/>
  <c r="S921" i="1"/>
  <c r="S920" i="1"/>
  <c r="S919" i="1"/>
  <c r="S918" i="1"/>
  <c r="S917" i="1"/>
  <c r="S916" i="1"/>
  <c r="S915" i="1"/>
  <c r="S914" i="1"/>
  <c r="S913" i="1"/>
  <c r="S912" i="1"/>
  <c r="S911" i="1"/>
  <c r="S910" i="1"/>
  <c r="S909" i="1"/>
  <c r="S908" i="1"/>
  <c r="S907" i="1"/>
  <c r="S906" i="1"/>
  <c r="S905" i="1"/>
  <c r="S904" i="1"/>
  <c r="S903" i="1"/>
  <c r="S902" i="1"/>
  <c r="S901" i="1"/>
  <c r="S900" i="1"/>
  <c r="S899" i="1"/>
  <c r="S898" i="1"/>
  <c r="S897" i="1"/>
  <c r="S896" i="1"/>
  <c r="S895" i="1"/>
  <c r="S894" i="1"/>
  <c r="S893" i="1"/>
  <c r="S892" i="1"/>
  <c r="S891" i="1"/>
  <c r="S890" i="1"/>
  <c r="S889" i="1"/>
  <c r="S888" i="1"/>
  <c r="S887" i="1"/>
  <c r="S886" i="1"/>
  <c r="S885" i="1"/>
  <c r="S884" i="1"/>
  <c r="S883" i="1"/>
  <c r="S882" i="1"/>
  <c r="S881" i="1"/>
  <c r="S880" i="1"/>
  <c r="S879" i="1"/>
  <c r="S878" i="1"/>
  <c r="S877" i="1"/>
  <c r="S876" i="1"/>
  <c r="S875" i="1"/>
  <c r="S874" i="1"/>
  <c r="S873" i="1"/>
  <c r="S872" i="1"/>
  <c r="S871" i="1"/>
  <c r="S870" i="1"/>
  <c r="S869" i="1"/>
  <c r="S868" i="1"/>
  <c r="S867" i="1"/>
  <c r="S866" i="1"/>
  <c r="S865" i="1"/>
  <c r="S864" i="1"/>
  <c r="S863" i="1"/>
  <c r="S862" i="1"/>
  <c r="S861" i="1"/>
  <c r="S860" i="1"/>
  <c r="S859" i="1"/>
  <c r="S858" i="1"/>
  <c r="S857" i="1"/>
  <c r="S856" i="1"/>
  <c r="S855" i="1"/>
  <c r="S854" i="1"/>
  <c r="S853" i="1"/>
  <c r="S852" i="1"/>
  <c r="S851" i="1"/>
  <c r="S850" i="1"/>
  <c r="S849" i="1"/>
  <c r="S848" i="1"/>
  <c r="S847" i="1"/>
  <c r="S846" i="1"/>
  <c r="S845" i="1"/>
  <c r="S844" i="1"/>
  <c r="S843" i="1"/>
  <c r="S842" i="1"/>
  <c r="S841" i="1"/>
  <c r="S840" i="1"/>
  <c r="S839" i="1"/>
  <c r="S838" i="1"/>
  <c r="S837" i="1"/>
  <c r="S836" i="1"/>
  <c r="S835" i="1"/>
  <c r="S834" i="1"/>
  <c r="S833" i="1"/>
  <c r="S832" i="1"/>
  <c r="S831" i="1"/>
  <c r="S830" i="1"/>
  <c r="S829" i="1"/>
  <c r="S828" i="1"/>
  <c r="S827" i="1"/>
  <c r="S826" i="1"/>
  <c r="S825" i="1"/>
  <c r="S824" i="1"/>
  <c r="S823" i="1"/>
  <c r="S822" i="1"/>
  <c r="S821" i="1"/>
  <c r="S820" i="1"/>
  <c r="S819" i="1"/>
  <c r="S818" i="1"/>
  <c r="S817" i="1"/>
  <c r="S816" i="1"/>
  <c r="S815" i="1"/>
  <c r="S814" i="1"/>
  <c r="S813" i="1"/>
  <c r="S812" i="1"/>
  <c r="S811" i="1"/>
  <c r="S810" i="1"/>
  <c r="S809" i="1"/>
  <c r="S808" i="1"/>
  <c r="S807" i="1"/>
  <c r="S806" i="1"/>
  <c r="S805" i="1"/>
  <c r="S804" i="1"/>
  <c r="S803" i="1"/>
  <c r="S802" i="1"/>
  <c r="S801" i="1"/>
  <c r="S800" i="1"/>
  <c r="S799" i="1"/>
  <c r="S798" i="1"/>
  <c r="S797" i="1"/>
  <c r="S796" i="1"/>
  <c r="S795" i="1"/>
  <c r="S794" i="1"/>
  <c r="S793" i="1"/>
  <c r="S792" i="1"/>
  <c r="S791" i="1"/>
  <c r="S790" i="1"/>
  <c r="S789" i="1"/>
  <c r="S788" i="1"/>
  <c r="S787" i="1"/>
  <c r="S786" i="1"/>
  <c r="S785" i="1"/>
  <c r="S784" i="1"/>
  <c r="S783" i="1"/>
  <c r="S782" i="1"/>
  <c r="S781" i="1"/>
  <c r="S780" i="1"/>
  <c r="S779" i="1"/>
  <c r="S778" i="1"/>
  <c r="S777" i="1"/>
  <c r="S776" i="1"/>
  <c r="S775" i="1"/>
  <c r="S774" i="1"/>
  <c r="S773" i="1"/>
  <c r="S772" i="1"/>
  <c r="S771" i="1"/>
  <c r="S770" i="1"/>
  <c r="S769" i="1"/>
  <c r="S768" i="1"/>
  <c r="S767" i="1"/>
  <c r="S766" i="1"/>
  <c r="S765" i="1"/>
  <c r="S764" i="1"/>
  <c r="S763" i="1"/>
  <c r="S762" i="1"/>
  <c r="S761" i="1"/>
  <c r="S760" i="1"/>
  <c r="S759" i="1"/>
  <c r="S758" i="1"/>
  <c r="S757" i="1"/>
  <c r="S756" i="1"/>
  <c r="S755" i="1"/>
  <c r="S754" i="1"/>
  <c r="S753" i="1"/>
  <c r="S752" i="1"/>
  <c r="S751" i="1"/>
  <c r="S750" i="1"/>
  <c r="S749" i="1"/>
  <c r="S748" i="1"/>
  <c r="S747" i="1"/>
  <c r="S746" i="1"/>
  <c r="S745" i="1"/>
  <c r="S744" i="1"/>
  <c r="S743" i="1"/>
  <c r="S742" i="1"/>
  <c r="S741" i="1"/>
  <c r="S740" i="1"/>
  <c r="S739" i="1"/>
  <c r="S738" i="1"/>
  <c r="S737" i="1"/>
  <c r="S736" i="1"/>
  <c r="S735" i="1"/>
  <c r="S734" i="1"/>
  <c r="S733" i="1"/>
  <c r="S732" i="1"/>
  <c r="S731" i="1"/>
  <c r="S730" i="1"/>
  <c r="S729" i="1"/>
  <c r="S728" i="1"/>
  <c r="S727" i="1"/>
  <c r="S726" i="1"/>
  <c r="S725" i="1"/>
  <c r="S724" i="1"/>
  <c r="S723" i="1"/>
  <c r="S722" i="1"/>
  <c r="S721" i="1"/>
  <c r="S720" i="1"/>
  <c r="S719" i="1"/>
  <c r="S718" i="1"/>
  <c r="S717" i="1"/>
  <c r="S716" i="1"/>
  <c r="S715" i="1"/>
  <c r="S714" i="1"/>
  <c r="S713" i="1"/>
  <c r="S712" i="1"/>
  <c r="S711" i="1"/>
  <c r="S710" i="1"/>
  <c r="S709" i="1"/>
  <c r="S708" i="1"/>
  <c r="S707" i="1"/>
  <c r="S706" i="1"/>
  <c r="S705" i="1"/>
  <c r="S704" i="1"/>
  <c r="S703" i="1"/>
  <c r="S702" i="1"/>
  <c r="S701" i="1"/>
  <c r="S700" i="1"/>
  <c r="S699" i="1"/>
  <c r="S698" i="1"/>
  <c r="S697" i="1"/>
  <c r="S696" i="1"/>
  <c r="S695" i="1"/>
  <c r="S694" i="1"/>
  <c r="S693" i="1"/>
  <c r="S692" i="1"/>
  <c r="S691" i="1"/>
  <c r="S690" i="1"/>
  <c r="S689" i="1"/>
  <c r="S688" i="1"/>
  <c r="S687" i="1"/>
  <c r="S686" i="1"/>
  <c r="S685" i="1"/>
  <c r="S684" i="1"/>
  <c r="S683" i="1"/>
  <c r="S682" i="1"/>
  <c r="S681" i="1"/>
  <c r="S680" i="1"/>
  <c r="S679" i="1"/>
  <c r="S678" i="1"/>
  <c r="S677" i="1"/>
  <c r="S676" i="1"/>
  <c r="S675" i="1"/>
  <c r="S674" i="1"/>
  <c r="S673" i="1"/>
  <c r="S672" i="1"/>
  <c r="S671" i="1"/>
  <c r="S670" i="1"/>
  <c r="S669" i="1"/>
  <c r="S668" i="1"/>
  <c r="S667" i="1"/>
  <c r="S666" i="1"/>
  <c r="S665" i="1"/>
  <c r="S664" i="1"/>
  <c r="S663" i="1"/>
  <c r="S662" i="1"/>
  <c r="S661" i="1"/>
  <c r="S660" i="1"/>
  <c r="S659" i="1"/>
  <c r="S658" i="1"/>
  <c r="S657" i="1"/>
  <c r="S656" i="1"/>
  <c r="S655" i="1"/>
  <c r="S654" i="1"/>
  <c r="S653" i="1"/>
  <c r="S652" i="1"/>
  <c r="S651" i="1"/>
  <c r="S650" i="1"/>
  <c r="S649" i="1"/>
  <c r="S648" i="1"/>
  <c r="S647" i="1"/>
  <c r="S646" i="1"/>
  <c r="S645" i="1"/>
  <c r="S644" i="1"/>
  <c r="S643" i="1"/>
  <c r="S642" i="1"/>
  <c r="S641" i="1"/>
  <c r="S640" i="1"/>
  <c r="S639" i="1"/>
  <c r="S638" i="1"/>
  <c r="S637" i="1"/>
  <c r="S636" i="1"/>
  <c r="S635" i="1"/>
  <c r="S634" i="1"/>
  <c r="S633" i="1"/>
  <c r="S632" i="1"/>
  <c r="S631" i="1"/>
  <c r="S630" i="1"/>
  <c r="S629" i="1"/>
  <c r="S628" i="1"/>
  <c r="S627" i="1"/>
  <c r="S626" i="1"/>
  <c r="S625" i="1"/>
  <c r="S624" i="1"/>
  <c r="S623" i="1"/>
  <c r="S622" i="1"/>
  <c r="S621" i="1"/>
  <c r="S620" i="1"/>
  <c r="S619" i="1"/>
  <c r="S618" i="1"/>
  <c r="S617" i="1"/>
  <c r="S616" i="1"/>
  <c r="S615" i="1"/>
  <c r="S614" i="1"/>
  <c r="S613" i="1"/>
  <c r="S612" i="1"/>
  <c r="S611" i="1"/>
  <c r="S610" i="1"/>
  <c r="S609" i="1"/>
  <c r="S608" i="1"/>
  <c r="S607" i="1"/>
  <c r="S606" i="1"/>
  <c r="S605" i="1"/>
  <c r="S604" i="1"/>
  <c r="S603" i="1"/>
  <c r="S602" i="1"/>
  <c r="S601" i="1"/>
  <c r="S600" i="1"/>
  <c r="S599" i="1"/>
  <c r="S598" i="1"/>
  <c r="S597" i="1"/>
  <c r="S596" i="1"/>
  <c r="S595" i="1"/>
  <c r="S594" i="1"/>
  <c r="S593" i="1"/>
  <c r="S592" i="1"/>
  <c r="S591" i="1"/>
  <c r="S590" i="1"/>
  <c r="S589" i="1"/>
  <c r="S588" i="1"/>
  <c r="S587" i="1"/>
  <c r="S586" i="1"/>
  <c r="S585" i="1"/>
  <c r="S584" i="1"/>
  <c r="S583" i="1"/>
  <c r="S582" i="1"/>
  <c r="S581" i="1"/>
  <c r="S580" i="1"/>
  <c r="S579" i="1"/>
  <c r="S578" i="1"/>
  <c r="S577" i="1"/>
  <c r="S576" i="1"/>
  <c r="S575" i="1"/>
  <c r="S574" i="1"/>
  <c r="S573" i="1"/>
  <c r="S572" i="1"/>
  <c r="S571" i="1"/>
  <c r="S570" i="1"/>
  <c r="S569" i="1"/>
  <c r="S568" i="1"/>
  <c r="S567" i="1"/>
  <c r="S566" i="1"/>
  <c r="S565" i="1"/>
  <c r="S564" i="1"/>
  <c r="S563" i="1"/>
  <c r="S562" i="1"/>
  <c r="S561" i="1"/>
  <c r="S560" i="1"/>
  <c r="S559" i="1"/>
  <c r="S558" i="1"/>
  <c r="S557" i="1"/>
  <c r="S556" i="1"/>
  <c r="S555" i="1"/>
  <c r="S554" i="1"/>
  <c r="S553" i="1"/>
  <c r="S552" i="1"/>
  <c r="S551" i="1"/>
  <c r="S550" i="1"/>
  <c r="S549" i="1"/>
  <c r="S548" i="1"/>
  <c r="S547" i="1"/>
  <c r="S546" i="1"/>
  <c r="S545" i="1"/>
  <c r="S544" i="1"/>
  <c r="S543" i="1"/>
  <c r="S542" i="1"/>
  <c r="S541" i="1"/>
  <c r="S540" i="1"/>
  <c r="S539" i="1"/>
  <c r="S538" i="1"/>
  <c r="S537" i="1"/>
  <c r="S536" i="1"/>
  <c r="S535" i="1"/>
  <c r="S534" i="1"/>
  <c r="S533" i="1"/>
  <c r="S532" i="1"/>
  <c r="S531" i="1"/>
  <c r="S530" i="1"/>
  <c r="S529" i="1"/>
  <c r="S528" i="1"/>
  <c r="S527" i="1"/>
  <c r="S526" i="1"/>
  <c r="S525" i="1"/>
  <c r="S524" i="1"/>
  <c r="S523" i="1"/>
  <c r="S522" i="1"/>
  <c r="S521" i="1"/>
  <c r="S520" i="1"/>
  <c r="S519" i="1"/>
  <c r="S518" i="1"/>
  <c r="S517" i="1"/>
  <c r="S516" i="1"/>
  <c r="S515" i="1"/>
  <c r="S514" i="1"/>
  <c r="S513" i="1"/>
  <c r="S512" i="1"/>
  <c r="S511" i="1"/>
  <c r="S510" i="1"/>
  <c r="S509" i="1"/>
  <c r="S508" i="1"/>
  <c r="S507" i="1"/>
  <c r="S506" i="1"/>
  <c r="S505" i="1"/>
  <c r="S504" i="1"/>
  <c r="S503" i="1"/>
  <c r="S502" i="1"/>
  <c r="S501" i="1"/>
  <c r="S500" i="1"/>
  <c r="S499" i="1"/>
  <c r="S498" i="1"/>
  <c r="S497" i="1"/>
  <c r="S496" i="1"/>
  <c r="S495" i="1"/>
  <c r="S494" i="1"/>
  <c r="S493" i="1"/>
  <c r="S492" i="1"/>
  <c r="S491" i="1"/>
  <c r="S490" i="1"/>
  <c r="S489" i="1"/>
  <c r="S488" i="1"/>
  <c r="S487" i="1"/>
  <c r="S486" i="1"/>
  <c r="S485" i="1"/>
  <c r="S484" i="1"/>
  <c r="S483" i="1"/>
  <c r="S482" i="1"/>
  <c r="S481" i="1"/>
  <c r="S480" i="1"/>
  <c r="S479" i="1"/>
  <c r="S478" i="1"/>
  <c r="S477" i="1"/>
  <c r="S476" i="1"/>
  <c r="S475" i="1"/>
  <c r="S474" i="1"/>
  <c r="S473" i="1"/>
  <c r="S472" i="1"/>
  <c r="S471" i="1"/>
  <c r="S470" i="1"/>
  <c r="S469" i="1"/>
  <c r="S468" i="1"/>
  <c r="S467" i="1"/>
  <c r="S466" i="1"/>
  <c r="S465" i="1"/>
  <c r="S464" i="1"/>
  <c r="S463" i="1"/>
  <c r="S462" i="1"/>
  <c r="S461" i="1"/>
  <c r="S460" i="1"/>
  <c r="S459" i="1"/>
  <c r="S458" i="1"/>
  <c r="S457" i="1"/>
  <c r="S456" i="1"/>
  <c r="S455" i="1"/>
  <c r="S454" i="1"/>
  <c r="S453" i="1"/>
  <c r="S452" i="1"/>
  <c r="S451" i="1"/>
  <c r="S450" i="1"/>
  <c r="S449" i="1"/>
  <c r="S448" i="1"/>
  <c r="S447" i="1"/>
  <c r="S446" i="1"/>
  <c r="S445" i="1"/>
  <c r="S444" i="1"/>
  <c r="S443" i="1"/>
  <c r="S442" i="1"/>
  <c r="S441" i="1"/>
  <c r="S440" i="1"/>
  <c r="S439" i="1"/>
  <c r="S438" i="1"/>
  <c r="S437" i="1"/>
  <c r="S436" i="1"/>
  <c r="S435" i="1"/>
  <c r="S434" i="1"/>
  <c r="S433" i="1"/>
  <c r="S432" i="1"/>
  <c r="S431" i="1"/>
  <c r="S430" i="1"/>
  <c r="S429" i="1"/>
  <c r="S428" i="1"/>
  <c r="S427" i="1"/>
  <c r="S426" i="1"/>
  <c r="S425" i="1"/>
  <c r="S424" i="1"/>
  <c r="S423" i="1"/>
  <c r="S422" i="1"/>
  <c r="S421" i="1"/>
  <c r="S420" i="1"/>
  <c r="S419" i="1"/>
  <c r="S418" i="1"/>
  <c r="S417" i="1"/>
  <c r="S416" i="1"/>
  <c r="S415" i="1"/>
  <c r="S414" i="1"/>
  <c r="S413" i="1"/>
  <c r="S412" i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220" i="1"/>
  <c r="S219" i="1"/>
  <c r="S218" i="1"/>
  <c r="S217" i="1"/>
  <c r="S216" i="1"/>
  <c r="S215" i="1"/>
  <c r="S214" i="1"/>
  <c r="S213" i="1"/>
  <c r="S212" i="1"/>
  <c r="S211" i="1"/>
  <c r="S210" i="1"/>
  <c r="S209" i="1"/>
  <c r="S208" i="1"/>
  <c r="S207" i="1"/>
  <c r="S206" i="1"/>
  <c r="S205" i="1"/>
  <c r="S204" i="1"/>
  <c r="S203" i="1"/>
  <c r="S202" i="1"/>
  <c r="S201" i="1"/>
  <c r="S200" i="1"/>
  <c r="S199" i="1"/>
  <c r="S198" i="1"/>
  <c r="S197" i="1"/>
  <c r="S196" i="1"/>
  <c r="S195" i="1"/>
  <c r="S194" i="1"/>
  <c r="S193" i="1"/>
  <c r="S192" i="1"/>
  <c r="S191" i="1"/>
  <c r="S190" i="1"/>
  <c r="S189" i="1"/>
  <c r="S188" i="1"/>
  <c r="S187" i="1"/>
  <c r="S186" i="1"/>
  <c r="S185" i="1"/>
  <c r="S184" i="1"/>
  <c r="S183" i="1"/>
  <c r="S182" i="1"/>
  <c r="S181" i="1"/>
  <c r="S180" i="1"/>
  <c r="S179" i="1"/>
  <c r="S178" i="1"/>
  <c r="S177" i="1"/>
  <c r="S176" i="1"/>
  <c r="S175" i="1"/>
  <c r="S174" i="1"/>
  <c r="S173" i="1"/>
  <c r="S172" i="1"/>
  <c r="S171" i="1"/>
  <c r="S170" i="1"/>
  <c r="S169" i="1"/>
  <c r="S168" i="1"/>
  <c r="S167" i="1"/>
  <c r="S166" i="1"/>
  <c r="S165" i="1"/>
  <c r="S164" i="1"/>
  <c r="S163" i="1"/>
  <c r="S162" i="1"/>
  <c r="S161" i="1"/>
  <c r="S160" i="1"/>
  <c r="S159" i="1"/>
  <c r="S158" i="1"/>
  <c r="S157" i="1"/>
  <c r="S156" i="1"/>
  <c r="S155" i="1"/>
  <c r="S154" i="1"/>
  <c r="S153" i="1"/>
  <c r="S152" i="1"/>
  <c r="S151" i="1"/>
  <c r="S150" i="1"/>
  <c r="S149" i="1"/>
  <c r="S148" i="1"/>
  <c r="S147" i="1"/>
  <c r="S146" i="1"/>
  <c r="S145" i="1"/>
  <c r="S144" i="1"/>
  <c r="S143" i="1"/>
  <c r="S142" i="1"/>
  <c r="S141" i="1"/>
  <c r="S140" i="1"/>
  <c r="S139" i="1"/>
  <c r="S138" i="1"/>
  <c r="S137" i="1"/>
  <c r="S136" i="1"/>
  <c r="S135" i="1"/>
  <c r="S134" i="1"/>
  <c r="S133" i="1"/>
  <c r="S132" i="1"/>
  <c r="S131" i="1"/>
  <c r="S130" i="1"/>
  <c r="S129" i="1"/>
  <c r="S128" i="1"/>
  <c r="S127" i="1"/>
  <c r="S126" i="1"/>
  <c r="S125" i="1"/>
  <c r="S124" i="1"/>
  <c r="S123" i="1"/>
  <c r="S122" i="1"/>
  <c r="S121" i="1"/>
  <c r="S120" i="1"/>
  <c r="S119" i="1"/>
  <c r="S118" i="1"/>
  <c r="S117" i="1"/>
  <c r="S116" i="1"/>
  <c r="S115" i="1"/>
  <c r="S114" i="1"/>
  <c r="S113" i="1"/>
  <c r="S112" i="1"/>
  <c r="S111" i="1"/>
  <c r="S110" i="1"/>
  <c r="S109" i="1"/>
  <c r="S108" i="1"/>
  <c r="S107" i="1"/>
  <c r="S106" i="1"/>
  <c r="S105" i="1"/>
  <c r="S104" i="1"/>
  <c r="S103" i="1"/>
  <c r="S102" i="1"/>
  <c r="S101" i="1"/>
  <c r="S100" i="1"/>
  <c r="S99" i="1"/>
  <c r="S98" i="1"/>
  <c r="S97" i="1"/>
  <c r="S96" i="1"/>
  <c r="S95" i="1"/>
  <c r="S94" i="1"/>
  <c r="S93" i="1"/>
  <c r="S92" i="1"/>
  <c r="S91" i="1"/>
  <c r="S90" i="1"/>
  <c r="S89" i="1"/>
  <c r="S88" i="1"/>
  <c r="S87" i="1"/>
  <c r="S86" i="1"/>
  <c r="S85" i="1"/>
  <c r="S84" i="1"/>
  <c r="S83" i="1"/>
  <c r="S82" i="1"/>
  <c r="S81" i="1"/>
  <c r="S80" i="1"/>
  <c r="S79" i="1"/>
  <c r="S78" i="1"/>
  <c r="S77" i="1"/>
  <c r="S76" i="1"/>
  <c r="S75" i="1"/>
  <c r="S74" i="1"/>
  <c r="S73" i="1"/>
  <c r="S72" i="1"/>
  <c r="S71" i="1"/>
  <c r="S70" i="1"/>
  <c r="S69" i="1"/>
  <c r="S68" i="1"/>
  <c r="S67" i="1"/>
  <c r="S66" i="1"/>
  <c r="S65" i="1"/>
  <c r="S64" i="1"/>
  <c r="S63" i="1"/>
  <c r="S62" i="1"/>
  <c r="S61" i="1"/>
  <c r="S60" i="1"/>
  <c r="S59" i="1"/>
  <c r="S58" i="1"/>
  <c r="S57" i="1"/>
  <c r="S56" i="1"/>
  <c r="S55" i="1"/>
  <c r="S54" i="1"/>
  <c r="S53" i="1"/>
  <c r="S52" i="1"/>
  <c r="S51" i="1"/>
  <c r="S50" i="1"/>
  <c r="S49" i="1"/>
  <c r="S48" i="1"/>
  <c r="S47" i="1"/>
  <c r="S46" i="1"/>
  <c r="S45" i="1"/>
  <c r="S44" i="1"/>
  <c r="S43" i="1"/>
  <c r="S42" i="1"/>
  <c r="S41" i="1"/>
  <c r="S40" i="1"/>
  <c r="S39" i="1"/>
  <c r="S38" i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2" i="1"/>
  <c r="S14" i="1" s="1"/>
  <c r="S10" i="1"/>
  <c r="O1112" i="1"/>
  <c r="O1111" i="1"/>
  <c r="O1110" i="1"/>
  <c r="O1109" i="1"/>
  <c r="O1108" i="1"/>
  <c r="O1107" i="1"/>
  <c r="O1106" i="1"/>
  <c r="O1105" i="1"/>
  <c r="O1104" i="1"/>
  <c r="O1103" i="1"/>
  <c r="O1102" i="1"/>
  <c r="O1101" i="1"/>
  <c r="O1100" i="1"/>
  <c r="O1099" i="1"/>
  <c r="O1098" i="1"/>
  <c r="O1097" i="1"/>
  <c r="O1096" i="1"/>
  <c r="O1095" i="1"/>
  <c r="O1094" i="1"/>
  <c r="O1093" i="1"/>
  <c r="O1092" i="1"/>
  <c r="O1091" i="1"/>
  <c r="O1090" i="1"/>
  <c r="O1089" i="1"/>
  <c r="O1088" i="1"/>
  <c r="O1087" i="1"/>
  <c r="O1086" i="1"/>
  <c r="O1085" i="1"/>
  <c r="O1084" i="1"/>
  <c r="O1083" i="1"/>
  <c r="O1082" i="1"/>
  <c r="O1081" i="1"/>
  <c r="P1082" i="1" s="1"/>
  <c r="O1080" i="1"/>
  <c r="O1079" i="1"/>
  <c r="O1078" i="1"/>
  <c r="O1077" i="1"/>
  <c r="O1076" i="1"/>
  <c r="O1075" i="1"/>
  <c r="O1074" i="1"/>
  <c r="O1073" i="1"/>
  <c r="O1072" i="1"/>
  <c r="O1071" i="1"/>
  <c r="O1070" i="1"/>
  <c r="O1069" i="1"/>
  <c r="O1068" i="1"/>
  <c r="O1067" i="1"/>
  <c r="O1066" i="1"/>
  <c r="O1065" i="1"/>
  <c r="O1064" i="1"/>
  <c r="O1063" i="1"/>
  <c r="O1062" i="1"/>
  <c r="O1061" i="1"/>
  <c r="O1060" i="1"/>
  <c r="O1059" i="1"/>
  <c r="O1058" i="1"/>
  <c r="O1057" i="1"/>
  <c r="O1056" i="1"/>
  <c r="O1055" i="1"/>
  <c r="O1054" i="1"/>
  <c r="O1053" i="1"/>
  <c r="O1052" i="1"/>
  <c r="O1051" i="1"/>
  <c r="O1050" i="1"/>
  <c r="O1049" i="1"/>
  <c r="O1048" i="1"/>
  <c r="O1047" i="1"/>
  <c r="O1046" i="1"/>
  <c r="O1045" i="1"/>
  <c r="O1044" i="1"/>
  <c r="O1043" i="1"/>
  <c r="O1042" i="1"/>
  <c r="O1041" i="1"/>
  <c r="O1040" i="1"/>
  <c r="O1039" i="1"/>
  <c r="O1038" i="1"/>
  <c r="O1037" i="1"/>
  <c r="O1036" i="1"/>
  <c r="O1035" i="1"/>
  <c r="O1034" i="1"/>
  <c r="O1033" i="1"/>
  <c r="O1032" i="1"/>
  <c r="O1031" i="1"/>
  <c r="O1030" i="1"/>
  <c r="O1029" i="1"/>
  <c r="O1028" i="1"/>
  <c r="O1027" i="1"/>
  <c r="O1026" i="1"/>
  <c r="O1025" i="1"/>
  <c r="O1024" i="1"/>
  <c r="O1023" i="1"/>
  <c r="O1022" i="1"/>
  <c r="O1021" i="1"/>
  <c r="O1020" i="1"/>
  <c r="P1021" i="1" s="1"/>
  <c r="O1019" i="1"/>
  <c r="O1018" i="1"/>
  <c r="O1017" i="1"/>
  <c r="O1016" i="1"/>
  <c r="O1015" i="1"/>
  <c r="O1014" i="1"/>
  <c r="O1013" i="1"/>
  <c r="O1012" i="1"/>
  <c r="O1011" i="1"/>
  <c r="O1010" i="1"/>
  <c r="O1009" i="1"/>
  <c r="O1008" i="1"/>
  <c r="O1007" i="1"/>
  <c r="O1006" i="1"/>
  <c r="O1005" i="1"/>
  <c r="O1004" i="1"/>
  <c r="O1003" i="1"/>
  <c r="O1002" i="1"/>
  <c r="O1001" i="1"/>
  <c r="O1000" i="1"/>
  <c r="O999" i="1"/>
  <c r="O998" i="1"/>
  <c r="O997" i="1"/>
  <c r="O996" i="1"/>
  <c r="O995" i="1"/>
  <c r="O994" i="1"/>
  <c r="O993" i="1"/>
  <c r="O992" i="1"/>
  <c r="O991" i="1"/>
  <c r="O990" i="1"/>
  <c r="O989" i="1"/>
  <c r="O988" i="1"/>
  <c r="O987" i="1"/>
  <c r="O986" i="1"/>
  <c r="O985" i="1"/>
  <c r="O984" i="1"/>
  <c r="O983" i="1"/>
  <c r="O982" i="1"/>
  <c r="O981" i="1"/>
  <c r="O980" i="1"/>
  <c r="O979" i="1"/>
  <c r="O978" i="1"/>
  <c r="O977" i="1"/>
  <c r="O976" i="1"/>
  <c r="O975" i="1"/>
  <c r="O974" i="1"/>
  <c r="O973" i="1"/>
  <c r="O972" i="1"/>
  <c r="O971" i="1"/>
  <c r="O970" i="1"/>
  <c r="O969" i="1"/>
  <c r="O968" i="1"/>
  <c r="O967" i="1"/>
  <c r="O966" i="1"/>
  <c r="O965" i="1"/>
  <c r="O964" i="1"/>
  <c r="O963" i="1"/>
  <c r="O962" i="1"/>
  <c r="O961" i="1"/>
  <c r="O960" i="1"/>
  <c r="O959" i="1"/>
  <c r="O958" i="1"/>
  <c r="O957" i="1"/>
  <c r="O956" i="1"/>
  <c r="O955" i="1"/>
  <c r="O954" i="1"/>
  <c r="O953" i="1"/>
  <c r="O952" i="1"/>
  <c r="O951" i="1"/>
  <c r="O950" i="1"/>
  <c r="O949" i="1"/>
  <c r="O948" i="1"/>
  <c r="O947" i="1"/>
  <c r="O946" i="1"/>
  <c r="O945" i="1"/>
  <c r="O944" i="1"/>
  <c r="O943" i="1"/>
  <c r="O942" i="1"/>
  <c r="O941" i="1"/>
  <c r="O940" i="1"/>
  <c r="O939" i="1"/>
  <c r="O938" i="1"/>
  <c r="O937" i="1"/>
  <c r="O936" i="1"/>
  <c r="O935" i="1"/>
  <c r="O934" i="1"/>
  <c r="O933" i="1"/>
  <c r="O932" i="1"/>
  <c r="O931" i="1"/>
  <c r="O930" i="1"/>
  <c r="O929" i="1"/>
  <c r="O928" i="1"/>
  <c r="O927" i="1"/>
  <c r="O926" i="1"/>
  <c r="O925" i="1"/>
  <c r="O924" i="1"/>
  <c r="O923" i="1"/>
  <c r="O922" i="1"/>
  <c r="O921" i="1"/>
  <c r="O920" i="1"/>
  <c r="O919" i="1"/>
  <c r="O918" i="1"/>
  <c r="O917" i="1"/>
  <c r="O916" i="1"/>
  <c r="O915" i="1"/>
  <c r="O914" i="1"/>
  <c r="O913" i="1"/>
  <c r="O912" i="1"/>
  <c r="O911" i="1"/>
  <c r="O910" i="1"/>
  <c r="O909" i="1"/>
  <c r="O908" i="1"/>
  <c r="O907" i="1"/>
  <c r="O906" i="1"/>
  <c r="O905" i="1"/>
  <c r="O904" i="1"/>
  <c r="O903" i="1"/>
  <c r="O902" i="1"/>
  <c r="O901" i="1"/>
  <c r="O900" i="1"/>
  <c r="O899" i="1"/>
  <c r="O898" i="1"/>
  <c r="O897" i="1"/>
  <c r="O896" i="1"/>
  <c r="O895" i="1"/>
  <c r="O894" i="1"/>
  <c r="O893" i="1"/>
  <c r="O892" i="1"/>
  <c r="O891" i="1"/>
  <c r="O890" i="1"/>
  <c r="O889" i="1"/>
  <c r="O888" i="1"/>
  <c r="O887" i="1"/>
  <c r="O886" i="1"/>
  <c r="O885" i="1"/>
  <c r="O884" i="1"/>
  <c r="O883" i="1"/>
  <c r="O882" i="1"/>
  <c r="O881" i="1"/>
  <c r="O880" i="1"/>
  <c r="O879" i="1"/>
  <c r="O878" i="1"/>
  <c r="O877" i="1"/>
  <c r="O876" i="1"/>
  <c r="O875" i="1"/>
  <c r="O874" i="1"/>
  <c r="O873" i="1"/>
  <c r="O872" i="1"/>
  <c r="O871" i="1"/>
  <c r="O870" i="1"/>
  <c r="O869" i="1"/>
  <c r="O868" i="1"/>
  <c r="O867" i="1"/>
  <c r="O866" i="1"/>
  <c r="O865" i="1"/>
  <c r="O864" i="1"/>
  <c r="O863" i="1"/>
  <c r="O862" i="1"/>
  <c r="O861" i="1"/>
  <c r="O860" i="1"/>
  <c r="O859" i="1"/>
  <c r="O858" i="1"/>
  <c r="O857" i="1"/>
  <c r="O856" i="1"/>
  <c r="O855" i="1"/>
  <c r="O854" i="1"/>
  <c r="O853" i="1"/>
  <c r="O852" i="1"/>
  <c r="O851" i="1"/>
  <c r="O850" i="1"/>
  <c r="O849" i="1"/>
  <c r="O848" i="1"/>
  <c r="O847" i="1"/>
  <c r="O846" i="1"/>
  <c r="O845" i="1"/>
  <c r="O844" i="1"/>
  <c r="O843" i="1"/>
  <c r="O842" i="1"/>
  <c r="O841" i="1"/>
  <c r="O840" i="1"/>
  <c r="O839" i="1"/>
  <c r="O838" i="1"/>
  <c r="O837" i="1"/>
  <c r="O836" i="1"/>
  <c r="O835" i="1"/>
  <c r="O834" i="1"/>
  <c r="O833" i="1"/>
  <c r="O832" i="1"/>
  <c r="O831" i="1"/>
  <c r="O830" i="1"/>
  <c r="O829" i="1"/>
  <c r="O828" i="1"/>
  <c r="O827" i="1"/>
  <c r="O826" i="1"/>
  <c r="O825" i="1"/>
  <c r="O824" i="1"/>
  <c r="O823" i="1"/>
  <c r="O822" i="1"/>
  <c r="O821" i="1"/>
  <c r="O820" i="1"/>
  <c r="O819" i="1"/>
  <c r="O818" i="1"/>
  <c r="O817" i="1"/>
  <c r="O816" i="1"/>
  <c r="O815" i="1"/>
  <c r="O814" i="1"/>
  <c r="O813" i="1"/>
  <c r="O812" i="1"/>
  <c r="O811" i="1"/>
  <c r="O810" i="1"/>
  <c r="O809" i="1"/>
  <c r="O808" i="1"/>
  <c r="O807" i="1"/>
  <c r="O806" i="1"/>
  <c r="O805" i="1"/>
  <c r="O804" i="1"/>
  <c r="O803" i="1"/>
  <c r="O802" i="1"/>
  <c r="O801" i="1"/>
  <c r="O800" i="1"/>
  <c r="O799" i="1"/>
  <c r="O798" i="1"/>
  <c r="O797" i="1"/>
  <c r="O796" i="1"/>
  <c r="O795" i="1"/>
  <c r="O794" i="1"/>
  <c r="O793" i="1"/>
  <c r="O792" i="1"/>
  <c r="O791" i="1"/>
  <c r="O790" i="1"/>
  <c r="O789" i="1"/>
  <c r="O788" i="1"/>
  <c r="O787" i="1"/>
  <c r="O786" i="1"/>
  <c r="O785" i="1"/>
  <c r="O784" i="1"/>
  <c r="O783" i="1"/>
  <c r="O782" i="1"/>
  <c r="O781" i="1"/>
  <c r="O780" i="1"/>
  <c r="O779" i="1"/>
  <c r="O778" i="1"/>
  <c r="O777" i="1"/>
  <c r="P778" i="1" s="1"/>
  <c r="O776" i="1"/>
  <c r="O775" i="1"/>
  <c r="O774" i="1"/>
  <c r="O773" i="1"/>
  <c r="O772" i="1"/>
  <c r="O771" i="1"/>
  <c r="O770" i="1"/>
  <c r="O769" i="1"/>
  <c r="O768" i="1"/>
  <c r="O767" i="1"/>
  <c r="O766" i="1"/>
  <c r="O765" i="1"/>
  <c r="O764" i="1"/>
  <c r="O763" i="1"/>
  <c r="O762" i="1"/>
  <c r="O761" i="1"/>
  <c r="O760" i="1"/>
  <c r="O759" i="1"/>
  <c r="O758" i="1"/>
  <c r="O757" i="1"/>
  <c r="O756" i="1"/>
  <c r="O755" i="1"/>
  <c r="O754" i="1"/>
  <c r="O753" i="1"/>
  <c r="O752" i="1"/>
  <c r="O751" i="1"/>
  <c r="O750" i="1"/>
  <c r="O749" i="1"/>
  <c r="O748" i="1"/>
  <c r="O747" i="1"/>
  <c r="O746" i="1"/>
  <c r="O745" i="1"/>
  <c r="O744" i="1"/>
  <c r="O743" i="1"/>
  <c r="O742" i="1"/>
  <c r="O741" i="1"/>
  <c r="O740" i="1"/>
  <c r="O739" i="1"/>
  <c r="O738" i="1"/>
  <c r="O737" i="1"/>
  <c r="O736" i="1"/>
  <c r="O735" i="1"/>
  <c r="O734" i="1"/>
  <c r="O733" i="1"/>
  <c r="O732" i="1"/>
  <c r="O731" i="1"/>
  <c r="O730" i="1"/>
  <c r="O729" i="1"/>
  <c r="O728" i="1"/>
  <c r="O727" i="1"/>
  <c r="O726" i="1"/>
  <c r="O725" i="1"/>
  <c r="O724" i="1"/>
  <c r="O723" i="1"/>
  <c r="O722" i="1"/>
  <c r="O721" i="1"/>
  <c r="O720" i="1"/>
  <c r="O719" i="1"/>
  <c r="O718" i="1"/>
  <c r="O717" i="1"/>
  <c r="O716" i="1"/>
  <c r="O715" i="1"/>
  <c r="O714" i="1"/>
  <c r="O713" i="1"/>
  <c r="O712" i="1"/>
  <c r="O711" i="1"/>
  <c r="O710" i="1"/>
  <c r="O709" i="1"/>
  <c r="O708" i="1"/>
  <c r="O707" i="1"/>
  <c r="O706" i="1"/>
  <c r="O705" i="1"/>
  <c r="O704" i="1"/>
  <c r="O703" i="1"/>
  <c r="O702" i="1"/>
  <c r="O701" i="1"/>
  <c r="O700" i="1"/>
  <c r="O699" i="1"/>
  <c r="O698" i="1"/>
  <c r="O697" i="1"/>
  <c r="O696" i="1"/>
  <c r="O695" i="1"/>
  <c r="O694" i="1"/>
  <c r="O693" i="1"/>
  <c r="O692" i="1"/>
  <c r="O691" i="1"/>
  <c r="O690" i="1"/>
  <c r="O689" i="1"/>
  <c r="O688" i="1"/>
  <c r="O687" i="1"/>
  <c r="O686" i="1"/>
  <c r="O685" i="1"/>
  <c r="O684" i="1"/>
  <c r="O683" i="1"/>
  <c r="O682" i="1"/>
  <c r="O681" i="1"/>
  <c r="O680" i="1"/>
  <c r="O679" i="1"/>
  <c r="O678" i="1"/>
  <c r="O677" i="1"/>
  <c r="O676" i="1"/>
  <c r="O675" i="1"/>
  <c r="O674" i="1"/>
  <c r="O673" i="1"/>
  <c r="O672" i="1"/>
  <c r="O671" i="1"/>
  <c r="O670" i="1"/>
  <c r="O669" i="1"/>
  <c r="O668" i="1"/>
  <c r="O667" i="1"/>
  <c r="O666" i="1"/>
  <c r="O665" i="1"/>
  <c r="O664" i="1"/>
  <c r="O663" i="1"/>
  <c r="O662" i="1"/>
  <c r="O661" i="1"/>
  <c r="O660" i="1"/>
  <c r="O659" i="1"/>
  <c r="O658" i="1"/>
  <c r="O657" i="1"/>
  <c r="O656" i="1"/>
  <c r="O655" i="1"/>
  <c r="O654" i="1"/>
  <c r="O653" i="1"/>
  <c r="O652" i="1"/>
  <c r="O651" i="1"/>
  <c r="O650" i="1"/>
  <c r="O649" i="1"/>
  <c r="O648" i="1"/>
  <c r="O647" i="1"/>
  <c r="O646" i="1"/>
  <c r="O645" i="1"/>
  <c r="O644" i="1"/>
  <c r="O643" i="1"/>
  <c r="O642" i="1"/>
  <c r="O641" i="1"/>
  <c r="O640" i="1"/>
  <c r="O639" i="1"/>
  <c r="O638" i="1"/>
  <c r="O637" i="1"/>
  <c r="O636" i="1"/>
  <c r="O635" i="1"/>
  <c r="O634" i="1"/>
  <c r="O633" i="1"/>
  <c r="O632" i="1"/>
  <c r="O631" i="1"/>
  <c r="O630" i="1"/>
  <c r="O629" i="1"/>
  <c r="O628" i="1"/>
  <c r="O627" i="1"/>
  <c r="O626" i="1"/>
  <c r="O625" i="1"/>
  <c r="O624" i="1"/>
  <c r="O623" i="1"/>
  <c r="O622" i="1"/>
  <c r="O621" i="1"/>
  <c r="O620" i="1"/>
  <c r="O619" i="1"/>
  <c r="O618" i="1"/>
  <c r="O617" i="1"/>
  <c r="O616" i="1"/>
  <c r="O615" i="1"/>
  <c r="O614" i="1"/>
  <c r="O613" i="1"/>
  <c r="O612" i="1"/>
  <c r="O611" i="1"/>
  <c r="O610" i="1"/>
  <c r="O609" i="1"/>
  <c r="O608" i="1"/>
  <c r="O607" i="1"/>
  <c r="O606" i="1"/>
  <c r="O605" i="1"/>
  <c r="O604" i="1"/>
  <c r="O603" i="1"/>
  <c r="O602" i="1"/>
  <c r="O601" i="1"/>
  <c r="O600" i="1"/>
  <c r="O599" i="1"/>
  <c r="O598" i="1"/>
  <c r="O597" i="1"/>
  <c r="O596" i="1"/>
  <c r="O595" i="1"/>
  <c r="O594" i="1"/>
  <c r="O593" i="1"/>
  <c r="O592" i="1"/>
  <c r="O591" i="1"/>
  <c r="O590" i="1"/>
  <c r="O589" i="1"/>
  <c r="O588" i="1"/>
  <c r="O587" i="1"/>
  <c r="O586" i="1"/>
  <c r="O585" i="1"/>
  <c r="O584" i="1"/>
  <c r="O583" i="1"/>
  <c r="O582" i="1"/>
  <c r="O581" i="1"/>
  <c r="O580" i="1"/>
  <c r="O579" i="1"/>
  <c r="O578" i="1"/>
  <c r="O577" i="1"/>
  <c r="O576" i="1"/>
  <c r="O575" i="1"/>
  <c r="O574" i="1"/>
  <c r="O573" i="1"/>
  <c r="O572" i="1"/>
  <c r="O571" i="1"/>
  <c r="O570" i="1"/>
  <c r="O569" i="1"/>
  <c r="O568" i="1"/>
  <c r="O567" i="1"/>
  <c r="O566" i="1"/>
  <c r="O565" i="1"/>
  <c r="O564" i="1"/>
  <c r="O563" i="1"/>
  <c r="O562" i="1"/>
  <c r="O561" i="1"/>
  <c r="O560" i="1"/>
  <c r="O559" i="1"/>
  <c r="O558" i="1"/>
  <c r="O557" i="1"/>
  <c r="O556" i="1"/>
  <c r="O555" i="1"/>
  <c r="O554" i="1"/>
  <c r="O553" i="1"/>
  <c r="O552" i="1"/>
  <c r="O551" i="1"/>
  <c r="O550" i="1"/>
  <c r="O549" i="1"/>
  <c r="O548" i="1"/>
  <c r="O547" i="1"/>
  <c r="O546" i="1"/>
  <c r="O545" i="1"/>
  <c r="O544" i="1"/>
  <c r="O543" i="1"/>
  <c r="O542" i="1"/>
  <c r="O541" i="1"/>
  <c r="O540" i="1"/>
  <c r="O539" i="1"/>
  <c r="O538" i="1"/>
  <c r="O537" i="1"/>
  <c r="O536" i="1"/>
  <c r="O535" i="1"/>
  <c r="O534" i="1"/>
  <c r="O533" i="1"/>
  <c r="O532" i="1"/>
  <c r="P533" i="1" s="1"/>
  <c r="O531" i="1"/>
  <c r="O530" i="1"/>
  <c r="O529" i="1"/>
  <c r="O528" i="1"/>
  <c r="O527" i="1"/>
  <c r="O526" i="1"/>
  <c r="O525" i="1"/>
  <c r="O524" i="1"/>
  <c r="O523" i="1"/>
  <c r="O522" i="1"/>
  <c r="O521" i="1"/>
  <c r="O520" i="1"/>
  <c r="O519" i="1"/>
  <c r="O518" i="1"/>
  <c r="O517" i="1"/>
  <c r="O516" i="1"/>
  <c r="O515" i="1"/>
  <c r="O514" i="1"/>
  <c r="O513" i="1"/>
  <c r="O512" i="1"/>
  <c r="O511" i="1"/>
  <c r="O510" i="1"/>
  <c r="O509" i="1"/>
  <c r="O508" i="1"/>
  <c r="O507" i="1"/>
  <c r="O506" i="1"/>
  <c r="O505" i="1"/>
  <c r="O504" i="1"/>
  <c r="O503" i="1"/>
  <c r="O502" i="1"/>
  <c r="O501" i="1"/>
  <c r="O500" i="1"/>
  <c r="O499" i="1"/>
  <c r="O498" i="1"/>
  <c r="O497" i="1"/>
  <c r="O496" i="1"/>
  <c r="O495" i="1"/>
  <c r="O494" i="1"/>
  <c r="O493" i="1"/>
  <c r="O492" i="1"/>
  <c r="O491" i="1"/>
  <c r="O490" i="1"/>
  <c r="O489" i="1"/>
  <c r="O488" i="1"/>
  <c r="O487" i="1"/>
  <c r="O486" i="1"/>
  <c r="O485" i="1"/>
  <c r="O484" i="1"/>
  <c r="O483" i="1"/>
  <c r="O482" i="1"/>
  <c r="O481" i="1"/>
  <c r="O480" i="1"/>
  <c r="O479" i="1"/>
  <c r="O478" i="1"/>
  <c r="O477" i="1"/>
  <c r="O476" i="1"/>
  <c r="O475" i="1"/>
  <c r="O474" i="1"/>
  <c r="O473" i="1"/>
  <c r="O472" i="1"/>
  <c r="O471" i="1"/>
  <c r="O470" i="1"/>
  <c r="O469" i="1"/>
  <c r="O468" i="1"/>
  <c r="O467" i="1"/>
  <c r="O466" i="1"/>
  <c r="O465" i="1"/>
  <c r="O464" i="1"/>
  <c r="O463" i="1"/>
  <c r="O462" i="1"/>
  <c r="O461" i="1"/>
  <c r="O460" i="1"/>
  <c r="O459" i="1"/>
  <c r="O458" i="1"/>
  <c r="O457" i="1"/>
  <c r="O456" i="1"/>
  <c r="O455" i="1"/>
  <c r="O454" i="1"/>
  <c r="O453" i="1"/>
  <c r="O452" i="1"/>
  <c r="O451" i="1"/>
  <c r="O450" i="1"/>
  <c r="O449" i="1"/>
  <c r="O448" i="1"/>
  <c r="O447" i="1"/>
  <c r="O446" i="1"/>
  <c r="O445" i="1"/>
  <c r="O444" i="1"/>
  <c r="O443" i="1"/>
  <c r="O442" i="1"/>
  <c r="O441" i="1"/>
  <c r="O440" i="1"/>
  <c r="O439" i="1"/>
  <c r="O438" i="1"/>
  <c r="O437" i="1"/>
  <c r="O436" i="1"/>
  <c r="O435" i="1"/>
  <c r="O434" i="1"/>
  <c r="O433" i="1"/>
  <c r="O432" i="1"/>
  <c r="O431" i="1"/>
  <c r="O430" i="1"/>
  <c r="O429" i="1"/>
  <c r="O428" i="1"/>
  <c r="O427" i="1"/>
  <c r="O426" i="1"/>
  <c r="O425" i="1"/>
  <c r="O424" i="1"/>
  <c r="O423" i="1"/>
  <c r="O422" i="1"/>
  <c r="O421" i="1"/>
  <c r="O420" i="1"/>
  <c r="O419" i="1"/>
  <c r="O418" i="1"/>
  <c r="O417" i="1"/>
  <c r="O416" i="1"/>
  <c r="O415" i="1"/>
  <c r="O414" i="1"/>
  <c r="O413" i="1"/>
  <c r="O412" i="1"/>
  <c r="P413" i="1" s="1"/>
  <c r="O411" i="1"/>
  <c r="O410" i="1"/>
  <c r="O409" i="1"/>
  <c r="O408" i="1"/>
  <c r="O407" i="1"/>
  <c r="O406" i="1"/>
  <c r="O405" i="1"/>
  <c r="O404" i="1"/>
  <c r="O403" i="1"/>
  <c r="O402" i="1"/>
  <c r="O401" i="1"/>
  <c r="O400" i="1"/>
  <c r="O399" i="1"/>
  <c r="O398" i="1"/>
  <c r="O397" i="1"/>
  <c r="O396" i="1"/>
  <c r="O395" i="1"/>
  <c r="O394" i="1"/>
  <c r="O393" i="1"/>
  <c r="O392" i="1"/>
  <c r="O391" i="1"/>
  <c r="O390" i="1"/>
  <c r="O389" i="1"/>
  <c r="O388" i="1"/>
  <c r="O387" i="1"/>
  <c r="O386" i="1"/>
  <c r="O385" i="1"/>
  <c r="O384" i="1"/>
  <c r="O383" i="1"/>
  <c r="O382" i="1"/>
  <c r="O381" i="1"/>
  <c r="O380" i="1"/>
  <c r="O379" i="1"/>
  <c r="O378" i="1"/>
  <c r="O377" i="1"/>
  <c r="O376" i="1"/>
  <c r="O375" i="1"/>
  <c r="O374" i="1"/>
  <c r="O373" i="1"/>
  <c r="O372" i="1"/>
  <c r="O371" i="1"/>
  <c r="O370" i="1"/>
  <c r="O369" i="1"/>
  <c r="O368" i="1"/>
  <c r="O367" i="1"/>
  <c r="O366" i="1"/>
  <c r="O365" i="1"/>
  <c r="O364" i="1"/>
  <c r="O363" i="1"/>
  <c r="O362" i="1"/>
  <c r="O361" i="1"/>
  <c r="O360" i="1"/>
  <c r="O359" i="1"/>
  <c r="O358" i="1"/>
  <c r="O357" i="1"/>
  <c r="O356" i="1"/>
  <c r="O355" i="1"/>
  <c r="O354" i="1"/>
  <c r="O353" i="1"/>
  <c r="O352" i="1"/>
  <c r="O351" i="1"/>
  <c r="O350" i="1"/>
  <c r="O349" i="1"/>
  <c r="O348" i="1"/>
  <c r="O347" i="1"/>
  <c r="O346" i="1"/>
  <c r="O345" i="1"/>
  <c r="O344" i="1"/>
  <c r="O343" i="1"/>
  <c r="O342" i="1"/>
  <c r="O341" i="1"/>
  <c r="O340" i="1"/>
  <c r="O339" i="1"/>
  <c r="O338" i="1"/>
  <c r="O337" i="1"/>
  <c r="O336" i="1"/>
  <c r="O335" i="1"/>
  <c r="O334" i="1"/>
  <c r="O333" i="1"/>
  <c r="O332" i="1"/>
  <c r="O331" i="1"/>
  <c r="O330" i="1"/>
  <c r="O329" i="1"/>
  <c r="O328" i="1"/>
  <c r="O327" i="1"/>
  <c r="O326" i="1"/>
  <c r="O325" i="1"/>
  <c r="O324" i="1"/>
  <c r="O323" i="1"/>
  <c r="O322" i="1"/>
  <c r="O321" i="1"/>
  <c r="O320" i="1"/>
  <c r="O319" i="1"/>
  <c r="O318" i="1"/>
  <c r="O317" i="1"/>
  <c r="O316" i="1"/>
  <c r="O315" i="1"/>
  <c r="O314" i="1"/>
  <c r="O313" i="1"/>
  <c r="O312" i="1"/>
  <c r="O311" i="1"/>
  <c r="O310" i="1"/>
  <c r="O309" i="1"/>
  <c r="O308" i="1"/>
  <c r="O307" i="1"/>
  <c r="O306" i="1"/>
  <c r="O305" i="1"/>
  <c r="O304" i="1"/>
  <c r="O303" i="1"/>
  <c r="O302" i="1"/>
  <c r="O301" i="1"/>
  <c r="O300" i="1"/>
  <c r="O299" i="1"/>
  <c r="O298" i="1"/>
  <c r="O297" i="1"/>
  <c r="O296" i="1"/>
  <c r="O295" i="1"/>
  <c r="O294" i="1"/>
  <c r="O293" i="1"/>
  <c r="O292" i="1"/>
  <c r="O291" i="1"/>
  <c r="O290" i="1"/>
  <c r="O289" i="1"/>
  <c r="P290" i="1" s="1"/>
  <c r="O288" i="1"/>
  <c r="O287" i="1"/>
  <c r="O286" i="1"/>
  <c r="O285" i="1"/>
  <c r="O284" i="1"/>
  <c r="O283" i="1"/>
  <c r="O282" i="1"/>
  <c r="O281" i="1"/>
  <c r="O280" i="1"/>
  <c r="O279" i="1"/>
  <c r="O278" i="1"/>
  <c r="O277" i="1"/>
  <c r="O276" i="1"/>
  <c r="O275" i="1"/>
  <c r="O274" i="1"/>
  <c r="O273" i="1"/>
  <c r="O272" i="1"/>
  <c r="O271" i="1"/>
  <c r="O270" i="1"/>
  <c r="O269" i="1"/>
  <c r="O268" i="1"/>
  <c r="O267" i="1"/>
  <c r="O266" i="1"/>
  <c r="O265" i="1"/>
  <c r="O264" i="1"/>
  <c r="O263" i="1"/>
  <c r="O262" i="1"/>
  <c r="O261" i="1"/>
  <c r="O260" i="1"/>
  <c r="O259" i="1"/>
  <c r="O258" i="1"/>
  <c r="O257" i="1"/>
  <c r="O256" i="1"/>
  <c r="O255" i="1"/>
  <c r="O254" i="1"/>
  <c r="O253" i="1"/>
  <c r="O252" i="1"/>
  <c r="O251" i="1"/>
  <c r="O250" i="1"/>
  <c r="O249" i="1"/>
  <c r="O248" i="1"/>
  <c r="O247" i="1"/>
  <c r="O246" i="1"/>
  <c r="O245" i="1"/>
  <c r="O244" i="1"/>
  <c r="O243" i="1"/>
  <c r="O242" i="1"/>
  <c r="O241" i="1"/>
  <c r="O240" i="1"/>
  <c r="O239" i="1"/>
  <c r="O238" i="1"/>
  <c r="O237" i="1"/>
  <c r="O236" i="1"/>
  <c r="O235" i="1"/>
  <c r="O234" i="1"/>
  <c r="O233" i="1"/>
  <c r="O232" i="1"/>
  <c r="O231" i="1"/>
  <c r="O230" i="1"/>
  <c r="O229" i="1"/>
  <c r="O228" i="1"/>
  <c r="O227" i="1"/>
  <c r="O226" i="1"/>
  <c r="O225" i="1"/>
  <c r="O224" i="1"/>
  <c r="O223" i="1"/>
  <c r="O222" i="1"/>
  <c r="O221" i="1"/>
  <c r="O220" i="1"/>
  <c r="O219" i="1"/>
  <c r="O218" i="1"/>
  <c r="O217" i="1"/>
  <c r="O216" i="1"/>
  <c r="O215" i="1"/>
  <c r="O214" i="1"/>
  <c r="O213" i="1"/>
  <c r="O212" i="1"/>
  <c r="O211" i="1"/>
  <c r="O210" i="1"/>
  <c r="O209" i="1"/>
  <c r="O208" i="1"/>
  <c r="O207" i="1"/>
  <c r="O206" i="1"/>
  <c r="O205" i="1"/>
  <c r="O204" i="1"/>
  <c r="O203" i="1"/>
  <c r="O202" i="1"/>
  <c r="O201" i="1"/>
  <c r="O200" i="1"/>
  <c r="O199" i="1"/>
  <c r="O198" i="1"/>
  <c r="O197" i="1"/>
  <c r="O196" i="1"/>
  <c r="O195" i="1"/>
  <c r="O194" i="1"/>
  <c r="O193" i="1"/>
  <c r="O192" i="1"/>
  <c r="O191" i="1"/>
  <c r="O190" i="1"/>
  <c r="O189" i="1"/>
  <c r="O188" i="1"/>
  <c r="O187" i="1"/>
  <c r="O186" i="1"/>
  <c r="O185" i="1"/>
  <c r="O184" i="1"/>
  <c r="O183" i="1"/>
  <c r="O182" i="1"/>
  <c r="O181" i="1"/>
  <c r="O180" i="1"/>
  <c r="O179" i="1"/>
  <c r="O178" i="1"/>
  <c r="O177" i="1"/>
  <c r="O176" i="1"/>
  <c r="O175" i="1"/>
  <c r="O174" i="1"/>
  <c r="O173" i="1"/>
  <c r="O172" i="1"/>
  <c r="O171" i="1"/>
  <c r="O170" i="1"/>
  <c r="O169" i="1"/>
  <c r="O168" i="1"/>
  <c r="O167" i="1"/>
  <c r="O166" i="1"/>
  <c r="O165" i="1"/>
  <c r="O164" i="1"/>
  <c r="O163" i="1"/>
  <c r="O162" i="1"/>
  <c r="O161" i="1"/>
  <c r="O160" i="1"/>
  <c r="O159" i="1"/>
  <c r="O158" i="1"/>
  <c r="O157" i="1"/>
  <c r="O156" i="1"/>
  <c r="O155" i="1"/>
  <c r="O154" i="1"/>
  <c r="O153" i="1"/>
  <c r="O152" i="1"/>
  <c r="O151" i="1"/>
  <c r="O150" i="1"/>
  <c r="O149" i="1"/>
  <c r="O148" i="1"/>
  <c r="O147" i="1"/>
  <c r="O146" i="1"/>
  <c r="O145" i="1"/>
  <c r="O144" i="1"/>
  <c r="O143" i="1"/>
  <c r="O142" i="1"/>
  <c r="O141" i="1"/>
  <c r="O140" i="1"/>
  <c r="O139" i="1"/>
  <c r="O138" i="1"/>
  <c r="O137" i="1"/>
  <c r="O136" i="1"/>
  <c r="O135" i="1"/>
  <c r="O134" i="1"/>
  <c r="O133" i="1"/>
  <c r="O132" i="1"/>
  <c r="O131" i="1"/>
  <c r="O130" i="1"/>
  <c r="O129" i="1"/>
  <c r="O128" i="1"/>
  <c r="O127" i="1"/>
  <c r="O126" i="1"/>
  <c r="O125" i="1"/>
  <c r="O124" i="1"/>
  <c r="O123" i="1"/>
  <c r="O122" i="1"/>
  <c r="O121" i="1"/>
  <c r="O120" i="1"/>
  <c r="O119" i="1"/>
  <c r="O118" i="1"/>
  <c r="O117" i="1"/>
  <c r="O116" i="1"/>
  <c r="O115" i="1"/>
  <c r="O114" i="1"/>
  <c r="O113" i="1"/>
  <c r="O112" i="1"/>
  <c r="O111" i="1"/>
  <c r="O110" i="1"/>
  <c r="O109" i="1"/>
  <c r="O108" i="1"/>
  <c r="O107" i="1"/>
  <c r="O106" i="1"/>
  <c r="O105" i="1"/>
  <c r="O104" i="1"/>
  <c r="O103" i="1"/>
  <c r="O102" i="1"/>
  <c r="O101" i="1"/>
  <c r="O100" i="1"/>
  <c r="O99" i="1"/>
  <c r="O98" i="1"/>
  <c r="O97" i="1"/>
  <c r="O96" i="1"/>
  <c r="O95" i="1"/>
  <c r="O94" i="1"/>
  <c r="O93" i="1"/>
  <c r="O92" i="1"/>
  <c r="O91" i="1"/>
  <c r="O90" i="1"/>
  <c r="O89" i="1"/>
  <c r="O88" i="1"/>
  <c r="O87" i="1"/>
  <c r="O86" i="1"/>
  <c r="O85" i="1"/>
  <c r="O84" i="1"/>
  <c r="O83" i="1"/>
  <c r="O82" i="1"/>
  <c r="O81" i="1"/>
  <c r="O80" i="1"/>
  <c r="O79" i="1"/>
  <c r="O78" i="1"/>
  <c r="O77" i="1"/>
  <c r="O76" i="1"/>
  <c r="O75" i="1"/>
  <c r="O74" i="1"/>
  <c r="O73" i="1"/>
  <c r="O72" i="1"/>
  <c r="O71" i="1"/>
  <c r="O70" i="1"/>
  <c r="O69" i="1"/>
  <c r="O68" i="1"/>
  <c r="O67" i="1"/>
  <c r="O66" i="1"/>
  <c r="O65" i="1"/>
  <c r="O64" i="1"/>
  <c r="O63" i="1"/>
  <c r="O62" i="1"/>
  <c r="O61" i="1"/>
  <c r="O60" i="1"/>
  <c r="O59" i="1"/>
  <c r="O58" i="1"/>
  <c r="O57" i="1"/>
  <c r="O56" i="1"/>
  <c r="O55" i="1"/>
  <c r="O54" i="1"/>
  <c r="O53" i="1"/>
  <c r="O52" i="1"/>
  <c r="O51" i="1"/>
  <c r="O50" i="1"/>
  <c r="O49" i="1"/>
  <c r="O48" i="1"/>
  <c r="O47" i="1"/>
  <c r="O46" i="1"/>
  <c r="O45" i="1"/>
  <c r="O44" i="1"/>
  <c r="O43" i="1"/>
  <c r="O42" i="1"/>
  <c r="O41" i="1"/>
  <c r="O40" i="1"/>
  <c r="O39" i="1"/>
  <c r="O38" i="1"/>
  <c r="O37" i="1"/>
  <c r="O36" i="1"/>
  <c r="O35" i="1"/>
  <c r="O34" i="1"/>
  <c r="O33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2" i="1"/>
  <c r="O10" i="1"/>
  <c r="J7" i="1"/>
  <c r="K1112" i="1"/>
  <c r="K1111" i="1"/>
  <c r="K1110" i="1"/>
  <c r="K1109" i="1"/>
  <c r="K1108" i="1"/>
  <c r="K1107" i="1"/>
  <c r="K1106" i="1"/>
  <c r="K1105" i="1"/>
  <c r="K1104" i="1"/>
  <c r="K1103" i="1"/>
  <c r="K1102" i="1"/>
  <c r="K1101" i="1"/>
  <c r="K1100" i="1"/>
  <c r="K1099" i="1"/>
  <c r="K1098" i="1"/>
  <c r="K1097" i="1"/>
  <c r="K1096" i="1"/>
  <c r="K1095" i="1"/>
  <c r="K1094" i="1"/>
  <c r="K1093" i="1"/>
  <c r="K1092" i="1"/>
  <c r="K1091" i="1"/>
  <c r="K1090" i="1"/>
  <c r="K1089" i="1"/>
  <c r="K1088" i="1"/>
  <c r="K1087" i="1"/>
  <c r="K1086" i="1"/>
  <c r="K1085" i="1"/>
  <c r="K1084" i="1"/>
  <c r="K1083" i="1"/>
  <c r="K1082" i="1"/>
  <c r="K1081" i="1"/>
  <c r="K1080" i="1"/>
  <c r="K1079" i="1"/>
  <c r="K1078" i="1"/>
  <c r="K1077" i="1"/>
  <c r="K1076" i="1"/>
  <c r="K1075" i="1"/>
  <c r="K1074" i="1"/>
  <c r="K1073" i="1"/>
  <c r="K1072" i="1"/>
  <c r="K1071" i="1"/>
  <c r="K1070" i="1"/>
  <c r="K1069" i="1"/>
  <c r="K1068" i="1"/>
  <c r="K1067" i="1"/>
  <c r="K1066" i="1"/>
  <c r="K1065" i="1"/>
  <c r="K1064" i="1"/>
  <c r="K1063" i="1"/>
  <c r="K1062" i="1"/>
  <c r="K1061" i="1"/>
  <c r="K1060" i="1"/>
  <c r="K1059" i="1"/>
  <c r="K1058" i="1"/>
  <c r="K1057" i="1"/>
  <c r="K1056" i="1"/>
  <c r="K1055" i="1"/>
  <c r="K1054" i="1"/>
  <c r="K1053" i="1"/>
  <c r="K1052" i="1"/>
  <c r="K1051" i="1"/>
  <c r="K1050" i="1"/>
  <c r="K1049" i="1"/>
  <c r="K1048" i="1"/>
  <c r="K1047" i="1"/>
  <c r="K1046" i="1"/>
  <c r="K1045" i="1"/>
  <c r="K1044" i="1"/>
  <c r="K1043" i="1"/>
  <c r="K1042" i="1"/>
  <c r="K1041" i="1"/>
  <c r="K1040" i="1"/>
  <c r="K1039" i="1"/>
  <c r="K1038" i="1"/>
  <c r="K1037" i="1"/>
  <c r="K1036" i="1"/>
  <c r="K1035" i="1"/>
  <c r="K1034" i="1"/>
  <c r="K1033" i="1"/>
  <c r="K1032" i="1"/>
  <c r="K1031" i="1"/>
  <c r="K1030" i="1"/>
  <c r="K1029" i="1"/>
  <c r="K1028" i="1"/>
  <c r="K1027" i="1"/>
  <c r="K1026" i="1"/>
  <c r="K1025" i="1"/>
  <c r="K1024" i="1"/>
  <c r="K1023" i="1"/>
  <c r="K1022" i="1"/>
  <c r="K1021" i="1"/>
  <c r="K1020" i="1"/>
  <c r="L1021" i="1" s="1"/>
  <c r="K1019" i="1"/>
  <c r="K1018" i="1"/>
  <c r="K1017" i="1"/>
  <c r="K1016" i="1"/>
  <c r="K1015" i="1"/>
  <c r="K1014" i="1"/>
  <c r="K1013" i="1"/>
  <c r="K1012" i="1"/>
  <c r="K1011" i="1"/>
  <c r="K1010" i="1"/>
  <c r="K1009" i="1"/>
  <c r="K1008" i="1"/>
  <c r="K1007" i="1"/>
  <c r="K1006" i="1"/>
  <c r="K1005" i="1"/>
  <c r="K1004" i="1"/>
  <c r="K1003" i="1"/>
  <c r="K1002" i="1"/>
  <c r="K1001" i="1"/>
  <c r="K1000" i="1"/>
  <c r="K999" i="1"/>
  <c r="K998" i="1"/>
  <c r="K997" i="1"/>
  <c r="K996" i="1"/>
  <c r="K995" i="1"/>
  <c r="K994" i="1"/>
  <c r="K993" i="1"/>
  <c r="K992" i="1"/>
  <c r="K991" i="1"/>
  <c r="K990" i="1"/>
  <c r="K989" i="1"/>
  <c r="K988" i="1"/>
  <c r="K987" i="1"/>
  <c r="K986" i="1"/>
  <c r="K985" i="1"/>
  <c r="K984" i="1"/>
  <c r="K983" i="1"/>
  <c r="K982" i="1"/>
  <c r="K981" i="1"/>
  <c r="K980" i="1"/>
  <c r="K979" i="1"/>
  <c r="K978" i="1"/>
  <c r="K977" i="1"/>
  <c r="K976" i="1"/>
  <c r="K975" i="1"/>
  <c r="K974" i="1"/>
  <c r="K973" i="1"/>
  <c r="K972" i="1"/>
  <c r="K971" i="1"/>
  <c r="K970" i="1"/>
  <c r="K969" i="1"/>
  <c r="K968" i="1"/>
  <c r="K967" i="1"/>
  <c r="K966" i="1"/>
  <c r="K965" i="1"/>
  <c r="K964" i="1"/>
  <c r="K963" i="1"/>
  <c r="K962" i="1"/>
  <c r="K961" i="1"/>
  <c r="K960" i="1"/>
  <c r="K959" i="1"/>
  <c r="K958" i="1"/>
  <c r="K957" i="1"/>
  <c r="K956" i="1"/>
  <c r="K955" i="1"/>
  <c r="K954" i="1"/>
  <c r="K953" i="1"/>
  <c r="K952" i="1"/>
  <c r="K951" i="1"/>
  <c r="K950" i="1"/>
  <c r="K949" i="1"/>
  <c r="K948" i="1"/>
  <c r="K947" i="1"/>
  <c r="K946" i="1"/>
  <c r="K945" i="1"/>
  <c r="K944" i="1"/>
  <c r="K943" i="1"/>
  <c r="K942" i="1"/>
  <c r="K941" i="1"/>
  <c r="K940" i="1"/>
  <c r="K939" i="1"/>
  <c r="K938" i="1"/>
  <c r="K937" i="1"/>
  <c r="K936" i="1"/>
  <c r="K935" i="1"/>
  <c r="K934" i="1"/>
  <c r="K933" i="1"/>
  <c r="K932" i="1"/>
  <c r="K931" i="1"/>
  <c r="K930" i="1"/>
  <c r="K929" i="1"/>
  <c r="K928" i="1"/>
  <c r="K927" i="1"/>
  <c r="K926" i="1"/>
  <c r="K925" i="1"/>
  <c r="K924" i="1"/>
  <c r="K923" i="1"/>
  <c r="K922" i="1"/>
  <c r="K921" i="1"/>
  <c r="K920" i="1"/>
  <c r="K919" i="1"/>
  <c r="K918" i="1"/>
  <c r="K917" i="1"/>
  <c r="K916" i="1"/>
  <c r="K915" i="1"/>
  <c r="K914" i="1"/>
  <c r="K913" i="1"/>
  <c r="K912" i="1"/>
  <c r="K911" i="1"/>
  <c r="K910" i="1"/>
  <c r="K909" i="1"/>
  <c r="K908" i="1"/>
  <c r="K907" i="1"/>
  <c r="K906" i="1"/>
  <c r="K905" i="1"/>
  <c r="K904" i="1"/>
  <c r="K903" i="1"/>
  <c r="K902" i="1"/>
  <c r="K901" i="1"/>
  <c r="K900" i="1"/>
  <c r="K899" i="1"/>
  <c r="K898" i="1"/>
  <c r="K897" i="1"/>
  <c r="K896" i="1"/>
  <c r="K895" i="1"/>
  <c r="K894" i="1"/>
  <c r="K893" i="1"/>
  <c r="K892" i="1"/>
  <c r="K891" i="1"/>
  <c r="K890" i="1"/>
  <c r="K889" i="1"/>
  <c r="K888" i="1"/>
  <c r="K887" i="1"/>
  <c r="K886" i="1"/>
  <c r="K885" i="1"/>
  <c r="K884" i="1"/>
  <c r="K883" i="1"/>
  <c r="K882" i="1"/>
  <c r="K881" i="1"/>
  <c r="K880" i="1"/>
  <c r="K879" i="1"/>
  <c r="K878" i="1"/>
  <c r="K877" i="1"/>
  <c r="K876" i="1"/>
  <c r="K875" i="1"/>
  <c r="K874" i="1"/>
  <c r="K873" i="1"/>
  <c r="K872" i="1"/>
  <c r="K871" i="1"/>
  <c r="K870" i="1"/>
  <c r="K869" i="1"/>
  <c r="K868" i="1"/>
  <c r="K867" i="1"/>
  <c r="K866" i="1"/>
  <c r="K865" i="1"/>
  <c r="K864" i="1"/>
  <c r="K863" i="1"/>
  <c r="K862" i="1"/>
  <c r="K861" i="1"/>
  <c r="K860" i="1"/>
  <c r="K859" i="1"/>
  <c r="K858" i="1"/>
  <c r="K857" i="1"/>
  <c r="K856" i="1"/>
  <c r="K855" i="1"/>
  <c r="K854" i="1"/>
  <c r="K853" i="1"/>
  <c r="K852" i="1"/>
  <c r="K851" i="1"/>
  <c r="K850" i="1"/>
  <c r="K849" i="1"/>
  <c r="K848" i="1"/>
  <c r="K847" i="1"/>
  <c r="K846" i="1"/>
  <c r="K845" i="1"/>
  <c r="K844" i="1"/>
  <c r="K843" i="1"/>
  <c r="K842" i="1"/>
  <c r="K841" i="1"/>
  <c r="K840" i="1"/>
  <c r="K839" i="1"/>
  <c r="K838" i="1"/>
  <c r="K837" i="1"/>
  <c r="K836" i="1"/>
  <c r="K835" i="1"/>
  <c r="K834" i="1"/>
  <c r="K833" i="1"/>
  <c r="K832" i="1"/>
  <c r="K831" i="1"/>
  <c r="K830" i="1"/>
  <c r="K829" i="1"/>
  <c r="K828" i="1"/>
  <c r="K827" i="1"/>
  <c r="K826" i="1"/>
  <c r="K825" i="1"/>
  <c r="K824" i="1"/>
  <c r="K823" i="1"/>
  <c r="K822" i="1"/>
  <c r="K821" i="1"/>
  <c r="K820" i="1"/>
  <c r="K819" i="1"/>
  <c r="K818" i="1"/>
  <c r="K817" i="1"/>
  <c r="K816" i="1"/>
  <c r="K815" i="1"/>
  <c r="K814" i="1"/>
  <c r="K813" i="1"/>
  <c r="K812" i="1"/>
  <c r="K811" i="1"/>
  <c r="K810" i="1"/>
  <c r="K809" i="1"/>
  <c r="K808" i="1"/>
  <c r="K807" i="1"/>
  <c r="K806" i="1"/>
  <c r="K805" i="1"/>
  <c r="K804" i="1"/>
  <c r="K803" i="1"/>
  <c r="K802" i="1"/>
  <c r="K801" i="1"/>
  <c r="K800" i="1"/>
  <c r="K799" i="1"/>
  <c r="K798" i="1"/>
  <c r="K797" i="1"/>
  <c r="K796" i="1"/>
  <c r="K795" i="1"/>
  <c r="K794" i="1"/>
  <c r="K793" i="1"/>
  <c r="K792" i="1"/>
  <c r="K791" i="1"/>
  <c r="K790" i="1"/>
  <c r="K789" i="1"/>
  <c r="K788" i="1"/>
  <c r="K787" i="1"/>
  <c r="K786" i="1"/>
  <c r="K785" i="1"/>
  <c r="K784" i="1"/>
  <c r="K783" i="1"/>
  <c r="K782" i="1"/>
  <c r="K781" i="1"/>
  <c r="K780" i="1"/>
  <c r="K779" i="1"/>
  <c r="K778" i="1"/>
  <c r="K777" i="1"/>
  <c r="K776" i="1"/>
  <c r="K775" i="1"/>
  <c r="K774" i="1"/>
  <c r="K773" i="1"/>
  <c r="K772" i="1"/>
  <c r="K771" i="1"/>
  <c r="K770" i="1"/>
  <c r="K769" i="1"/>
  <c r="K768" i="1"/>
  <c r="K767" i="1"/>
  <c r="K766" i="1"/>
  <c r="K765" i="1"/>
  <c r="K764" i="1"/>
  <c r="K763" i="1"/>
  <c r="K762" i="1"/>
  <c r="K761" i="1"/>
  <c r="K760" i="1"/>
  <c r="K759" i="1"/>
  <c r="K758" i="1"/>
  <c r="K757" i="1"/>
  <c r="K756" i="1"/>
  <c r="K755" i="1"/>
  <c r="K754" i="1"/>
  <c r="K753" i="1"/>
  <c r="K752" i="1"/>
  <c r="K751" i="1"/>
  <c r="K750" i="1"/>
  <c r="K749" i="1"/>
  <c r="K748" i="1"/>
  <c r="K747" i="1"/>
  <c r="K746" i="1"/>
  <c r="K745" i="1"/>
  <c r="K744" i="1"/>
  <c r="K743" i="1"/>
  <c r="K742" i="1"/>
  <c r="K741" i="1"/>
  <c r="K740" i="1"/>
  <c r="K739" i="1"/>
  <c r="K738" i="1"/>
  <c r="K737" i="1"/>
  <c r="K736" i="1"/>
  <c r="K735" i="1"/>
  <c r="K734" i="1"/>
  <c r="K733" i="1"/>
  <c r="K732" i="1"/>
  <c r="K731" i="1"/>
  <c r="K730" i="1"/>
  <c r="K729" i="1"/>
  <c r="K728" i="1"/>
  <c r="K727" i="1"/>
  <c r="K726" i="1"/>
  <c r="K725" i="1"/>
  <c r="K724" i="1"/>
  <c r="K723" i="1"/>
  <c r="K722" i="1"/>
  <c r="K721" i="1"/>
  <c r="K720" i="1"/>
  <c r="K719" i="1"/>
  <c r="K718" i="1"/>
  <c r="K717" i="1"/>
  <c r="K716" i="1"/>
  <c r="K715" i="1"/>
  <c r="K714" i="1"/>
  <c r="K713" i="1"/>
  <c r="K712" i="1"/>
  <c r="K711" i="1"/>
  <c r="K710" i="1"/>
  <c r="K709" i="1"/>
  <c r="K708" i="1"/>
  <c r="K707" i="1"/>
  <c r="K706" i="1"/>
  <c r="K705" i="1"/>
  <c r="K704" i="1"/>
  <c r="K703" i="1"/>
  <c r="K702" i="1"/>
  <c r="K701" i="1"/>
  <c r="K700" i="1"/>
  <c r="K699" i="1"/>
  <c r="K698" i="1"/>
  <c r="K697" i="1"/>
  <c r="K696" i="1"/>
  <c r="K695" i="1"/>
  <c r="K694" i="1"/>
  <c r="K693" i="1"/>
  <c r="K692" i="1"/>
  <c r="K691" i="1"/>
  <c r="K690" i="1"/>
  <c r="K689" i="1"/>
  <c r="K688" i="1"/>
  <c r="K687" i="1"/>
  <c r="K686" i="1"/>
  <c r="K685" i="1"/>
  <c r="K684" i="1"/>
  <c r="K683" i="1"/>
  <c r="K682" i="1"/>
  <c r="K681" i="1"/>
  <c r="K680" i="1"/>
  <c r="K679" i="1"/>
  <c r="K678" i="1"/>
  <c r="K677" i="1"/>
  <c r="K676" i="1"/>
  <c r="K675" i="1"/>
  <c r="K674" i="1"/>
  <c r="K673" i="1"/>
  <c r="K672" i="1"/>
  <c r="K671" i="1"/>
  <c r="K670" i="1"/>
  <c r="K669" i="1"/>
  <c r="K668" i="1"/>
  <c r="K667" i="1"/>
  <c r="K666" i="1"/>
  <c r="K665" i="1"/>
  <c r="K664" i="1"/>
  <c r="K663" i="1"/>
  <c r="K662" i="1"/>
  <c r="K661" i="1"/>
  <c r="K660" i="1"/>
  <c r="K659" i="1"/>
  <c r="K658" i="1"/>
  <c r="K657" i="1"/>
  <c r="K656" i="1"/>
  <c r="K655" i="1"/>
  <c r="K654" i="1"/>
  <c r="K653" i="1"/>
  <c r="K652" i="1"/>
  <c r="K651" i="1"/>
  <c r="K650" i="1"/>
  <c r="K649" i="1"/>
  <c r="K648" i="1"/>
  <c r="K647" i="1"/>
  <c r="K646" i="1"/>
  <c r="K645" i="1"/>
  <c r="K644" i="1"/>
  <c r="K643" i="1"/>
  <c r="K642" i="1"/>
  <c r="K641" i="1"/>
  <c r="K640" i="1"/>
  <c r="K639" i="1"/>
  <c r="K638" i="1"/>
  <c r="K637" i="1"/>
  <c r="K636" i="1"/>
  <c r="K635" i="1"/>
  <c r="K634" i="1"/>
  <c r="K633" i="1"/>
  <c r="K632" i="1"/>
  <c r="K631" i="1"/>
  <c r="K630" i="1"/>
  <c r="K629" i="1"/>
  <c r="K628" i="1"/>
  <c r="K627" i="1"/>
  <c r="K626" i="1"/>
  <c r="K625" i="1"/>
  <c r="K624" i="1"/>
  <c r="K623" i="1"/>
  <c r="K622" i="1"/>
  <c r="K621" i="1"/>
  <c r="K620" i="1"/>
  <c r="K619" i="1"/>
  <c r="K618" i="1"/>
  <c r="K617" i="1"/>
  <c r="K616" i="1"/>
  <c r="K615" i="1"/>
  <c r="K614" i="1"/>
  <c r="K613" i="1"/>
  <c r="K612" i="1"/>
  <c r="K611" i="1"/>
  <c r="K610" i="1"/>
  <c r="K609" i="1"/>
  <c r="K608" i="1"/>
  <c r="K607" i="1"/>
  <c r="K606" i="1"/>
  <c r="K605" i="1"/>
  <c r="K604" i="1"/>
  <c r="K603" i="1"/>
  <c r="K602" i="1"/>
  <c r="K601" i="1"/>
  <c r="K600" i="1"/>
  <c r="K599" i="1"/>
  <c r="K598" i="1"/>
  <c r="K597" i="1"/>
  <c r="K596" i="1"/>
  <c r="K595" i="1"/>
  <c r="K594" i="1"/>
  <c r="K593" i="1"/>
  <c r="K592" i="1"/>
  <c r="K591" i="1"/>
  <c r="K590" i="1"/>
  <c r="K589" i="1"/>
  <c r="K588" i="1"/>
  <c r="K587" i="1"/>
  <c r="K586" i="1"/>
  <c r="K585" i="1"/>
  <c r="K584" i="1"/>
  <c r="K583" i="1"/>
  <c r="K582" i="1"/>
  <c r="K581" i="1"/>
  <c r="K580" i="1"/>
  <c r="K579" i="1"/>
  <c r="K578" i="1"/>
  <c r="K577" i="1"/>
  <c r="K576" i="1"/>
  <c r="K575" i="1"/>
  <c r="K574" i="1"/>
  <c r="K573" i="1"/>
  <c r="K572" i="1"/>
  <c r="K571" i="1"/>
  <c r="K570" i="1"/>
  <c r="K569" i="1"/>
  <c r="K568" i="1"/>
  <c r="K567" i="1"/>
  <c r="K566" i="1"/>
  <c r="K565" i="1"/>
  <c r="K564" i="1"/>
  <c r="K563" i="1"/>
  <c r="K562" i="1"/>
  <c r="K561" i="1"/>
  <c r="K560" i="1"/>
  <c r="K559" i="1"/>
  <c r="K558" i="1"/>
  <c r="K557" i="1"/>
  <c r="K556" i="1"/>
  <c r="K555" i="1"/>
  <c r="K554" i="1"/>
  <c r="K553" i="1"/>
  <c r="K552" i="1"/>
  <c r="K551" i="1"/>
  <c r="K550" i="1"/>
  <c r="K549" i="1"/>
  <c r="K548" i="1"/>
  <c r="K547" i="1"/>
  <c r="K546" i="1"/>
  <c r="K545" i="1"/>
  <c r="K544" i="1"/>
  <c r="K543" i="1"/>
  <c r="K542" i="1"/>
  <c r="K541" i="1"/>
  <c r="K540" i="1"/>
  <c r="K539" i="1"/>
  <c r="K538" i="1"/>
  <c r="K537" i="1"/>
  <c r="K536" i="1"/>
  <c r="K535" i="1"/>
  <c r="K534" i="1"/>
  <c r="K533" i="1"/>
  <c r="K532" i="1"/>
  <c r="L533" i="1" s="1"/>
  <c r="K531" i="1"/>
  <c r="K530" i="1"/>
  <c r="K529" i="1"/>
  <c r="K528" i="1"/>
  <c r="K527" i="1"/>
  <c r="K526" i="1"/>
  <c r="K525" i="1"/>
  <c r="K524" i="1"/>
  <c r="K523" i="1"/>
  <c r="K522" i="1"/>
  <c r="K521" i="1"/>
  <c r="K520" i="1"/>
  <c r="K519" i="1"/>
  <c r="K518" i="1"/>
  <c r="K517" i="1"/>
  <c r="K516" i="1"/>
  <c r="K515" i="1"/>
  <c r="K514" i="1"/>
  <c r="K513" i="1"/>
  <c r="K512" i="1"/>
  <c r="K511" i="1"/>
  <c r="K510" i="1"/>
  <c r="K509" i="1"/>
  <c r="K508" i="1"/>
  <c r="K507" i="1"/>
  <c r="K506" i="1"/>
  <c r="K505" i="1"/>
  <c r="K504" i="1"/>
  <c r="K503" i="1"/>
  <c r="K502" i="1"/>
  <c r="K501" i="1"/>
  <c r="K500" i="1"/>
  <c r="K499" i="1"/>
  <c r="K498" i="1"/>
  <c r="K497" i="1"/>
  <c r="K496" i="1"/>
  <c r="K495" i="1"/>
  <c r="K494" i="1"/>
  <c r="K493" i="1"/>
  <c r="K492" i="1"/>
  <c r="K491" i="1"/>
  <c r="K490" i="1"/>
  <c r="K489" i="1"/>
  <c r="K488" i="1"/>
  <c r="K487" i="1"/>
  <c r="K486" i="1"/>
  <c r="K485" i="1"/>
  <c r="K484" i="1"/>
  <c r="K483" i="1"/>
  <c r="K482" i="1"/>
  <c r="K481" i="1"/>
  <c r="K480" i="1"/>
  <c r="K479" i="1"/>
  <c r="K478" i="1"/>
  <c r="K477" i="1"/>
  <c r="K476" i="1"/>
  <c r="K475" i="1"/>
  <c r="K474" i="1"/>
  <c r="K473" i="1"/>
  <c r="K472" i="1"/>
  <c r="K471" i="1"/>
  <c r="K470" i="1"/>
  <c r="K469" i="1"/>
  <c r="K468" i="1"/>
  <c r="K467" i="1"/>
  <c r="K466" i="1"/>
  <c r="K465" i="1"/>
  <c r="K464" i="1"/>
  <c r="K463" i="1"/>
  <c r="K462" i="1"/>
  <c r="K461" i="1"/>
  <c r="K460" i="1"/>
  <c r="K459" i="1"/>
  <c r="K458" i="1"/>
  <c r="K457" i="1"/>
  <c r="K456" i="1"/>
  <c r="K455" i="1"/>
  <c r="K454" i="1"/>
  <c r="K453" i="1"/>
  <c r="K452" i="1"/>
  <c r="K451" i="1"/>
  <c r="K450" i="1"/>
  <c r="K449" i="1"/>
  <c r="K448" i="1"/>
  <c r="K447" i="1"/>
  <c r="K446" i="1"/>
  <c r="K445" i="1"/>
  <c r="K444" i="1"/>
  <c r="K443" i="1"/>
  <c r="K442" i="1"/>
  <c r="K441" i="1"/>
  <c r="K440" i="1"/>
  <c r="K439" i="1"/>
  <c r="K438" i="1"/>
  <c r="K437" i="1"/>
  <c r="K436" i="1"/>
  <c r="K435" i="1"/>
  <c r="K434" i="1"/>
  <c r="K433" i="1"/>
  <c r="K432" i="1"/>
  <c r="K431" i="1"/>
  <c r="K430" i="1"/>
  <c r="K429" i="1"/>
  <c r="K428" i="1"/>
  <c r="K427" i="1"/>
  <c r="K426" i="1"/>
  <c r="K425" i="1"/>
  <c r="K424" i="1"/>
  <c r="K423" i="1"/>
  <c r="K422" i="1"/>
  <c r="K421" i="1"/>
  <c r="K420" i="1"/>
  <c r="K419" i="1"/>
  <c r="K418" i="1"/>
  <c r="K417" i="1"/>
  <c r="K416" i="1"/>
  <c r="K415" i="1"/>
  <c r="K414" i="1"/>
  <c r="K413" i="1"/>
  <c r="K412" i="1"/>
  <c r="L413" i="1" s="1"/>
  <c r="K411" i="1"/>
  <c r="K410" i="1"/>
  <c r="K409" i="1"/>
  <c r="K408" i="1"/>
  <c r="K407" i="1"/>
  <c r="K406" i="1"/>
  <c r="K405" i="1"/>
  <c r="K404" i="1"/>
  <c r="K403" i="1"/>
  <c r="K402" i="1"/>
  <c r="K401" i="1"/>
  <c r="K400" i="1"/>
  <c r="K399" i="1"/>
  <c r="K398" i="1"/>
  <c r="K397" i="1"/>
  <c r="K396" i="1"/>
  <c r="K395" i="1"/>
  <c r="K394" i="1"/>
  <c r="K393" i="1"/>
  <c r="K392" i="1"/>
  <c r="K391" i="1"/>
  <c r="K390" i="1"/>
  <c r="K389" i="1"/>
  <c r="K388" i="1"/>
  <c r="K387" i="1"/>
  <c r="K386" i="1"/>
  <c r="K385" i="1"/>
  <c r="K384" i="1"/>
  <c r="K383" i="1"/>
  <c r="K382" i="1"/>
  <c r="K381" i="1"/>
  <c r="K380" i="1"/>
  <c r="K379" i="1"/>
  <c r="K378" i="1"/>
  <c r="K377" i="1"/>
  <c r="K376" i="1"/>
  <c r="K375" i="1"/>
  <c r="K374" i="1"/>
  <c r="K373" i="1"/>
  <c r="K372" i="1"/>
  <c r="K371" i="1"/>
  <c r="K370" i="1"/>
  <c r="K369" i="1"/>
  <c r="K368" i="1"/>
  <c r="K367" i="1"/>
  <c r="K366" i="1"/>
  <c r="K365" i="1"/>
  <c r="K364" i="1"/>
  <c r="K363" i="1"/>
  <c r="K362" i="1"/>
  <c r="K361" i="1"/>
  <c r="K360" i="1"/>
  <c r="K359" i="1"/>
  <c r="K358" i="1"/>
  <c r="K357" i="1"/>
  <c r="K356" i="1"/>
  <c r="K355" i="1"/>
  <c r="K354" i="1"/>
  <c r="K353" i="1"/>
  <c r="K352" i="1"/>
  <c r="K351" i="1"/>
  <c r="K350" i="1"/>
  <c r="K349" i="1"/>
  <c r="K348" i="1"/>
  <c r="K347" i="1"/>
  <c r="K346" i="1"/>
  <c r="K345" i="1"/>
  <c r="K344" i="1"/>
  <c r="K343" i="1"/>
  <c r="K342" i="1"/>
  <c r="K341" i="1"/>
  <c r="K340" i="1"/>
  <c r="K339" i="1"/>
  <c r="K338" i="1"/>
  <c r="K337" i="1"/>
  <c r="K336" i="1"/>
  <c r="K335" i="1"/>
  <c r="K334" i="1"/>
  <c r="K333" i="1"/>
  <c r="K332" i="1"/>
  <c r="K331" i="1"/>
  <c r="K330" i="1"/>
  <c r="K329" i="1"/>
  <c r="K328" i="1"/>
  <c r="K327" i="1"/>
  <c r="K326" i="1"/>
  <c r="K325" i="1"/>
  <c r="K324" i="1"/>
  <c r="K323" i="1"/>
  <c r="K322" i="1"/>
  <c r="K321" i="1"/>
  <c r="K320" i="1"/>
  <c r="K319" i="1"/>
  <c r="K318" i="1"/>
  <c r="K317" i="1"/>
  <c r="K316" i="1"/>
  <c r="K315" i="1"/>
  <c r="K314" i="1"/>
  <c r="K313" i="1"/>
  <c r="K312" i="1"/>
  <c r="K311" i="1"/>
  <c r="K310" i="1"/>
  <c r="K309" i="1"/>
  <c r="K308" i="1"/>
  <c r="K307" i="1"/>
  <c r="K306" i="1"/>
  <c r="K305" i="1"/>
  <c r="K304" i="1"/>
  <c r="K303" i="1"/>
  <c r="K302" i="1"/>
  <c r="K301" i="1"/>
  <c r="K300" i="1"/>
  <c r="K299" i="1"/>
  <c r="K298" i="1"/>
  <c r="K297" i="1"/>
  <c r="K296" i="1"/>
  <c r="K295" i="1"/>
  <c r="K294" i="1"/>
  <c r="K293" i="1"/>
  <c r="K292" i="1"/>
  <c r="K291" i="1"/>
  <c r="K290" i="1"/>
  <c r="K289" i="1"/>
  <c r="K288" i="1"/>
  <c r="K287" i="1"/>
  <c r="K286" i="1"/>
  <c r="K285" i="1"/>
  <c r="K284" i="1"/>
  <c r="K283" i="1"/>
  <c r="K282" i="1"/>
  <c r="K281" i="1"/>
  <c r="K280" i="1"/>
  <c r="K279" i="1"/>
  <c r="K278" i="1"/>
  <c r="K277" i="1"/>
  <c r="K276" i="1"/>
  <c r="K275" i="1"/>
  <c r="K274" i="1"/>
  <c r="K273" i="1"/>
  <c r="K272" i="1"/>
  <c r="K271" i="1"/>
  <c r="K270" i="1"/>
  <c r="K269" i="1"/>
  <c r="K268" i="1"/>
  <c r="K267" i="1"/>
  <c r="K266" i="1"/>
  <c r="K265" i="1"/>
  <c r="K264" i="1"/>
  <c r="K263" i="1"/>
  <c r="K262" i="1"/>
  <c r="K261" i="1"/>
  <c r="K260" i="1"/>
  <c r="K259" i="1"/>
  <c r="K258" i="1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K227" i="1"/>
  <c r="K226" i="1"/>
  <c r="K225" i="1"/>
  <c r="K224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04" i="1"/>
  <c r="K203" i="1"/>
  <c r="K202" i="1"/>
  <c r="K201" i="1"/>
  <c r="K200" i="1"/>
  <c r="K199" i="1"/>
  <c r="K198" i="1"/>
  <c r="K197" i="1"/>
  <c r="K196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K164" i="1"/>
  <c r="K163" i="1"/>
  <c r="K162" i="1"/>
  <c r="K161" i="1"/>
  <c r="K160" i="1"/>
  <c r="K159" i="1"/>
  <c r="K158" i="1"/>
  <c r="K157" i="1"/>
  <c r="K156" i="1"/>
  <c r="K155" i="1"/>
  <c r="K154" i="1"/>
  <c r="K153" i="1"/>
  <c r="K152" i="1"/>
  <c r="K151" i="1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K118" i="1"/>
  <c r="K117" i="1"/>
  <c r="K116" i="1"/>
  <c r="K115" i="1"/>
  <c r="K114" i="1"/>
  <c r="K113" i="1"/>
  <c r="K112" i="1"/>
  <c r="K111" i="1"/>
  <c r="K110" i="1"/>
  <c r="K109" i="1"/>
  <c r="K108" i="1"/>
  <c r="K107" i="1"/>
  <c r="K106" i="1"/>
  <c r="K105" i="1"/>
  <c r="K104" i="1"/>
  <c r="K103" i="1"/>
  <c r="K102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2" i="1"/>
  <c r="K13" i="1" s="1"/>
  <c r="K10" i="1"/>
  <c r="F7" i="1"/>
  <c r="G1112" i="1"/>
  <c r="G1111" i="1"/>
  <c r="G1110" i="1"/>
  <c r="G1109" i="1"/>
  <c r="G1108" i="1"/>
  <c r="G1107" i="1"/>
  <c r="G1106" i="1"/>
  <c r="G1105" i="1"/>
  <c r="G1104" i="1"/>
  <c r="G1103" i="1"/>
  <c r="G1102" i="1"/>
  <c r="G1101" i="1"/>
  <c r="G1100" i="1"/>
  <c r="G1099" i="1"/>
  <c r="G1098" i="1"/>
  <c r="G1097" i="1"/>
  <c r="G1096" i="1"/>
  <c r="G1095" i="1"/>
  <c r="G1094" i="1"/>
  <c r="G1093" i="1"/>
  <c r="G1092" i="1"/>
  <c r="G1091" i="1"/>
  <c r="G1090" i="1"/>
  <c r="G1089" i="1"/>
  <c r="G1088" i="1"/>
  <c r="G1087" i="1"/>
  <c r="G1086" i="1"/>
  <c r="G1085" i="1"/>
  <c r="G1084" i="1"/>
  <c r="G1083" i="1"/>
  <c r="G1082" i="1"/>
  <c r="G1081" i="1"/>
  <c r="G1080" i="1"/>
  <c r="G1079" i="1"/>
  <c r="G1078" i="1"/>
  <c r="G1077" i="1"/>
  <c r="G1076" i="1"/>
  <c r="G1075" i="1"/>
  <c r="G1074" i="1"/>
  <c r="G1073" i="1"/>
  <c r="G1072" i="1"/>
  <c r="G1071" i="1"/>
  <c r="G1070" i="1"/>
  <c r="G1069" i="1"/>
  <c r="G1068" i="1"/>
  <c r="G1067" i="1"/>
  <c r="G1066" i="1"/>
  <c r="G1065" i="1"/>
  <c r="G1064" i="1"/>
  <c r="G1063" i="1"/>
  <c r="G1062" i="1"/>
  <c r="G1061" i="1"/>
  <c r="G1060" i="1"/>
  <c r="G1059" i="1"/>
  <c r="G1058" i="1"/>
  <c r="G1057" i="1"/>
  <c r="G1056" i="1"/>
  <c r="G1055" i="1"/>
  <c r="G1054" i="1"/>
  <c r="G1053" i="1"/>
  <c r="G1052" i="1"/>
  <c r="G1051" i="1"/>
  <c r="G1050" i="1"/>
  <c r="G1049" i="1"/>
  <c r="G1048" i="1"/>
  <c r="G1047" i="1"/>
  <c r="G1046" i="1"/>
  <c r="G1045" i="1"/>
  <c r="G1044" i="1"/>
  <c r="G1043" i="1"/>
  <c r="G1042" i="1"/>
  <c r="G1041" i="1"/>
  <c r="G1040" i="1"/>
  <c r="G1039" i="1"/>
  <c r="G1038" i="1"/>
  <c r="G1037" i="1"/>
  <c r="G1036" i="1"/>
  <c r="G1035" i="1"/>
  <c r="G1034" i="1"/>
  <c r="G1033" i="1"/>
  <c r="G1032" i="1"/>
  <c r="G1031" i="1"/>
  <c r="G1030" i="1"/>
  <c r="G1029" i="1"/>
  <c r="G1028" i="1"/>
  <c r="G1027" i="1"/>
  <c r="G1026" i="1"/>
  <c r="G1025" i="1"/>
  <c r="G1024" i="1"/>
  <c r="G1023" i="1"/>
  <c r="G1022" i="1"/>
  <c r="G1021" i="1"/>
  <c r="G1020" i="1"/>
  <c r="G1019" i="1"/>
  <c r="G1018" i="1"/>
  <c r="G1017" i="1"/>
  <c r="G1016" i="1"/>
  <c r="G1015" i="1"/>
  <c r="G1014" i="1"/>
  <c r="G1013" i="1"/>
  <c r="G1012" i="1"/>
  <c r="G1011" i="1"/>
  <c r="G1010" i="1"/>
  <c r="G1009" i="1"/>
  <c r="G1008" i="1"/>
  <c r="G1007" i="1"/>
  <c r="G1006" i="1"/>
  <c r="G1005" i="1"/>
  <c r="G1004" i="1"/>
  <c r="G1003" i="1"/>
  <c r="G1002" i="1"/>
  <c r="G1001" i="1"/>
  <c r="G1000" i="1"/>
  <c r="G999" i="1"/>
  <c r="G998" i="1"/>
  <c r="G997" i="1"/>
  <c r="G996" i="1"/>
  <c r="G995" i="1"/>
  <c r="G994" i="1"/>
  <c r="G993" i="1"/>
  <c r="G992" i="1"/>
  <c r="G991" i="1"/>
  <c r="G990" i="1"/>
  <c r="G989" i="1"/>
  <c r="G988" i="1"/>
  <c r="G987" i="1"/>
  <c r="G986" i="1"/>
  <c r="G985" i="1"/>
  <c r="G984" i="1"/>
  <c r="G983" i="1"/>
  <c r="G982" i="1"/>
  <c r="G981" i="1"/>
  <c r="G980" i="1"/>
  <c r="G979" i="1"/>
  <c r="G978" i="1"/>
  <c r="G977" i="1"/>
  <c r="G976" i="1"/>
  <c r="G975" i="1"/>
  <c r="G974" i="1"/>
  <c r="G973" i="1"/>
  <c r="G972" i="1"/>
  <c r="G971" i="1"/>
  <c r="G970" i="1"/>
  <c r="G969" i="1"/>
  <c r="G968" i="1"/>
  <c r="G967" i="1"/>
  <c r="G966" i="1"/>
  <c r="G965" i="1"/>
  <c r="G964" i="1"/>
  <c r="G963" i="1"/>
  <c r="G962" i="1"/>
  <c r="G961" i="1"/>
  <c r="G960" i="1"/>
  <c r="G959" i="1"/>
  <c r="G958" i="1"/>
  <c r="G957" i="1"/>
  <c r="G956" i="1"/>
  <c r="G955" i="1"/>
  <c r="G954" i="1"/>
  <c r="G953" i="1"/>
  <c r="G952" i="1"/>
  <c r="G951" i="1"/>
  <c r="G950" i="1"/>
  <c r="G949" i="1"/>
  <c r="G948" i="1"/>
  <c r="G947" i="1"/>
  <c r="G946" i="1"/>
  <c r="G945" i="1"/>
  <c r="G944" i="1"/>
  <c r="G943" i="1"/>
  <c r="G942" i="1"/>
  <c r="G941" i="1"/>
  <c r="G940" i="1"/>
  <c r="G939" i="1"/>
  <c r="G938" i="1"/>
  <c r="G937" i="1"/>
  <c r="G936" i="1"/>
  <c r="G935" i="1"/>
  <c r="G934" i="1"/>
  <c r="G933" i="1"/>
  <c r="G932" i="1"/>
  <c r="G931" i="1"/>
  <c r="G930" i="1"/>
  <c r="G929" i="1"/>
  <c r="G928" i="1"/>
  <c r="G927" i="1"/>
  <c r="G926" i="1"/>
  <c r="G925" i="1"/>
  <c r="G924" i="1"/>
  <c r="G923" i="1"/>
  <c r="G922" i="1"/>
  <c r="G921" i="1"/>
  <c r="G920" i="1"/>
  <c r="G919" i="1"/>
  <c r="G918" i="1"/>
  <c r="G917" i="1"/>
  <c r="G916" i="1"/>
  <c r="G915" i="1"/>
  <c r="G914" i="1"/>
  <c r="G913" i="1"/>
  <c r="G912" i="1"/>
  <c r="G911" i="1"/>
  <c r="G910" i="1"/>
  <c r="G909" i="1"/>
  <c r="G908" i="1"/>
  <c r="G907" i="1"/>
  <c r="G906" i="1"/>
  <c r="G905" i="1"/>
  <c r="G904" i="1"/>
  <c r="G903" i="1"/>
  <c r="G902" i="1"/>
  <c r="G901" i="1"/>
  <c r="G900" i="1"/>
  <c r="G899" i="1"/>
  <c r="G898" i="1"/>
  <c r="G897" i="1"/>
  <c r="G896" i="1"/>
  <c r="G895" i="1"/>
  <c r="G894" i="1"/>
  <c r="G893" i="1"/>
  <c r="G892" i="1"/>
  <c r="G891" i="1"/>
  <c r="G890" i="1"/>
  <c r="G889" i="1"/>
  <c r="G888" i="1"/>
  <c r="G887" i="1"/>
  <c r="G886" i="1"/>
  <c r="G885" i="1"/>
  <c r="G884" i="1"/>
  <c r="G883" i="1"/>
  <c r="G882" i="1"/>
  <c r="G881" i="1"/>
  <c r="G880" i="1"/>
  <c r="G879" i="1"/>
  <c r="G878" i="1"/>
  <c r="G877" i="1"/>
  <c r="G876" i="1"/>
  <c r="G875" i="1"/>
  <c r="G874" i="1"/>
  <c r="G873" i="1"/>
  <c r="G872" i="1"/>
  <c r="G871" i="1"/>
  <c r="G870" i="1"/>
  <c r="G869" i="1"/>
  <c r="G868" i="1"/>
  <c r="G867" i="1"/>
  <c r="G866" i="1"/>
  <c r="G865" i="1"/>
  <c r="G864" i="1"/>
  <c r="G863" i="1"/>
  <c r="G862" i="1"/>
  <c r="G861" i="1"/>
  <c r="G860" i="1"/>
  <c r="G859" i="1"/>
  <c r="G858" i="1"/>
  <c r="G857" i="1"/>
  <c r="G856" i="1"/>
  <c r="G855" i="1"/>
  <c r="G854" i="1"/>
  <c r="G853" i="1"/>
  <c r="G852" i="1"/>
  <c r="G851" i="1"/>
  <c r="G850" i="1"/>
  <c r="G849" i="1"/>
  <c r="G848" i="1"/>
  <c r="G847" i="1"/>
  <c r="G846" i="1"/>
  <c r="G845" i="1"/>
  <c r="G844" i="1"/>
  <c r="G843" i="1"/>
  <c r="G842" i="1"/>
  <c r="G841" i="1"/>
  <c r="G840" i="1"/>
  <c r="G839" i="1"/>
  <c r="G838" i="1"/>
  <c r="G837" i="1"/>
  <c r="G836" i="1"/>
  <c r="G835" i="1"/>
  <c r="G834" i="1"/>
  <c r="G833" i="1"/>
  <c r="G832" i="1"/>
  <c r="G831" i="1"/>
  <c r="G830" i="1"/>
  <c r="G829" i="1"/>
  <c r="G828" i="1"/>
  <c r="G827" i="1"/>
  <c r="G826" i="1"/>
  <c r="G825" i="1"/>
  <c r="G824" i="1"/>
  <c r="G823" i="1"/>
  <c r="G822" i="1"/>
  <c r="G821" i="1"/>
  <c r="G820" i="1"/>
  <c r="G819" i="1"/>
  <c r="G818" i="1"/>
  <c r="G817" i="1"/>
  <c r="G816" i="1"/>
  <c r="G815" i="1"/>
  <c r="G814" i="1"/>
  <c r="G813" i="1"/>
  <c r="G812" i="1"/>
  <c r="G811" i="1"/>
  <c r="G810" i="1"/>
  <c r="G809" i="1"/>
  <c r="G808" i="1"/>
  <c r="G807" i="1"/>
  <c r="G806" i="1"/>
  <c r="G805" i="1"/>
  <c r="G804" i="1"/>
  <c r="G803" i="1"/>
  <c r="G802" i="1"/>
  <c r="G801" i="1"/>
  <c r="G800" i="1"/>
  <c r="G799" i="1"/>
  <c r="G798" i="1"/>
  <c r="G797" i="1"/>
  <c r="G796" i="1"/>
  <c r="G795" i="1"/>
  <c r="G794" i="1"/>
  <c r="G793" i="1"/>
  <c r="G792" i="1"/>
  <c r="G791" i="1"/>
  <c r="G790" i="1"/>
  <c r="G789" i="1"/>
  <c r="G788" i="1"/>
  <c r="G787" i="1"/>
  <c r="G786" i="1"/>
  <c r="G785" i="1"/>
  <c r="G784" i="1"/>
  <c r="G783" i="1"/>
  <c r="G782" i="1"/>
  <c r="G781" i="1"/>
  <c r="G780" i="1"/>
  <c r="G779" i="1"/>
  <c r="G778" i="1"/>
  <c r="G777" i="1"/>
  <c r="G776" i="1"/>
  <c r="G775" i="1"/>
  <c r="G774" i="1"/>
  <c r="G773" i="1"/>
  <c r="G772" i="1"/>
  <c r="G771" i="1"/>
  <c r="G770" i="1"/>
  <c r="G769" i="1"/>
  <c r="G768" i="1"/>
  <c r="G767" i="1"/>
  <c r="G766" i="1"/>
  <c r="G765" i="1"/>
  <c r="G764" i="1"/>
  <c r="G763" i="1"/>
  <c r="G762" i="1"/>
  <c r="G761" i="1"/>
  <c r="G760" i="1"/>
  <c r="G759" i="1"/>
  <c r="G758" i="1"/>
  <c r="G757" i="1"/>
  <c r="G756" i="1"/>
  <c r="G755" i="1"/>
  <c r="G754" i="1"/>
  <c r="G753" i="1"/>
  <c r="G752" i="1"/>
  <c r="G751" i="1"/>
  <c r="G750" i="1"/>
  <c r="G749" i="1"/>
  <c r="G748" i="1"/>
  <c r="G747" i="1"/>
  <c r="G746" i="1"/>
  <c r="G745" i="1"/>
  <c r="G744" i="1"/>
  <c r="G743" i="1"/>
  <c r="G742" i="1"/>
  <c r="G741" i="1"/>
  <c r="G740" i="1"/>
  <c r="G739" i="1"/>
  <c r="G738" i="1"/>
  <c r="G737" i="1"/>
  <c r="G736" i="1"/>
  <c r="G735" i="1"/>
  <c r="G734" i="1"/>
  <c r="G733" i="1"/>
  <c r="G732" i="1"/>
  <c r="G731" i="1"/>
  <c r="G730" i="1"/>
  <c r="G729" i="1"/>
  <c r="G728" i="1"/>
  <c r="G727" i="1"/>
  <c r="G726" i="1"/>
  <c r="G725" i="1"/>
  <c r="G724" i="1"/>
  <c r="G723" i="1"/>
  <c r="G722" i="1"/>
  <c r="G721" i="1"/>
  <c r="G720" i="1"/>
  <c r="G719" i="1"/>
  <c r="G718" i="1"/>
  <c r="G717" i="1"/>
  <c r="G716" i="1"/>
  <c r="G715" i="1"/>
  <c r="G714" i="1"/>
  <c r="G713" i="1"/>
  <c r="G712" i="1"/>
  <c r="G711" i="1"/>
  <c r="G710" i="1"/>
  <c r="G709" i="1"/>
  <c r="G708" i="1"/>
  <c r="G707" i="1"/>
  <c r="G706" i="1"/>
  <c r="G705" i="1"/>
  <c r="G704" i="1"/>
  <c r="G703" i="1"/>
  <c r="G702" i="1"/>
  <c r="G701" i="1"/>
  <c r="G700" i="1"/>
  <c r="G699" i="1"/>
  <c r="G698" i="1"/>
  <c r="G697" i="1"/>
  <c r="G696" i="1"/>
  <c r="G695" i="1"/>
  <c r="G694" i="1"/>
  <c r="G693" i="1"/>
  <c r="G692" i="1"/>
  <c r="G691" i="1"/>
  <c r="G690" i="1"/>
  <c r="G689" i="1"/>
  <c r="G688" i="1"/>
  <c r="G687" i="1"/>
  <c r="G686" i="1"/>
  <c r="G685" i="1"/>
  <c r="G684" i="1"/>
  <c r="G683" i="1"/>
  <c r="G682" i="1"/>
  <c r="G681" i="1"/>
  <c r="G680" i="1"/>
  <c r="G679" i="1"/>
  <c r="G678" i="1"/>
  <c r="G677" i="1"/>
  <c r="G676" i="1"/>
  <c r="G675" i="1"/>
  <c r="G674" i="1"/>
  <c r="G673" i="1"/>
  <c r="G672" i="1"/>
  <c r="G671" i="1"/>
  <c r="G670" i="1"/>
  <c r="G669" i="1"/>
  <c r="G668" i="1"/>
  <c r="G667" i="1"/>
  <c r="G666" i="1"/>
  <c r="G665" i="1"/>
  <c r="G664" i="1"/>
  <c r="G663" i="1"/>
  <c r="G662" i="1"/>
  <c r="G661" i="1"/>
  <c r="G660" i="1"/>
  <c r="G659" i="1"/>
  <c r="G658" i="1"/>
  <c r="G657" i="1"/>
  <c r="G656" i="1"/>
  <c r="G655" i="1"/>
  <c r="G654" i="1"/>
  <c r="G653" i="1"/>
  <c r="G652" i="1"/>
  <c r="G651" i="1"/>
  <c r="G650" i="1"/>
  <c r="G649" i="1"/>
  <c r="G648" i="1"/>
  <c r="G647" i="1"/>
  <c r="G646" i="1"/>
  <c r="G645" i="1"/>
  <c r="G644" i="1"/>
  <c r="G643" i="1"/>
  <c r="G642" i="1"/>
  <c r="G641" i="1"/>
  <c r="G640" i="1"/>
  <c r="G639" i="1"/>
  <c r="G638" i="1"/>
  <c r="G637" i="1"/>
  <c r="G636" i="1"/>
  <c r="G635" i="1"/>
  <c r="G634" i="1"/>
  <c r="G633" i="1"/>
  <c r="G632" i="1"/>
  <c r="G631" i="1"/>
  <c r="G630" i="1"/>
  <c r="G629" i="1"/>
  <c r="G628" i="1"/>
  <c r="G627" i="1"/>
  <c r="G626" i="1"/>
  <c r="G625" i="1"/>
  <c r="G624" i="1"/>
  <c r="G623" i="1"/>
  <c r="G622" i="1"/>
  <c r="G621" i="1"/>
  <c r="G620" i="1"/>
  <c r="G619" i="1"/>
  <c r="G618" i="1"/>
  <c r="G617" i="1"/>
  <c r="G616" i="1"/>
  <c r="G615" i="1"/>
  <c r="G614" i="1"/>
  <c r="G613" i="1"/>
  <c r="G612" i="1"/>
  <c r="G611" i="1"/>
  <c r="G610" i="1"/>
  <c r="G609" i="1"/>
  <c r="G608" i="1"/>
  <c r="G607" i="1"/>
  <c r="G606" i="1"/>
  <c r="G605" i="1"/>
  <c r="G604" i="1"/>
  <c r="G603" i="1"/>
  <c r="G602" i="1"/>
  <c r="G601" i="1"/>
  <c r="G600" i="1"/>
  <c r="G599" i="1"/>
  <c r="G598" i="1"/>
  <c r="G597" i="1"/>
  <c r="G596" i="1"/>
  <c r="G595" i="1"/>
  <c r="G594" i="1"/>
  <c r="G593" i="1"/>
  <c r="G592" i="1"/>
  <c r="G591" i="1"/>
  <c r="G590" i="1"/>
  <c r="G589" i="1"/>
  <c r="G588" i="1"/>
  <c r="G587" i="1"/>
  <c r="G586" i="1"/>
  <c r="G585" i="1"/>
  <c r="G584" i="1"/>
  <c r="G583" i="1"/>
  <c r="G582" i="1"/>
  <c r="G581" i="1"/>
  <c r="G580" i="1"/>
  <c r="G579" i="1"/>
  <c r="G578" i="1"/>
  <c r="G577" i="1"/>
  <c r="G576" i="1"/>
  <c r="G575" i="1"/>
  <c r="G574" i="1"/>
  <c r="G573" i="1"/>
  <c r="G572" i="1"/>
  <c r="G571" i="1"/>
  <c r="G570" i="1"/>
  <c r="G569" i="1"/>
  <c r="G568" i="1"/>
  <c r="G567" i="1"/>
  <c r="G566" i="1"/>
  <c r="G565" i="1"/>
  <c r="G564" i="1"/>
  <c r="G563" i="1"/>
  <c r="G562" i="1"/>
  <c r="G561" i="1"/>
  <c r="G560" i="1"/>
  <c r="G559" i="1"/>
  <c r="G558" i="1"/>
  <c r="G557" i="1"/>
  <c r="G556" i="1"/>
  <c r="G555" i="1"/>
  <c r="G554" i="1"/>
  <c r="G553" i="1"/>
  <c r="G552" i="1"/>
  <c r="G551" i="1"/>
  <c r="G550" i="1"/>
  <c r="G549" i="1"/>
  <c r="G548" i="1"/>
  <c r="G547" i="1"/>
  <c r="G546" i="1"/>
  <c r="G545" i="1"/>
  <c r="G544" i="1"/>
  <c r="G543" i="1"/>
  <c r="G542" i="1"/>
  <c r="G541" i="1"/>
  <c r="G540" i="1"/>
  <c r="G539" i="1"/>
  <c r="G538" i="1"/>
  <c r="G537" i="1"/>
  <c r="G536" i="1"/>
  <c r="G535" i="1"/>
  <c r="G534" i="1"/>
  <c r="G533" i="1"/>
  <c r="G532" i="1"/>
  <c r="G531" i="1"/>
  <c r="G530" i="1"/>
  <c r="G529" i="1"/>
  <c r="G528" i="1"/>
  <c r="G527" i="1"/>
  <c r="G526" i="1"/>
  <c r="G525" i="1"/>
  <c r="G524" i="1"/>
  <c r="G523" i="1"/>
  <c r="G522" i="1"/>
  <c r="G521" i="1"/>
  <c r="G520" i="1"/>
  <c r="G519" i="1"/>
  <c r="G518" i="1"/>
  <c r="G517" i="1"/>
  <c r="G516" i="1"/>
  <c r="G515" i="1"/>
  <c r="G514" i="1"/>
  <c r="G513" i="1"/>
  <c r="G512" i="1"/>
  <c r="G511" i="1"/>
  <c r="G510" i="1"/>
  <c r="G509" i="1"/>
  <c r="G508" i="1"/>
  <c r="G507" i="1"/>
  <c r="G506" i="1"/>
  <c r="G505" i="1"/>
  <c r="G504" i="1"/>
  <c r="G503" i="1"/>
  <c r="G502" i="1"/>
  <c r="G501" i="1"/>
  <c r="G500" i="1"/>
  <c r="G499" i="1"/>
  <c r="G498" i="1"/>
  <c r="G497" i="1"/>
  <c r="G496" i="1"/>
  <c r="G495" i="1"/>
  <c r="G494" i="1"/>
  <c r="G493" i="1"/>
  <c r="G492" i="1"/>
  <c r="G491" i="1"/>
  <c r="G490" i="1"/>
  <c r="G489" i="1"/>
  <c r="G488" i="1"/>
  <c r="G487" i="1"/>
  <c r="G486" i="1"/>
  <c r="G485" i="1"/>
  <c r="G484" i="1"/>
  <c r="G483" i="1"/>
  <c r="G482" i="1"/>
  <c r="G481" i="1"/>
  <c r="G480" i="1"/>
  <c r="G479" i="1"/>
  <c r="G478" i="1"/>
  <c r="G477" i="1"/>
  <c r="G476" i="1"/>
  <c r="G475" i="1"/>
  <c r="G474" i="1"/>
  <c r="G473" i="1"/>
  <c r="G472" i="1"/>
  <c r="G471" i="1"/>
  <c r="H472" i="1" s="1"/>
  <c r="G470" i="1"/>
  <c r="G469" i="1"/>
  <c r="G468" i="1"/>
  <c r="G467" i="1"/>
  <c r="G466" i="1"/>
  <c r="G465" i="1"/>
  <c r="G464" i="1"/>
  <c r="G463" i="1"/>
  <c r="G462" i="1"/>
  <c r="G461" i="1"/>
  <c r="G460" i="1"/>
  <c r="G459" i="1"/>
  <c r="G458" i="1"/>
  <c r="G457" i="1"/>
  <c r="G456" i="1"/>
  <c r="G455" i="1"/>
  <c r="G454" i="1"/>
  <c r="G453" i="1"/>
  <c r="G452" i="1"/>
  <c r="G451" i="1"/>
  <c r="G450" i="1"/>
  <c r="G449" i="1"/>
  <c r="G448" i="1"/>
  <c r="G447" i="1"/>
  <c r="G446" i="1"/>
  <c r="G445" i="1"/>
  <c r="G444" i="1"/>
  <c r="G443" i="1"/>
  <c r="G442" i="1"/>
  <c r="G441" i="1"/>
  <c r="G440" i="1"/>
  <c r="G439" i="1"/>
  <c r="G438" i="1"/>
  <c r="G437" i="1"/>
  <c r="G436" i="1"/>
  <c r="G435" i="1"/>
  <c r="G434" i="1"/>
  <c r="G433" i="1"/>
  <c r="G432" i="1"/>
  <c r="G431" i="1"/>
  <c r="G430" i="1"/>
  <c r="G429" i="1"/>
  <c r="G428" i="1"/>
  <c r="G427" i="1"/>
  <c r="G426" i="1"/>
  <c r="G425" i="1"/>
  <c r="G424" i="1"/>
  <c r="G423" i="1"/>
  <c r="G422" i="1"/>
  <c r="G421" i="1"/>
  <c r="G420" i="1"/>
  <c r="G419" i="1"/>
  <c r="G418" i="1"/>
  <c r="G417" i="1"/>
  <c r="G416" i="1"/>
  <c r="G415" i="1"/>
  <c r="G414" i="1"/>
  <c r="G413" i="1"/>
  <c r="G412" i="1"/>
  <c r="G411" i="1"/>
  <c r="G410" i="1"/>
  <c r="G409" i="1"/>
  <c r="G408" i="1"/>
  <c r="G407" i="1"/>
  <c r="G406" i="1"/>
  <c r="G405" i="1"/>
  <c r="G404" i="1"/>
  <c r="G403" i="1"/>
  <c r="G402" i="1"/>
  <c r="G401" i="1"/>
  <c r="G400" i="1"/>
  <c r="G399" i="1"/>
  <c r="G398" i="1"/>
  <c r="G397" i="1"/>
  <c r="G396" i="1"/>
  <c r="G395" i="1"/>
  <c r="G394" i="1"/>
  <c r="G393" i="1"/>
  <c r="G392" i="1"/>
  <c r="G391" i="1"/>
  <c r="G390" i="1"/>
  <c r="G389" i="1"/>
  <c r="G388" i="1"/>
  <c r="G387" i="1"/>
  <c r="G386" i="1"/>
  <c r="G385" i="1"/>
  <c r="G384" i="1"/>
  <c r="G383" i="1"/>
  <c r="G382" i="1"/>
  <c r="G381" i="1"/>
  <c r="G380" i="1"/>
  <c r="G379" i="1"/>
  <c r="G378" i="1"/>
  <c r="G377" i="1"/>
  <c r="G376" i="1"/>
  <c r="G375" i="1"/>
  <c r="G374" i="1"/>
  <c r="G373" i="1"/>
  <c r="G372" i="1"/>
  <c r="G371" i="1"/>
  <c r="G370" i="1"/>
  <c r="G369" i="1"/>
  <c r="G368" i="1"/>
  <c r="G367" i="1"/>
  <c r="G366" i="1"/>
  <c r="G365" i="1"/>
  <c r="G364" i="1"/>
  <c r="G363" i="1"/>
  <c r="G362" i="1"/>
  <c r="G361" i="1"/>
  <c r="G360" i="1"/>
  <c r="G359" i="1"/>
  <c r="G358" i="1"/>
  <c r="G357" i="1"/>
  <c r="G356" i="1"/>
  <c r="G355" i="1"/>
  <c r="G354" i="1"/>
  <c r="G353" i="1"/>
  <c r="G352" i="1"/>
  <c r="G351" i="1"/>
  <c r="G350" i="1"/>
  <c r="G349" i="1"/>
  <c r="G348" i="1"/>
  <c r="G347" i="1"/>
  <c r="G346" i="1"/>
  <c r="G345" i="1"/>
  <c r="G344" i="1"/>
  <c r="G343" i="1"/>
  <c r="G342" i="1"/>
  <c r="G341" i="1"/>
  <c r="G340" i="1"/>
  <c r="G339" i="1"/>
  <c r="G338" i="1"/>
  <c r="G337" i="1"/>
  <c r="G336" i="1"/>
  <c r="G335" i="1"/>
  <c r="G334" i="1"/>
  <c r="G333" i="1"/>
  <c r="G332" i="1"/>
  <c r="G331" i="1"/>
  <c r="G330" i="1"/>
  <c r="G329" i="1"/>
  <c r="G328" i="1"/>
  <c r="G327" i="1"/>
  <c r="G326" i="1"/>
  <c r="G325" i="1"/>
  <c r="G324" i="1"/>
  <c r="G323" i="1"/>
  <c r="G322" i="1"/>
  <c r="G321" i="1"/>
  <c r="G320" i="1"/>
  <c r="G319" i="1"/>
  <c r="G318" i="1"/>
  <c r="G317" i="1"/>
  <c r="G316" i="1"/>
  <c r="G315" i="1"/>
  <c r="G314" i="1"/>
  <c r="G313" i="1"/>
  <c r="G312" i="1"/>
  <c r="G311" i="1"/>
  <c r="G310" i="1"/>
  <c r="G309" i="1"/>
  <c r="G308" i="1"/>
  <c r="G307" i="1"/>
  <c r="G306" i="1"/>
  <c r="G305" i="1"/>
  <c r="G304" i="1"/>
  <c r="G303" i="1"/>
  <c r="G302" i="1"/>
  <c r="G301" i="1"/>
  <c r="G300" i="1"/>
  <c r="G299" i="1"/>
  <c r="G298" i="1"/>
  <c r="G297" i="1"/>
  <c r="G296" i="1"/>
  <c r="G295" i="1"/>
  <c r="G294" i="1"/>
  <c r="G293" i="1"/>
  <c r="G292" i="1"/>
  <c r="G291" i="1"/>
  <c r="G290" i="1"/>
  <c r="G289" i="1"/>
  <c r="G288" i="1"/>
  <c r="G287" i="1"/>
  <c r="G286" i="1"/>
  <c r="G285" i="1"/>
  <c r="G284" i="1"/>
  <c r="G283" i="1"/>
  <c r="G282" i="1"/>
  <c r="G281" i="1"/>
  <c r="G280" i="1"/>
  <c r="G279" i="1"/>
  <c r="G278" i="1"/>
  <c r="G277" i="1"/>
  <c r="G276" i="1"/>
  <c r="G275" i="1"/>
  <c r="G274" i="1"/>
  <c r="G273" i="1"/>
  <c r="G272" i="1"/>
  <c r="G271" i="1"/>
  <c r="G270" i="1"/>
  <c r="G269" i="1"/>
  <c r="G268" i="1"/>
  <c r="G267" i="1"/>
  <c r="G266" i="1"/>
  <c r="G265" i="1"/>
  <c r="G264" i="1"/>
  <c r="G263" i="1"/>
  <c r="G262" i="1"/>
  <c r="G261" i="1"/>
  <c r="G260" i="1"/>
  <c r="G259" i="1"/>
  <c r="G258" i="1"/>
  <c r="G257" i="1"/>
  <c r="G256" i="1"/>
  <c r="G255" i="1"/>
  <c r="G254" i="1"/>
  <c r="G253" i="1"/>
  <c r="G252" i="1"/>
  <c r="G251" i="1"/>
  <c r="G250" i="1"/>
  <c r="G249" i="1"/>
  <c r="G248" i="1"/>
  <c r="G247" i="1"/>
  <c r="G246" i="1"/>
  <c r="G245" i="1"/>
  <c r="G244" i="1"/>
  <c r="G243" i="1"/>
  <c r="G242" i="1"/>
  <c r="G241" i="1"/>
  <c r="G240" i="1"/>
  <c r="G239" i="1"/>
  <c r="G238" i="1"/>
  <c r="G237" i="1"/>
  <c r="G236" i="1"/>
  <c r="G235" i="1"/>
  <c r="G234" i="1"/>
  <c r="G233" i="1"/>
  <c r="G232" i="1"/>
  <c r="G231" i="1"/>
  <c r="G230" i="1"/>
  <c r="G229" i="1"/>
  <c r="G228" i="1"/>
  <c r="G227" i="1"/>
  <c r="G226" i="1"/>
  <c r="G225" i="1"/>
  <c r="G224" i="1"/>
  <c r="G223" i="1"/>
  <c r="G222" i="1"/>
  <c r="G221" i="1"/>
  <c r="G220" i="1"/>
  <c r="G219" i="1"/>
  <c r="G218" i="1"/>
  <c r="G217" i="1"/>
  <c r="G216" i="1"/>
  <c r="G215" i="1"/>
  <c r="G214" i="1"/>
  <c r="G213" i="1"/>
  <c r="G212" i="1"/>
  <c r="G211" i="1"/>
  <c r="G210" i="1"/>
  <c r="G209" i="1"/>
  <c r="G208" i="1"/>
  <c r="G207" i="1"/>
  <c r="G206" i="1"/>
  <c r="G205" i="1"/>
  <c r="G204" i="1"/>
  <c r="G203" i="1"/>
  <c r="G202" i="1"/>
  <c r="G201" i="1"/>
  <c r="G200" i="1"/>
  <c r="G199" i="1"/>
  <c r="G198" i="1"/>
  <c r="G197" i="1"/>
  <c r="G196" i="1"/>
  <c r="G195" i="1"/>
  <c r="G194" i="1"/>
  <c r="G193" i="1"/>
  <c r="G192" i="1"/>
  <c r="G191" i="1"/>
  <c r="G190" i="1"/>
  <c r="G189" i="1"/>
  <c r="G188" i="1"/>
  <c r="G187" i="1"/>
  <c r="G186" i="1"/>
  <c r="G185" i="1"/>
  <c r="G184" i="1"/>
  <c r="G183" i="1"/>
  <c r="G182" i="1"/>
  <c r="G181" i="1"/>
  <c r="G180" i="1"/>
  <c r="G179" i="1"/>
  <c r="G178" i="1"/>
  <c r="G177" i="1"/>
  <c r="G176" i="1"/>
  <c r="G175" i="1"/>
  <c r="G174" i="1"/>
  <c r="G173" i="1"/>
  <c r="G172" i="1"/>
  <c r="G171" i="1"/>
  <c r="G170" i="1"/>
  <c r="G169" i="1"/>
  <c r="G168" i="1"/>
  <c r="G167" i="1"/>
  <c r="H168" i="1" s="1"/>
  <c r="G166" i="1"/>
  <c r="G165" i="1"/>
  <c r="G164" i="1"/>
  <c r="G163" i="1"/>
  <c r="G162" i="1"/>
  <c r="G161" i="1"/>
  <c r="G160" i="1"/>
  <c r="G159" i="1"/>
  <c r="G158" i="1"/>
  <c r="G157" i="1"/>
  <c r="G156" i="1"/>
  <c r="G155" i="1"/>
  <c r="G154" i="1"/>
  <c r="G153" i="1"/>
  <c r="G152" i="1"/>
  <c r="G151" i="1"/>
  <c r="G150" i="1"/>
  <c r="G149" i="1"/>
  <c r="G148" i="1"/>
  <c r="G147" i="1"/>
  <c r="G146" i="1"/>
  <c r="G145" i="1"/>
  <c r="G144" i="1"/>
  <c r="G143" i="1"/>
  <c r="G142" i="1"/>
  <c r="G141" i="1"/>
  <c r="G140" i="1"/>
  <c r="G139" i="1"/>
  <c r="G138" i="1"/>
  <c r="G137" i="1"/>
  <c r="G136" i="1"/>
  <c r="G135" i="1"/>
  <c r="G134" i="1"/>
  <c r="G133" i="1"/>
  <c r="G132" i="1"/>
  <c r="G131" i="1"/>
  <c r="G130" i="1"/>
  <c r="G129" i="1"/>
  <c r="G128" i="1"/>
  <c r="G127" i="1"/>
  <c r="G126" i="1"/>
  <c r="G125" i="1"/>
  <c r="G124" i="1"/>
  <c r="G123" i="1"/>
  <c r="G122" i="1"/>
  <c r="G121" i="1"/>
  <c r="G120" i="1"/>
  <c r="G119" i="1"/>
  <c r="G118" i="1"/>
  <c r="G117" i="1"/>
  <c r="G116" i="1"/>
  <c r="G115" i="1"/>
  <c r="G114" i="1"/>
  <c r="G113" i="1"/>
  <c r="G112" i="1"/>
  <c r="G111" i="1"/>
  <c r="G110" i="1"/>
  <c r="G109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C1112" i="1"/>
  <c r="C1110" i="1"/>
  <c r="C1111" i="1"/>
  <c r="C1101" i="1"/>
  <c r="C1102" i="1"/>
  <c r="C1103" i="1"/>
  <c r="C1104" i="1"/>
  <c r="C1105" i="1"/>
  <c r="C1106" i="1"/>
  <c r="C1107" i="1"/>
  <c r="C1108" i="1"/>
  <c r="C1109" i="1"/>
  <c r="C1091" i="1"/>
  <c r="C1092" i="1"/>
  <c r="C1093" i="1"/>
  <c r="C1094" i="1"/>
  <c r="C1095" i="1"/>
  <c r="C1096" i="1"/>
  <c r="C1097" i="1"/>
  <c r="C1098" i="1"/>
  <c r="C1099" i="1"/>
  <c r="C1100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D1082" i="1" s="1"/>
  <c r="C1082" i="1"/>
  <c r="C1083" i="1"/>
  <c r="C1084" i="1"/>
  <c r="C1085" i="1"/>
  <c r="C1086" i="1"/>
  <c r="C1087" i="1"/>
  <c r="C1088" i="1"/>
  <c r="C1089" i="1"/>
  <c r="C1090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D1052" i="1" s="1"/>
  <c r="C1052" i="1"/>
  <c r="C1053" i="1"/>
  <c r="C1054" i="1"/>
  <c r="C1055" i="1"/>
  <c r="C1056" i="1"/>
  <c r="C980" i="1"/>
  <c r="C981" i="1"/>
  <c r="C982" i="1"/>
  <c r="C983" i="1"/>
  <c r="C984" i="1"/>
  <c r="C985" i="1"/>
  <c r="C986" i="1"/>
  <c r="C987" i="1"/>
  <c r="C988" i="1"/>
  <c r="C989" i="1"/>
  <c r="C990" i="1"/>
  <c r="D991" i="1" s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D1021" i="1" s="1"/>
  <c r="C1021" i="1"/>
  <c r="C861" i="1"/>
  <c r="C862" i="1"/>
  <c r="C863" i="1"/>
  <c r="C864" i="1"/>
  <c r="C865" i="1"/>
  <c r="C866" i="1"/>
  <c r="C867" i="1"/>
  <c r="D868" i="1" s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D899" i="1" s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D929" i="1" s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D686" i="1" s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D716" i="1" s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D778" i="1" s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D807" i="1" s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D838" i="1" s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660" i="1"/>
  <c r="C661" i="1"/>
  <c r="C662" i="1"/>
  <c r="C663" i="1"/>
  <c r="C664" i="1"/>
  <c r="C665" i="1"/>
  <c r="C666" i="1"/>
  <c r="C667" i="1"/>
  <c r="C668" i="1"/>
  <c r="C669" i="1"/>
  <c r="C670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D413" i="1" s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D441" i="1" s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D472" i="1" s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D502" i="1" s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D533" i="1" s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D563" i="1" s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D655" i="1" s="1"/>
  <c r="C655" i="1"/>
  <c r="C656" i="1"/>
  <c r="C657" i="1"/>
  <c r="C658" i="1"/>
  <c r="C659" i="1"/>
  <c r="C384" i="1"/>
  <c r="C385" i="1"/>
  <c r="C386" i="1"/>
  <c r="C387" i="1"/>
  <c r="C388" i="1"/>
  <c r="C389" i="1"/>
  <c r="C382" i="1"/>
  <c r="C383" i="1"/>
  <c r="C7" i="4"/>
  <c r="D7" i="4" s="1"/>
  <c r="C8" i="4"/>
  <c r="D8" i="4" s="1"/>
  <c r="C9" i="4"/>
  <c r="D9" i="4"/>
  <c r="C10" i="4"/>
  <c r="D10" i="4" s="1"/>
  <c r="C11" i="4"/>
  <c r="D11" i="4" s="1"/>
  <c r="C12" i="4"/>
  <c r="D12" i="4" s="1"/>
  <c r="C13" i="4"/>
  <c r="D13" i="4"/>
  <c r="C14" i="4"/>
  <c r="D14" i="4" s="1"/>
  <c r="C15" i="4"/>
  <c r="D15" i="4" s="1"/>
  <c r="C16" i="4"/>
  <c r="D16" i="4" s="1"/>
  <c r="C17" i="4"/>
  <c r="D17" i="4"/>
  <c r="C18" i="4"/>
  <c r="D18" i="4" s="1"/>
  <c r="C19" i="4"/>
  <c r="D19" i="4" s="1"/>
  <c r="C20" i="4"/>
  <c r="D20" i="4" s="1"/>
  <c r="C21" i="4"/>
  <c r="D21" i="4"/>
  <c r="C22" i="4"/>
  <c r="D22" i="4" s="1"/>
  <c r="C23" i="4"/>
  <c r="D23" i="4" s="1"/>
  <c r="C24" i="4"/>
  <c r="D24" i="4" s="1"/>
  <c r="C25" i="4"/>
  <c r="D25" i="4"/>
  <c r="C26" i="4"/>
  <c r="D26" i="4" s="1"/>
  <c r="C27" i="4"/>
  <c r="D27" i="4" s="1"/>
  <c r="C28" i="4"/>
  <c r="D28" i="4" s="1"/>
  <c r="C29" i="4"/>
  <c r="D29" i="4"/>
  <c r="C30" i="4"/>
  <c r="D30" i="4" s="1"/>
  <c r="C31" i="4"/>
  <c r="D31" i="4" s="1"/>
  <c r="C32" i="4"/>
  <c r="D32" i="4" s="1"/>
  <c r="C33" i="4"/>
  <c r="D33" i="4"/>
  <c r="C34" i="4"/>
  <c r="D34" i="4" s="1"/>
  <c r="C35" i="4"/>
  <c r="D35" i="4" s="1"/>
  <c r="C36" i="4"/>
  <c r="D36" i="4" s="1"/>
  <c r="C37" i="4"/>
  <c r="D37" i="4"/>
  <c r="C38" i="4"/>
  <c r="D38" i="4" s="1"/>
  <c r="C39" i="4"/>
  <c r="D39" i="4" s="1"/>
  <c r="C40" i="4"/>
  <c r="D40" i="4" s="1"/>
  <c r="C41" i="4"/>
  <c r="D41" i="4"/>
  <c r="C42" i="4"/>
  <c r="D42" i="4" s="1"/>
  <c r="C43" i="4"/>
  <c r="D43" i="4" s="1"/>
  <c r="C44" i="4"/>
  <c r="D44" i="4" s="1"/>
  <c r="C45" i="4"/>
  <c r="D45" i="4"/>
  <c r="C46" i="4"/>
  <c r="D46" i="4" s="1"/>
  <c r="C47" i="4"/>
  <c r="D47" i="4" s="1"/>
  <c r="C48" i="4"/>
  <c r="D48" i="4" s="1"/>
  <c r="C49" i="4"/>
  <c r="D49" i="4"/>
  <c r="C50" i="4"/>
  <c r="D50" i="4" s="1"/>
  <c r="C51" i="4"/>
  <c r="D51" i="4" s="1"/>
  <c r="C52" i="4"/>
  <c r="D52" i="4" s="1"/>
  <c r="C53" i="4"/>
  <c r="D53" i="4"/>
  <c r="C54" i="4"/>
  <c r="D54" i="4" s="1"/>
  <c r="C55" i="4"/>
  <c r="D55" i="4" s="1"/>
  <c r="C56" i="4"/>
  <c r="D56" i="4" s="1"/>
  <c r="C57" i="4"/>
  <c r="D57" i="4"/>
  <c r="C58" i="4"/>
  <c r="D58" i="4" s="1"/>
  <c r="C59" i="4"/>
  <c r="D59" i="4" s="1"/>
  <c r="C60" i="4"/>
  <c r="D60" i="4" s="1"/>
  <c r="C61" i="4"/>
  <c r="D61" i="4"/>
  <c r="C62" i="4"/>
  <c r="D62" i="4" s="1"/>
  <c r="C63" i="4"/>
  <c r="D63" i="4" s="1"/>
  <c r="C64" i="4"/>
  <c r="D64" i="4" s="1"/>
  <c r="C65" i="4"/>
  <c r="D65" i="4"/>
  <c r="C66" i="4"/>
  <c r="D66" i="4" s="1"/>
  <c r="C67" i="4"/>
  <c r="D67" i="4" s="1"/>
  <c r="C68" i="4"/>
  <c r="D68" i="4" s="1"/>
  <c r="C69" i="4"/>
  <c r="D69" i="4"/>
  <c r="C70" i="4"/>
  <c r="D70" i="4" s="1"/>
  <c r="C71" i="4"/>
  <c r="D71" i="4" s="1"/>
  <c r="C72" i="4"/>
  <c r="D72" i="4" s="1"/>
  <c r="C73" i="4"/>
  <c r="D73" i="4"/>
  <c r="C74" i="4"/>
  <c r="D74" i="4" s="1"/>
  <c r="C75" i="4"/>
  <c r="D75" i="4" s="1"/>
  <c r="C76" i="4"/>
  <c r="D76" i="4" s="1"/>
  <c r="C77" i="4"/>
  <c r="D77" i="4"/>
  <c r="C78" i="4"/>
  <c r="D78" i="4" s="1"/>
  <c r="C79" i="4"/>
  <c r="D79" i="4" s="1"/>
  <c r="C80" i="4"/>
  <c r="D80" i="4" s="1"/>
  <c r="C81" i="4"/>
  <c r="D81" i="4"/>
  <c r="C82" i="4"/>
  <c r="D82" i="4" s="1"/>
  <c r="C83" i="4"/>
  <c r="D83" i="4" s="1"/>
  <c r="C84" i="4"/>
  <c r="D84" i="4" s="1"/>
  <c r="C85" i="4"/>
  <c r="D85" i="4"/>
  <c r="C86" i="4"/>
  <c r="D86" i="4" s="1"/>
  <c r="C87" i="4"/>
  <c r="D87" i="4" s="1"/>
  <c r="C88" i="4"/>
  <c r="D88" i="4" s="1"/>
  <c r="C89" i="4"/>
  <c r="D89" i="4"/>
  <c r="C90" i="4"/>
  <c r="D90" i="4" s="1"/>
  <c r="C91" i="4"/>
  <c r="D91" i="4"/>
  <c r="C92" i="4"/>
  <c r="D92" i="4" s="1"/>
  <c r="C93" i="4"/>
  <c r="D93" i="4"/>
  <c r="C94" i="4"/>
  <c r="D94" i="4" s="1"/>
  <c r="C95" i="4"/>
  <c r="D95" i="4"/>
  <c r="C96" i="4"/>
  <c r="D96" i="4" s="1"/>
  <c r="C97" i="4"/>
  <c r="D97" i="4"/>
  <c r="C98" i="4"/>
  <c r="D98" i="4" s="1"/>
  <c r="C99" i="4"/>
  <c r="D99" i="4"/>
  <c r="C100" i="4"/>
  <c r="D100" i="4" s="1"/>
  <c r="C101" i="4"/>
  <c r="D101" i="4"/>
  <c r="C102" i="4"/>
  <c r="D102" i="4" s="1"/>
  <c r="C103" i="4"/>
  <c r="D103" i="4"/>
  <c r="C104" i="4"/>
  <c r="D104" i="4" s="1"/>
  <c r="D6" i="4"/>
  <c r="C6" i="4"/>
  <c r="B7" i="1"/>
  <c r="E14" i="3"/>
  <c r="E13" i="3"/>
  <c r="D14" i="3"/>
  <c r="D15" i="3"/>
  <c r="D16" i="3"/>
  <c r="D17" i="3"/>
  <c r="D18" i="3"/>
  <c r="D19" i="3"/>
  <c r="D20" i="3"/>
  <c r="D21" i="3"/>
  <c r="D22" i="3"/>
  <c r="D13" i="3"/>
  <c r="C14" i="3"/>
  <c r="C15" i="3"/>
  <c r="C16" i="3"/>
  <c r="C17" i="3"/>
  <c r="C18" i="3"/>
  <c r="C19" i="3"/>
  <c r="C20" i="3"/>
  <c r="C21" i="3"/>
  <c r="C22" i="3"/>
  <c r="C13" i="3"/>
  <c r="E12" i="3"/>
  <c r="E11" i="3"/>
  <c r="E10" i="3"/>
  <c r="E9" i="3"/>
  <c r="E8" i="3"/>
  <c r="E6" i="3"/>
  <c r="E7" i="3"/>
  <c r="E5" i="3"/>
  <c r="C10" i="3"/>
  <c r="C7" i="3"/>
  <c r="C6" i="3"/>
  <c r="C12" i="3"/>
  <c r="C11" i="3"/>
  <c r="C5" i="3"/>
  <c r="C9" i="3"/>
  <c r="C8" i="3"/>
  <c r="C381" i="1"/>
  <c r="C380" i="1"/>
  <c r="C379" i="1"/>
  <c r="C378" i="1"/>
  <c r="C377" i="1"/>
  <c r="C376" i="1"/>
  <c r="C375" i="1"/>
  <c r="C374" i="1"/>
  <c r="C373" i="1"/>
  <c r="C372" i="1"/>
  <c r="C371" i="1"/>
  <c r="C370" i="1"/>
  <c r="C369" i="1"/>
  <c r="C368" i="1"/>
  <c r="C367" i="1"/>
  <c r="C366" i="1"/>
  <c r="C365" i="1"/>
  <c r="C364" i="1"/>
  <c r="C363" i="1"/>
  <c r="C362" i="1"/>
  <c r="C361" i="1"/>
  <c r="C360" i="1"/>
  <c r="C359" i="1"/>
  <c r="C358" i="1"/>
  <c r="C357" i="1"/>
  <c r="C356" i="1"/>
  <c r="C355" i="1"/>
  <c r="C354" i="1"/>
  <c r="C353" i="1"/>
  <c r="C352" i="1"/>
  <c r="C351" i="1"/>
  <c r="C350" i="1"/>
  <c r="D351" i="1" s="1"/>
  <c r="C349" i="1"/>
  <c r="C348" i="1"/>
  <c r="C347" i="1"/>
  <c r="C346" i="1"/>
  <c r="C345" i="1"/>
  <c r="C344" i="1"/>
  <c r="C343" i="1"/>
  <c r="C342" i="1"/>
  <c r="C341" i="1"/>
  <c r="C340" i="1"/>
  <c r="C339" i="1"/>
  <c r="C338" i="1"/>
  <c r="C337" i="1"/>
  <c r="C336" i="1"/>
  <c r="C335" i="1"/>
  <c r="C334" i="1"/>
  <c r="C333" i="1"/>
  <c r="C332" i="1"/>
  <c r="C331" i="1"/>
  <c r="C330" i="1"/>
  <c r="C329" i="1"/>
  <c r="C328" i="1"/>
  <c r="C327" i="1"/>
  <c r="C326" i="1"/>
  <c r="C325" i="1"/>
  <c r="C324" i="1"/>
  <c r="C323" i="1"/>
  <c r="C322" i="1"/>
  <c r="C321" i="1"/>
  <c r="C320" i="1"/>
  <c r="D321" i="1" s="1"/>
  <c r="C319" i="1"/>
  <c r="C318" i="1"/>
  <c r="C317" i="1"/>
  <c r="C316" i="1"/>
  <c r="C315" i="1"/>
  <c r="C314" i="1"/>
  <c r="C313" i="1"/>
  <c r="C312" i="1"/>
  <c r="C311" i="1"/>
  <c r="C310" i="1"/>
  <c r="C309" i="1"/>
  <c r="C308" i="1"/>
  <c r="C307" i="1"/>
  <c r="C306" i="1"/>
  <c r="C305" i="1"/>
  <c r="C304" i="1"/>
  <c r="C303" i="1"/>
  <c r="C302" i="1"/>
  <c r="C301" i="1"/>
  <c r="C300" i="1"/>
  <c r="C299" i="1"/>
  <c r="C298" i="1"/>
  <c r="C297" i="1"/>
  <c r="C296" i="1"/>
  <c r="C295" i="1"/>
  <c r="C294" i="1"/>
  <c r="C293" i="1"/>
  <c r="C292" i="1"/>
  <c r="C291" i="1"/>
  <c r="C290" i="1"/>
  <c r="C289" i="1"/>
  <c r="D290" i="1" s="1"/>
  <c r="C288" i="1"/>
  <c r="C287" i="1"/>
  <c r="C286" i="1"/>
  <c r="C285" i="1"/>
  <c r="C284" i="1"/>
  <c r="C283" i="1"/>
  <c r="C282" i="1"/>
  <c r="C281" i="1"/>
  <c r="C280" i="1"/>
  <c r="C279" i="1"/>
  <c r="C278" i="1"/>
  <c r="C277" i="1"/>
  <c r="C276" i="1"/>
  <c r="C275" i="1"/>
  <c r="C274" i="1"/>
  <c r="C273" i="1"/>
  <c r="C272" i="1"/>
  <c r="C271" i="1"/>
  <c r="C270" i="1"/>
  <c r="C269" i="1"/>
  <c r="C268" i="1"/>
  <c r="C267" i="1"/>
  <c r="C266" i="1"/>
  <c r="C265" i="1"/>
  <c r="C264" i="1"/>
  <c r="C263" i="1"/>
  <c r="C262" i="1"/>
  <c r="C261" i="1"/>
  <c r="C260" i="1"/>
  <c r="C259" i="1"/>
  <c r="C258" i="1"/>
  <c r="C257" i="1"/>
  <c r="C256" i="1"/>
  <c r="C255" i="1"/>
  <c r="C254" i="1"/>
  <c r="C253" i="1"/>
  <c r="C252" i="1"/>
  <c r="C251" i="1"/>
  <c r="C250" i="1"/>
  <c r="C249" i="1"/>
  <c r="C248" i="1"/>
  <c r="C247" i="1"/>
  <c r="C246" i="1"/>
  <c r="C245" i="1"/>
  <c r="C244" i="1"/>
  <c r="C243" i="1"/>
  <c r="C242" i="1"/>
  <c r="C241" i="1"/>
  <c r="C240" i="1"/>
  <c r="C239" i="1"/>
  <c r="C238" i="1"/>
  <c r="C237" i="1"/>
  <c r="C236" i="1"/>
  <c r="C235" i="1"/>
  <c r="C234" i="1"/>
  <c r="C233" i="1"/>
  <c r="C232" i="1"/>
  <c r="C231" i="1"/>
  <c r="C230" i="1"/>
  <c r="C229" i="1"/>
  <c r="C228" i="1"/>
  <c r="C227" i="1"/>
  <c r="C226" i="1"/>
  <c r="C225" i="1"/>
  <c r="C224" i="1"/>
  <c r="C223" i="1"/>
  <c r="C222" i="1"/>
  <c r="C221" i="1"/>
  <c r="C220" i="1"/>
  <c r="C219" i="1"/>
  <c r="C218" i="1"/>
  <c r="C217" i="1"/>
  <c r="C216" i="1"/>
  <c r="C215" i="1"/>
  <c r="C214" i="1"/>
  <c r="C213" i="1"/>
  <c r="C212" i="1"/>
  <c r="C211" i="1"/>
  <c r="C210" i="1"/>
  <c r="C209" i="1"/>
  <c r="C208" i="1"/>
  <c r="C207" i="1"/>
  <c r="C206" i="1"/>
  <c r="C205" i="1"/>
  <c r="C204" i="1"/>
  <c r="C203" i="1"/>
  <c r="C202" i="1"/>
  <c r="C201" i="1"/>
  <c r="C200" i="1"/>
  <c r="C199" i="1"/>
  <c r="C198" i="1"/>
  <c r="C197" i="1"/>
  <c r="D198" i="1" s="1"/>
  <c r="C196" i="1"/>
  <c r="C195" i="1"/>
  <c r="C194" i="1"/>
  <c r="C193" i="1"/>
  <c r="C192" i="1"/>
  <c r="C191" i="1"/>
  <c r="C190" i="1"/>
  <c r="C189" i="1"/>
  <c r="C188" i="1"/>
  <c r="C187" i="1"/>
  <c r="C186" i="1"/>
  <c r="C185" i="1"/>
  <c r="C184" i="1"/>
  <c r="C183" i="1"/>
  <c r="C182" i="1"/>
  <c r="C181" i="1"/>
  <c r="C180" i="1"/>
  <c r="C179" i="1"/>
  <c r="C178" i="1"/>
  <c r="C177" i="1"/>
  <c r="C176" i="1"/>
  <c r="C175" i="1"/>
  <c r="C174" i="1"/>
  <c r="C173" i="1"/>
  <c r="C172" i="1"/>
  <c r="C171" i="1"/>
  <c r="C170" i="1"/>
  <c r="C169" i="1"/>
  <c r="C168" i="1"/>
  <c r="C167" i="1"/>
  <c r="D168" i="1" s="1"/>
  <c r="C166" i="1"/>
  <c r="C165" i="1"/>
  <c r="C164" i="1"/>
  <c r="C163" i="1"/>
  <c r="C162" i="1"/>
  <c r="C161" i="1"/>
  <c r="C160" i="1"/>
  <c r="C159" i="1"/>
  <c r="C158" i="1"/>
  <c r="C157" i="1"/>
  <c r="C156" i="1"/>
  <c r="C155" i="1"/>
  <c r="C154" i="1"/>
  <c r="C153" i="1"/>
  <c r="C152" i="1"/>
  <c r="C151" i="1"/>
  <c r="C150" i="1"/>
  <c r="C149" i="1"/>
  <c r="C148" i="1"/>
  <c r="C147" i="1"/>
  <c r="C146" i="1"/>
  <c r="C145" i="1"/>
  <c r="C144" i="1"/>
  <c r="C143" i="1"/>
  <c r="C142" i="1"/>
  <c r="C141" i="1"/>
  <c r="C140" i="1"/>
  <c r="C139" i="1"/>
  <c r="C138" i="1"/>
  <c r="C137" i="1"/>
  <c r="C136" i="1"/>
  <c r="D137" i="1" s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6" i="1"/>
  <c r="D107" i="1" s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D76" i="1" s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D48" i="1" s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T472" i="1" l="1"/>
  <c r="BH929" i="1"/>
  <c r="H321" i="1"/>
  <c r="H441" i="1"/>
  <c r="H929" i="1"/>
  <c r="L502" i="1"/>
  <c r="L686" i="1"/>
  <c r="L838" i="1"/>
  <c r="P563" i="1"/>
  <c r="P899" i="1"/>
  <c r="T321" i="1"/>
  <c r="T441" i="1"/>
  <c r="T929" i="1"/>
  <c r="X655" i="1"/>
  <c r="X807" i="1"/>
  <c r="X991" i="1"/>
  <c r="AH716" i="1"/>
  <c r="AH868" i="1"/>
  <c r="AH1052" i="1"/>
  <c r="AL778" i="1"/>
  <c r="AL1082" i="1"/>
  <c r="AX686" i="1"/>
  <c r="AX838" i="1"/>
  <c r="BB716" i="1"/>
  <c r="BB868" i="1"/>
  <c r="BB1052" i="1"/>
  <c r="BH778" i="1"/>
  <c r="BH1082" i="1"/>
  <c r="BT838" i="1"/>
  <c r="BX868" i="1"/>
  <c r="BX1052" i="1"/>
  <c r="H290" i="1"/>
  <c r="H778" i="1"/>
  <c r="H1082" i="1"/>
  <c r="L351" i="1"/>
  <c r="L655" i="1"/>
  <c r="L807" i="1"/>
  <c r="L991" i="1"/>
  <c r="P716" i="1"/>
  <c r="P868" i="1"/>
  <c r="P1052" i="1"/>
  <c r="T290" i="1"/>
  <c r="T778" i="1"/>
  <c r="T1082" i="1"/>
  <c r="X472" i="1"/>
  <c r="AH413" i="1"/>
  <c r="AH533" i="1"/>
  <c r="AH1021" i="1"/>
  <c r="AL563" i="1"/>
  <c r="AL899" i="1"/>
  <c r="AP929" i="1"/>
  <c r="AX807" i="1"/>
  <c r="AX991" i="1"/>
  <c r="BB1021" i="1"/>
  <c r="BH899" i="1"/>
  <c r="BT991" i="1"/>
  <c r="BX1021" i="1"/>
  <c r="H563" i="1"/>
  <c r="H899" i="1"/>
  <c r="L472" i="1"/>
  <c r="T563" i="1"/>
  <c r="T899" i="1"/>
  <c r="X441" i="1"/>
  <c r="X929" i="1"/>
  <c r="AL1052" i="1"/>
  <c r="AP1082" i="1"/>
  <c r="BB838" i="1"/>
  <c r="BH868" i="1"/>
  <c r="BH1052" i="1"/>
  <c r="H716" i="1"/>
  <c r="H868" i="1"/>
  <c r="H1052" i="1"/>
  <c r="L321" i="1"/>
  <c r="L441" i="1"/>
  <c r="L929" i="1"/>
  <c r="P502" i="1"/>
  <c r="P686" i="1"/>
  <c r="P838" i="1"/>
  <c r="T716" i="1"/>
  <c r="T868" i="1"/>
  <c r="T1052" i="1"/>
  <c r="X778" i="1"/>
  <c r="X1082" i="1"/>
  <c r="AH655" i="1"/>
  <c r="AH807" i="1"/>
  <c r="AH991" i="1"/>
  <c r="AL533" i="1"/>
  <c r="AL1021" i="1"/>
  <c r="AP563" i="1"/>
  <c r="AP899" i="1"/>
  <c r="AX929" i="1"/>
  <c r="BB807" i="1"/>
  <c r="BB991" i="1"/>
  <c r="BH1021" i="1"/>
  <c r="BL1052" i="1"/>
  <c r="BT929" i="1"/>
  <c r="BX991" i="1"/>
  <c r="H413" i="1"/>
  <c r="H533" i="1"/>
  <c r="H1021" i="1"/>
  <c r="L290" i="1"/>
  <c r="L778" i="1"/>
  <c r="L1082" i="1"/>
  <c r="P351" i="1"/>
  <c r="P655" i="1"/>
  <c r="P807" i="1"/>
  <c r="P991" i="1"/>
  <c r="T413" i="1"/>
  <c r="T533" i="1"/>
  <c r="T1021" i="1"/>
  <c r="X563" i="1"/>
  <c r="X899" i="1"/>
  <c r="AH472" i="1"/>
  <c r="AL502" i="1"/>
  <c r="AL686" i="1"/>
  <c r="AL838" i="1"/>
  <c r="AP716" i="1"/>
  <c r="AP868" i="1"/>
  <c r="AP1052" i="1"/>
  <c r="AX778" i="1"/>
  <c r="AX1082" i="1"/>
  <c r="BH838" i="1"/>
  <c r="BT1082" i="1"/>
  <c r="H198" i="1"/>
  <c r="H502" i="1"/>
  <c r="H686" i="1"/>
  <c r="H838" i="1"/>
  <c r="L563" i="1"/>
  <c r="L899" i="1"/>
  <c r="P472" i="1"/>
  <c r="T502" i="1"/>
  <c r="T686" i="1"/>
  <c r="T838" i="1"/>
  <c r="X716" i="1"/>
  <c r="X868" i="1"/>
  <c r="X1052" i="1"/>
  <c r="AH441" i="1"/>
  <c r="AH929" i="1"/>
  <c r="AL655" i="1"/>
  <c r="AL807" i="1"/>
  <c r="AL991" i="1"/>
  <c r="AP533" i="1"/>
  <c r="AP1021" i="1"/>
  <c r="AX899" i="1"/>
  <c r="BB929" i="1"/>
  <c r="BH807" i="1"/>
  <c r="BH991" i="1"/>
  <c r="BT899" i="1"/>
  <c r="BX929" i="1"/>
  <c r="H351" i="1"/>
  <c r="H655" i="1"/>
  <c r="H807" i="1"/>
  <c r="H991" i="1"/>
  <c r="L716" i="1"/>
  <c r="L868" i="1"/>
  <c r="L1052" i="1"/>
  <c r="P321" i="1"/>
  <c r="P441" i="1"/>
  <c r="P929" i="1"/>
  <c r="T351" i="1"/>
  <c r="T655" i="1"/>
  <c r="T807" i="1"/>
  <c r="T991" i="1"/>
  <c r="X413" i="1"/>
  <c r="X533" i="1"/>
  <c r="X1021" i="1"/>
  <c r="AH778" i="1"/>
  <c r="AH1082" i="1"/>
  <c r="AL472" i="1"/>
  <c r="AP686" i="1"/>
  <c r="AP838" i="1"/>
  <c r="AX716" i="1"/>
  <c r="AX868" i="1"/>
  <c r="AX1052" i="1"/>
  <c r="BB778" i="1"/>
  <c r="BB1082" i="1"/>
  <c r="BT868" i="1"/>
  <c r="BT1052" i="1"/>
  <c r="BX1082" i="1"/>
  <c r="AS12" i="1"/>
  <c r="AS13" i="1" s="1"/>
  <c r="X387" i="1"/>
  <c r="AK14" i="1"/>
  <c r="BA14" i="1"/>
  <c r="X388" i="1"/>
  <c r="AL1046" i="1"/>
  <c r="BS14" i="1"/>
  <c r="X389" i="1"/>
  <c r="X385" i="1"/>
  <c r="X393" i="1"/>
  <c r="D649" i="1"/>
  <c r="D545" i="1"/>
  <c r="D497" i="1"/>
  <c r="D449" i="1"/>
  <c r="D417" i="1"/>
  <c r="D666" i="1"/>
  <c r="G12" i="1"/>
  <c r="H181" i="1" s="1"/>
  <c r="X390" i="1"/>
  <c r="D26" i="1"/>
  <c r="D42" i="1"/>
  <c r="D82" i="1"/>
  <c r="D106" i="1"/>
  <c r="D146" i="1"/>
  <c r="D170" i="1"/>
  <c r="D194" i="1"/>
  <c r="D266" i="1"/>
  <c r="D274" i="1"/>
  <c r="D282" i="1"/>
  <c r="X391" i="1"/>
  <c r="D389" i="1"/>
  <c r="D641" i="1"/>
  <c r="D561" i="1"/>
  <c r="D529" i="1"/>
  <c r="D505" i="1"/>
  <c r="D465" i="1"/>
  <c r="D433" i="1"/>
  <c r="D401" i="1"/>
  <c r="D34" i="1"/>
  <c r="D50" i="1"/>
  <c r="D66" i="1"/>
  <c r="D74" i="1"/>
  <c r="D90" i="1"/>
  <c r="D98" i="1"/>
  <c r="D114" i="1"/>
  <c r="D130" i="1"/>
  <c r="D138" i="1"/>
  <c r="D154" i="1"/>
  <c r="D162" i="1"/>
  <c r="D178" i="1"/>
  <c r="D186" i="1"/>
  <c r="D202" i="1"/>
  <c r="D27" i="1"/>
  <c r="D35" i="1"/>
  <c r="D43" i="1"/>
  <c r="D51" i="1"/>
  <c r="D67" i="1"/>
  <c r="D75" i="1"/>
  <c r="D83" i="1"/>
  <c r="D91" i="1"/>
  <c r="D99" i="1"/>
  <c r="D115" i="1"/>
  <c r="D131" i="1"/>
  <c r="D139" i="1"/>
  <c r="D147" i="1"/>
  <c r="D155" i="1"/>
  <c r="D163" i="1"/>
  <c r="D171" i="1"/>
  <c r="D179" i="1"/>
  <c r="D187" i="1"/>
  <c r="D195" i="1"/>
  <c r="D203" i="1"/>
  <c r="D267" i="1"/>
  <c r="D275" i="1"/>
  <c r="D283" i="1"/>
  <c r="D291" i="1"/>
  <c r="D299" i="1"/>
  <c r="D315" i="1"/>
  <c r="D323" i="1"/>
  <c r="D331" i="1"/>
  <c r="D339" i="1"/>
  <c r="X384" i="1"/>
  <c r="X392" i="1"/>
  <c r="AX1059" i="1"/>
  <c r="D633" i="1"/>
  <c r="D537" i="1"/>
  <c r="D513" i="1"/>
  <c r="D473" i="1"/>
  <c r="D393" i="1"/>
  <c r="D657" i="1"/>
  <c r="D553" i="1"/>
  <c r="D521" i="1"/>
  <c r="D457" i="1"/>
  <c r="D409" i="1"/>
  <c r="D859" i="1"/>
  <c r="D669" i="1"/>
  <c r="X386" i="1"/>
  <c r="X394" i="1"/>
  <c r="D22" i="1"/>
  <c r="D30" i="1"/>
  <c r="D38" i="1"/>
  <c r="D46" i="1"/>
  <c r="D62" i="1"/>
  <c r="D70" i="1"/>
  <c r="D78" i="1"/>
  <c r="D86" i="1"/>
  <c r="D94" i="1"/>
  <c r="D102" i="1"/>
  <c r="D110" i="1"/>
  <c r="D126" i="1"/>
  <c r="D134" i="1"/>
  <c r="D142" i="1"/>
  <c r="D150" i="1"/>
  <c r="D158" i="1"/>
  <c r="D166" i="1"/>
  <c r="D174" i="1"/>
  <c r="D182" i="1"/>
  <c r="D190" i="1"/>
  <c r="D262" i="1"/>
  <c r="D270" i="1"/>
  <c r="D278" i="1"/>
  <c r="D286" i="1"/>
  <c r="D294" i="1"/>
  <c r="D302" i="1"/>
  <c r="D318" i="1"/>
  <c r="D326" i="1"/>
  <c r="D334" i="1"/>
  <c r="D342" i="1"/>
  <c r="D350" i="1"/>
  <c r="D358" i="1"/>
  <c r="D366" i="1"/>
  <c r="AT828" i="1"/>
  <c r="AT685" i="1"/>
  <c r="AT693" i="1"/>
  <c r="AT701" i="1"/>
  <c r="AT709" i="1"/>
  <c r="AT717" i="1"/>
  <c r="AT725" i="1"/>
  <c r="AT733" i="1"/>
  <c r="AT757" i="1"/>
  <c r="AT765" i="1"/>
  <c r="AT773" i="1"/>
  <c r="AT781" i="1"/>
  <c r="AL504" i="1"/>
  <c r="P282" i="1"/>
  <c r="P315" i="1"/>
  <c r="P451" i="1"/>
  <c r="P318" i="1"/>
  <c r="BH1073" i="1"/>
  <c r="BH1081" i="1"/>
  <c r="BH1089" i="1"/>
  <c r="BB1059" i="1"/>
  <c r="BB693" i="1"/>
  <c r="BB701" i="1"/>
  <c r="BB709" i="1"/>
  <c r="BB717" i="1"/>
  <c r="BB725" i="1"/>
  <c r="BB733" i="1"/>
  <c r="BB757" i="1"/>
  <c r="BB765" i="1"/>
  <c r="BB773" i="1"/>
  <c r="BB781" i="1"/>
  <c r="AW13" i="1"/>
  <c r="AT1059" i="1"/>
  <c r="AP511" i="1"/>
  <c r="AP519" i="1"/>
  <c r="AP527" i="1"/>
  <c r="AP535" i="1"/>
  <c r="AP543" i="1"/>
  <c r="AP551" i="1"/>
  <c r="AP559" i="1"/>
  <c r="AP567" i="1"/>
  <c r="AP631" i="1"/>
  <c r="AP639" i="1"/>
  <c r="AP647" i="1"/>
  <c r="AP663" i="1"/>
  <c r="AO13" i="1"/>
  <c r="AL828" i="1"/>
  <c r="AL685" i="1"/>
  <c r="AL693" i="1"/>
  <c r="AL701" i="1"/>
  <c r="AL709" i="1"/>
  <c r="AL717" i="1"/>
  <c r="AL725" i="1"/>
  <c r="AL733" i="1"/>
  <c r="AL757" i="1"/>
  <c r="AL765" i="1"/>
  <c r="AL773" i="1"/>
  <c r="AL781" i="1"/>
  <c r="AL543" i="1"/>
  <c r="AA13" i="1"/>
  <c r="AB387" i="1"/>
  <c r="X504" i="1"/>
  <c r="X543" i="1"/>
  <c r="X458" i="1"/>
  <c r="X407" i="1"/>
  <c r="X828" i="1"/>
  <c r="X437" i="1"/>
  <c r="X685" i="1"/>
  <c r="X693" i="1"/>
  <c r="X701" i="1"/>
  <c r="X709" i="1"/>
  <c r="X717" i="1"/>
  <c r="X725" i="1"/>
  <c r="X733" i="1"/>
  <c r="X757" i="1"/>
  <c r="X765" i="1"/>
  <c r="X773" i="1"/>
  <c r="X781" i="1"/>
  <c r="T262" i="1"/>
  <c r="T342" i="1"/>
  <c r="T390" i="1"/>
  <c r="T438" i="1"/>
  <c r="T470" i="1"/>
  <c r="T495" i="1"/>
  <c r="T511" i="1"/>
  <c r="T535" i="1"/>
  <c r="T559" i="1"/>
  <c r="T663" i="1"/>
  <c r="S13" i="1"/>
  <c r="T752" i="1"/>
  <c r="T825" i="1"/>
  <c r="T647" i="1"/>
  <c r="T409" i="1"/>
  <c r="T801" i="1"/>
  <c r="T833" i="1"/>
  <c r="T266" i="1"/>
  <c r="T271" i="1"/>
  <c r="T479" i="1"/>
  <c r="T503" i="1"/>
  <c r="T527" i="1"/>
  <c r="T567" i="1"/>
  <c r="T631" i="1"/>
  <c r="T361" i="1"/>
  <c r="T817" i="1"/>
  <c r="T275" i="1"/>
  <c r="T283" i="1"/>
  <c r="T291" i="1"/>
  <c r="T323" i="1"/>
  <c r="T403" i="1"/>
  <c r="T287" i="1"/>
  <c r="T551" i="1"/>
  <c r="T639" i="1"/>
  <c r="T793" i="1"/>
  <c r="T841" i="1"/>
  <c r="T348" i="1"/>
  <c r="T396" i="1"/>
  <c r="T303" i="1"/>
  <c r="T519" i="1"/>
  <c r="T543" i="1"/>
  <c r="T809" i="1"/>
  <c r="T461" i="1"/>
  <c r="T933" i="1"/>
  <c r="P518" i="1"/>
  <c r="L444" i="1"/>
  <c r="L460" i="1"/>
  <c r="L476" i="1"/>
  <c r="P642" i="1"/>
  <c r="P1098" i="1"/>
  <c r="P300" i="1"/>
  <c r="P444" i="1"/>
  <c r="P540" i="1"/>
  <c r="P548" i="1"/>
  <c r="P556" i="1"/>
  <c r="P732" i="1"/>
  <c r="P1060" i="1"/>
  <c r="P341" i="1"/>
  <c r="P925" i="1"/>
  <c r="P327" i="1"/>
  <c r="P399" i="1"/>
  <c r="P407" i="1"/>
  <c r="P415" i="1"/>
  <c r="P887" i="1"/>
  <c r="P264" i="1"/>
  <c r="P504" i="1"/>
  <c r="P648" i="1"/>
  <c r="P664" i="1"/>
  <c r="P393" i="1"/>
  <c r="P801" i="1"/>
  <c r="P809" i="1"/>
  <c r="P817" i="1"/>
  <c r="D661" i="1"/>
  <c r="D830" i="1"/>
  <c r="D822" i="1"/>
  <c r="D814" i="1"/>
  <c r="D806" i="1"/>
  <c r="D798" i="1"/>
  <c r="D782" i="1"/>
  <c r="D774" i="1"/>
  <c r="D766" i="1"/>
  <c r="D758" i="1"/>
  <c r="D750" i="1"/>
  <c r="D726" i="1"/>
  <c r="D718" i="1"/>
  <c r="D710" i="1"/>
  <c r="D702" i="1"/>
  <c r="D694" i="1"/>
  <c r="D931" i="1"/>
  <c r="D923" i="1"/>
  <c r="D915" i="1"/>
  <c r="D907" i="1"/>
  <c r="D891" i="1"/>
  <c r="D883" i="1"/>
  <c r="D875" i="1"/>
  <c r="D867" i="1"/>
  <c r="D1020" i="1"/>
  <c r="D1012" i="1"/>
  <c r="D1004" i="1"/>
  <c r="D996" i="1"/>
  <c r="D1049" i="1"/>
  <c r="D1033" i="1"/>
  <c r="D1025" i="1"/>
  <c r="D1064" i="1"/>
  <c r="D1090" i="1"/>
  <c r="D1074" i="1"/>
  <c r="D1098" i="1"/>
  <c r="D347" i="1"/>
  <c r="D355" i="1"/>
  <c r="D363" i="1"/>
  <c r="D652" i="1"/>
  <c r="D644" i="1"/>
  <c r="D636" i="1"/>
  <c r="D628" i="1"/>
  <c r="D564" i="1"/>
  <c r="D556" i="1"/>
  <c r="D548" i="1"/>
  <c r="D540" i="1"/>
  <c r="D532" i="1"/>
  <c r="D524" i="1"/>
  <c r="D516" i="1"/>
  <c r="D508" i="1"/>
  <c r="D500" i="1"/>
  <c r="D492" i="1"/>
  <c r="D476" i="1"/>
  <c r="D468" i="1"/>
  <c r="D460" i="1"/>
  <c r="D452" i="1"/>
  <c r="D444" i="1"/>
  <c r="D436" i="1"/>
  <c r="D428" i="1"/>
  <c r="D412" i="1"/>
  <c r="D404" i="1"/>
  <c r="D396" i="1"/>
  <c r="D191" i="1"/>
  <c r="D25" i="1"/>
  <c r="D33" i="1"/>
  <c r="D41" i="1"/>
  <c r="D49" i="1"/>
  <c r="D65" i="1"/>
  <c r="D73" i="1"/>
  <c r="D81" i="1"/>
  <c r="D89" i="1"/>
  <c r="D97" i="1"/>
  <c r="D105" i="1"/>
  <c r="D113" i="1"/>
  <c r="D129" i="1"/>
  <c r="D145" i="1"/>
  <c r="D153" i="1"/>
  <c r="D161" i="1"/>
  <c r="D23" i="1"/>
  <c r="D31" i="1"/>
  <c r="D39" i="1"/>
  <c r="D47" i="1"/>
  <c r="D63" i="1"/>
  <c r="D71" i="1"/>
  <c r="D79" i="1"/>
  <c r="D87" i="1"/>
  <c r="D95" i="1"/>
  <c r="D103" i="1"/>
  <c r="D111" i="1"/>
  <c r="D127" i="1"/>
  <c r="D135" i="1"/>
  <c r="D143" i="1"/>
  <c r="D151" i="1"/>
  <c r="D159" i="1"/>
  <c r="D167" i="1"/>
  <c r="D175" i="1"/>
  <c r="D183" i="1"/>
  <c r="D199" i="1"/>
  <c r="D20" i="1"/>
  <c r="D28" i="1"/>
  <c r="D36" i="1"/>
  <c r="D44" i="1"/>
  <c r="D52" i="1"/>
  <c r="D68" i="1"/>
  <c r="D84" i="1"/>
  <c r="D92" i="1"/>
  <c r="D100" i="1"/>
  <c r="D108" i="1"/>
  <c r="D132" i="1"/>
  <c r="D140" i="1"/>
  <c r="D148" i="1"/>
  <c r="D156" i="1"/>
  <c r="D21" i="1"/>
  <c r="D29" i="1"/>
  <c r="D37" i="1"/>
  <c r="D45" i="1"/>
  <c r="D69" i="1"/>
  <c r="D77" i="1"/>
  <c r="D85" i="1"/>
  <c r="D93" i="1"/>
  <c r="D101" i="1"/>
  <c r="D109" i="1"/>
  <c r="D125" i="1"/>
  <c r="D133" i="1"/>
  <c r="D141" i="1"/>
  <c r="D149" i="1"/>
  <c r="D157" i="1"/>
  <c r="D843" i="1"/>
  <c r="D835" i="1"/>
  <c r="D827" i="1"/>
  <c r="D819" i="1"/>
  <c r="D811" i="1"/>
  <c r="D803" i="1"/>
  <c r="D795" i="1"/>
  <c r="D779" i="1"/>
  <c r="D771" i="1"/>
  <c r="D763" i="1"/>
  <c r="D755" i="1"/>
  <c r="D731" i="1"/>
  <c r="D723" i="1"/>
  <c r="D715" i="1"/>
  <c r="D707" i="1"/>
  <c r="D699" i="1"/>
  <c r="D691" i="1"/>
  <c r="D683" i="1"/>
  <c r="D928" i="1"/>
  <c r="D920" i="1"/>
  <c r="D912" i="1"/>
  <c r="D904" i="1"/>
  <c r="D896" i="1"/>
  <c r="D888" i="1"/>
  <c r="D880" i="1"/>
  <c r="D872" i="1"/>
  <c r="D864" i="1"/>
  <c r="D1017" i="1"/>
  <c r="D1009" i="1"/>
  <c r="D1001" i="1"/>
  <c r="D993" i="1"/>
  <c r="D1054" i="1"/>
  <c r="D1046" i="1"/>
  <c r="D1030" i="1"/>
  <c r="D1022" i="1"/>
  <c r="D1061" i="1"/>
  <c r="D1087" i="1"/>
  <c r="D1079" i="1"/>
  <c r="D1071" i="1"/>
  <c r="D1095" i="1"/>
  <c r="D263" i="1"/>
  <c r="D287" i="1"/>
  <c r="D303" i="1"/>
  <c r="D327" i="1"/>
  <c r="D367" i="1"/>
  <c r="D656" i="1"/>
  <c r="D640" i="1"/>
  <c r="D560" i="1"/>
  <c r="D544" i="1"/>
  <c r="D528" i="1"/>
  <c r="D512" i="1"/>
  <c r="D496" i="1"/>
  <c r="D456" i="1"/>
  <c r="D440" i="1"/>
  <c r="D432" i="1"/>
  <c r="D416" i="1"/>
  <c r="D408" i="1"/>
  <c r="D400" i="1"/>
  <c r="D665" i="1"/>
  <c r="D858" i="1"/>
  <c r="D842" i="1"/>
  <c r="D834" i="1"/>
  <c r="D826" i="1"/>
  <c r="D818" i="1"/>
  <c r="D810" i="1"/>
  <c r="D802" i="1"/>
  <c r="D794" i="1"/>
  <c r="D770" i="1"/>
  <c r="D762" i="1"/>
  <c r="D754" i="1"/>
  <c r="D730" i="1"/>
  <c r="D722" i="1"/>
  <c r="D714" i="1"/>
  <c r="D706" i="1"/>
  <c r="D698" i="1"/>
  <c r="D690" i="1"/>
  <c r="D682" i="1"/>
  <c r="D927" i="1"/>
  <c r="D919" i="1"/>
  <c r="D911" i="1"/>
  <c r="D903" i="1"/>
  <c r="D895" i="1"/>
  <c r="D887" i="1"/>
  <c r="D879" i="1"/>
  <c r="D871" i="1"/>
  <c r="D863" i="1"/>
  <c r="D1016" i="1"/>
  <c r="D1008" i="1"/>
  <c r="D1000" i="1"/>
  <c r="D992" i="1"/>
  <c r="D1053" i="1"/>
  <c r="D1045" i="1"/>
  <c r="D1029" i="1"/>
  <c r="D1068" i="1"/>
  <c r="D1060" i="1"/>
  <c r="D1086" i="1"/>
  <c r="D1078" i="1"/>
  <c r="D1070" i="1"/>
  <c r="D1094" i="1"/>
  <c r="D271" i="1"/>
  <c r="D279" i="1"/>
  <c r="D295" i="1"/>
  <c r="D319" i="1"/>
  <c r="D335" i="1"/>
  <c r="D343" i="1"/>
  <c r="D359" i="1"/>
  <c r="D388" i="1"/>
  <c r="D648" i="1"/>
  <c r="D632" i="1"/>
  <c r="D568" i="1"/>
  <c r="D552" i="1"/>
  <c r="D536" i="1"/>
  <c r="D520" i="1"/>
  <c r="D504" i="1"/>
  <c r="D480" i="1"/>
  <c r="D464" i="1"/>
  <c r="D448" i="1"/>
  <c r="D392" i="1"/>
  <c r="D24" i="1"/>
  <c r="D32" i="1"/>
  <c r="D40" i="1"/>
  <c r="D64" i="1"/>
  <c r="D72" i="1"/>
  <c r="D80" i="1"/>
  <c r="D88" i="1"/>
  <c r="D96" i="1"/>
  <c r="D104" i="1"/>
  <c r="D112" i="1"/>
  <c r="D128" i="1"/>
  <c r="D136" i="1"/>
  <c r="D144" i="1"/>
  <c r="D152" i="1"/>
  <c r="D160" i="1"/>
  <c r="D176" i="1"/>
  <c r="D184" i="1"/>
  <c r="D192" i="1"/>
  <c r="D200" i="1"/>
  <c r="D264" i="1"/>
  <c r="D272" i="1"/>
  <c r="D280" i="1"/>
  <c r="D288" i="1"/>
  <c r="D296" i="1"/>
  <c r="D304" i="1"/>
  <c r="D320" i="1"/>
  <c r="D328" i="1"/>
  <c r="D336" i="1"/>
  <c r="D344" i="1"/>
  <c r="D352" i="1"/>
  <c r="D360" i="1"/>
  <c r="D368" i="1"/>
  <c r="D387" i="1"/>
  <c r="D647" i="1"/>
  <c r="D639" i="1"/>
  <c r="D631" i="1"/>
  <c r="D567" i="1"/>
  <c r="D559" i="1"/>
  <c r="D551" i="1"/>
  <c r="D543" i="1"/>
  <c r="D535" i="1"/>
  <c r="D527" i="1"/>
  <c r="D169" i="1"/>
  <c r="D177" i="1"/>
  <c r="D185" i="1"/>
  <c r="D193" i="1"/>
  <c r="D201" i="1"/>
  <c r="D265" i="1"/>
  <c r="D273" i="1"/>
  <c r="D281" i="1"/>
  <c r="D289" i="1"/>
  <c r="D297" i="1"/>
  <c r="D305" i="1"/>
  <c r="D329" i="1"/>
  <c r="D337" i="1"/>
  <c r="D345" i="1"/>
  <c r="D353" i="1"/>
  <c r="D361" i="1"/>
  <c r="D386" i="1"/>
  <c r="D654" i="1"/>
  <c r="D646" i="1"/>
  <c r="D638" i="1"/>
  <c r="D630" i="1"/>
  <c r="D566" i="1"/>
  <c r="D558" i="1"/>
  <c r="D550" i="1"/>
  <c r="D542" i="1"/>
  <c r="D534" i="1"/>
  <c r="D526" i="1"/>
  <c r="D518" i="1"/>
  <c r="D510" i="1"/>
  <c r="D494" i="1"/>
  <c r="D478" i="1"/>
  <c r="D470" i="1"/>
  <c r="D462" i="1"/>
  <c r="D454" i="1"/>
  <c r="D446" i="1"/>
  <c r="D438" i="1"/>
  <c r="D430" i="1"/>
  <c r="D414" i="1"/>
  <c r="D406" i="1"/>
  <c r="D398" i="1"/>
  <c r="D390" i="1"/>
  <c r="D663" i="1"/>
  <c r="D856" i="1"/>
  <c r="D840" i="1"/>
  <c r="D832" i="1"/>
  <c r="D824" i="1"/>
  <c r="D816" i="1"/>
  <c r="D808" i="1"/>
  <c r="D800" i="1"/>
  <c r="D792" i="1"/>
  <c r="D776" i="1"/>
  <c r="D768" i="1"/>
  <c r="D760" i="1"/>
  <c r="D752" i="1"/>
  <c r="D728" i="1"/>
  <c r="D720" i="1"/>
  <c r="D712" i="1"/>
  <c r="D704" i="1"/>
  <c r="D696" i="1"/>
  <c r="D688" i="1"/>
  <c r="D680" i="1"/>
  <c r="D933" i="1"/>
  <c r="D925" i="1"/>
  <c r="D917" i="1"/>
  <c r="D909" i="1"/>
  <c r="D901" i="1"/>
  <c r="D893" i="1"/>
  <c r="D885" i="1"/>
  <c r="D877" i="1"/>
  <c r="D869" i="1"/>
  <c r="D861" i="1"/>
  <c r="D1014" i="1"/>
  <c r="D1006" i="1"/>
  <c r="D998" i="1"/>
  <c r="D990" i="1"/>
  <c r="D1051" i="1"/>
  <c r="D1035" i="1"/>
  <c r="D1027" i="1"/>
  <c r="D1066" i="1"/>
  <c r="D1058" i="1"/>
  <c r="D1084" i="1"/>
  <c r="D1076" i="1"/>
  <c r="D1092" i="1"/>
  <c r="D164" i="1"/>
  <c r="D172" i="1"/>
  <c r="D180" i="1"/>
  <c r="D188" i="1"/>
  <c r="D196" i="1"/>
  <c r="D268" i="1"/>
  <c r="D276" i="1"/>
  <c r="D284" i="1"/>
  <c r="D292" i="1"/>
  <c r="D300" i="1"/>
  <c r="D316" i="1"/>
  <c r="D324" i="1"/>
  <c r="D332" i="1"/>
  <c r="D340" i="1"/>
  <c r="D348" i="1"/>
  <c r="D356" i="1"/>
  <c r="D364" i="1"/>
  <c r="D659" i="1"/>
  <c r="D651" i="1"/>
  <c r="D643" i="1"/>
  <c r="D635" i="1"/>
  <c r="D627" i="1"/>
  <c r="D555" i="1"/>
  <c r="D547" i="1"/>
  <c r="D539" i="1"/>
  <c r="D531" i="1"/>
  <c r="D523" i="1"/>
  <c r="D515" i="1"/>
  <c r="D507" i="1"/>
  <c r="D499" i="1"/>
  <c r="D491" i="1"/>
  <c r="D475" i="1"/>
  <c r="D467" i="1"/>
  <c r="D459" i="1"/>
  <c r="D451" i="1"/>
  <c r="D443" i="1"/>
  <c r="D435" i="1"/>
  <c r="D427" i="1"/>
  <c r="D411" i="1"/>
  <c r="D403" i="1"/>
  <c r="D395" i="1"/>
  <c r="D668" i="1"/>
  <c r="D660" i="1"/>
  <c r="D845" i="1"/>
  <c r="D837" i="1"/>
  <c r="D829" i="1"/>
  <c r="D821" i="1"/>
  <c r="D813" i="1"/>
  <c r="D805" i="1"/>
  <c r="D797" i="1"/>
  <c r="D781" i="1"/>
  <c r="D773" i="1"/>
  <c r="D765" i="1"/>
  <c r="D757" i="1"/>
  <c r="D733" i="1"/>
  <c r="D725" i="1"/>
  <c r="D717" i="1"/>
  <c r="D709" i="1"/>
  <c r="D701" i="1"/>
  <c r="D693" i="1"/>
  <c r="D685" i="1"/>
  <c r="D930" i="1"/>
  <c r="D922" i="1"/>
  <c r="D914" i="1"/>
  <c r="D906" i="1"/>
  <c r="D898" i="1"/>
  <c r="D890" i="1"/>
  <c r="D882" i="1"/>
  <c r="D874" i="1"/>
  <c r="D866" i="1"/>
  <c r="D1019" i="1"/>
  <c r="D1011" i="1"/>
  <c r="D1003" i="1"/>
  <c r="D995" i="1"/>
  <c r="D1056" i="1"/>
  <c r="D1048" i="1"/>
  <c r="D1032" i="1"/>
  <c r="D1024" i="1"/>
  <c r="D1063" i="1"/>
  <c r="D1089" i="1"/>
  <c r="D1081" i="1"/>
  <c r="D1073" i="1"/>
  <c r="D1097" i="1"/>
  <c r="D165" i="1"/>
  <c r="D173" i="1"/>
  <c r="D181" i="1"/>
  <c r="D189" i="1"/>
  <c r="D197" i="1"/>
  <c r="D261" i="1"/>
  <c r="D269" i="1"/>
  <c r="D277" i="1"/>
  <c r="D285" i="1"/>
  <c r="D293" i="1"/>
  <c r="D301" i="1"/>
  <c r="D317" i="1"/>
  <c r="D325" i="1"/>
  <c r="D333" i="1"/>
  <c r="D341" i="1"/>
  <c r="D349" i="1"/>
  <c r="D357" i="1"/>
  <c r="D365" i="1"/>
  <c r="D658" i="1"/>
  <c r="D650" i="1"/>
  <c r="D642" i="1"/>
  <c r="D634" i="1"/>
  <c r="D626" i="1"/>
  <c r="D562" i="1"/>
  <c r="D554" i="1"/>
  <c r="D546" i="1"/>
  <c r="D538" i="1"/>
  <c r="D530" i="1"/>
  <c r="D522" i="1"/>
  <c r="D514" i="1"/>
  <c r="D506" i="1"/>
  <c r="D498" i="1"/>
  <c r="D490" i="1"/>
  <c r="D474" i="1"/>
  <c r="D466" i="1"/>
  <c r="D458" i="1"/>
  <c r="D450" i="1"/>
  <c r="D442" i="1"/>
  <c r="D434" i="1"/>
  <c r="D410" i="1"/>
  <c r="D402" i="1"/>
  <c r="D394" i="1"/>
  <c r="D667" i="1"/>
  <c r="D860" i="1"/>
  <c r="D844" i="1"/>
  <c r="D836" i="1"/>
  <c r="D828" i="1"/>
  <c r="D820" i="1"/>
  <c r="D812" i="1"/>
  <c r="D804" i="1"/>
  <c r="D796" i="1"/>
  <c r="D780" i="1"/>
  <c r="D772" i="1"/>
  <c r="D764" i="1"/>
  <c r="D756" i="1"/>
  <c r="D732" i="1"/>
  <c r="D724" i="1"/>
  <c r="D708" i="1"/>
  <c r="D700" i="1"/>
  <c r="D692" i="1"/>
  <c r="D684" i="1"/>
  <c r="D921" i="1"/>
  <c r="D913" i="1"/>
  <c r="D905" i="1"/>
  <c r="D897" i="1"/>
  <c r="D889" i="1"/>
  <c r="D881" i="1"/>
  <c r="D873" i="1"/>
  <c r="D865" i="1"/>
  <c r="D1018" i="1"/>
  <c r="D1010" i="1"/>
  <c r="D1002" i="1"/>
  <c r="D994" i="1"/>
  <c r="D1055" i="1"/>
  <c r="D1047" i="1"/>
  <c r="D1031" i="1"/>
  <c r="D1023" i="1"/>
  <c r="D1062" i="1"/>
  <c r="D1088" i="1"/>
  <c r="D1080" i="1"/>
  <c r="D1072" i="1"/>
  <c r="D1096" i="1"/>
  <c r="D519" i="1"/>
  <c r="D511" i="1"/>
  <c r="D503" i="1"/>
  <c r="D495" i="1"/>
  <c r="D479" i="1"/>
  <c r="D471" i="1"/>
  <c r="D463" i="1"/>
  <c r="D455" i="1"/>
  <c r="D447" i="1"/>
  <c r="D439" i="1"/>
  <c r="D431" i="1"/>
  <c r="D415" i="1"/>
  <c r="D407" i="1"/>
  <c r="D399" i="1"/>
  <c r="D391" i="1"/>
  <c r="D664" i="1"/>
  <c r="D857" i="1"/>
  <c r="D841" i="1"/>
  <c r="D833" i="1"/>
  <c r="D825" i="1"/>
  <c r="D817" i="1"/>
  <c r="D809" i="1"/>
  <c r="D801" i="1"/>
  <c r="D793" i="1"/>
  <c r="D777" i="1"/>
  <c r="D769" i="1"/>
  <c r="D761" i="1"/>
  <c r="D753" i="1"/>
  <c r="D729" i="1"/>
  <c r="D721" i="1"/>
  <c r="D713" i="1"/>
  <c r="D705" i="1"/>
  <c r="D697" i="1"/>
  <c r="D689" i="1"/>
  <c r="D681" i="1"/>
  <c r="D926" i="1"/>
  <c r="D918" i="1"/>
  <c r="D910" i="1"/>
  <c r="D902" i="1"/>
  <c r="D894" i="1"/>
  <c r="D886" i="1"/>
  <c r="D878" i="1"/>
  <c r="D870" i="1"/>
  <c r="D862" i="1"/>
  <c r="D1015" i="1"/>
  <c r="D1007" i="1"/>
  <c r="D999" i="1"/>
  <c r="D1028" i="1"/>
  <c r="D1067" i="1"/>
  <c r="D1059" i="1"/>
  <c r="D1085" i="1"/>
  <c r="D1077" i="1"/>
  <c r="D1069" i="1"/>
  <c r="D1093" i="1"/>
  <c r="D298" i="1"/>
  <c r="D322" i="1"/>
  <c r="D330" i="1"/>
  <c r="D338" i="1"/>
  <c r="D346" i="1"/>
  <c r="D354" i="1"/>
  <c r="D362" i="1"/>
  <c r="D385" i="1"/>
  <c r="D653" i="1"/>
  <c r="D645" i="1"/>
  <c r="D637" i="1"/>
  <c r="D629" i="1"/>
  <c r="D565" i="1"/>
  <c r="D557" i="1"/>
  <c r="D549" i="1"/>
  <c r="D541" i="1"/>
  <c r="D525" i="1"/>
  <c r="D517" i="1"/>
  <c r="D509" i="1"/>
  <c r="D501" i="1"/>
  <c r="D493" i="1"/>
  <c r="D477" i="1"/>
  <c r="D469" i="1"/>
  <c r="D461" i="1"/>
  <c r="D453" i="1"/>
  <c r="D445" i="1"/>
  <c r="D437" i="1"/>
  <c r="D429" i="1"/>
  <c r="D405" i="1"/>
  <c r="D397" i="1"/>
  <c r="D670" i="1"/>
  <c r="D662" i="1"/>
  <c r="D855" i="1"/>
  <c r="D839" i="1"/>
  <c r="D831" i="1"/>
  <c r="D823" i="1"/>
  <c r="D815" i="1"/>
  <c r="D799" i="1"/>
  <c r="D775" i="1"/>
  <c r="D767" i="1"/>
  <c r="D759" i="1"/>
  <c r="D751" i="1"/>
  <c r="D727" i="1"/>
  <c r="D719" i="1"/>
  <c r="D711" i="1"/>
  <c r="D703" i="1"/>
  <c r="D695" i="1"/>
  <c r="D687" i="1"/>
  <c r="D932" i="1"/>
  <c r="D924" i="1"/>
  <c r="D916" i="1"/>
  <c r="D908" i="1"/>
  <c r="D900" i="1"/>
  <c r="D892" i="1"/>
  <c r="D884" i="1"/>
  <c r="D876" i="1"/>
  <c r="D1013" i="1"/>
  <c r="D1005" i="1"/>
  <c r="D997" i="1"/>
  <c r="D1050" i="1"/>
  <c r="D1034" i="1"/>
  <c r="D1026" i="1"/>
  <c r="D1065" i="1"/>
  <c r="D1057" i="1"/>
  <c r="D1083" i="1"/>
  <c r="D1075" i="1"/>
  <c r="D1091" i="1"/>
  <c r="BW14" i="1"/>
  <c r="BW13" i="1"/>
  <c r="BX1097" i="1"/>
  <c r="BX1093" i="1"/>
  <c r="BX1089" i="1"/>
  <c r="BX1085" i="1"/>
  <c r="BX1081" i="1"/>
  <c r="BX1077" i="1"/>
  <c r="BX1073" i="1"/>
  <c r="BX1069" i="1"/>
  <c r="BX1065" i="1"/>
  <c r="BX1061" i="1"/>
  <c r="BX1057" i="1"/>
  <c r="BX1053" i="1"/>
  <c r="BX1049" i="1"/>
  <c r="BX1045" i="1"/>
  <c r="BX844" i="1"/>
  <c r="BX840" i="1"/>
  <c r="BX932" i="1"/>
  <c r="BX928" i="1"/>
  <c r="BX924" i="1"/>
  <c r="BX920" i="1"/>
  <c r="BX916" i="1"/>
  <c r="BX912" i="1"/>
  <c r="BX908" i="1"/>
  <c r="BX904" i="1"/>
  <c r="BX900" i="1"/>
  <c r="BX896" i="1"/>
  <c r="BX892" i="1"/>
  <c r="BX888" i="1"/>
  <c r="BX884" i="1"/>
  <c r="BX880" i="1"/>
  <c r="BX876" i="1"/>
  <c r="BX872" i="1"/>
  <c r="BX864" i="1"/>
  <c r="BX860" i="1"/>
  <c r="BX856" i="1"/>
  <c r="BX1096" i="1"/>
  <c r="BX1092" i="1"/>
  <c r="BX1088" i="1"/>
  <c r="BX1084" i="1"/>
  <c r="BX1080" i="1"/>
  <c r="BX1076" i="1"/>
  <c r="BX1072" i="1"/>
  <c r="BX1068" i="1"/>
  <c r="BX1064" i="1"/>
  <c r="BX1060" i="1"/>
  <c r="BX1056" i="1"/>
  <c r="BX1048" i="1"/>
  <c r="BX843" i="1"/>
  <c r="BX839" i="1"/>
  <c r="BX1095" i="1"/>
  <c r="BX1091" i="1"/>
  <c r="BX1087" i="1"/>
  <c r="BX1083" i="1"/>
  <c r="BX1079" i="1"/>
  <c r="BX1075" i="1"/>
  <c r="BX1071" i="1"/>
  <c r="BX1067" i="1"/>
  <c r="BX1063" i="1"/>
  <c r="BX1059" i="1"/>
  <c r="BX1055" i="1"/>
  <c r="BX1051" i="1"/>
  <c r="BX1047" i="1"/>
  <c r="BX842" i="1"/>
  <c r="BX930" i="1"/>
  <c r="BX926" i="1"/>
  <c r="BX922" i="1"/>
  <c r="BX918" i="1"/>
  <c r="BX914" i="1"/>
  <c r="BX910" i="1"/>
  <c r="BX906" i="1"/>
  <c r="BX902" i="1"/>
  <c r="BX898" i="1"/>
  <c r="BX894" i="1"/>
  <c r="BX890" i="1"/>
  <c r="BX886" i="1"/>
  <c r="BX882" i="1"/>
  <c r="BX878" i="1"/>
  <c r="BX874" i="1"/>
  <c r="BX870" i="1"/>
  <c r="BX866" i="1"/>
  <c r="BX862" i="1"/>
  <c r="BX858" i="1"/>
  <c r="BX1013" i="1"/>
  <c r="BX925" i="1"/>
  <c r="BX893" i="1"/>
  <c r="BX861" i="1"/>
  <c r="BX1025" i="1"/>
  <c r="BX993" i="1"/>
  <c r="BX905" i="1"/>
  <c r="BX873" i="1"/>
  <c r="BX1005" i="1"/>
  <c r="BX917" i="1"/>
  <c r="BX885" i="1"/>
  <c r="BX1017" i="1"/>
  <c r="BX897" i="1"/>
  <c r="BX865" i="1"/>
  <c r="BX1029" i="1"/>
  <c r="BX997" i="1"/>
  <c r="BX909" i="1"/>
  <c r="BX877" i="1"/>
  <c r="BX1009" i="1"/>
  <c r="BX921" i="1"/>
  <c r="BX889" i="1"/>
  <c r="BX857" i="1"/>
  <c r="BX1033" i="1"/>
  <c r="BX1001" i="1"/>
  <c r="BX913" i="1"/>
  <c r="BX881" i="1"/>
  <c r="BX933" i="1"/>
  <c r="BX901" i="1"/>
  <c r="BX869" i="1"/>
  <c r="BX875" i="1"/>
  <c r="BX841" i="1"/>
  <c r="BX863" i="1"/>
  <c r="BX895" i="1"/>
  <c r="BX927" i="1"/>
  <c r="BX996" i="1"/>
  <c r="BX1002" i="1"/>
  <c r="BX1015" i="1"/>
  <c r="BX1028" i="1"/>
  <c r="BX1034" i="1"/>
  <c r="BX1050" i="1"/>
  <c r="BX1058" i="1"/>
  <c r="BX1066" i="1"/>
  <c r="BX1074" i="1"/>
  <c r="BX1090" i="1"/>
  <c r="BX1098" i="1"/>
  <c r="BX907" i="1"/>
  <c r="BX995" i="1"/>
  <c r="BX1008" i="1"/>
  <c r="BX1014" i="1"/>
  <c r="BX1027" i="1"/>
  <c r="BX883" i="1"/>
  <c r="BX915" i="1"/>
  <c r="BX990" i="1"/>
  <c r="BX1003" i="1"/>
  <c r="BX1016" i="1"/>
  <c r="BX1022" i="1"/>
  <c r="BX1035" i="1"/>
  <c r="BX871" i="1"/>
  <c r="BX903" i="1"/>
  <c r="BX1004" i="1"/>
  <c r="BX1010" i="1"/>
  <c r="BX1023" i="1"/>
  <c r="BX859" i="1"/>
  <c r="BX891" i="1"/>
  <c r="BX923" i="1"/>
  <c r="BX992" i="1"/>
  <c r="BX998" i="1"/>
  <c r="BX1011" i="1"/>
  <c r="BX1024" i="1"/>
  <c r="BX1030" i="1"/>
  <c r="BX845" i="1"/>
  <c r="BX879" i="1"/>
  <c r="BX911" i="1"/>
  <c r="BX999" i="1"/>
  <c r="BX1012" i="1"/>
  <c r="BX1018" i="1"/>
  <c r="BX1031" i="1"/>
  <c r="BX1046" i="1"/>
  <c r="BX1054" i="1"/>
  <c r="BX1062" i="1"/>
  <c r="BX1070" i="1"/>
  <c r="BX1078" i="1"/>
  <c r="BX1086" i="1"/>
  <c r="BX1094" i="1"/>
  <c r="BX867" i="1"/>
  <c r="BX931" i="1"/>
  <c r="BX1000" i="1"/>
  <c r="BX1006" i="1"/>
  <c r="BX1019" i="1"/>
  <c r="BX1032" i="1"/>
  <c r="BX855" i="1"/>
  <c r="BX887" i="1"/>
  <c r="BX919" i="1"/>
  <c r="BX994" i="1"/>
  <c r="BX1007" i="1"/>
  <c r="BX1020" i="1"/>
  <c r="BX1026" i="1"/>
  <c r="BT1020" i="1"/>
  <c r="BT1016" i="1"/>
  <c r="BT1012" i="1"/>
  <c r="BT1008" i="1"/>
  <c r="BT1004" i="1"/>
  <c r="BT1000" i="1"/>
  <c r="BT996" i="1"/>
  <c r="BT992" i="1"/>
  <c r="BT932" i="1"/>
  <c r="BT928" i="1"/>
  <c r="BT924" i="1"/>
  <c r="BT920" i="1"/>
  <c r="BT916" i="1"/>
  <c r="BT912" i="1"/>
  <c r="BT908" i="1"/>
  <c r="BT904" i="1"/>
  <c r="BT900" i="1"/>
  <c r="BT896" i="1"/>
  <c r="BT892" i="1"/>
  <c r="BT888" i="1"/>
  <c r="BT884" i="1"/>
  <c r="BT880" i="1"/>
  <c r="BT876" i="1"/>
  <c r="BT872" i="1"/>
  <c r="BT864" i="1"/>
  <c r="BT860" i="1"/>
  <c r="BT856" i="1"/>
  <c r="BT1096" i="1"/>
  <c r="BT1092" i="1"/>
  <c r="BT1088" i="1"/>
  <c r="BT1084" i="1"/>
  <c r="BT1080" i="1"/>
  <c r="BT1076" i="1"/>
  <c r="BT1072" i="1"/>
  <c r="BT1068" i="1"/>
  <c r="BT1064" i="1"/>
  <c r="BT1060" i="1"/>
  <c r="BT1056" i="1"/>
  <c r="BT1048" i="1"/>
  <c r="BT1095" i="1"/>
  <c r="BT1091" i="1"/>
  <c r="BT1087" i="1"/>
  <c r="BT1083" i="1"/>
  <c r="BT1079" i="1"/>
  <c r="BT1075" i="1"/>
  <c r="BT1071" i="1"/>
  <c r="BT1067" i="1"/>
  <c r="BT1063" i="1"/>
  <c r="BT1059" i="1"/>
  <c r="BT1055" i="1"/>
  <c r="BT1051" i="1"/>
  <c r="BT1047" i="1"/>
  <c r="BT842" i="1"/>
  <c r="BT834" i="1"/>
  <c r="BT830" i="1"/>
  <c r="BT826" i="1"/>
  <c r="BT822" i="1"/>
  <c r="BT818" i="1"/>
  <c r="BT814" i="1"/>
  <c r="BT810" i="1"/>
  <c r="BT930" i="1"/>
  <c r="BT926" i="1"/>
  <c r="BT922" i="1"/>
  <c r="BT918" i="1"/>
  <c r="BT914" i="1"/>
  <c r="BT910" i="1"/>
  <c r="BT906" i="1"/>
  <c r="BT902" i="1"/>
  <c r="BT898" i="1"/>
  <c r="BT894" i="1"/>
  <c r="BT890" i="1"/>
  <c r="BT886" i="1"/>
  <c r="BT882" i="1"/>
  <c r="BT878" i="1"/>
  <c r="BT874" i="1"/>
  <c r="BT870" i="1"/>
  <c r="BT866" i="1"/>
  <c r="BT862" i="1"/>
  <c r="BT858" i="1"/>
  <c r="BT1013" i="1"/>
  <c r="BT925" i="1"/>
  <c r="BT893" i="1"/>
  <c r="BT861" i="1"/>
  <c r="BT1025" i="1"/>
  <c r="BT993" i="1"/>
  <c r="BT905" i="1"/>
  <c r="BT873" i="1"/>
  <c r="BT1005" i="1"/>
  <c r="BT917" i="1"/>
  <c r="BT885" i="1"/>
  <c r="BT1017" i="1"/>
  <c r="BT897" i="1"/>
  <c r="BT865" i="1"/>
  <c r="BT1029" i="1"/>
  <c r="BT997" i="1"/>
  <c r="BT909" i="1"/>
  <c r="BT877" i="1"/>
  <c r="BT1009" i="1"/>
  <c r="BT921" i="1"/>
  <c r="BT889" i="1"/>
  <c r="BT857" i="1"/>
  <c r="BT933" i="1"/>
  <c r="BT901" i="1"/>
  <c r="BT869" i="1"/>
  <c r="BT1001" i="1"/>
  <c r="BT913" i="1"/>
  <c r="BT881" i="1"/>
  <c r="BT1033" i="1"/>
  <c r="BT995" i="1"/>
  <c r="BT1049" i="1"/>
  <c r="BT1057" i="1"/>
  <c r="BT1065" i="1"/>
  <c r="BT1073" i="1"/>
  <c r="BT1081" i="1"/>
  <c r="BT1089" i="1"/>
  <c r="BT1097" i="1"/>
  <c r="BT1027" i="1"/>
  <c r="BT808" i="1"/>
  <c r="BT816" i="1"/>
  <c r="BT824" i="1"/>
  <c r="BT832" i="1"/>
  <c r="BT840" i="1"/>
  <c r="BT1014" i="1"/>
  <c r="BT875" i="1"/>
  <c r="BT907" i="1"/>
  <c r="BT809" i="1"/>
  <c r="BT817" i="1"/>
  <c r="BT825" i="1"/>
  <c r="BT833" i="1"/>
  <c r="BT841" i="1"/>
  <c r="BT863" i="1"/>
  <c r="BT895" i="1"/>
  <c r="BT927" i="1"/>
  <c r="BT1002" i="1"/>
  <c r="BT1015" i="1"/>
  <c r="BT1028" i="1"/>
  <c r="BT1034" i="1"/>
  <c r="BT1050" i="1"/>
  <c r="BT1058" i="1"/>
  <c r="BT1066" i="1"/>
  <c r="BT1074" i="1"/>
  <c r="BT1090" i="1"/>
  <c r="BT1098" i="1"/>
  <c r="BT883" i="1"/>
  <c r="BT915" i="1"/>
  <c r="BT990" i="1"/>
  <c r="BT1003" i="1"/>
  <c r="BT1022" i="1"/>
  <c r="BT1035" i="1"/>
  <c r="BT811" i="1"/>
  <c r="BT819" i="1"/>
  <c r="BT827" i="1"/>
  <c r="BT835" i="1"/>
  <c r="BT843" i="1"/>
  <c r="BT871" i="1"/>
  <c r="BT903" i="1"/>
  <c r="BT1010" i="1"/>
  <c r="BT1023" i="1"/>
  <c r="BT812" i="1"/>
  <c r="BT820" i="1"/>
  <c r="BT828" i="1"/>
  <c r="BT836" i="1"/>
  <c r="BT844" i="1"/>
  <c r="BT859" i="1"/>
  <c r="BT891" i="1"/>
  <c r="BT923" i="1"/>
  <c r="BT998" i="1"/>
  <c r="BT1011" i="1"/>
  <c r="BT1024" i="1"/>
  <c r="BT1030" i="1"/>
  <c r="BT1045" i="1"/>
  <c r="BT1053" i="1"/>
  <c r="BT1061" i="1"/>
  <c r="BT1069" i="1"/>
  <c r="BT1077" i="1"/>
  <c r="BT1085" i="1"/>
  <c r="BT1093" i="1"/>
  <c r="BT813" i="1"/>
  <c r="BT821" i="1"/>
  <c r="BT829" i="1"/>
  <c r="BT837" i="1"/>
  <c r="BT845" i="1"/>
  <c r="BT879" i="1"/>
  <c r="BT911" i="1"/>
  <c r="BT999" i="1"/>
  <c r="BT1018" i="1"/>
  <c r="BT1031" i="1"/>
  <c r="BT1046" i="1"/>
  <c r="BT1054" i="1"/>
  <c r="BT1062" i="1"/>
  <c r="BT1070" i="1"/>
  <c r="BT1078" i="1"/>
  <c r="BT1086" i="1"/>
  <c r="BT1094" i="1"/>
  <c r="BT867" i="1"/>
  <c r="BT931" i="1"/>
  <c r="BT1006" i="1"/>
  <c r="BT1019" i="1"/>
  <c r="BT1032" i="1"/>
  <c r="BT815" i="1"/>
  <c r="BT823" i="1"/>
  <c r="BT831" i="1"/>
  <c r="BT839" i="1"/>
  <c r="BT855" i="1"/>
  <c r="BT887" i="1"/>
  <c r="BT919" i="1"/>
  <c r="BT994" i="1"/>
  <c r="BT1007" i="1"/>
  <c r="BT1026" i="1"/>
  <c r="BO14" i="1"/>
  <c r="BO10" i="1"/>
  <c r="BP887" i="1" s="1"/>
  <c r="BK14" i="1"/>
  <c r="BK13" i="1"/>
  <c r="BK10" i="1"/>
  <c r="BL836" i="1" s="1"/>
  <c r="BH1012" i="1"/>
  <c r="BH1008" i="1"/>
  <c r="BH1004" i="1"/>
  <c r="BH1000" i="1"/>
  <c r="BH996" i="1"/>
  <c r="BH992" i="1"/>
  <c r="BH932" i="1"/>
  <c r="BH928" i="1"/>
  <c r="BH924" i="1"/>
  <c r="BH920" i="1"/>
  <c r="BH916" i="1"/>
  <c r="BH912" i="1"/>
  <c r="BH908" i="1"/>
  <c r="BH904" i="1"/>
  <c r="BH900" i="1"/>
  <c r="BH896" i="1"/>
  <c r="BH892" i="1"/>
  <c r="BH888" i="1"/>
  <c r="BH884" i="1"/>
  <c r="BH880" i="1"/>
  <c r="BH876" i="1"/>
  <c r="BH872" i="1"/>
  <c r="BH864" i="1"/>
  <c r="BH860" i="1"/>
  <c r="BH856" i="1"/>
  <c r="BH779" i="1"/>
  <c r="BH775" i="1"/>
  <c r="BH771" i="1"/>
  <c r="BH767" i="1"/>
  <c r="BH763" i="1"/>
  <c r="BH759" i="1"/>
  <c r="BH755" i="1"/>
  <c r="BH751" i="1"/>
  <c r="BH731" i="1"/>
  <c r="BH727" i="1"/>
  <c r="BH723" i="1"/>
  <c r="BH719" i="1"/>
  <c r="BH1096" i="1"/>
  <c r="BH1092" i="1"/>
  <c r="BH1088" i="1"/>
  <c r="BH1084" i="1"/>
  <c r="BH1080" i="1"/>
  <c r="BH1076" i="1"/>
  <c r="BH1072" i="1"/>
  <c r="BH1068" i="1"/>
  <c r="BH1064" i="1"/>
  <c r="BH1060" i="1"/>
  <c r="BH1056" i="1"/>
  <c r="BH1048" i="1"/>
  <c r="BH843" i="1"/>
  <c r="BH839" i="1"/>
  <c r="BH835" i="1"/>
  <c r="BH831" i="1"/>
  <c r="BH827" i="1"/>
  <c r="BH823" i="1"/>
  <c r="BH819" i="1"/>
  <c r="BH815" i="1"/>
  <c r="BH811" i="1"/>
  <c r="BH803" i="1"/>
  <c r="BH799" i="1"/>
  <c r="BH795" i="1"/>
  <c r="BH1095" i="1"/>
  <c r="BH1091" i="1"/>
  <c r="BH1087" i="1"/>
  <c r="BH1083" i="1"/>
  <c r="BH1079" i="1"/>
  <c r="BH1075" i="1"/>
  <c r="BH1071" i="1"/>
  <c r="BH1067" i="1"/>
  <c r="BH1063" i="1"/>
  <c r="BH1059" i="1"/>
  <c r="BH1055" i="1"/>
  <c r="BH1051" i="1"/>
  <c r="BH1047" i="1"/>
  <c r="BH842" i="1"/>
  <c r="BH834" i="1"/>
  <c r="BH830" i="1"/>
  <c r="BH826" i="1"/>
  <c r="BH822" i="1"/>
  <c r="BH818" i="1"/>
  <c r="BH814" i="1"/>
  <c r="BH810" i="1"/>
  <c r="BH806" i="1"/>
  <c r="BH802" i="1"/>
  <c r="BH798" i="1"/>
  <c r="BH794" i="1"/>
  <c r="BH930" i="1"/>
  <c r="BH926" i="1"/>
  <c r="BH922" i="1"/>
  <c r="BH918" i="1"/>
  <c r="BH914" i="1"/>
  <c r="BH910" i="1"/>
  <c r="BH906" i="1"/>
  <c r="BH902" i="1"/>
  <c r="BH898" i="1"/>
  <c r="BH894" i="1"/>
  <c r="BH890" i="1"/>
  <c r="BH886" i="1"/>
  <c r="BH882" i="1"/>
  <c r="BH878" i="1"/>
  <c r="BH874" i="1"/>
  <c r="BH870" i="1"/>
  <c r="BH866" i="1"/>
  <c r="BH862" i="1"/>
  <c r="BH858" i="1"/>
  <c r="BH781" i="1"/>
  <c r="BH777" i="1"/>
  <c r="BH773" i="1"/>
  <c r="BH769" i="1"/>
  <c r="BH765" i="1"/>
  <c r="BH761" i="1"/>
  <c r="BH757" i="1"/>
  <c r="BH753" i="1"/>
  <c r="BH733" i="1"/>
  <c r="BH729" i="1"/>
  <c r="BH725" i="1"/>
  <c r="BH721" i="1"/>
  <c r="BH717" i="1"/>
  <c r="BH1013" i="1"/>
  <c r="BH925" i="1"/>
  <c r="BH893" i="1"/>
  <c r="BH861" i="1"/>
  <c r="BH776" i="1"/>
  <c r="BH728" i="1"/>
  <c r="BH1025" i="1"/>
  <c r="BH993" i="1"/>
  <c r="BH905" i="1"/>
  <c r="BH873" i="1"/>
  <c r="BH756" i="1"/>
  <c r="BH1005" i="1"/>
  <c r="BH917" i="1"/>
  <c r="BH885" i="1"/>
  <c r="BH768" i="1"/>
  <c r="BH720" i="1"/>
  <c r="BH1017" i="1"/>
  <c r="BH897" i="1"/>
  <c r="BH865" i="1"/>
  <c r="BH780" i="1"/>
  <c r="BH732" i="1"/>
  <c r="BH1029" i="1"/>
  <c r="BH997" i="1"/>
  <c r="BH909" i="1"/>
  <c r="BH877" i="1"/>
  <c r="BH760" i="1"/>
  <c r="BH1009" i="1"/>
  <c r="BH921" i="1"/>
  <c r="BH889" i="1"/>
  <c r="BH857" i="1"/>
  <c r="BH772" i="1"/>
  <c r="BH724" i="1"/>
  <c r="BH933" i="1"/>
  <c r="BH901" i="1"/>
  <c r="BH869" i="1"/>
  <c r="BH752" i="1"/>
  <c r="BH1033" i="1"/>
  <c r="BH1001" i="1"/>
  <c r="BH913" i="1"/>
  <c r="BH881" i="1"/>
  <c r="BH764" i="1"/>
  <c r="BH1057" i="1"/>
  <c r="BH1065" i="1"/>
  <c r="BG14" i="1"/>
  <c r="BG13" i="1"/>
  <c r="BH758" i="1"/>
  <c r="BH792" i="1"/>
  <c r="BH800" i="1"/>
  <c r="BH808" i="1"/>
  <c r="BH816" i="1"/>
  <c r="BH824" i="1"/>
  <c r="BH832" i="1"/>
  <c r="BH840" i="1"/>
  <c r="BH875" i="1"/>
  <c r="BH907" i="1"/>
  <c r="BH995" i="1"/>
  <c r="BH1014" i="1"/>
  <c r="BH1027" i="1"/>
  <c r="BH1049" i="1"/>
  <c r="BH730" i="1"/>
  <c r="BH793" i="1"/>
  <c r="BH801" i="1"/>
  <c r="BH809" i="1"/>
  <c r="BH817" i="1"/>
  <c r="BH825" i="1"/>
  <c r="BH833" i="1"/>
  <c r="BH841" i="1"/>
  <c r="BH863" i="1"/>
  <c r="BH895" i="1"/>
  <c r="BH927" i="1"/>
  <c r="BH1002" i="1"/>
  <c r="BH1015" i="1"/>
  <c r="BH1028" i="1"/>
  <c r="BH1034" i="1"/>
  <c r="BH1050" i="1"/>
  <c r="BH1058" i="1"/>
  <c r="BH1066" i="1"/>
  <c r="BH1074" i="1"/>
  <c r="BH1090" i="1"/>
  <c r="BH1098" i="1"/>
  <c r="BH1097" i="1"/>
  <c r="BH718" i="1"/>
  <c r="BH766" i="1"/>
  <c r="BH883" i="1"/>
  <c r="BH915" i="1"/>
  <c r="BH990" i="1"/>
  <c r="BH1003" i="1"/>
  <c r="BH1016" i="1"/>
  <c r="BH1022" i="1"/>
  <c r="BH1035" i="1"/>
  <c r="BH754" i="1"/>
  <c r="BH871" i="1"/>
  <c r="BH903" i="1"/>
  <c r="BH1010" i="1"/>
  <c r="BH1023" i="1"/>
  <c r="BH726" i="1"/>
  <c r="BH774" i="1"/>
  <c r="BH796" i="1"/>
  <c r="BH804" i="1"/>
  <c r="BH812" i="1"/>
  <c r="BH820" i="1"/>
  <c r="BH828" i="1"/>
  <c r="BH836" i="1"/>
  <c r="BH844" i="1"/>
  <c r="BH859" i="1"/>
  <c r="BH891" i="1"/>
  <c r="BH923" i="1"/>
  <c r="BH998" i="1"/>
  <c r="BH1011" i="1"/>
  <c r="BH1024" i="1"/>
  <c r="BH1030" i="1"/>
  <c r="BH1045" i="1"/>
  <c r="BH1053" i="1"/>
  <c r="BH1061" i="1"/>
  <c r="BH1069" i="1"/>
  <c r="BH1077" i="1"/>
  <c r="BH1085" i="1"/>
  <c r="BH1093" i="1"/>
  <c r="BH762" i="1"/>
  <c r="BH797" i="1"/>
  <c r="BH805" i="1"/>
  <c r="BH813" i="1"/>
  <c r="BH821" i="1"/>
  <c r="BH829" i="1"/>
  <c r="BH837" i="1"/>
  <c r="BH845" i="1"/>
  <c r="BH879" i="1"/>
  <c r="BH911" i="1"/>
  <c r="BH999" i="1"/>
  <c r="BH1018" i="1"/>
  <c r="BH1031" i="1"/>
  <c r="BH1046" i="1"/>
  <c r="BH1054" i="1"/>
  <c r="BH1062" i="1"/>
  <c r="BH1070" i="1"/>
  <c r="BH1078" i="1"/>
  <c r="BH1086" i="1"/>
  <c r="BH1094" i="1"/>
  <c r="BH750" i="1"/>
  <c r="BH782" i="1"/>
  <c r="BH867" i="1"/>
  <c r="BH931" i="1"/>
  <c r="BH1006" i="1"/>
  <c r="BH1019" i="1"/>
  <c r="BH1032" i="1"/>
  <c r="BH722" i="1"/>
  <c r="BH770" i="1"/>
  <c r="BH855" i="1"/>
  <c r="BH887" i="1"/>
  <c r="BH919" i="1"/>
  <c r="BH994" i="1"/>
  <c r="BH1007" i="1"/>
  <c r="BH1020" i="1"/>
  <c r="BH1026" i="1"/>
  <c r="BB821" i="1"/>
  <c r="BB1091" i="1"/>
  <c r="BB815" i="1"/>
  <c r="BB855" i="1"/>
  <c r="BB863" i="1"/>
  <c r="BB871" i="1"/>
  <c r="BB879" i="1"/>
  <c r="BB887" i="1"/>
  <c r="BB895" i="1"/>
  <c r="BB903" i="1"/>
  <c r="BB911" i="1"/>
  <c r="BB919" i="1"/>
  <c r="BB927" i="1"/>
  <c r="BB999" i="1"/>
  <c r="BB1007" i="1"/>
  <c r="BB1015" i="1"/>
  <c r="BB1023" i="1"/>
  <c r="BB1031" i="1"/>
  <c r="BB1046" i="1"/>
  <c r="BB1078" i="1"/>
  <c r="BB1072" i="1"/>
  <c r="BB1097" i="1"/>
  <c r="BB1093" i="1"/>
  <c r="BB1089" i="1"/>
  <c r="BB1085" i="1"/>
  <c r="BB1081" i="1"/>
  <c r="BB1077" i="1"/>
  <c r="BB1073" i="1"/>
  <c r="BB1069" i="1"/>
  <c r="BB1065" i="1"/>
  <c r="BB1061" i="1"/>
  <c r="BB1057" i="1"/>
  <c r="BB1053" i="1"/>
  <c r="BB1049" i="1"/>
  <c r="BB1045" i="1"/>
  <c r="BB844" i="1"/>
  <c r="BB840" i="1"/>
  <c r="BB836" i="1"/>
  <c r="BB832" i="1"/>
  <c r="BB828" i="1"/>
  <c r="BB824" i="1"/>
  <c r="BB820" i="1"/>
  <c r="BB816" i="1"/>
  <c r="BB812" i="1"/>
  <c r="BB808" i="1"/>
  <c r="BB804" i="1"/>
  <c r="BB800" i="1"/>
  <c r="BB796" i="1"/>
  <c r="BB792" i="1"/>
  <c r="BB916" i="1"/>
  <c r="BB912" i="1"/>
  <c r="BB908" i="1"/>
  <c r="BB904" i="1"/>
  <c r="BB900" i="1"/>
  <c r="BB896" i="1"/>
  <c r="BB892" i="1"/>
  <c r="BB888" i="1"/>
  <c r="BB884" i="1"/>
  <c r="BB880" i="1"/>
  <c r="BB876" i="1"/>
  <c r="BB872" i="1"/>
  <c r="BB864" i="1"/>
  <c r="BB860" i="1"/>
  <c r="BB856" i="1"/>
  <c r="BB779" i="1"/>
  <c r="BB775" i="1"/>
  <c r="BB771" i="1"/>
  <c r="BB767" i="1"/>
  <c r="BB763" i="1"/>
  <c r="BB759" i="1"/>
  <c r="BB755" i="1"/>
  <c r="BB751" i="1"/>
  <c r="BB731" i="1"/>
  <c r="BB727" i="1"/>
  <c r="BB723" i="1"/>
  <c r="BB719" i="1"/>
  <c r="BB715" i="1"/>
  <c r="BB711" i="1"/>
  <c r="BB707" i="1"/>
  <c r="BB703" i="1"/>
  <c r="BB699" i="1"/>
  <c r="BB695" i="1"/>
  <c r="BB691" i="1"/>
  <c r="BB687" i="1"/>
  <c r="BB842" i="1"/>
  <c r="BB834" i="1"/>
  <c r="BB830" i="1"/>
  <c r="BB826" i="1"/>
  <c r="BB822" i="1"/>
  <c r="BB818" i="1"/>
  <c r="BB814" i="1"/>
  <c r="BB810" i="1"/>
  <c r="BB806" i="1"/>
  <c r="BB802" i="1"/>
  <c r="BB798" i="1"/>
  <c r="BB794" i="1"/>
  <c r="BB1090" i="1"/>
  <c r="BB1058" i="1"/>
  <c r="BB833" i="1"/>
  <c r="BB801" i="1"/>
  <c r="BB1070" i="1"/>
  <c r="BB845" i="1"/>
  <c r="BB813" i="1"/>
  <c r="BB1050" i="1"/>
  <c r="BB825" i="1"/>
  <c r="BB793" i="1"/>
  <c r="BB1094" i="1"/>
  <c r="BB1062" i="1"/>
  <c r="BB837" i="1"/>
  <c r="BB805" i="1"/>
  <c r="BB1074" i="1"/>
  <c r="BB817" i="1"/>
  <c r="BB1086" i="1"/>
  <c r="BB1054" i="1"/>
  <c r="BB829" i="1"/>
  <c r="BB797" i="1"/>
  <c r="BB1098" i="1"/>
  <c r="BB1066" i="1"/>
  <c r="BB841" i="1"/>
  <c r="BB809" i="1"/>
  <c r="BB694" i="1"/>
  <c r="BB702" i="1"/>
  <c r="BB710" i="1"/>
  <c r="BB718" i="1"/>
  <c r="BB726" i="1"/>
  <c r="BB750" i="1"/>
  <c r="BB758" i="1"/>
  <c r="BB766" i="1"/>
  <c r="BB774" i="1"/>
  <c r="BB782" i="1"/>
  <c r="BB803" i="1"/>
  <c r="BB835" i="1"/>
  <c r="BB920" i="1"/>
  <c r="BB928" i="1"/>
  <c r="BB992" i="1"/>
  <c r="BB1000" i="1"/>
  <c r="BB1008" i="1"/>
  <c r="BB1016" i="1"/>
  <c r="BB1024" i="1"/>
  <c r="BB1032" i="1"/>
  <c r="BB1047" i="1"/>
  <c r="BB1060" i="1"/>
  <c r="BB1079" i="1"/>
  <c r="BB1092" i="1"/>
  <c r="BB823" i="1"/>
  <c r="BB857" i="1"/>
  <c r="BB865" i="1"/>
  <c r="BB873" i="1"/>
  <c r="BB881" i="1"/>
  <c r="BB889" i="1"/>
  <c r="BB897" i="1"/>
  <c r="BB905" i="1"/>
  <c r="BB913" i="1"/>
  <c r="BB921" i="1"/>
  <c r="BB993" i="1"/>
  <c r="BB1001" i="1"/>
  <c r="BB1009" i="1"/>
  <c r="BB1017" i="1"/>
  <c r="BB1025" i="1"/>
  <c r="BB1033" i="1"/>
  <c r="BB1048" i="1"/>
  <c r="BB1067" i="1"/>
  <c r="BB1080" i="1"/>
  <c r="BB688" i="1"/>
  <c r="BB696" i="1"/>
  <c r="BB704" i="1"/>
  <c r="BB712" i="1"/>
  <c r="BB720" i="1"/>
  <c r="BB728" i="1"/>
  <c r="BB752" i="1"/>
  <c r="BB760" i="1"/>
  <c r="BB768" i="1"/>
  <c r="BB776" i="1"/>
  <c r="BB811" i="1"/>
  <c r="BB843" i="1"/>
  <c r="BB858" i="1"/>
  <c r="BB866" i="1"/>
  <c r="BB874" i="1"/>
  <c r="BB882" i="1"/>
  <c r="BB890" i="1"/>
  <c r="BB898" i="1"/>
  <c r="BB906" i="1"/>
  <c r="BB914" i="1"/>
  <c r="BB922" i="1"/>
  <c r="BB930" i="1"/>
  <c r="BB994" i="1"/>
  <c r="BB1002" i="1"/>
  <c r="BB1010" i="1"/>
  <c r="BB1018" i="1"/>
  <c r="BB1026" i="1"/>
  <c r="BB1034" i="1"/>
  <c r="BB1055" i="1"/>
  <c r="BB1068" i="1"/>
  <c r="BB1087" i="1"/>
  <c r="BB689" i="1"/>
  <c r="BB697" i="1"/>
  <c r="BB705" i="1"/>
  <c r="BB713" i="1"/>
  <c r="BB721" i="1"/>
  <c r="BB729" i="1"/>
  <c r="BB753" i="1"/>
  <c r="BB761" i="1"/>
  <c r="BB769" i="1"/>
  <c r="BB777" i="1"/>
  <c r="BB799" i="1"/>
  <c r="BB831" i="1"/>
  <c r="BB859" i="1"/>
  <c r="BB867" i="1"/>
  <c r="BB875" i="1"/>
  <c r="BB883" i="1"/>
  <c r="BB891" i="1"/>
  <c r="BB907" i="1"/>
  <c r="BB915" i="1"/>
  <c r="BB923" i="1"/>
  <c r="BB931" i="1"/>
  <c r="BB995" i="1"/>
  <c r="BB1003" i="1"/>
  <c r="BB1011" i="1"/>
  <c r="BB1019" i="1"/>
  <c r="BB1027" i="1"/>
  <c r="BB1035" i="1"/>
  <c r="BB1056" i="1"/>
  <c r="BB1075" i="1"/>
  <c r="BB1088" i="1"/>
  <c r="BB690" i="1"/>
  <c r="BB698" i="1"/>
  <c r="BB706" i="1"/>
  <c r="BB714" i="1"/>
  <c r="BB722" i="1"/>
  <c r="BB730" i="1"/>
  <c r="BB754" i="1"/>
  <c r="BB762" i="1"/>
  <c r="BB770" i="1"/>
  <c r="BB819" i="1"/>
  <c r="BB924" i="1"/>
  <c r="BB932" i="1"/>
  <c r="BB996" i="1"/>
  <c r="BB1004" i="1"/>
  <c r="BB1012" i="1"/>
  <c r="BB1020" i="1"/>
  <c r="BB1028" i="1"/>
  <c r="BB1063" i="1"/>
  <c r="BB1076" i="1"/>
  <c r="BB1095" i="1"/>
  <c r="BB839" i="1"/>
  <c r="BB861" i="1"/>
  <c r="BB869" i="1"/>
  <c r="BB877" i="1"/>
  <c r="BB885" i="1"/>
  <c r="BB893" i="1"/>
  <c r="BB901" i="1"/>
  <c r="BB909" i="1"/>
  <c r="BB917" i="1"/>
  <c r="BB925" i="1"/>
  <c r="BB933" i="1"/>
  <c r="BB997" i="1"/>
  <c r="BB1005" i="1"/>
  <c r="BB1013" i="1"/>
  <c r="BB1029" i="1"/>
  <c r="BB1051" i="1"/>
  <c r="BB1064" i="1"/>
  <c r="BB1083" i="1"/>
  <c r="BB1096" i="1"/>
  <c r="BB692" i="1"/>
  <c r="BB700" i="1"/>
  <c r="BB708" i="1"/>
  <c r="BB724" i="1"/>
  <c r="BB732" i="1"/>
  <c r="BB756" i="1"/>
  <c r="BB764" i="1"/>
  <c r="BB772" i="1"/>
  <c r="BB780" i="1"/>
  <c r="BB795" i="1"/>
  <c r="BB827" i="1"/>
  <c r="BB862" i="1"/>
  <c r="BB870" i="1"/>
  <c r="BB878" i="1"/>
  <c r="BB886" i="1"/>
  <c r="BB894" i="1"/>
  <c r="BB902" i="1"/>
  <c r="BB910" i="1"/>
  <c r="BB918" i="1"/>
  <c r="BB926" i="1"/>
  <c r="BB990" i="1"/>
  <c r="BB998" i="1"/>
  <c r="BB1006" i="1"/>
  <c r="BB1014" i="1"/>
  <c r="BB1022" i="1"/>
  <c r="BB1030" i="1"/>
  <c r="BB1071" i="1"/>
  <c r="BB1084" i="1"/>
  <c r="AX796" i="1"/>
  <c r="AX932" i="1"/>
  <c r="AX928" i="1"/>
  <c r="AX924" i="1"/>
  <c r="AX920" i="1"/>
  <c r="AX916" i="1"/>
  <c r="AX912" i="1"/>
  <c r="AX908" i="1"/>
  <c r="AX904" i="1"/>
  <c r="AX900" i="1"/>
  <c r="AX896" i="1"/>
  <c r="AX892" i="1"/>
  <c r="AX888" i="1"/>
  <c r="AX884" i="1"/>
  <c r="AX880" i="1"/>
  <c r="AX876" i="1"/>
  <c r="AX872" i="1"/>
  <c r="AX864" i="1"/>
  <c r="AX860" i="1"/>
  <c r="AX856" i="1"/>
  <c r="AX779" i="1"/>
  <c r="AX775" i="1"/>
  <c r="AX771" i="1"/>
  <c r="AX767" i="1"/>
  <c r="AX763" i="1"/>
  <c r="AX759" i="1"/>
  <c r="AX755" i="1"/>
  <c r="AX751" i="1"/>
  <c r="AX731" i="1"/>
  <c r="AX727" i="1"/>
  <c r="AX723" i="1"/>
  <c r="AX719" i="1"/>
  <c r="AX715" i="1"/>
  <c r="AX711" i="1"/>
  <c r="AX707" i="1"/>
  <c r="AX703" i="1"/>
  <c r="AX699" i="1"/>
  <c r="AX695" i="1"/>
  <c r="AX691" i="1"/>
  <c r="AX687" i="1"/>
  <c r="AX683" i="1"/>
  <c r="AX1096" i="1"/>
  <c r="AX1092" i="1"/>
  <c r="AX1088" i="1"/>
  <c r="AX1084" i="1"/>
  <c r="AX1080" i="1"/>
  <c r="AX1076" i="1"/>
  <c r="AX1072" i="1"/>
  <c r="AX1068" i="1"/>
  <c r="AX1064" i="1"/>
  <c r="AX1060" i="1"/>
  <c r="AX1056" i="1"/>
  <c r="AX1048" i="1"/>
  <c r="AX843" i="1"/>
  <c r="AX839" i="1"/>
  <c r="AX835" i="1"/>
  <c r="AX831" i="1"/>
  <c r="AX827" i="1"/>
  <c r="AX823" i="1"/>
  <c r="AX819" i="1"/>
  <c r="AX815" i="1"/>
  <c r="AX811" i="1"/>
  <c r="AX1035" i="1"/>
  <c r="AX1031" i="1"/>
  <c r="AX1027" i="1"/>
  <c r="AX1023" i="1"/>
  <c r="AX1019" i="1"/>
  <c r="AX1015" i="1"/>
  <c r="AX1011" i="1"/>
  <c r="AX1007" i="1"/>
  <c r="AX1003" i="1"/>
  <c r="AX999" i="1"/>
  <c r="AX995" i="1"/>
  <c r="AX931" i="1"/>
  <c r="AX927" i="1"/>
  <c r="AX923" i="1"/>
  <c r="AX919" i="1"/>
  <c r="AX915" i="1"/>
  <c r="AX911" i="1"/>
  <c r="AX907" i="1"/>
  <c r="AX903" i="1"/>
  <c r="AX895" i="1"/>
  <c r="AX891" i="1"/>
  <c r="AX887" i="1"/>
  <c r="AX883" i="1"/>
  <c r="AX879" i="1"/>
  <c r="AX875" i="1"/>
  <c r="AX871" i="1"/>
  <c r="AX867" i="1"/>
  <c r="AX863" i="1"/>
  <c r="AX859" i="1"/>
  <c r="AX855" i="1"/>
  <c r="AX782" i="1"/>
  <c r="AX774" i="1"/>
  <c r="AX770" i="1"/>
  <c r="AX766" i="1"/>
  <c r="AX762" i="1"/>
  <c r="AX758" i="1"/>
  <c r="AX754" i="1"/>
  <c r="AX750" i="1"/>
  <c r="AX730" i="1"/>
  <c r="AX726" i="1"/>
  <c r="AX722" i="1"/>
  <c r="AX718" i="1"/>
  <c r="AX714" i="1"/>
  <c r="AX710" i="1"/>
  <c r="AX706" i="1"/>
  <c r="AX702" i="1"/>
  <c r="AX698" i="1"/>
  <c r="AX694" i="1"/>
  <c r="AX690" i="1"/>
  <c r="AX682" i="1"/>
  <c r="AX669" i="1"/>
  <c r="AX665" i="1"/>
  <c r="AX661" i="1"/>
  <c r="AX657" i="1"/>
  <c r="AX1090" i="1"/>
  <c r="AX1058" i="1"/>
  <c r="AX833" i="1"/>
  <c r="AX801" i="1"/>
  <c r="AX668" i="1"/>
  <c r="AX1070" i="1"/>
  <c r="AX845" i="1"/>
  <c r="AX813" i="1"/>
  <c r="AX1050" i="1"/>
  <c r="AX825" i="1"/>
  <c r="AX793" i="1"/>
  <c r="AX660" i="1"/>
  <c r="AX1094" i="1"/>
  <c r="AX1062" i="1"/>
  <c r="AX837" i="1"/>
  <c r="AX805" i="1"/>
  <c r="AX1074" i="1"/>
  <c r="AX817" i="1"/>
  <c r="AX1086" i="1"/>
  <c r="AX1054" i="1"/>
  <c r="AX829" i="1"/>
  <c r="AX797" i="1"/>
  <c r="AX664" i="1"/>
  <c r="AX1098" i="1"/>
  <c r="AX1066" i="1"/>
  <c r="AX841" i="1"/>
  <c r="AX809" i="1"/>
  <c r="AX685" i="1"/>
  <c r="AX693" i="1"/>
  <c r="AX701" i="1"/>
  <c r="AX709" i="1"/>
  <c r="AX717" i="1"/>
  <c r="AX725" i="1"/>
  <c r="AX733" i="1"/>
  <c r="AX757" i="1"/>
  <c r="AX765" i="1"/>
  <c r="AX773" i="1"/>
  <c r="AX781" i="1"/>
  <c r="AX828" i="1"/>
  <c r="AX821" i="1"/>
  <c r="AX1091" i="1"/>
  <c r="AX663" i="1"/>
  <c r="AX1053" i="1"/>
  <c r="AX656" i="1"/>
  <c r="AX1046" i="1"/>
  <c r="AX1085" i="1"/>
  <c r="AX1078" i="1"/>
  <c r="AX802" i="1"/>
  <c r="AX834" i="1"/>
  <c r="AX670" i="1"/>
  <c r="AX803" i="1"/>
  <c r="AX816" i="1"/>
  <c r="AX822" i="1"/>
  <c r="AX992" i="1"/>
  <c r="AX1000" i="1"/>
  <c r="AX1008" i="1"/>
  <c r="AX1016" i="1"/>
  <c r="AX1024" i="1"/>
  <c r="AX1032" i="1"/>
  <c r="AX1047" i="1"/>
  <c r="AX1073" i="1"/>
  <c r="AX1079" i="1"/>
  <c r="AX658" i="1"/>
  <c r="AX804" i="1"/>
  <c r="AX810" i="1"/>
  <c r="AX836" i="1"/>
  <c r="AX842" i="1"/>
  <c r="AX857" i="1"/>
  <c r="AX865" i="1"/>
  <c r="AX873" i="1"/>
  <c r="AX881" i="1"/>
  <c r="AX889" i="1"/>
  <c r="AX897" i="1"/>
  <c r="AX905" i="1"/>
  <c r="AX913" i="1"/>
  <c r="AX921" i="1"/>
  <c r="AX993" i="1"/>
  <c r="AX1001" i="1"/>
  <c r="AX1009" i="1"/>
  <c r="AX1017" i="1"/>
  <c r="AX1025" i="1"/>
  <c r="AX1033" i="1"/>
  <c r="AX1061" i="1"/>
  <c r="AX1067" i="1"/>
  <c r="AX1093" i="1"/>
  <c r="AX659" i="1"/>
  <c r="AX680" i="1"/>
  <c r="AX688" i="1"/>
  <c r="AX696" i="1"/>
  <c r="AX704" i="1"/>
  <c r="AX712" i="1"/>
  <c r="AX720" i="1"/>
  <c r="AX728" i="1"/>
  <c r="AX752" i="1"/>
  <c r="AX760" i="1"/>
  <c r="AX768" i="1"/>
  <c r="AX776" i="1"/>
  <c r="AX792" i="1"/>
  <c r="AX798" i="1"/>
  <c r="AX824" i="1"/>
  <c r="AX830" i="1"/>
  <c r="AX858" i="1"/>
  <c r="AX866" i="1"/>
  <c r="AX874" i="1"/>
  <c r="AX882" i="1"/>
  <c r="AX890" i="1"/>
  <c r="AX898" i="1"/>
  <c r="AX906" i="1"/>
  <c r="AX914" i="1"/>
  <c r="AX922" i="1"/>
  <c r="AX930" i="1"/>
  <c r="AX994" i="1"/>
  <c r="AX1002" i="1"/>
  <c r="AX1010" i="1"/>
  <c r="AX1018" i="1"/>
  <c r="AX1026" i="1"/>
  <c r="AX1034" i="1"/>
  <c r="AX1049" i="1"/>
  <c r="AX1055" i="1"/>
  <c r="AX1081" i="1"/>
  <c r="AX1087" i="1"/>
  <c r="AX666" i="1"/>
  <c r="AX681" i="1"/>
  <c r="AX689" i="1"/>
  <c r="AX697" i="1"/>
  <c r="AX705" i="1"/>
  <c r="AX713" i="1"/>
  <c r="AX721" i="1"/>
  <c r="AX729" i="1"/>
  <c r="AX753" i="1"/>
  <c r="AX761" i="1"/>
  <c r="AX769" i="1"/>
  <c r="AX777" i="1"/>
  <c r="AX799" i="1"/>
  <c r="AX812" i="1"/>
  <c r="AX818" i="1"/>
  <c r="AX844" i="1"/>
  <c r="AX1069" i="1"/>
  <c r="AX1075" i="1"/>
  <c r="AX667" i="1"/>
  <c r="AX800" i="1"/>
  <c r="AX806" i="1"/>
  <c r="AX832" i="1"/>
  <c r="AX996" i="1"/>
  <c r="AX1004" i="1"/>
  <c r="AX1012" i="1"/>
  <c r="AX1020" i="1"/>
  <c r="AX1028" i="1"/>
  <c r="AX1057" i="1"/>
  <c r="AX1063" i="1"/>
  <c r="AX1089" i="1"/>
  <c r="AX1095" i="1"/>
  <c r="AX794" i="1"/>
  <c r="AX820" i="1"/>
  <c r="AX826" i="1"/>
  <c r="AX861" i="1"/>
  <c r="AX869" i="1"/>
  <c r="AX877" i="1"/>
  <c r="AX885" i="1"/>
  <c r="AX893" i="1"/>
  <c r="AX901" i="1"/>
  <c r="AX909" i="1"/>
  <c r="AX917" i="1"/>
  <c r="AX925" i="1"/>
  <c r="AX933" i="1"/>
  <c r="AX997" i="1"/>
  <c r="AX1005" i="1"/>
  <c r="AX1013" i="1"/>
  <c r="AX1029" i="1"/>
  <c r="AX1045" i="1"/>
  <c r="AX1051" i="1"/>
  <c r="AX1077" i="1"/>
  <c r="AX1083" i="1"/>
  <c r="AX662" i="1"/>
  <c r="AX684" i="1"/>
  <c r="AX692" i="1"/>
  <c r="AX700" i="1"/>
  <c r="AX708" i="1"/>
  <c r="AX724" i="1"/>
  <c r="AX732" i="1"/>
  <c r="AX756" i="1"/>
  <c r="AX764" i="1"/>
  <c r="AX772" i="1"/>
  <c r="AX780" i="1"/>
  <c r="AX795" i="1"/>
  <c r="AX808" i="1"/>
  <c r="AX814" i="1"/>
  <c r="AX840" i="1"/>
  <c r="AX862" i="1"/>
  <c r="AX870" i="1"/>
  <c r="AX878" i="1"/>
  <c r="AX886" i="1"/>
  <c r="AX894" i="1"/>
  <c r="AX902" i="1"/>
  <c r="AX910" i="1"/>
  <c r="AX918" i="1"/>
  <c r="AX926" i="1"/>
  <c r="AX990" i="1"/>
  <c r="AX998" i="1"/>
  <c r="AX1006" i="1"/>
  <c r="AX1014" i="1"/>
  <c r="AX1022" i="1"/>
  <c r="AX1030" i="1"/>
  <c r="AX1065" i="1"/>
  <c r="AX1071" i="1"/>
  <c r="AX1097" i="1"/>
  <c r="AT796" i="1"/>
  <c r="AT631" i="1"/>
  <c r="AT821" i="1"/>
  <c r="AT1091" i="1"/>
  <c r="AT663" i="1"/>
  <c r="AT1053" i="1"/>
  <c r="AT916" i="1"/>
  <c r="AT912" i="1"/>
  <c r="AT908" i="1"/>
  <c r="AT904" i="1"/>
  <c r="AT900" i="1"/>
  <c r="AT896" i="1"/>
  <c r="AT892" i="1"/>
  <c r="AT888" i="1"/>
  <c r="AT884" i="1"/>
  <c r="AT880" i="1"/>
  <c r="AT876" i="1"/>
  <c r="AT872" i="1"/>
  <c r="AT864" i="1"/>
  <c r="AT860" i="1"/>
  <c r="AT856" i="1"/>
  <c r="AT779" i="1"/>
  <c r="AT775" i="1"/>
  <c r="AT771" i="1"/>
  <c r="AT767" i="1"/>
  <c r="AT763" i="1"/>
  <c r="AT759" i="1"/>
  <c r="AT755" i="1"/>
  <c r="AT751" i="1"/>
  <c r="AT731" i="1"/>
  <c r="AT727" i="1"/>
  <c r="AT723" i="1"/>
  <c r="AT719" i="1"/>
  <c r="AT715" i="1"/>
  <c r="AT711" i="1"/>
  <c r="AT707" i="1"/>
  <c r="AT703" i="1"/>
  <c r="AT699" i="1"/>
  <c r="AT695" i="1"/>
  <c r="AT691" i="1"/>
  <c r="AT687" i="1"/>
  <c r="AT683" i="1"/>
  <c r="AT1096" i="1"/>
  <c r="AT1092" i="1"/>
  <c r="AT1088" i="1"/>
  <c r="AT1084" i="1"/>
  <c r="AT1080" i="1"/>
  <c r="AT1076" i="1"/>
  <c r="AT1072" i="1"/>
  <c r="AT1068" i="1"/>
  <c r="AT1064" i="1"/>
  <c r="AT1060" i="1"/>
  <c r="AT1056" i="1"/>
  <c r="AT1048" i="1"/>
  <c r="AT843" i="1"/>
  <c r="AT839" i="1"/>
  <c r="AT835" i="1"/>
  <c r="AT831" i="1"/>
  <c r="AT827" i="1"/>
  <c r="AT823" i="1"/>
  <c r="AT819" i="1"/>
  <c r="AT815" i="1"/>
  <c r="AT811" i="1"/>
  <c r="AT803" i="1"/>
  <c r="AT799" i="1"/>
  <c r="AT795" i="1"/>
  <c r="AT670" i="1"/>
  <c r="AT666" i="1"/>
  <c r="AT662" i="1"/>
  <c r="AT658" i="1"/>
  <c r="AT654" i="1"/>
  <c r="AT650" i="1"/>
  <c r="AT646" i="1"/>
  <c r="AT642" i="1"/>
  <c r="AT638" i="1"/>
  <c r="AT634" i="1"/>
  <c r="AT630" i="1"/>
  <c r="AT626" i="1"/>
  <c r="AT842" i="1"/>
  <c r="AT834" i="1"/>
  <c r="AT830" i="1"/>
  <c r="AT826" i="1"/>
  <c r="AT822" i="1"/>
  <c r="AT818" i="1"/>
  <c r="AT814" i="1"/>
  <c r="AT810" i="1"/>
  <c r="AT806" i="1"/>
  <c r="AT802" i="1"/>
  <c r="AT798" i="1"/>
  <c r="AT794" i="1"/>
  <c r="AT669" i="1"/>
  <c r="AT665" i="1"/>
  <c r="AT661" i="1"/>
  <c r="AT657" i="1"/>
  <c r="AT653" i="1"/>
  <c r="AT649" i="1"/>
  <c r="AT645" i="1"/>
  <c r="AT641" i="1"/>
  <c r="AT637" i="1"/>
  <c r="AT633" i="1"/>
  <c r="AT629" i="1"/>
  <c r="AT1090" i="1"/>
  <c r="AT1058" i="1"/>
  <c r="AT833" i="1"/>
  <c r="AT801" i="1"/>
  <c r="AT668" i="1"/>
  <c r="AT636" i="1"/>
  <c r="AT1070" i="1"/>
  <c r="AT845" i="1"/>
  <c r="AT813" i="1"/>
  <c r="AT648" i="1"/>
  <c r="AT1050" i="1"/>
  <c r="AT825" i="1"/>
  <c r="AT793" i="1"/>
  <c r="AT660" i="1"/>
  <c r="AT628" i="1"/>
  <c r="AT1094" i="1"/>
  <c r="AT1062" i="1"/>
  <c r="AT837" i="1"/>
  <c r="AT805" i="1"/>
  <c r="AT640" i="1"/>
  <c r="AT1074" i="1"/>
  <c r="AT817" i="1"/>
  <c r="AT652" i="1"/>
  <c r="AT1086" i="1"/>
  <c r="AT1054" i="1"/>
  <c r="AT829" i="1"/>
  <c r="AT797" i="1"/>
  <c r="AT664" i="1"/>
  <c r="AT632" i="1"/>
  <c r="AT1098" i="1"/>
  <c r="AT1066" i="1"/>
  <c r="AT841" i="1"/>
  <c r="AT809" i="1"/>
  <c r="AT644" i="1"/>
  <c r="AT656" i="1"/>
  <c r="AT855" i="1"/>
  <c r="AT863" i="1"/>
  <c r="AT871" i="1"/>
  <c r="AT879" i="1"/>
  <c r="AT887" i="1"/>
  <c r="AT895" i="1"/>
  <c r="AT903" i="1"/>
  <c r="AT911" i="1"/>
  <c r="AT919" i="1"/>
  <c r="AT927" i="1"/>
  <c r="AT999" i="1"/>
  <c r="AT1007" i="1"/>
  <c r="AT1015" i="1"/>
  <c r="AT1023" i="1"/>
  <c r="AT1031" i="1"/>
  <c r="AT1046" i="1"/>
  <c r="AT1085" i="1"/>
  <c r="AT1078" i="1"/>
  <c r="AS14" i="1"/>
  <c r="AT651" i="1"/>
  <c r="AT694" i="1"/>
  <c r="AT702" i="1"/>
  <c r="AT710" i="1"/>
  <c r="AT718" i="1"/>
  <c r="AT726" i="1"/>
  <c r="AT750" i="1"/>
  <c r="AT758" i="1"/>
  <c r="AT766" i="1"/>
  <c r="AT774" i="1"/>
  <c r="AT782" i="1"/>
  <c r="AT816" i="1"/>
  <c r="AT920" i="1"/>
  <c r="AT928" i="1"/>
  <c r="AT992" i="1"/>
  <c r="AT1000" i="1"/>
  <c r="AT1008" i="1"/>
  <c r="AT1016" i="1"/>
  <c r="AT1024" i="1"/>
  <c r="AT1032" i="1"/>
  <c r="AT1047" i="1"/>
  <c r="AT1073" i="1"/>
  <c r="AT1079" i="1"/>
  <c r="AT639" i="1"/>
  <c r="AT804" i="1"/>
  <c r="AT836" i="1"/>
  <c r="AT857" i="1"/>
  <c r="AT865" i="1"/>
  <c r="AT873" i="1"/>
  <c r="AT881" i="1"/>
  <c r="AT889" i="1"/>
  <c r="AT897" i="1"/>
  <c r="AT905" i="1"/>
  <c r="AT913" i="1"/>
  <c r="AT921" i="1"/>
  <c r="AT993" i="1"/>
  <c r="AT1001" i="1"/>
  <c r="AT1009" i="1"/>
  <c r="AT1017" i="1"/>
  <c r="AT1025" i="1"/>
  <c r="AT1033" i="1"/>
  <c r="AT1061" i="1"/>
  <c r="AT1067" i="1"/>
  <c r="AT1093" i="1"/>
  <c r="AT627" i="1"/>
  <c r="AT659" i="1"/>
  <c r="AT680" i="1"/>
  <c r="AT688" i="1"/>
  <c r="AT696" i="1"/>
  <c r="AT704" i="1"/>
  <c r="AT712" i="1"/>
  <c r="AT720" i="1"/>
  <c r="AT728" i="1"/>
  <c r="AT752" i="1"/>
  <c r="AT760" i="1"/>
  <c r="AT768" i="1"/>
  <c r="AT776" i="1"/>
  <c r="AT792" i="1"/>
  <c r="AT824" i="1"/>
  <c r="AT858" i="1"/>
  <c r="AT866" i="1"/>
  <c r="AT874" i="1"/>
  <c r="AT882" i="1"/>
  <c r="AT890" i="1"/>
  <c r="AT898" i="1"/>
  <c r="AT906" i="1"/>
  <c r="AT914" i="1"/>
  <c r="AT922" i="1"/>
  <c r="AT930" i="1"/>
  <c r="AT994" i="1"/>
  <c r="AT1002" i="1"/>
  <c r="AT1010" i="1"/>
  <c r="AT1018" i="1"/>
  <c r="AT1026" i="1"/>
  <c r="AT1034" i="1"/>
  <c r="AT1049" i="1"/>
  <c r="AT1055" i="1"/>
  <c r="AT1081" i="1"/>
  <c r="AT1087" i="1"/>
  <c r="AT647" i="1"/>
  <c r="AT681" i="1"/>
  <c r="AT689" i="1"/>
  <c r="AT697" i="1"/>
  <c r="AT705" i="1"/>
  <c r="AT713" i="1"/>
  <c r="AT721" i="1"/>
  <c r="AT729" i="1"/>
  <c r="AT753" i="1"/>
  <c r="AT761" i="1"/>
  <c r="AT769" i="1"/>
  <c r="AT777" i="1"/>
  <c r="AT812" i="1"/>
  <c r="AT844" i="1"/>
  <c r="AT859" i="1"/>
  <c r="AT867" i="1"/>
  <c r="AT875" i="1"/>
  <c r="AT883" i="1"/>
  <c r="AT891" i="1"/>
  <c r="AT907" i="1"/>
  <c r="AT915" i="1"/>
  <c r="AT923" i="1"/>
  <c r="AT931" i="1"/>
  <c r="AT995" i="1"/>
  <c r="AT1003" i="1"/>
  <c r="AT1011" i="1"/>
  <c r="AT1019" i="1"/>
  <c r="AT1027" i="1"/>
  <c r="AT1035" i="1"/>
  <c r="AT1069" i="1"/>
  <c r="AT1075" i="1"/>
  <c r="AT635" i="1"/>
  <c r="AT667" i="1"/>
  <c r="AT682" i="1"/>
  <c r="AT690" i="1"/>
  <c r="AT698" i="1"/>
  <c r="AT706" i="1"/>
  <c r="AT714" i="1"/>
  <c r="AT722" i="1"/>
  <c r="AT730" i="1"/>
  <c r="AT754" i="1"/>
  <c r="AT762" i="1"/>
  <c r="AT770" i="1"/>
  <c r="AT800" i="1"/>
  <c r="AT832" i="1"/>
  <c r="AT924" i="1"/>
  <c r="AT932" i="1"/>
  <c r="AT996" i="1"/>
  <c r="AT1004" i="1"/>
  <c r="AT1012" i="1"/>
  <c r="AT1020" i="1"/>
  <c r="AT1028" i="1"/>
  <c r="AT1057" i="1"/>
  <c r="AT1063" i="1"/>
  <c r="AT1089" i="1"/>
  <c r="AT1095" i="1"/>
  <c r="AT820" i="1"/>
  <c r="AT861" i="1"/>
  <c r="AT869" i="1"/>
  <c r="AT877" i="1"/>
  <c r="AT885" i="1"/>
  <c r="AT893" i="1"/>
  <c r="AT901" i="1"/>
  <c r="AT909" i="1"/>
  <c r="AT917" i="1"/>
  <c r="AT925" i="1"/>
  <c r="AT933" i="1"/>
  <c r="AT997" i="1"/>
  <c r="AT1005" i="1"/>
  <c r="AT1013" i="1"/>
  <c r="AT1029" i="1"/>
  <c r="AT1045" i="1"/>
  <c r="AT1051" i="1"/>
  <c r="AT1077" i="1"/>
  <c r="AT1083" i="1"/>
  <c r="AT643" i="1"/>
  <c r="AT684" i="1"/>
  <c r="AT692" i="1"/>
  <c r="AT700" i="1"/>
  <c r="AT708" i="1"/>
  <c r="AT724" i="1"/>
  <c r="AT732" i="1"/>
  <c r="AT756" i="1"/>
  <c r="AT764" i="1"/>
  <c r="AT772" i="1"/>
  <c r="AT780" i="1"/>
  <c r="AT808" i="1"/>
  <c r="AT840" i="1"/>
  <c r="AT862" i="1"/>
  <c r="AT870" i="1"/>
  <c r="AT878" i="1"/>
  <c r="AT886" i="1"/>
  <c r="AT894" i="1"/>
  <c r="AT902" i="1"/>
  <c r="AT910" i="1"/>
  <c r="AT918" i="1"/>
  <c r="AT926" i="1"/>
  <c r="AT990" i="1"/>
  <c r="AT998" i="1"/>
  <c r="AT1006" i="1"/>
  <c r="AT1014" i="1"/>
  <c r="AT1022" i="1"/>
  <c r="AT1030" i="1"/>
  <c r="AT1065" i="1"/>
  <c r="AT1071" i="1"/>
  <c r="AT1097" i="1"/>
  <c r="AB478" i="1"/>
  <c r="AP869" i="1"/>
  <c r="AP1050" i="1"/>
  <c r="AP1058" i="1"/>
  <c r="AP1066" i="1"/>
  <c r="AP1074" i="1"/>
  <c r="AP1090" i="1"/>
  <c r="AP1098" i="1"/>
  <c r="AP704" i="1"/>
  <c r="AP901" i="1"/>
  <c r="AP752" i="1"/>
  <c r="AP933" i="1"/>
  <c r="AP793" i="1"/>
  <c r="AP801" i="1"/>
  <c r="AP809" i="1"/>
  <c r="AP817" i="1"/>
  <c r="AP825" i="1"/>
  <c r="AP833" i="1"/>
  <c r="AP841" i="1"/>
  <c r="AP1032" i="1"/>
  <c r="AP1028" i="1"/>
  <c r="AP1024" i="1"/>
  <c r="AP1020" i="1"/>
  <c r="AP1016" i="1"/>
  <c r="AP1012" i="1"/>
  <c r="AP1008" i="1"/>
  <c r="AP1004" i="1"/>
  <c r="AP1000" i="1"/>
  <c r="AP996" i="1"/>
  <c r="AP992" i="1"/>
  <c r="AP932" i="1"/>
  <c r="AP928" i="1"/>
  <c r="AP924" i="1"/>
  <c r="AP920" i="1"/>
  <c r="AP916" i="1"/>
  <c r="AP912" i="1"/>
  <c r="AP908" i="1"/>
  <c r="AP904" i="1"/>
  <c r="AP900" i="1"/>
  <c r="AP896" i="1"/>
  <c r="AP892" i="1"/>
  <c r="AP888" i="1"/>
  <c r="AP884" i="1"/>
  <c r="AP880" i="1"/>
  <c r="AP876" i="1"/>
  <c r="AP872" i="1"/>
  <c r="AP864" i="1"/>
  <c r="AP860" i="1"/>
  <c r="AP856" i="1"/>
  <c r="AP779" i="1"/>
  <c r="AP775" i="1"/>
  <c r="AP771" i="1"/>
  <c r="AP767" i="1"/>
  <c r="AP763" i="1"/>
  <c r="AP759" i="1"/>
  <c r="AP755" i="1"/>
  <c r="AP751" i="1"/>
  <c r="AP731" i="1"/>
  <c r="AP727" i="1"/>
  <c r="AP723" i="1"/>
  <c r="AP719" i="1"/>
  <c r="AP715" i="1"/>
  <c r="AP711" i="1"/>
  <c r="AP707" i="1"/>
  <c r="AP703" i="1"/>
  <c r="AP699" i="1"/>
  <c r="AP695" i="1"/>
  <c r="AP691" i="1"/>
  <c r="AP687" i="1"/>
  <c r="AP683" i="1"/>
  <c r="AP1035" i="1"/>
  <c r="AP1031" i="1"/>
  <c r="AP1027" i="1"/>
  <c r="AP1023" i="1"/>
  <c r="AP1019" i="1"/>
  <c r="AP1015" i="1"/>
  <c r="AP1011" i="1"/>
  <c r="AP1007" i="1"/>
  <c r="AP1003" i="1"/>
  <c r="AP999" i="1"/>
  <c r="AP995" i="1"/>
  <c r="AP931" i="1"/>
  <c r="AP927" i="1"/>
  <c r="AP923" i="1"/>
  <c r="AP919" i="1"/>
  <c r="AP915" i="1"/>
  <c r="AP911" i="1"/>
  <c r="AP907" i="1"/>
  <c r="AP903" i="1"/>
  <c r="AP895" i="1"/>
  <c r="AP891" i="1"/>
  <c r="AP887" i="1"/>
  <c r="AP883" i="1"/>
  <c r="AP879" i="1"/>
  <c r="AP875" i="1"/>
  <c r="AP871" i="1"/>
  <c r="AP867" i="1"/>
  <c r="AP863" i="1"/>
  <c r="AP859" i="1"/>
  <c r="AP855" i="1"/>
  <c r="AP782" i="1"/>
  <c r="AP774" i="1"/>
  <c r="AP770" i="1"/>
  <c r="AP766" i="1"/>
  <c r="AP762" i="1"/>
  <c r="AP758" i="1"/>
  <c r="AP754" i="1"/>
  <c r="AP750" i="1"/>
  <c r="AP730" i="1"/>
  <c r="AP726" i="1"/>
  <c r="AP722" i="1"/>
  <c r="AP718" i="1"/>
  <c r="AP714" i="1"/>
  <c r="AP710" i="1"/>
  <c r="AP706" i="1"/>
  <c r="AP702" i="1"/>
  <c r="AP698" i="1"/>
  <c r="AP694" i="1"/>
  <c r="AP690" i="1"/>
  <c r="AP682" i="1"/>
  <c r="AP1034" i="1"/>
  <c r="AP1030" i="1"/>
  <c r="AP1026" i="1"/>
  <c r="AP1022" i="1"/>
  <c r="AP1018" i="1"/>
  <c r="AP1014" i="1"/>
  <c r="AP1010" i="1"/>
  <c r="AP1006" i="1"/>
  <c r="AP1002" i="1"/>
  <c r="AP998" i="1"/>
  <c r="AP994" i="1"/>
  <c r="AP990" i="1"/>
  <c r="AP930" i="1"/>
  <c r="AP926" i="1"/>
  <c r="AP922" i="1"/>
  <c r="AP918" i="1"/>
  <c r="AP914" i="1"/>
  <c r="AP910" i="1"/>
  <c r="AP906" i="1"/>
  <c r="AP902" i="1"/>
  <c r="AP898" i="1"/>
  <c r="AP894" i="1"/>
  <c r="AP890" i="1"/>
  <c r="AP886" i="1"/>
  <c r="AP882" i="1"/>
  <c r="AP878" i="1"/>
  <c r="AP874" i="1"/>
  <c r="AP870" i="1"/>
  <c r="AP866" i="1"/>
  <c r="AP862" i="1"/>
  <c r="AP858" i="1"/>
  <c r="AP781" i="1"/>
  <c r="AP777" i="1"/>
  <c r="AP773" i="1"/>
  <c r="AP769" i="1"/>
  <c r="AP765" i="1"/>
  <c r="AP761" i="1"/>
  <c r="AP757" i="1"/>
  <c r="AP753" i="1"/>
  <c r="AP733" i="1"/>
  <c r="AP729" i="1"/>
  <c r="AP725" i="1"/>
  <c r="AP721" i="1"/>
  <c r="AP717" i="1"/>
  <c r="AP713" i="1"/>
  <c r="AP709" i="1"/>
  <c r="AP705" i="1"/>
  <c r="AP701" i="1"/>
  <c r="AP697" i="1"/>
  <c r="AP693" i="1"/>
  <c r="AP689" i="1"/>
  <c r="AP685" i="1"/>
  <c r="AP681" i="1"/>
  <c r="AP1013" i="1"/>
  <c r="AP925" i="1"/>
  <c r="AP893" i="1"/>
  <c r="AP861" i="1"/>
  <c r="AP776" i="1"/>
  <c r="AP728" i="1"/>
  <c r="AP696" i="1"/>
  <c r="AP1025" i="1"/>
  <c r="AP993" i="1"/>
  <c r="AP905" i="1"/>
  <c r="AP873" i="1"/>
  <c r="AP756" i="1"/>
  <c r="AP708" i="1"/>
  <c r="AP1005" i="1"/>
  <c r="AP917" i="1"/>
  <c r="AP885" i="1"/>
  <c r="AP768" i="1"/>
  <c r="AP720" i="1"/>
  <c r="AP688" i="1"/>
  <c r="AP1017" i="1"/>
  <c r="AP897" i="1"/>
  <c r="AP865" i="1"/>
  <c r="AP780" i="1"/>
  <c r="AP732" i="1"/>
  <c r="AP700" i="1"/>
  <c r="AP1029" i="1"/>
  <c r="AP997" i="1"/>
  <c r="AP909" i="1"/>
  <c r="AP877" i="1"/>
  <c r="AP760" i="1"/>
  <c r="AP712" i="1"/>
  <c r="AP680" i="1"/>
  <c r="AP1009" i="1"/>
  <c r="AP921" i="1"/>
  <c r="AP889" i="1"/>
  <c r="AP857" i="1"/>
  <c r="AP772" i="1"/>
  <c r="AP724" i="1"/>
  <c r="AP692" i="1"/>
  <c r="AP1033" i="1"/>
  <c r="AP1001" i="1"/>
  <c r="AP913" i="1"/>
  <c r="AP881" i="1"/>
  <c r="AP764" i="1"/>
  <c r="AP684" i="1"/>
  <c r="AP510" i="1"/>
  <c r="AP518" i="1"/>
  <c r="AP526" i="1"/>
  <c r="AP534" i="1"/>
  <c r="AP542" i="1"/>
  <c r="AP550" i="1"/>
  <c r="AP558" i="1"/>
  <c r="AP566" i="1"/>
  <c r="AP630" i="1"/>
  <c r="AP638" i="1"/>
  <c r="AP646" i="1"/>
  <c r="AP654" i="1"/>
  <c r="AP662" i="1"/>
  <c r="AP670" i="1"/>
  <c r="AP792" i="1"/>
  <c r="AP800" i="1"/>
  <c r="AP808" i="1"/>
  <c r="AP816" i="1"/>
  <c r="AP824" i="1"/>
  <c r="AP832" i="1"/>
  <c r="AP840" i="1"/>
  <c r="AP1049" i="1"/>
  <c r="AP1057" i="1"/>
  <c r="AP1065" i="1"/>
  <c r="AP1073" i="1"/>
  <c r="AP1081" i="1"/>
  <c r="AP1089" i="1"/>
  <c r="AP1097" i="1"/>
  <c r="AP504" i="1"/>
  <c r="AP512" i="1"/>
  <c r="AP520" i="1"/>
  <c r="AP528" i="1"/>
  <c r="AP536" i="1"/>
  <c r="AP544" i="1"/>
  <c r="AP552" i="1"/>
  <c r="AP560" i="1"/>
  <c r="AP568" i="1"/>
  <c r="AP632" i="1"/>
  <c r="AP640" i="1"/>
  <c r="AP648" i="1"/>
  <c r="AP656" i="1"/>
  <c r="AP664" i="1"/>
  <c r="AP794" i="1"/>
  <c r="AP802" i="1"/>
  <c r="AP810" i="1"/>
  <c r="AP818" i="1"/>
  <c r="AP826" i="1"/>
  <c r="AP834" i="1"/>
  <c r="AP842" i="1"/>
  <c r="AP1051" i="1"/>
  <c r="AP1059" i="1"/>
  <c r="AP1067" i="1"/>
  <c r="AP1075" i="1"/>
  <c r="AP1083" i="1"/>
  <c r="AP1091" i="1"/>
  <c r="AP505" i="1"/>
  <c r="AP513" i="1"/>
  <c r="AP521" i="1"/>
  <c r="AP529" i="1"/>
  <c r="AP537" i="1"/>
  <c r="AP545" i="1"/>
  <c r="AP553" i="1"/>
  <c r="AP561" i="1"/>
  <c r="AP633" i="1"/>
  <c r="AP641" i="1"/>
  <c r="AP649" i="1"/>
  <c r="AP657" i="1"/>
  <c r="AP665" i="1"/>
  <c r="AP795" i="1"/>
  <c r="AP803" i="1"/>
  <c r="AP811" i="1"/>
  <c r="AP819" i="1"/>
  <c r="AP827" i="1"/>
  <c r="AP835" i="1"/>
  <c r="AP843" i="1"/>
  <c r="AP1060" i="1"/>
  <c r="AP1068" i="1"/>
  <c r="AP1076" i="1"/>
  <c r="AP1084" i="1"/>
  <c r="AP1092" i="1"/>
  <c r="AP506" i="1"/>
  <c r="AP514" i="1"/>
  <c r="AP522" i="1"/>
  <c r="AP530" i="1"/>
  <c r="AP538" i="1"/>
  <c r="AP546" i="1"/>
  <c r="AP554" i="1"/>
  <c r="AP562" i="1"/>
  <c r="AP626" i="1"/>
  <c r="AP634" i="1"/>
  <c r="AP642" i="1"/>
  <c r="AP650" i="1"/>
  <c r="AP658" i="1"/>
  <c r="AP666" i="1"/>
  <c r="AP796" i="1"/>
  <c r="AP804" i="1"/>
  <c r="AP812" i="1"/>
  <c r="AP820" i="1"/>
  <c r="AP828" i="1"/>
  <c r="AP836" i="1"/>
  <c r="AP844" i="1"/>
  <c r="AP1045" i="1"/>
  <c r="AP1053" i="1"/>
  <c r="AP1061" i="1"/>
  <c r="AP1069" i="1"/>
  <c r="AP1077" i="1"/>
  <c r="AP1085" i="1"/>
  <c r="AP1093" i="1"/>
  <c r="AP507" i="1"/>
  <c r="AP515" i="1"/>
  <c r="AP523" i="1"/>
  <c r="AP531" i="1"/>
  <c r="AP539" i="1"/>
  <c r="AP547" i="1"/>
  <c r="AP555" i="1"/>
  <c r="AP627" i="1"/>
  <c r="AP635" i="1"/>
  <c r="AP643" i="1"/>
  <c r="AP651" i="1"/>
  <c r="AP659" i="1"/>
  <c r="AP667" i="1"/>
  <c r="AP797" i="1"/>
  <c r="AP805" i="1"/>
  <c r="AP813" i="1"/>
  <c r="AP821" i="1"/>
  <c r="AP829" i="1"/>
  <c r="AP837" i="1"/>
  <c r="AP845" i="1"/>
  <c r="AP1046" i="1"/>
  <c r="AP1054" i="1"/>
  <c r="AP1062" i="1"/>
  <c r="AP1070" i="1"/>
  <c r="AP1078" i="1"/>
  <c r="AP1086" i="1"/>
  <c r="AP1094" i="1"/>
  <c r="AP508" i="1"/>
  <c r="AP516" i="1"/>
  <c r="AP524" i="1"/>
  <c r="AP532" i="1"/>
  <c r="AP540" i="1"/>
  <c r="AP548" i="1"/>
  <c r="AP556" i="1"/>
  <c r="AP564" i="1"/>
  <c r="AP628" i="1"/>
  <c r="AP636" i="1"/>
  <c r="AP644" i="1"/>
  <c r="AP652" i="1"/>
  <c r="AP660" i="1"/>
  <c r="AP668" i="1"/>
  <c r="AP798" i="1"/>
  <c r="AP806" i="1"/>
  <c r="AP814" i="1"/>
  <c r="AP822" i="1"/>
  <c r="AP830" i="1"/>
  <c r="AP1047" i="1"/>
  <c r="AP1055" i="1"/>
  <c r="AP1063" i="1"/>
  <c r="AP1071" i="1"/>
  <c r="AP1079" i="1"/>
  <c r="AP1087" i="1"/>
  <c r="AP1095" i="1"/>
  <c r="AP509" i="1"/>
  <c r="AP517" i="1"/>
  <c r="AP525" i="1"/>
  <c r="AP541" i="1"/>
  <c r="AP549" i="1"/>
  <c r="AP557" i="1"/>
  <c r="AP565" i="1"/>
  <c r="AP629" i="1"/>
  <c r="AP637" i="1"/>
  <c r="AP645" i="1"/>
  <c r="AP653" i="1"/>
  <c r="AP661" i="1"/>
  <c r="AP669" i="1"/>
  <c r="AP799" i="1"/>
  <c r="AP815" i="1"/>
  <c r="AP823" i="1"/>
  <c r="AP831" i="1"/>
  <c r="AP839" i="1"/>
  <c r="AP1048" i="1"/>
  <c r="AP1056" i="1"/>
  <c r="AP1064" i="1"/>
  <c r="AP1072" i="1"/>
  <c r="AP1080" i="1"/>
  <c r="AP1088" i="1"/>
  <c r="AP1096" i="1"/>
  <c r="AL511" i="1"/>
  <c r="AL796" i="1"/>
  <c r="AL536" i="1"/>
  <c r="AL631" i="1"/>
  <c r="AL821" i="1"/>
  <c r="AL1091" i="1"/>
  <c r="AL568" i="1"/>
  <c r="AL663" i="1"/>
  <c r="AL1053" i="1"/>
  <c r="AL453" i="1"/>
  <c r="AL461" i="1"/>
  <c r="AL469" i="1"/>
  <c r="AL477" i="1"/>
  <c r="AL492" i="1"/>
  <c r="AL656" i="1"/>
  <c r="AL855" i="1"/>
  <c r="AL863" i="1"/>
  <c r="AL871" i="1"/>
  <c r="AL879" i="1"/>
  <c r="AL887" i="1"/>
  <c r="AL895" i="1"/>
  <c r="AL903" i="1"/>
  <c r="AL911" i="1"/>
  <c r="AL919" i="1"/>
  <c r="AL927" i="1"/>
  <c r="AL999" i="1"/>
  <c r="AL1007" i="1"/>
  <c r="AL1015" i="1"/>
  <c r="AL1023" i="1"/>
  <c r="AL1031" i="1"/>
  <c r="AL1085" i="1"/>
  <c r="AL932" i="1"/>
  <c r="AL928" i="1"/>
  <c r="AL924" i="1"/>
  <c r="AL920" i="1"/>
  <c r="AL916" i="1"/>
  <c r="AL912" i="1"/>
  <c r="AL908" i="1"/>
  <c r="AL904" i="1"/>
  <c r="AL900" i="1"/>
  <c r="AL896" i="1"/>
  <c r="AL892" i="1"/>
  <c r="AL888" i="1"/>
  <c r="AL884" i="1"/>
  <c r="AL880" i="1"/>
  <c r="AL876" i="1"/>
  <c r="AL872" i="1"/>
  <c r="AL864" i="1"/>
  <c r="AL860" i="1"/>
  <c r="AL856" i="1"/>
  <c r="AL779" i="1"/>
  <c r="AL775" i="1"/>
  <c r="AL771" i="1"/>
  <c r="AL767" i="1"/>
  <c r="AL763" i="1"/>
  <c r="AL759" i="1"/>
  <c r="AL755" i="1"/>
  <c r="AL751" i="1"/>
  <c r="AL731" i="1"/>
  <c r="AL727" i="1"/>
  <c r="AL723" i="1"/>
  <c r="AL719" i="1"/>
  <c r="AL715" i="1"/>
  <c r="AL711" i="1"/>
  <c r="AL707" i="1"/>
  <c r="AL703" i="1"/>
  <c r="AL699" i="1"/>
  <c r="AL695" i="1"/>
  <c r="AL691" i="1"/>
  <c r="AL687" i="1"/>
  <c r="AL683" i="1"/>
  <c r="AL478" i="1"/>
  <c r="AL474" i="1"/>
  <c r="AL470" i="1"/>
  <c r="AL466" i="1"/>
  <c r="AL462" i="1"/>
  <c r="AL458" i="1"/>
  <c r="AL454" i="1"/>
  <c r="AL450" i="1"/>
  <c r="AL1096" i="1"/>
  <c r="AL1092" i="1"/>
  <c r="AL1088" i="1"/>
  <c r="AL1084" i="1"/>
  <c r="AL1080" i="1"/>
  <c r="AL1076" i="1"/>
  <c r="AL1072" i="1"/>
  <c r="AL1068" i="1"/>
  <c r="AL1064" i="1"/>
  <c r="AL1060" i="1"/>
  <c r="AL1056" i="1"/>
  <c r="AL1048" i="1"/>
  <c r="AL843" i="1"/>
  <c r="AL839" i="1"/>
  <c r="AL835" i="1"/>
  <c r="AL831" i="1"/>
  <c r="AL827" i="1"/>
  <c r="AL823" i="1"/>
  <c r="AL819" i="1"/>
  <c r="AL815" i="1"/>
  <c r="AL811" i="1"/>
  <c r="AL803" i="1"/>
  <c r="AL799" i="1"/>
  <c r="AL795" i="1"/>
  <c r="AL670" i="1"/>
  <c r="AL666" i="1"/>
  <c r="AL662" i="1"/>
  <c r="AL658" i="1"/>
  <c r="AL654" i="1"/>
  <c r="AL650" i="1"/>
  <c r="AL646" i="1"/>
  <c r="AL642" i="1"/>
  <c r="AL638" i="1"/>
  <c r="AL634" i="1"/>
  <c r="AL630" i="1"/>
  <c r="AL626" i="1"/>
  <c r="AL566" i="1"/>
  <c r="AL562" i="1"/>
  <c r="AL558" i="1"/>
  <c r="AL554" i="1"/>
  <c r="AL550" i="1"/>
  <c r="AL546" i="1"/>
  <c r="AL542" i="1"/>
  <c r="AL538" i="1"/>
  <c r="AL534" i="1"/>
  <c r="AL530" i="1"/>
  <c r="AL526" i="1"/>
  <c r="AL522" i="1"/>
  <c r="AL518" i="1"/>
  <c r="AL514" i="1"/>
  <c r="AL510" i="1"/>
  <c r="AL506" i="1"/>
  <c r="AL498" i="1"/>
  <c r="AL494" i="1"/>
  <c r="AL490" i="1"/>
  <c r="AL1059" i="1"/>
  <c r="AL1055" i="1"/>
  <c r="AL1051" i="1"/>
  <c r="AL1047" i="1"/>
  <c r="AL842" i="1"/>
  <c r="AL834" i="1"/>
  <c r="AL830" i="1"/>
  <c r="AL826" i="1"/>
  <c r="AL822" i="1"/>
  <c r="AL818" i="1"/>
  <c r="AL814" i="1"/>
  <c r="AL810" i="1"/>
  <c r="AL806" i="1"/>
  <c r="AL802" i="1"/>
  <c r="AL798" i="1"/>
  <c r="AL794" i="1"/>
  <c r="AL669" i="1"/>
  <c r="AL665" i="1"/>
  <c r="AL661" i="1"/>
  <c r="AL657" i="1"/>
  <c r="AL653" i="1"/>
  <c r="AL649" i="1"/>
  <c r="AL645" i="1"/>
  <c r="AL641" i="1"/>
  <c r="AL637" i="1"/>
  <c r="AL633" i="1"/>
  <c r="AL629" i="1"/>
  <c r="AL565" i="1"/>
  <c r="AL561" i="1"/>
  <c r="AL557" i="1"/>
  <c r="AL553" i="1"/>
  <c r="AL549" i="1"/>
  <c r="AL545" i="1"/>
  <c r="AL541" i="1"/>
  <c r="AL537" i="1"/>
  <c r="AL529" i="1"/>
  <c r="AL525" i="1"/>
  <c r="AL521" i="1"/>
  <c r="AL517" i="1"/>
  <c r="AL513" i="1"/>
  <c r="AL509" i="1"/>
  <c r="AL505" i="1"/>
  <c r="AL501" i="1"/>
  <c r="AL497" i="1"/>
  <c r="AL1090" i="1"/>
  <c r="AL1058" i="1"/>
  <c r="AL833" i="1"/>
  <c r="AL801" i="1"/>
  <c r="AL668" i="1"/>
  <c r="AL636" i="1"/>
  <c r="AL548" i="1"/>
  <c r="AL516" i="1"/>
  <c r="AL1070" i="1"/>
  <c r="AL845" i="1"/>
  <c r="AL813" i="1"/>
  <c r="AL648" i="1"/>
  <c r="AL560" i="1"/>
  <c r="AL528" i="1"/>
  <c r="AL496" i="1"/>
  <c r="AL1050" i="1"/>
  <c r="AL825" i="1"/>
  <c r="AL793" i="1"/>
  <c r="AL660" i="1"/>
  <c r="AL628" i="1"/>
  <c r="AL540" i="1"/>
  <c r="AL508" i="1"/>
  <c r="AL1094" i="1"/>
  <c r="AL1062" i="1"/>
  <c r="AL837" i="1"/>
  <c r="AL805" i="1"/>
  <c r="AL640" i="1"/>
  <c r="AL552" i="1"/>
  <c r="AL520" i="1"/>
  <c r="AL442" i="1"/>
  <c r="AL1074" i="1"/>
  <c r="AL817" i="1"/>
  <c r="AL652" i="1"/>
  <c r="AL564" i="1"/>
  <c r="AL532" i="1"/>
  <c r="AL500" i="1"/>
  <c r="AL1086" i="1"/>
  <c r="AL1054" i="1"/>
  <c r="AL829" i="1"/>
  <c r="AL797" i="1"/>
  <c r="AL664" i="1"/>
  <c r="AL632" i="1"/>
  <c r="AL544" i="1"/>
  <c r="AL512" i="1"/>
  <c r="AL493" i="1"/>
  <c r="AL1098" i="1"/>
  <c r="AL1066" i="1"/>
  <c r="AL841" i="1"/>
  <c r="AL809" i="1"/>
  <c r="AL644" i="1"/>
  <c r="AL556" i="1"/>
  <c r="AL524" i="1"/>
  <c r="AL446" i="1"/>
  <c r="AL1078" i="1"/>
  <c r="AL499" i="1"/>
  <c r="AL531" i="1"/>
  <c r="AL651" i="1"/>
  <c r="AL694" i="1"/>
  <c r="AL702" i="1"/>
  <c r="AL710" i="1"/>
  <c r="AL718" i="1"/>
  <c r="AL726" i="1"/>
  <c r="AL750" i="1"/>
  <c r="AL758" i="1"/>
  <c r="AL766" i="1"/>
  <c r="AL774" i="1"/>
  <c r="AL782" i="1"/>
  <c r="AL816" i="1"/>
  <c r="AL992" i="1"/>
  <c r="AL1000" i="1"/>
  <c r="AL1008" i="1"/>
  <c r="AL1016" i="1"/>
  <c r="AL1024" i="1"/>
  <c r="AL1032" i="1"/>
  <c r="AL1073" i="1"/>
  <c r="AL1079" i="1"/>
  <c r="AL447" i="1"/>
  <c r="AL455" i="1"/>
  <c r="AL463" i="1"/>
  <c r="AL471" i="1"/>
  <c r="AL479" i="1"/>
  <c r="AL519" i="1"/>
  <c r="AL551" i="1"/>
  <c r="AL639" i="1"/>
  <c r="AL804" i="1"/>
  <c r="AL836" i="1"/>
  <c r="AL857" i="1"/>
  <c r="AL865" i="1"/>
  <c r="AL873" i="1"/>
  <c r="AL881" i="1"/>
  <c r="AL889" i="1"/>
  <c r="AL897" i="1"/>
  <c r="AL905" i="1"/>
  <c r="AL913" i="1"/>
  <c r="AL921" i="1"/>
  <c r="AL993" i="1"/>
  <c r="AL1001" i="1"/>
  <c r="AL1009" i="1"/>
  <c r="AL1017" i="1"/>
  <c r="AL1025" i="1"/>
  <c r="AL1033" i="1"/>
  <c r="AL1061" i="1"/>
  <c r="AL1067" i="1"/>
  <c r="AL1093" i="1"/>
  <c r="AL448" i="1"/>
  <c r="AL456" i="1"/>
  <c r="AL464" i="1"/>
  <c r="AL480" i="1"/>
  <c r="AL507" i="1"/>
  <c r="AL539" i="1"/>
  <c r="AL627" i="1"/>
  <c r="AL659" i="1"/>
  <c r="AL680" i="1"/>
  <c r="AL688" i="1"/>
  <c r="AL696" i="1"/>
  <c r="AL704" i="1"/>
  <c r="AL712" i="1"/>
  <c r="AL720" i="1"/>
  <c r="AL728" i="1"/>
  <c r="AL752" i="1"/>
  <c r="AL760" i="1"/>
  <c r="AL768" i="1"/>
  <c r="AL776" i="1"/>
  <c r="AL792" i="1"/>
  <c r="AL824" i="1"/>
  <c r="AL858" i="1"/>
  <c r="AL866" i="1"/>
  <c r="AL874" i="1"/>
  <c r="AL882" i="1"/>
  <c r="AL890" i="1"/>
  <c r="AL898" i="1"/>
  <c r="AL906" i="1"/>
  <c r="AL914" i="1"/>
  <c r="AL922" i="1"/>
  <c r="AL930" i="1"/>
  <c r="AL994" i="1"/>
  <c r="AL1002" i="1"/>
  <c r="AL1010" i="1"/>
  <c r="AL1018" i="1"/>
  <c r="AL1026" i="1"/>
  <c r="AL1034" i="1"/>
  <c r="AL1049" i="1"/>
  <c r="AL1081" i="1"/>
  <c r="AL1087" i="1"/>
  <c r="AL449" i="1"/>
  <c r="AL457" i="1"/>
  <c r="AL465" i="1"/>
  <c r="AL473" i="1"/>
  <c r="AL495" i="1"/>
  <c r="AL527" i="1"/>
  <c r="AL559" i="1"/>
  <c r="AL647" i="1"/>
  <c r="AL681" i="1"/>
  <c r="AL689" i="1"/>
  <c r="AL697" i="1"/>
  <c r="AL705" i="1"/>
  <c r="AL713" i="1"/>
  <c r="AL721" i="1"/>
  <c r="AL729" i="1"/>
  <c r="AL753" i="1"/>
  <c r="AL761" i="1"/>
  <c r="AL769" i="1"/>
  <c r="AL777" i="1"/>
  <c r="AL812" i="1"/>
  <c r="AL844" i="1"/>
  <c r="AL859" i="1"/>
  <c r="AL867" i="1"/>
  <c r="AL875" i="1"/>
  <c r="AL883" i="1"/>
  <c r="AL891" i="1"/>
  <c r="AL907" i="1"/>
  <c r="AL915" i="1"/>
  <c r="AL923" i="1"/>
  <c r="AL931" i="1"/>
  <c r="AL995" i="1"/>
  <c r="AL1003" i="1"/>
  <c r="AL1011" i="1"/>
  <c r="AL1019" i="1"/>
  <c r="AL1027" i="1"/>
  <c r="AL1035" i="1"/>
  <c r="AL1069" i="1"/>
  <c r="AL1075" i="1"/>
  <c r="AL443" i="1"/>
  <c r="AL515" i="1"/>
  <c r="AL547" i="1"/>
  <c r="AL635" i="1"/>
  <c r="AL667" i="1"/>
  <c r="AL682" i="1"/>
  <c r="AL690" i="1"/>
  <c r="AL698" i="1"/>
  <c r="AL706" i="1"/>
  <c r="AL714" i="1"/>
  <c r="AL722" i="1"/>
  <c r="AL730" i="1"/>
  <c r="AL754" i="1"/>
  <c r="AL762" i="1"/>
  <c r="AL770" i="1"/>
  <c r="AL800" i="1"/>
  <c r="AL832" i="1"/>
  <c r="AL996" i="1"/>
  <c r="AL1004" i="1"/>
  <c r="AL1012" i="1"/>
  <c r="AL1020" i="1"/>
  <c r="AL1028" i="1"/>
  <c r="AL1057" i="1"/>
  <c r="AL1063" i="1"/>
  <c r="AL1089" i="1"/>
  <c r="AL1095" i="1"/>
  <c r="AL444" i="1"/>
  <c r="AL451" i="1"/>
  <c r="AL459" i="1"/>
  <c r="AL467" i="1"/>
  <c r="AL475" i="1"/>
  <c r="AL491" i="1"/>
  <c r="AL503" i="1"/>
  <c r="AL535" i="1"/>
  <c r="AL567" i="1"/>
  <c r="AL820" i="1"/>
  <c r="AL861" i="1"/>
  <c r="AL869" i="1"/>
  <c r="AL877" i="1"/>
  <c r="AL885" i="1"/>
  <c r="AL893" i="1"/>
  <c r="AL901" i="1"/>
  <c r="AL909" i="1"/>
  <c r="AL917" i="1"/>
  <c r="AL925" i="1"/>
  <c r="AL933" i="1"/>
  <c r="AL997" i="1"/>
  <c r="AL1005" i="1"/>
  <c r="AL1013" i="1"/>
  <c r="AL1029" i="1"/>
  <c r="AL1045" i="1"/>
  <c r="AL1077" i="1"/>
  <c r="AL1083" i="1"/>
  <c r="AL445" i="1"/>
  <c r="AL452" i="1"/>
  <c r="AL460" i="1"/>
  <c r="AL468" i="1"/>
  <c r="AL476" i="1"/>
  <c r="AL523" i="1"/>
  <c r="AL555" i="1"/>
  <c r="AL643" i="1"/>
  <c r="AL684" i="1"/>
  <c r="AL692" i="1"/>
  <c r="AL700" i="1"/>
  <c r="AL708" i="1"/>
  <c r="AL724" i="1"/>
  <c r="AL732" i="1"/>
  <c r="AL756" i="1"/>
  <c r="AL764" i="1"/>
  <c r="AL772" i="1"/>
  <c r="AL780" i="1"/>
  <c r="AL808" i="1"/>
  <c r="AL840" i="1"/>
  <c r="AL862" i="1"/>
  <c r="AL870" i="1"/>
  <c r="AL878" i="1"/>
  <c r="AL886" i="1"/>
  <c r="AL894" i="1"/>
  <c r="AL902" i="1"/>
  <c r="AL910" i="1"/>
  <c r="AL918" i="1"/>
  <c r="AL926" i="1"/>
  <c r="AL990" i="1"/>
  <c r="AL998" i="1"/>
  <c r="AL1006" i="1"/>
  <c r="AL1014" i="1"/>
  <c r="AL1022" i="1"/>
  <c r="AL1030" i="1"/>
  <c r="AL1065" i="1"/>
  <c r="AL1071" i="1"/>
  <c r="AL1097" i="1"/>
  <c r="AH1097" i="1"/>
  <c r="AH1093" i="1"/>
  <c r="AH1089" i="1"/>
  <c r="AH1085" i="1"/>
  <c r="AH1081" i="1"/>
  <c r="AH1077" i="1"/>
  <c r="AH1073" i="1"/>
  <c r="AH1069" i="1"/>
  <c r="AH1065" i="1"/>
  <c r="AH1061" i="1"/>
  <c r="AH1057" i="1"/>
  <c r="AH1053" i="1"/>
  <c r="AH1049" i="1"/>
  <c r="AH1045" i="1"/>
  <c r="AH659" i="1"/>
  <c r="AH651" i="1"/>
  <c r="AH647" i="1"/>
  <c r="AH643" i="1"/>
  <c r="AH639" i="1"/>
  <c r="AH635" i="1"/>
  <c r="AH631" i="1"/>
  <c r="AH627" i="1"/>
  <c r="AH567" i="1"/>
  <c r="AH559" i="1"/>
  <c r="AH555" i="1"/>
  <c r="AH551" i="1"/>
  <c r="AH547" i="1"/>
  <c r="AH543" i="1"/>
  <c r="AH539" i="1"/>
  <c r="AH535" i="1"/>
  <c r="AH531" i="1"/>
  <c r="AH527" i="1"/>
  <c r="AH523" i="1"/>
  <c r="AH519" i="1"/>
  <c r="AH515" i="1"/>
  <c r="AH511" i="1"/>
  <c r="AH507" i="1"/>
  <c r="AH503" i="1"/>
  <c r="AH499" i="1"/>
  <c r="AH495" i="1"/>
  <c r="AH491" i="1"/>
  <c r="AH414" i="1"/>
  <c r="AH410" i="1"/>
  <c r="AH406" i="1"/>
  <c r="AH1032" i="1"/>
  <c r="AH1028" i="1"/>
  <c r="AH1024" i="1"/>
  <c r="AH1020" i="1"/>
  <c r="AH1016" i="1"/>
  <c r="AH1012" i="1"/>
  <c r="AH1008" i="1"/>
  <c r="AH1004" i="1"/>
  <c r="AH1000" i="1"/>
  <c r="AH996" i="1"/>
  <c r="AH992" i="1"/>
  <c r="AH932" i="1"/>
  <c r="AH928" i="1"/>
  <c r="AH924" i="1"/>
  <c r="AH920" i="1"/>
  <c r="AH916" i="1"/>
  <c r="AH912" i="1"/>
  <c r="AH908" i="1"/>
  <c r="AH904" i="1"/>
  <c r="AH900" i="1"/>
  <c r="AH896" i="1"/>
  <c r="AH892" i="1"/>
  <c r="AH888" i="1"/>
  <c r="AH884" i="1"/>
  <c r="AH880" i="1"/>
  <c r="AH876" i="1"/>
  <c r="AH872" i="1"/>
  <c r="AH864" i="1"/>
  <c r="AH860" i="1"/>
  <c r="AH856" i="1"/>
  <c r="AH779" i="1"/>
  <c r="AH775" i="1"/>
  <c r="AH771" i="1"/>
  <c r="AH767" i="1"/>
  <c r="AH763" i="1"/>
  <c r="AH759" i="1"/>
  <c r="AH755" i="1"/>
  <c r="AH751" i="1"/>
  <c r="AH731" i="1"/>
  <c r="AH727" i="1"/>
  <c r="AH723" i="1"/>
  <c r="AH719" i="1"/>
  <c r="AH715" i="1"/>
  <c r="AH711" i="1"/>
  <c r="AH707" i="1"/>
  <c r="AH703" i="1"/>
  <c r="AH699" i="1"/>
  <c r="AH695" i="1"/>
  <c r="AH691" i="1"/>
  <c r="AH687" i="1"/>
  <c r="AH683" i="1"/>
  <c r="AH478" i="1"/>
  <c r="AH474" i="1"/>
  <c r="AH470" i="1"/>
  <c r="AH466" i="1"/>
  <c r="AH462" i="1"/>
  <c r="AH458" i="1"/>
  <c r="AH454" i="1"/>
  <c r="AH450" i="1"/>
  <c r="AH446" i="1"/>
  <c r="AH442" i="1"/>
  <c r="AH438" i="1"/>
  <c r="AH434" i="1"/>
  <c r="AH430" i="1"/>
  <c r="AH1095" i="1"/>
  <c r="AH1091" i="1"/>
  <c r="AH1087" i="1"/>
  <c r="AH1083" i="1"/>
  <c r="AH1079" i="1"/>
  <c r="AH1075" i="1"/>
  <c r="AH1071" i="1"/>
  <c r="AH1067" i="1"/>
  <c r="AH1063" i="1"/>
  <c r="AH1059" i="1"/>
  <c r="AH1055" i="1"/>
  <c r="AH1051" i="1"/>
  <c r="AH1047" i="1"/>
  <c r="AH842" i="1"/>
  <c r="AH834" i="1"/>
  <c r="AH830" i="1"/>
  <c r="AH826" i="1"/>
  <c r="AH822" i="1"/>
  <c r="AH818" i="1"/>
  <c r="AH814" i="1"/>
  <c r="AH810" i="1"/>
  <c r="AH806" i="1"/>
  <c r="AH802" i="1"/>
  <c r="AH798" i="1"/>
  <c r="AH794" i="1"/>
  <c r="AH669" i="1"/>
  <c r="AH665" i="1"/>
  <c r="AH661" i="1"/>
  <c r="AH657" i="1"/>
  <c r="AH653" i="1"/>
  <c r="AH649" i="1"/>
  <c r="AH645" i="1"/>
  <c r="AH641" i="1"/>
  <c r="AH637" i="1"/>
  <c r="AH633" i="1"/>
  <c r="AH629" i="1"/>
  <c r="AH565" i="1"/>
  <c r="AH561" i="1"/>
  <c r="AH557" i="1"/>
  <c r="AH553" i="1"/>
  <c r="AH549" i="1"/>
  <c r="AH545" i="1"/>
  <c r="AH541" i="1"/>
  <c r="AH537" i="1"/>
  <c r="AH529" i="1"/>
  <c r="AH525" i="1"/>
  <c r="AH521" i="1"/>
  <c r="AH517" i="1"/>
  <c r="AH513" i="1"/>
  <c r="AH509" i="1"/>
  <c r="AH505" i="1"/>
  <c r="AH501" i="1"/>
  <c r="AH497" i="1"/>
  <c r="AH493" i="1"/>
  <c r="AH1034" i="1"/>
  <c r="AH1030" i="1"/>
  <c r="AH1026" i="1"/>
  <c r="AH1022" i="1"/>
  <c r="AH1018" i="1"/>
  <c r="AH1014" i="1"/>
  <c r="AH1010" i="1"/>
  <c r="AH1006" i="1"/>
  <c r="AH1002" i="1"/>
  <c r="AH998" i="1"/>
  <c r="AH994" i="1"/>
  <c r="AH990" i="1"/>
  <c r="AH930" i="1"/>
  <c r="AH926" i="1"/>
  <c r="AH922" i="1"/>
  <c r="AH918" i="1"/>
  <c r="AH914" i="1"/>
  <c r="AH910" i="1"/>
  <c r="AH906" i="1"/>
  <c r="AH902" i="1"/>
  <c r="AH898" i="1"/>
  <c r="AH894" i="1"/>
  <c r="AH890" i="1"/>
  <c r="AH886" i="1"/>
  <c r="AH882" i="1"/>
  <c r="AH878" i="1"/>
  <c r="AH874" i="1"/>
  <c r="AH870" i="1"/>
  <c r="AH866" i="1"/>
  <c r="AH862" i="1"/>
  <c r="AH858" i="1"/>
  <c r="AH781" i="1"/>
  <c r="AH777" i="1"/>
  <c r="AH773" i="1"/>
  <c r="AH769" i="1"/>
  <c r="AH765" i="1"/>
  <c r="AH761" i="1"/>
  <c r="AH757" i="1"/>
  <c r="AH753" i="1"/>
  <c r="AH733" i="1"/>
  <c r="AH729" i="1"/>
  <c r="AH725" i="1"/>
  <c r="AH721" i="1"/>
  <c r="AH717" i="1"/>
  <c r="AH713" i="1"/>
  <c r="AH709" i="1"/>
  <c r="AH705" i="1"/>
  <c r="AH701" i="1"/>
  <c r="AH697" i="1"/>
  <c r="AH693" i="1"/>
  <c r="AH689" i="1"/>
  <c r="AH685" i="1"/>
  <c r="AH681" i="1"/>
  <c r="AH480" i="1"/>
  <c r="AH476" i="1"/>
  <c r="AH468" i="1"/>
  <c r="AH464" i="1"/>
  <c r="AH460" i="1"/>
  <c r="AH456" i="1"/>
  <c r="AH452" i="1"/>
  <c r="AH448" i="1"/>
  <c r="AH444" i="1"/>
  <c r="AH440" i="1"/>
  <c r="AH436" i="1"/>
  <c r="AH432" i="1"/>
  <c r="AH428" i="1"/>
  <c r="AH1013" i="1"/>
  <c r="AH925" i="1"/>
  <c r="AH893" i="1"/>
  <c r="AH861" i="1"/>
  <c r="AH776" i="1"/>
  <c r="AH728" i="1"/>
  <c r="AH696" i="1"/>
  <c r="AH471" i="1"/>
  <c r="AH439" i="1"/>
  <c r="AH412" i="1"/>
  <c r="AH400" i="1"/>
  <c r="AH1025" i="1"/>
  <c r="AH993" i="1"/>
  <c r="AH905" i="1"/>
  <c r="AH873" i="1"/>
  <c r="AH756" i="1"/>
  <c r="AH708" i="1"/>
  <c r="AH451" i="1"/>
  <c r="AH1005" i="1"/>
  <c r="AH917" i="1"/>
  <c r="AH885" i="1"/>
  <c r="AH768" i="1"/>
  <c r="AH720" i="1"/>
  <c r="AH688" i="1"/>
  <c r="AH463" i="1"/>
  <c r="AH431" i="1"/>
  <c r="AH404" i="1"/>
  <c r="AH388" i="1"/>
  <c r="AH1017" i="1"/>
  <c r="AH897" i="1"/>
  <c r="AH865" i="1"/>
  <c r="AH780" i="1"/>
  <c r="AH732" i="1"/>
  <c r="AH700" i="1"/>
  <c r="AH475" i="1"/>
  <c r="AH443" i="1"/>
  <c r="AH416" i="1"/>
  <c r="AH398" i="1"/>
  <c r="AH1029" i="1"/>
  <c r="AH997" i="1"/>
  <c r="AH909" i="1"/>
  <c r="AH877" i="1"/>
  <c r="AH760" i="1"/>
  <c r="AH712" i="1"/>
  <c r="AH680" i="1"/>
  <c r="AH455" i="1"/>
  <c r="AH392" i="1"/>
  <c r="AH1009" i="1"/>
  <c r="AH921" i="1"/>
  <c r="AH889" i="1"/>
  <c r="AH857" i="1"/>
  <c r="AH772" i="1"/>
  <c r="AH724" i="1"/>
  <c r="AH692" i="1"/>
  <c r="AH467" i="1"/>
  <c r="AH435" i="1"/>
  <c r="AH408" i="1"/>
  <c r="AH402" i="1"/>
  <c r="AH1033" i="1"/>
  <c r="AH1001" i="1"/>
  <c r="AH913" i="1"/>
  <c r="AH881" i="1"/>
  <c r="AH764" i="1"/>
  <c r="AH684" i="1"/>
  <c r="AH459" i="1"/>
  <c r="AH427" i="1"/>
  <c r="AH386" i="1"/>
  <c r="AH394" i="1"/>
  <c r="AH479" i="1"/>
  <c r="AH663" i="1"/>
  <c r="T869" i="1"/>
  <c r="AG13" i="1"/>
  <c r="AH473" i="1"/>
  <c r="AH869" i="1"/>
  <c r="AH1050" i="1"/>
  <c r="AH1058" i="1"/>
  <c r="AH1066" i="1"/>
  <c r="AH1074" i="1"/>
  <c r="AH1090" i="1"/>
  <c r="AH1098" i="1"/>
  <c r="AH704" i="1"/>
  <c r="AH863" i="1"/>
  <c r="AH901" i="1"/>
  <c r="AH396" i="1"/>
  <c r="AH698" i="1"/>
  <c r="AH752" i="1"/>
  <c r="AH895" i="1"/>
  <c r="AH933" i="1"/>
  <c r="AH390" i="1"/>
  <c r="AH730" i="1"/>
  <c r="AH793" i="1"/>
  <c r="AH801" i="1"/>
  <c r="AH809" i="1"/>
  <c r="AH817" i="1"/>
  <c r="AH825" i="1"/>
  <c r="AH833" i="1"/>
  <c r="AH841" i="1"/>
  <c r="AH927" i="1"/>
  <c r="AH391" i="1"/>
  <c r="AH1015" i="1"/>
  <c r="AH447" i="1"/>
  <c r="AH385" i="1"/>
  <c r="AH401" i="1"/>
  <c r="AH407" i="1"/>
  <c r="AH453" i="1"/>
  <c r="AH494" i="1"/>
  <c r="AH510" i="1"/>
  <c r="AH518" i="1"/>
  <c r="AH526" i="1"/>
  <c r="AH534" i="1"/>
  <c r="AH542" i="1"/>
  <c r="AH550" i="1"/>
  <c r="AH558" i="1"/>
  <c r="AH566" i="1"/>
  <c r="AH630" i="1"/>
  <c r="AH638" i="1"/>
  <c r="AH646" i="1"/>
  <c r="AH654" i="1"/>
  <c r="AH662" i="1"/>
  <c r="AH670" i="1"/>
  <c r="AH710" i="1"/>
  <c r="AH758" i="1"/>
  <c r="AH792" i="1"/>
  <c r="AH800" i="1"/>
  <c r="AH808" i="1"/>
  <c r="AH816" i="1"/>
  <c r="AH824" i="1"/>
  <c r="AH832" i="1"/>
  <c r="AH840" i="1"/>
  <c r="AH875" i="1"/>
  <c r="AH907" i="1"/>
  <c r="AH995" i="1"/>
  <c r="AH1027" i="1"/>
  <c r="AH397" i="1"/>
  <c r="AH415" i="1"/>
  <c r="AH429" i="1"/>
  <c r="AH461" i="1"/>
  <c r="AH496" i="1"/>
  <c r="AH504" i="1"/>
  <c r="AH512" i="1"/>
  <c r="AH520" i="1"/>
  <c r="AH528" i="1"/>
  <c r="AH536" i="1"/>
  <c r="AH544" i="1"/>
  <c r="AH552" i="1"/>
  <c r="AH560" i="1"/>
  <c r="AH568" i="1"/>
  <c r="AH632" i="1"/>
  <c r="AH640" i="1"/>
  <c r="AH648" i="1"/>
  <c r="AH656" i="1"/>
  <c r="AH664" i="1"/>
  <c r="AH718" i="1"/>
  <c r="AH766" i="1"/>
  <c r="AH883" i="1"/>
  <c r="AH915" i="1"/>
  <c r="AH1003" i="1"/>
  <c r="AH1035" i="1"/>
  <c r="AH387" i="1"/>
  <c r="AH403" i="1"/>
  <c r="AH409" i="1"/>
  <c r="AH449" i="1"/>
  <c r="AH706" i="1"/>
  <c r="AH754" i="1"/>
  <c r="AH795" i="1"/>
  <c r="AH803" i="1"/>
  <c r="AH811" i="1"/>
  <c r="AH819" i="1"/>
  <c r="AH827" i="1"/>
  <c r="AH835" i="1"/>
  <c r="AH843" i="1"/>
  <c r="AH871" i="1"/>
  <c r="AH903" i="1"/>
  <c r="AH1023" i="1"/>
  <c r="AH1060" i="1"/>
  <c r="AH1068" i="1"/>
  <c r="AH1076" i="1"/>
  <c r="AH1084" i="1"/>
  <c r="AH1092" i="1"/>
  <c r="AH393" i="1"/>
  <c r="AH437" i="1"/>
  <c r="AH469" i="1"/>
  <c r="AH490" i="1"/>
  <c r="AH498" i="1"/>
  <c r="AH506" i="1"/>
  <c r="AH514" i="1"/>
  <c r="AH522" i="1"/>
  <c r="AH530" i="1"/>
  <c r="AH538" i="1"/>
  <c r="AH546" i="1"/>
  <c r="AH554" i="1"/>
  <c r="AH562" i="1"/>
  <c r="AH626" i="1"/>
  <c r="AH634" i="1"/>
  <c r="AH642" i="1"/>
  <c r="AH650" i="1"/>
  <c r="AH658" i="1"/>
  <c r="AH666" i="1"/>
  <c r="AH694" i="1"/>
  <c r="AH726" i="1"/>
  <c r="AH774" i="1"/>
  <c r="AH796" i="1"/>
  <c r="AH804" i="1"/>
  <c r="AH812" i="1"/>
  <c r="AH820" i="1"/>
  <c r="AH828" i="1"/>
  <c r="AH836" i="1"/>
  <c r="AH844" i="1"/>
  <c r="AH859" i="1"/>
  <c r="AH891" i="1"/>
  <c r="AH923" i="1"/>
  <c r="AH1011" i="1"/>
  <c r="AH399" i="1"/>
  <c r="AH411" i="1"/>
  <c r="AH417" i="1"/>
  <c r="AH457" i="1"/>
  <c r="AH667" i="1"/>
  <c r="AH682" i="1"/>
  <c r="AH714" i="1"/>
  <c r="AH762" i="1"/>
  <c r="AH797" i="1"/>
  <c r="AH805" i="1"/>
  <c r="AH813" i="1"/>
  <c r="AH821" i="1"/>
  <c r="AH829" i="1"/>
  <c r="AH837" i="1"/>
  <c r="AH845" i="1"/>
  <c r="AH879" i="1"/>
  <c r="AH911" i="1"/>
  <c r="AH999" i="1"/>
  <c r="AH1031" i="1"/>
  <c r="AH1046" i="1"/>
  <c r="AH1054" i="1"/>
  <c r="AH1062" i="1"/>
  <c r="AH1070" i="1"/>
  <c r="AH1078" i="1"/>
  <c r="AH1086" i="1"/>
  <c r="AH1094" i="1"/>
  <c r="AH389" i="1"/>
  <c r="AH405" i="1"/>
  <c r="AH445" i="1"/>
  <c r="AH477" i="1"/>
  <c r="AH492" i="1"/>
  <c r="AH500" i="1"/>
  <c r="AH508" i="1"/>
  <c r="AH516" i="1"/>
  <c r="AH524" i="1"/>
  <c r="AH532" i="1"/>
  <c r="AH540" i="1"/>
  <c r="AH548" i="1"/>
  <c r="AH556" i="1"/>
  <c r="AH564" i="1"/>
  <c r="AH628" i="1"/>
  <c r="AH636" i="1"/>
  <c r="AH644" i="1"/>
  <c r="AH652" i="1"/>
  <c r="AH660" i="1"/>
  <c r="AH668" i="1"/>
  <c r="AH702" i="1"/>
  <c r="AH750" i="1"/>
  <c r="AH782" i="1"/>
  <c r="AH867" i="1"/>
  <c r="AH931" i="1"/>
  <c r="AH1019" i="1"/>
  <c r="AH395" i="1"/>
  <c r="AH433" i="1"/>
  <c r="AH465" i="1"/>
  <c r="AH690" i="1"/>
  <c r="AH722" i="1"/>
  <c r="AH770" i="1"/>
  <c r="AH799" i="1"/>
  <c r="AH815" i="1"/>
  <c r="AH823" i="1"/>
  <c r="AH831" i="1"/>
  <c r="AH839" i="1"/>
  <c r="AH855" i="1"/>
  <c r="AH887" i="1"/>
  <c r="AH919" i="1"/>
  <c r="AH1007" i="1"/>
  <c r="AH1048" i="1"/>
  <c r="AH1056" i="1"/>
  <c r="AH1064" i="1"/>
  <c r="AH1072" i="1"/>
  <c r="AH1080" i="1"/>
  <c r="AH1088" i="1"/>
  <c r="AH1096" i="1"/>
  <c r="AB1057" i="1"/>
  <c r="AB1065" i="1"/>
  <c r="AB1073" i="1"/>
  <c r="AB1081" i="1"/>
  <c r="AB1089" i="1"/>
  <c r="AB395" i="1"/>
  <c r="AB403" i="1"/>
  <c r="AB801" i="1"/>
  <c r="AB817" i="1"/>
  <c r="AB825" i="1"/>
  <c r="AB841" i="1"/>
  <c r="AB865" i="1"/>
  <c r="AB881" i="1"/>
  <c r="AB897" i="1"/>
  <c r="AB913" i="1"/>
  <c r="AB993" i="1"/>
  <c r="AB1009" i="1"/>
  <c r="AB1025" i="1"/>
  <c r="AB1049" i="1"/>
  <c r="AB433" i="1"/>
  <c r="AB438" i="1"/>
  <c r="AB449" i="1"/>
  <c r="AB454" i="1"/>
  <c r="AB465" i="1"/>
  <c r="AB470" i="1"/>
  <c r="AB490" i="1"/>
  <c r="AB498" i="1"/>
  <c r="AB506" i="1"/>
  <c r="AB514" i="1"/>
  <c r="AB522" i="1"/>
  <c r="AB530" i="1"/>
  <c r="AB538" i="1"/>
  <c r="AB546" i="1"/>
  <c r="AB554" i="1"/>
  <c r="AB562" i="1"/>
  <c r="AB626" i="1"/>
  <c r="AB634" i="1"/>
  <c r="AB642" i="1"/>
  <c r="AB650" i="1"/>
  <c r="AB658" i="1"/>
  <c r="AB666" i="1"/>
  <c r="AB1050" i="1"/>
  <c r="AB1058" i="1"/>
  <c r="AB1066" i="1"/>
  <c r="AB1074" i="1"/>
  <c r="AB1090" i="1"/>
  <c r="AB1098" i="1"/>
  <c r="AB411" i="1"/>
  <c r="AB793" i="1"/>
  <c r="AB809" i="1"/>
  <c r="AB833" i="1"/>
  <c r="AB857" i="1"/>
  <c r="AB873" i="1"/>
  <c r="AB889" i="1"/>
  <c r="AB905" i="1"/>
  <c r="AB921" i="1"/>
  <c r="AB1001" i="1"/>
  <c r="AB1017" i="1"/>
  <c r="AB1033" i="1"/>
  <c r="AB1097" i="1"/>
  <c r="AB389" i="1"/>
  <c r="AB397" i="1"/>
  <c r="AB405" i="1"/>
  <c r="AB491" i="1"/>
  <c r="AB499" i="1"/>
  <c r="AB507" i="1"/>
  <c r="AB515" i="1"/>
  <c r="AB523" i="1"/>
  <c r="AB531" i="1"/>
  <c r="AB539" i="1"/>
  <c r="AB547" i="1"/>
  <c r="AB555" i="1"/>
  <c r="AB627" i="1"/>
  <c r="AB635" i="1"/>
  <c r="AB643" i="1"/>
  <c r="AB651" i="1"/>
  <c r="AB659" i="1"/>
  <c r="AB667" i="1"/>
  <c r="AB795" i="1"/>
  <c r="AB803" i="1"/>
  <c r="AB811" i="1"/>
  <c r="AB819" i="1"/>
  <c r="AB827" i="1"/>
  <c r="AB835" i="1"/>
  <c r="AB843" i="1"/>
  <c r="AB1083" i="1"/>
  <c r="AB1091" i="1"/>
  <c r="AB390" i="1"/>
  <c r="AB398" i="1"/>
  <c r="AB406" i="1"/>
  <c r="AB414" i="1"/>
  <c r="AB429" i="1"/>
  <c r="AB434" i="1"/>
  <c r="AB445" i="1"/>
  <c r="AB450" i="1"/>
  <c r="AB461" i="1"/>
  <c r="AB466" i="1"/>
  <c r="AB477" i="1"/>
  <c r="AB492" i="1"/>
  <c r="AB500" i="1"/>
  <c r="AB508" i="1"/>
  <c r="AB516" i="1"/>
  <c r="AB524" i="1"/>
  <c r="AB532" i="1"/>
  <c r="AB540" i="1"/>
  <c r="AB548" i="1"/>
  <c r="AB556" i="1"/>
  <c r="AB564" i="1"/>
  <c r="AB628" i="1"/>
  <c r="AB636" i="1"/>
  <c r="AB644" i="1"/>
  <c r="AB652" i="1"/>
  <c r="AB660" i="1"/>
  <c r="AB668" i="1"/>
  <c r="AB724" i="1"/>
  <c r="AB732" i="1"/>
  <c r="AB756" i="1"/>
  <c r="AB764" i="1"/>
  <c r="AB772" i="1"/>
  <c r="AB780" i="1"/>
  <c r="AB796" i="1"/>
  <c r="AB804" i="1"/>
  <c r="AB812" i="1"/>
  <c r="AB820" i="1"/>
  <c r="AB828" i="1"/>
  <c r="AB836" i="1"/>
  <c r="AB844" i="1"/>
  <c r="AB1060" i="1"/>
  <c r="AB1068" i="1"/>
  <c r="AB1076" i="1"/>
  <c r="AB1084" i="1"/>
  <c r="AB1092" i="1"/>
  <c r="AB391" i="1"/>
  <c r="AB399" i="1"/>
  <c r="AB407" i="1"/>
  <c r="AB415" i="1"/>
  <c r="AB797" i="1"/>
  <c r="AB805" i="1"/>
  <c r="AB813" i="1"/>
  <c r="AB821" i="1"/>
  <c r="AB829" i="1"/>
  <c r="AB837" i="1"/>
  <c r="AB845" i="1"/>
  <c r="AB861" i="1"/>
  <c r="AB869" i="1"/>
  <c r="AB877" i="1"/>
  <c r="AB885" i="1"/>
  <c r="AB893" i="1"/>
  <c r="AB901" i="1"/>
  <c r="AB909" i="1"/>
  <c r="AB917" i="1"/>
  <c r="AB925" i="1"/>
  <c r="AB933" i="1"/>
  <c r="AB997" i="1"/>
  <c r="AB1005" i="1"/>
  <c r="AB1013" i="1"/>
  <c r="AB1029" i="1"/>
  <c r="AB1045" i="1"/>
  <c r="AB1053" i="1"/>
  <c r="AB1061" i="1"/>
  <c r="AB1069" i="1"/>
  <c r="AB1077" i="1"/>
  <c r="AB1085" i="1"/>
  <c r="AB1093" i="1"/>
  <c r="AB430" i="1"/>
  <c r="AB446" i="1"/>
  <c r="AB457" i="1"/>
  <c r="AB462" i="1"/>
  <c r="AB473" i="1"/>
  <c r="AB494" i="1"/>
  <c r="AB510" i="1"/>
  <c r="AB518" i="1"/>
  <c r="AB526" i="1"/>
  <c r="AB534" i="1"/>
  <c r="AB542" i="1"/>
  <c r="AB550" i="1"/>
  <c r="AB558" i="1"/>
  <c r="AB566" i="1"/>
  <c r="AB630" i="1"/>
  <c r="AB638" i="1"/>
  <c r="AB646" i="1"/>
  <c r="AB654" i="1"/>
  <c r="AB662" i="1"/>
  <c r="AB670" i="1"/>
  <c r="AB1046" i="1"/>
  <c r="AB1054" i="1"/>
  <c r="AB1062" i="1"/>
  <c r="AB1070" i="1"/>
  <c r="AB1078" i="1"/>
  <c r="AB1086" i="1"/>
  <c r="AB1094" i="1"/>
  <c r="AB1032" i="1"/>
  <c r="AB1028" i="1"/>
  <c r="AB1024" i="1"/>
  <c r="AB1020" i="1"/>
  <c r="AB1016" i="1"/>
  <c r="AB1012" i="1"/>
  <c r="AB1008" i="1"/>
  <c r="AB1004" i="1"/>
  <c r="AB1000" i="1"/>
  <c r="AB996" i="1"/>
  <c r="AB992" i="1"/>
  <c r="AB932" i="1"/>
  <c r="AB928" i="1"/>
  <c r="AB924" i="1"/>
  <c r="AB920" i="1"/>
  <c r="AB916" i="1"/>
  <c r="AB912" i="1"/>
  <c r="AB908" i="1"/>
  <c r="AB904" i="1"/>
  <c r="AB900" i="1"/>
  <c r="AB896" i="1"/>
  <c r="AB892" i="1"/>
  <c r="AB888" i="1"/>
  <c r="AB884" i="1"/>
  <c r="AB880" i="1"/>
  <c r="AB876" i="1"/>
  <c r="AB872" i="1"/>
  <c r="AB864" i="1"/>
  <c r="AB860" i="1"/>
  <c r="AB856" i="1"/>
  <c r="AB779" i="1"/>
  <c r="AB775" i="1"/>
  <c r="AB771" i="1"/>
  <c r="AB767" i="1"/>
  <c r="AB763" i="1"/>
  <c r="AB759" i="1"/>
  <c r="AB755" i="1"/>
  <c r="AB751" i="1"/>
  <c r="AB731" i="1"/>
  <c r="AB727" i="1"/>
  <c r="AB723" i="1"/>
  <c r="AB719" i="1"/>
  <c r="AB715" i="1"/>
  <c r="AB711" i="1"/>
  <c r="AB707" i="1"/>
  <c r="AB703" i="1"/>
  <c r="AB699" i="1"/>
  <c r="AB695" i="1"/>
  <c r="AB691" i="1"/>
  <c r="AB687" i="1"/>
  <c r="AB683" i="1"/>
  <c r="AB1035" i="1"/>
  <c r="AB1031" i="1"/>
  <c r="AB1027" i="1"/>
  <c r="AB1023" i="1"/>
  <c r="AB1019" i="1"/>
  <c r="AB1015" i="1"/>
  <c r="AB1011" i="1"/>
  <c r="AB1007" i="1"/>
  <c r="AB1003" i="1"/>
  <c r="AB999" i="1"/>
  <c r="AB995" i="1"/>
  <c r="AB931" i="1"/>
  <c r="AB927" i="1"/>
  <c r="AB923" i="1"/>
  <c r="AB919" i="1"/>
  <c r="AB915" i="1"/>
  <c r="AB911" i="1"/>
  <c r="AB907" i="1"/>
  <c r="AB903" i="1"/>
  <c r="AB895" i="1"/>
  <c r="AB891" i="1"/>
  <c r="AB887" i="1"/>
  <c r="AB883" i="1"/>
  <c r="AB879" i="1"/>
  <c r="AB875" i="1"/>
  <c r="AB871" i="1"/>
  <c r="AB867" i="1"/>
  <c r="AB863" i="1"/>
  <c r="AB859" i="1"/>
  <c r="AB855" i="1"/>
  <c r="AB782" i="1"/>
  <c r="AB774" i="1"/>
  <c r="AB770" i="1"/>
  <c r="AB766" i="1"/>
  <c r="AB762" i="1"/>
  <c r="AB758" i="1"/>
  <c r="AB754" i="1"/>
  <c r="AB750" i="1"/>
  <c r="AB730" i="1"/>
  <c r="AB726" i="1"/>
  <c r="AB722" i="1"/>
  <c r="AB718" i="1"/>
  <c r="AB714" i="1"/>
  <c r="AB710" i="1"/>
  <c r="AB706" i="1"/>
  <c r="AB702" i="1"/>
  <c r="AB698" i="1"/>
  <c r="AB694" i="1"/>
  <c r="AB690" i="1"/>
  <c r="AB682" i="1"/>
  <c r="AB1075" i="1"/>
  <c r="AB1071" i="1"/>
  <c r="AB1067" i="1"/>
  <c r="AB1063" i="1"/>
  <c r="AB1059" i="1"/>
  <c r="AB1055" i="1"/>
  <c r="AB1051" i="1"/>
  <c r="AB1047" i="1"/>
  <c r="AB842" i="1"/>
  <c r="AB834" i="1"/>
  <c r="AB830" i="1"/>
  <c r="AB826" i="1"/>
  <c r="AB822" i="1"/>
  <c r="AB818" i="1"/>
  <c r="AB814" i="1"/>
  <c r="AB810" i="1"/>
  <c r="AB806" i="1"/>
  <c r="AB802" i="1"/>
  <c r="AB798" i="1"/>
  <c r="AB794" i="1"/>
  <c r="AB669" i="1"/>
  <c r="AB665" i="1"/>
  <c r="AB661" i="1"/>
  <c r="AB657" i="1"/>
  <c r="AB653" i="1"/>
  <c r="AB649" i="1"/>
  <c r="AB645" i="1"/>
  <c r="AB641" i="1"/>
  <c r="AB637" i="1"/>
  <c r="AB633" i="1"/>
  <c r="AB629" i="1"/>
  <c r="AB565" i="1"/>
  <c r="AB561" i="1"/>
  <c r="AB557" i="1"/>
  <c r="AB553" i="1"/>
  <c r="AB549" i="1"/>
  <c r="AB545" i="1"/>
  <c r="AB541" i="1"/>
  <c r="AB537" i="1"/>
  <c r="AB529" i="1"/>
  <c r="AB525" i="1"/>
  <c r="AB521" i="1"/>
  <c r="AB517" i="1"/>
  <c r="AB513" i="1"/>
  <c r="AB509" i="1"/>
  <c r="AB505" i="1"/>
  <c r="AB501" i="1"/>
  <c r="AB497" i="1"/>
  <c r="AB493" i="1"/>
  <c r="AB416" i="1"/>
  <c r="AB412" i="1"/>
  <c r="AB408" i="1"/>
  <c r="AB404" i="1"/>
  <c r="AB400" i="1"/>
  <c r="AB396" i="1"/>
  <c r="AB392" i="1"/>
  <c r="AB388" i="1"/>
  <c r="AB1034" i="1"/>
  <c r="AB1030" i="1"/>
  <c r="AB1026" i="1"/>
  <c r="AB1022" i="1"/>
  <c r="AB1018" i="1"/>
  <c r="AB1014" i="1"/>
  <c r="AB1010" i="1"/>
  <c r="AB1006" i="1"/>
  <c r="AB1002" i="1"/>
  <c r="AB998" i="1"/>
  <c r="AB994" i="1"/>
  <c r="AB990" i="1"/>
  <c r="AB930" i="1"/>
  <c r="AB926" i="1"/>
  <c r="AB922" i="1"/>
  <c r="AB918" i="1"/>
  <c r="AB914" i="1"/>
  <c r="AB910" i="1"/>
  <c r="AB906" i="1"/>
  <c r="AB902" i="1"/>
  <c r="AB898" i="1"/>
  <c r="AB894" i="1"/>
  <c r="AB890" i="1"/>
  <c r="AB886" i="1"/>
  <c r="AB882" i="1"/>
  <c r="AB878" i="1"/>
  <c r="AB874" i="1"/>
  <c r="AB870" i="1"/>
  <c r="AB866" i="1"/>
  <c r="AB862" i="1"/>
  <c r="AB858" i="1"/>
  <c r="AB781" i="1"/>
  <c r="AB777" i="1"/>
  <c r="AB773" i="1"/>
  <c r="AB769" i="1"/>
  <c r="AB765" i="1"/>
  <c r="AB761" i="1"/>
  <c r="AB757" i="1"/>
  <c r="AB753" i="1"/>
  <c r="AB733" i="1"/>
  <c r="AB729" i="1"/>
  <c r="AB725" i="1"/>
  <c r="AB721" i="1"/>
  <c r="AB717" i="1"/>
  <c r="AB713" i="1"/>
  <c r="AB709" i="1"/>
  <c r="AB705" i="1"/>
  <c r="AB701" i="1"/>
  <c r="AB697" i="1"/>
  <c r="AB693" i="1"/>
  <c r="AB689" i="1"/>
  <c r="AB685" i="1"/>
  <c r="AB681" i="1"/>
  <c r="AB480" i="1"/>
  <c r="AB476" i="1"/>
  <c r="AB468" i="1"/>
  <c r="AB464" i="1"/>
  <c r="AB460" i="1"/>
  <c r="AB456" i="1"/>
  <c r="AB452" i="1"/>
  <c r="AB448" i="1"/>
  <c r="AB444" i="1"/>
  <c r="AB440" i="1"/>
  <c r="AB436" i="1"/>
  <c r="AB432" i="1"/>
  <c r="AB428" i="1"/>
  <c r="AB720" i="1"/>
  <c r="AB712" i="1"/>
  <c r="AB708" i="1"/>
  <c r="AB704" i="1"/>
  <c r="AB700" i="1"/>
  <c r="AB696" i="1"/>
  <c r="AB692" i="1"/>
  <c r="AB688" i="1"/>
  <c r="AB684" i="1"/>
  <c r="AB680" i="1"/>
  <c r="AB479" i="1"/>
  <c r="AB475" i="1"/>
  <c r="AB471" i="1"/>
  <c r="AB467" i="1"/>
  <c r="AB463" i="1"/>
  <c r="AB459" i="1"/>
  <c r="AB455" i="1"/>
  <c r="AB451" i="1"/>
  <c r="AB447" i="1"/>
  <c r="AB443" i="1"/>
  <c r="AB439" i="1"/>
  <c r="AB435" i="1"/>
  <c r="AB431" i="1"/>
  <c r="AB427" i="1"/>
  <c r="AB385" i="1"/>
  <c r="AB393" i="1"/>
  <c r="AB401" i="1"/>
  <c r="AB409" i="1"/>
  <c r="AB417" i="1"/>
  <c r="AB495" i="1"/>
  <c r="AB503" i="1"/>
  <c r="AB511" i="1"/>
  <c r="AB519" i="1"/>
  <c r="AB527" i="1"/>
  <c r="AB535" i="1"/>
  <c r="AB543" i="1"/>
  <c r="AB551" i="1"/>
  <c r="AB559" i="1"/>
  <c r="AB567" i="1"/>
  <c r="AB631" i="1"/>
  <c r="AB639" i="1"/>
  <c r="AB647" i="1"/>
  <c r="AB663" i="1"/>
  <c r="AB799" i="1"/>
  <c r="AB815" i="1"/>
  <c r="AB823" i="1"/>
  <c r="AB831" i="1"/>
  <c r="AB839" i="1"/>
  <c r="AB1079" i="1"/>
  <c r="AB1087" i="1"/>
  <c r="AB1095" i="1"/>
  <c r="AB386" i="1"/>
  <c r="AB394" i="1"/>
  <c r="AB402" i="1"/>
  <c r="AB410" i="1"/>
  <c r="AB437" i="1"/>
  <c r="AB442" i="1"/>
  <c r="AB453" i="1"/>
  <c r="AB458" i="1"/>
  <c r="AB469" i="1"/>
  <c r="AB474" i="1"/>
  <c r="AB496" i="1"/>
  <c r="AB504" i="1"/>
  <c r="AB512" i="1"/>
  <c r="AB520" i="1"/>
  <c r="AB528" i="1"/>
  <c r="AB536" i="1"/>
  <c r="AB544" i="1"/>
  <c r="AB552" i="1"/>
  <c r="AB560" i="1"/>
  <c r="AB568" i="1"/>
  <c r="AB632" i="1"/>
  <c r="AB640" i="1"/>
  <c r="AB648" i="1"/>
  <c r="AB656" i="1"/>
  <c r="AB664" i="1"/>
  <c r="AB728" i="1"/>
  <c r="AB752" i="1"/>
  <c r="AB760" i="1"/>
  <c r="AB768" i="1"/>
  <c r="AB776" i="1"/>
  <c r="AB792" i="1"/>
  <c r="AB800" i="1"/>
  <c r="AB808" i="1"/>
  <c r="AB816" i="1"/>
  <c r="AB824" i="1"/>
  <c r="AB832" i="1"/>
  <c r="AB840" i="1"/>
  <c r="AB1048" i="1"/>
  <c r="AB1056" i="1"/>
  <c r="AB1064" i="1"/>
  <c r="AB1072" i="1"/>
  <c r="AB1080" i="1"/>
  <c r="AB1088" i="1"/>
  <c r="AB1096" i="1"/>
  <c r="X429" i="1"/>
  <c r="X511" i="1"/>
  <c r="X796" i="1"/>
  <c r="W14" i="1"/>
  <c r="W13" i="1"/>
  <c r="X445" i="1"/>
  <c r="X498" i="1"/>
  <c r="X536" i="1"/>
  <c r="X631" i="1"/>
  <c r="X821" i="1"/>
  <c r="X1091" i="1"/>
  <c r="X1086" i="1"/>
  <c r="X402" i="1"/>
  <c r="X432" i="1"/>
  <c r="X453" i="1"/>
  <c r="X530" i="1"/>
  <c r="X568" i="1"/>
  <c r="X663" i="1"/>
  <c r="X815" i="1"/>
  <c r="X1053" i="1"/>
  <c r="P1066" i="1"/>
  <c r="X461" i="1"/>
  <c r="X562" i="1"/>
  <c r="X656" i="1"/>
  <c r="X999" i="1"/>
  <c r="X1007" i="1"/>
  <c r="X1015" i="1"/>
  <c r="X1023" i="1"/>
  <c r="X1031" i="1"/>
  <c r="X1046" i="1"/>
  <c r="X1085" i="1"/>
  <c r="X396" i="1"/>
  <c r="X448" i="1"/>
  <c r="X477" i="1"/>
  <c r="X650" i="1"/>
  <c r="X1078" i="1"/>
  <c r="X470" i="1"/>
  <c r="X412" i="1"/>
  <c r="X442" i="1"/>
  <c r="X464" i="1"/>
  <c r="X397" i="1"/>
  <c r="X459" i="1"/>
  <c r="X465" i="1"/>
  <c r="X471" i="1"/>
  <c r="X492" i="1"/>
  <c r="X499" i="1"/>
  <c r="X518" i="1"/>
  <c r="X524" i="1"/>
  <c r="X531" i="1"/>
  <c r="X550" i="1"/>
  <c r="X556" i="1"/>
  <c r="X638" i="1"/>
  <c r="X644" i="1"/>
  <c r="X651" i="1"/>
  <c r="X670" i="1"/>
  <c r="X803" i="1"/>
  <c r="X809" i="1"/>
  <c r="X816" i="1"/>
  <c r="X841" i="1"/>
  <c r="X1008" i="1"/>
  <c r="X1016" i="1"/>
  <c r="X1024" i="1"/>
  <c r="X1032" i="1"/>
  <c r="X1066" i="1"/>
  <c r="X1073" i="1"/>
  <c r="X1098" i="1"/>
  <c r="X398" i="1"/>
  <c r="X403" i="1"/>
  <c r="X408" i="1"/>
  <c r="X414" i="1"/>
  <c r="X428" i="1"/>
  <c r="X433" i="1"/>
  <c r="X438" i="1"/>
  <c r="X444" i="1"/>
  <c r="X449" i="1"/>
  <c r="X454" i="1"/>
  <c r="X460" i="1"/>
  <c r="X478" i="1"/>
  <c r="X506" i="1"/>
  <c r="X512" i="1"/>
  <c r="X519" i="1"/>
  <c r="X538" i="1"/>
  <c r="X544" i="1"/>
  <c r="X551" i="1"/>
  <c r="X626" i="1"/>
  <c r="X632" i="1"/>
  <c r="X639" i="1"/>
  <c r="X658" i="1"/>
  <c r="X664" i="1"/>
  <c r="X797" i="1"/>
  <c r="X804" i="1"/>
  <c r="X823" i="1"/>
  <c r="X829" i="1"/>
  <c r="X836" i="1"/>
  <c r="X857" i="1"/>
  <c r="X865" i="1"/>
  <c r="X873" i="1"/>
  <c r="X881" i="1"/>
  <c r="X889" i="1"/>
  <c r="X897" i="1"/>
  <c r="X905" i="1"/>
  <c r="X913" i="1"/>
  <c r="X921" i="1"/>
  <c r="X993" i="1"/>
  <c r="X1001" i="1"/>
  <c r="X1009" i="1"/>
  <c r="X1017" i="1"/>
  <c r="X1025" i="1"/>
  <c r="X1033" i="1"/>
  <c r="X1054" i="1"/>
  <c r="X1061" i="1"/>
  <c r="X1093" i="1"/>
  <c r="X1000" i="1"/>
  <c r="X996" i="1"/>
  <c r="X992" i="1"/>
  <c r="X932" i="1"/>
  <c r="X928" i="1"/>
  <c r="X924" i="1"/>
  <c r="X920" i="1"/>
  <c r="X916" i="1"/>
  <c r="X912" i="1"/>
  <c r="X908" i="1"/>
  <c r="X904" i="1"/>
  <c r="X900" i="1"/>
  <c r="X896" i="1"/>
  <c r="X892" i="1"/>
  <c r="X888" i="1"/>
  <c r="X884" i="1"/>
  <c r="X880" i="1"/>
  <c r="X876" i="1"/>
  <c r="X872" i="1"/>
  <c r="X864" i="1"/>
  <c r="X860" i="1"/>
  <c r="X856" i="1"/>
  <c r="X779" i="1"/>
  <c r="X775" i="1"/>
  <c r="X771" i="1"/>
  <c r="X767" i="1"/>
  <c r="X763" i="1"/>
  <c r="X759" i="1"/>
  <c r="X755" i="1"/>
  <c r="X751" i="1"/>
  <c r="X731" i="1"/>
  <c r="X727" i="1"/>
  <c r="X723" i="1"/>
  <c r="X719" i="1"/>
  <c r="X715" i="1"/>
  <c r="X711" i="1"/>
  <c r="X707" i="1"/>
  <c r="X703" i="1"/>
  <c r="X699" i="1"/>
  <c r="X695" i="1"/>
  <c r="X691" i="1"/>
  <c r="X687" i="1"/>
  <c r="X683" i="1"/>
  <c r="X1096" i="1"/>
  <c r="X1092" i="1"/>
  <c r="X1088" i="1"/>
  <c r="X1084" i="1"/>
  <c r="X1080" i="1"/>
  <c r="X1076" i="1"/>
  <c r="X1072" i="1"/>
  <c r="X1068" i="1"/>
  <c r="X1064" i="1"/>
  <c r="X1060" i="1"/>
  <c r="X1056" i="1"/>
  <c r="X1048" i="1"/>
  <c r="X843" i="1"/>
  <c r="X839" i="1"/>
  <c r="X835" i="1"/>
  <c r="X831" i="1"/>
  <c r="X827" i="1"/>
  <c r="X931" i="1"/>
  <c r="X927" i="1"/>
  <c r="X923" i="1"/>
  <c r="X919" i="1"/>
  <c r="X915" i="1"/>
  <c r="X911" i="1"/>
  <c r="X907" i="1"/>
  <c r="X903" i="1"/>
  <c r="X895" i="1"/>
  <c r="X891" i="1"/>
  <c r="X887" i="1"/>
  <c r="X883" i="1"/>
  <c r="X879" i="1"/>
  <c r="X875" i="1"/>
  <c r="X871" i="1"/>
  <c r="X867" i="1"/>
  <c r="X863" i="1"/>
  <c r="X859" i="1"/>
  <c r="X855" i="1"/>
  <c r="X782" i="1"/>
  <c r="X774" i="1"/>
  <c r="X770" i="1"/>
  <c r="X766" i="1"/>
  <c r="X762" i="1"/>
  <c r="X758" i="1"/>
  <c r="X754" i="1"/>
  <c r="X750" i="1"/>
  <c r="X730" i="1"/>
  <c r="X726" i="1"/>
  <c r="X722" i="1"/>
  <c r="X718" i="1"/>
  <c r="X714" i="1"/>
  <c r="X710" i="1"/>
  <c r="X706" i="1"/>
  <c r="X702" i="1"/>
  <c r="X698" i="1"/>
  <c r="X694" i="1"/>
  <c r="X690" i="1"/>
  <c r="X682" i="1"/>
  <c r="X1087" i="1"/>
  <c r="X1083" i="1"/>
  <c r="X1079" i="1"/>
  <c r="X1075" i="1"/>
  <c r="X1071" i="1"/>
  <c r="X1067" i="1"/>
  <c r="X1063" i="1"/>
  <c r="X1059" i="1"/>
  <c r="X1055" i="1"/>
  <c r="X1051" i="1"/>
  <c r="X1047" i="1"/>
  <c r="X842" i="1"/>
  <c r="X834" i="1"/>
  <c r="X830" i="1"/>
  <c r="X826" i="1"/>
  <c r="X822" i="1"/>
  <c r="X818" i="1"/>
  <c r="X814" i="1"/>
  <c r="X810" i="1"/>
  <c r="X806" i="1"/>
  <c r="X802" i="1"/>
  <c r="X798" i="1"/>
  <c r="X794" i="1"/>
  <c r="X669" i="1"/>
  <c r="X665" i="1"/>
  <c r="X661" i="1"/>
  <c r="X657" i="1"/>
  <c r="X653" i="1"/>
  <c r="X649" i="1"/>
  <c r="X645" i="1"/>
  <c r="X641" i="1"/>
  <c r="X637" i="1"/>
  <c r="X633" i="1"/>
  <c r="X629" i="1"/>
  <c r="X565" i="1"/>
  <c r="X561" i="1"/>
  <c r="X557" i="1"/>
  <c r="X553" i="1"/>
  <c r="X549" i="1"/>
  <c r="X545" i="1"/>
  <c r="X541" i="1"/>
  <c r="X537" i="1"/>
  <c r="X529" i="1"/>
  <c r="X525" i="1"/>
  <c r="X521" i="1"/>
  <c r="X517" i="1"/>
  <c r="X513" i="1"/>
  <c r="X509" i="1"/>
  <c r="X505" i="1"/>
  <c r="X501" i="1"/>
  <c r="X497" i="1"/>
  <c r="X493" i="1"/>
  <c r="X764" i="1"/>
  <c r="X760" i="1"/>
  <c r="X756" i="1"/>
  <c r="X752" i="1"/>
  <c r="X732" i="1"/>
  <c r="X728" i="1"/>
  <c r="X724" i="1"/>
  <c r="X720" i="1"/>
  <c r="X712" i="1"/>
  <c r="X708" i="1"/>
  <c r="X704" i="1"/>
  <c r="X700" i="1"/>
  <c r="X696" i="1"/>
  <c r="X692" i="1"/>
  <c r="X688" i="1"/>
  <c r="X684" i="1"/>
  <c r="X680" i="1"/>
  <c r="X451" i="1"/>
  <c r="X447" i="1"/>
  <c r="X443" i="1"/>
  <c r="X439" i="1"/>
  <c r="X435" i="1"/>
  <c r="X431" i="1"/>
  <c r="X427" i="1"/>
  <c r="X409" i="1"/>
  <c r="X455" i="1"/>
  <c r="X466" i="1"/>
  <c r="X473" i="1"/>
  <c r="X479" i="1"/>
  <c r="X494" i="1"/>
  <c r="X500" i="1"/>
  <c r="X507" i="1"/>
  <c r="X526" i="1"/>
  <c r="X532" i="1"/>
  <c r="X539" i="1"/>
  <c r="X558" i="1"/>
  <c r="X564" i="1"/>
  <c r="X627" i="1"/>
  <c r="X646" i="1"/>
  <c r="X652" i="1"/>
  <c r="X659" i="1"/>
  <c r="X768" i="1"/>
  <c r="X776" i="1"/>
  <c r="X792" i="1"/>
  <c r="X811" i="1"/>
  <c r="X817" i="1"/>
  <c r="X824" i="1"/>
  <c r="X858" i="1"/>
  <c r="X866" i="1"/>
  <c r="X874" i="1"/>
  <c r="X882" i="1"/>
  <c r="X890" i="1"/>
  <c r="X898" i="1"/>
  <c r="X906" i="1"/>
  <c r="X914" i="1"/>
  <c r="X922" i="1"/>
  <c r="X930" i="1"/>
  <c r="X994" i="1"/>
  <c r="X1002" i="1"/>
  <c r="X1010" i="1"/>
  <c r="X1018" i="1"/>
  <c r="X1026" i="1"/>
  <c r="X1034" i="1"/>
  <c r="X1049" i="1"/>
  <c r="X1074" i="1"/>
  <c r="X1081" i="1"/>
  <c r="X399" i="1"/>
  <c r="X404" i="1"/>
  <c r="X410" i="1"/>
  <c r="X415" i="1"/>
  <c r="X434" i="1"/>
  <c r="X440" i="1"/>
  <c r="X450" i="1"/>
  <c r="X456" i="1"/>
  <c r="X467" i="1"/>
  <c r="X480" i="1"/>
  <c r="X495" i="1"/>
  <c r="X514" i="1"/>
  <c r="X520" i="1"/>
  <c r="X527" i="1"/>
  <c r="X546" i="1"/>
  <c r="X552" i="1"/>
  <c r="X559" i="1"/>
  <c r="X634" i="1"/>
  <c r="X640" i="1"/>
  <c r="X647" i="1"/>
  <c r="X666" i="1"/>
  <c r="X681" i="1"/>
  <c r="X689" i="1"/>
  <c r="X697" i="1"/>
  <c r="X705" i="1"/>
  <c r="X713" i="1"/>
  <c r="X721" i="1"/>
  <c r="X729" i="1"/>
  <c r="X753" i="1"/>
  <c r="X761" i="1"/>
  <c r="X769" i="1"/>
  <c r="X777" i="1"/>
  <c r="X799" i="1"/>
  <c r="X805" i="1"/>
  <c r="X812" i="1"/>
  <c r="X837" i="1"/>
  <c r="X844" i="1"/>
  <c r="X995" i="1"/>
  <c r="X1003" i="1"/>
  <c r="X1011" i="1"/>
  <c r="X1019" i="1"/>
  <c r="X1027" i="1"/>
  <c r="X1035" i="1"/>
  <c r="X1062" i="1"/>
  <c r="X1069" i="1"/>
  <c r="X1094" i="1"/>
  <c r="X405" i="1"/>
  <c r="X468" i="1"/>
  <c r="X474" i="1"/>
  <c r="X508" i="1"/>
  <c r="X515" i="1"/>
  <c r="X534" i="1"/>
  <c r="X540" i="1"/>
  <c r="X547" i="1"/>
  <c r="X566" i="1"/>
  <c r="X628" i="1"/>
  <c r="X635" i="1"/>
  <c r="X654" i="1"/>
  <c r="X660" i="1"/>
  <c r="X667" i="1"/>
  <c r="X793" i="1"/>
  <c r="X800" i="1"/>
  <c r="X819" i="1"/>
  <c r="X825" i="1"/>
  <c r="X832" i="1"/>
  <c r="X1004" i="1"/>
  <c r="X1012" i="1"/>
  <c r="X1020" i="1"/>
  <c r="X1028" i="1"/>
  <c r="X1050" i="1"/>
  <c r="X1057" i="1"/>
  <c r="X1089" i="1"/>
  <c r="X1095" i="1"/>
  <c r="X395" i="1"/>
  <c r="X400" i="1"/>
  <c r="X406" i="1"/>
  <c r="X411" i="1"/>
  <c r="X416" i="1"/>
  <c r="X430" i="1"/>
  <c r="X436" i="1"/>
  <c r="X446" i="1"/>
  <c r="X452" i="1"/>
  <c r="X457" i="1"/>
  <c r="X462" i="1"/>
  <c r="X469" i="1"/>
  <c r="X475" i="1"/>
  <c r="X490" i="1"/>
  <c r="X496" i="1"/>
  <c r="X503" i="1"/>
  <c r="X522" i="1"/>
  <c r="X528" i="1"/>
  <c r="X535" i="1"/>
  <c r="X554" i="1"/>
  <c r="X560" i="1"/>
  <c r="X567" i="1"/>
  <c r="X642" i="1"/>
  <c r="X648" i="1"/>
  <c r="X813" i="1"/>
  <c r="X820" i="1"/>
  <c r="X845" i="1"/>
  <c r="X861" i="1"/>
  <c r="X869" i="1"/>
  <c r="X877" i="1"/>
  <c r="X885" i="1"/>
  <c r="X893" i="1"/>
  <c r="X901" i="1"/>
  <c r="X909" i="1"/>
  <c r="X917" i="1"/>
  <c r="X925" i="1"/>
  <c r="X933" i="1"/>
  <c r="X997" i="1"/>
  <c r="X1005" i="1"/>
  <c r="X1013" i="1"/>
  <c r="X1029" i="1"/>
  <c r="X1045" i="1"/>
  <c r="X1070" i="1"/>
  <c r="X1077" i="1"/>
  <c r="X401" i="1"/>
  <c r="X417" i="1"/>
  <c r="X463" i="1"/>
  <c r="X476" i="1"/>
  <c r="X491" i="1"/>
  <c r="X510" i="1"/>
  <c r="X516" i="1"/>
  <c r="X523" i="1"/>
  <c r="X542" i="1"/>
  <c r="X548" i="1"/>
  <c r="X555" i="1"/>
  <c r="X630" i="1"/>
  <c r="X636" i="1"/>
  <c r="X643" i="1"/>
  <c r="X662" i="1"/>
  <c r="X668" i="1"/>
  <c r="X772" i="1"/>
  <c r="X780" i="1"/>
  <c r="X795" i="1"/>
  <c r="X801" i="1"/>
  <c r="X808" i="1"/>
  <c r="X833" i="1"/>
  <c r="X840" i="1"/>
  <c r="X862" i="1"/>
  <c r="X870" i="1"/>
  <c r="X878" i="1"/>
  <c r="X886" i="1"/>
  <c r="X894" i="1"/>
  <c r="X902" i="1"/>
  <c r="X910" i="1"/>
  <c r="X918" i="1"/>
  <c r="X926" i="1"/>
  <c r="X990" i="1"/>
  <c r="X998" i="1"/>
  <c r="X1006" i="1"/>
  <c r="X1014" i="1"/>
  <c r="X1022" i="1"/>
  <c r="X1030" i="1"/>
  <c r="X1058" i="1"/>
  <c r="X1065" i="1"/>
  <c r="X1090" i="1"/>
  <c r="X1097" i="1"/>
  <c r="T279" i="1"/>
  <c r="T328" i="1"/>
  <c r="T336" i="1"/>
  <c r="T429" i="1"/>
  <c r="T1050" i="1"/>
  <c r="T1058" i="1"/>
  <c r="T1066" i="1"/>
  <c r="T1074" i="1"/>
  <c r="T1090" i="1"/>
  <c r="T1098" i="1"/>
  <c r="T1032" i="1"/>
  <c r="T1028" i="1"/>
  <c r="T1024" i="1"/>
  <c r="T1020" i="1"/>
  <c r="T1016" i="1"/>
  <c r="T1012" i="1"/>
  <c r="T1008" i="1"/>
  <c r="T1004" i="1"/>
  <c r="T1000" i="1"/>
  <c r="T996" i="1"/>
  <c r="T992" i="1"/>
  <c r="T932" i="1"/>
  <c r="T928" i="1"/>
  <c r="T924" i="1"/>
  <c r="T920" i="1"/>
  <c r="T916" i="1"/>
  <c r="T912" i="1"/>
  <c r="T908" i="1"/>
  <c r="T904" i="1"/>
  <c r="T900" i="1"/>
  <c r="T896" i="1"/>
  <c r="T892" i="1"/>
  <c r="T888" i="1"/>
  <c r="T884" i="1"/>
  <c r="T880" i="1"/>
  <c r="T876" i="1"/>
  <c r="T872" i="1"/>
  <c r="T864" i="1"/>
  <c r="T860" i="1"/>
  <c r="T856" i="1"/>
  <c r="T779" i="1"/>
  <c r="T775" i="1"/>
  <c r="T771" i="1"/>
  <c r="T767" i="1"/>
  <c r="T763" i="1"/>
  <c r="T759" i="1"/>
  <c r="T755" i="1"/>
  <c r="T751" i="1"/>
  <c r="T731" i="1"/>
  <c r="T727" i="1"/>
  <c r="T723" i="1"/>
  <c r="T719" i="1"/>
  <c r="T715" i="1"/>
  <c r="T711" i="1"/>
  <c r="T707" i="1"/>
  <c r="T703" i="1"/>
  <c r="T699" i="1"/>
  <c r="T695" i="1"/>
  <c r="T691" i="1"/>
  <c r="T687" i="1"/>
  <c r="T683" i="1"/>
  <c r="T1035" i="1"/>
  <c r="T1031" i="1"/>
  <c r="T1027" i="1"/>
  <c r="T1023" i="1"/>
  <c r="T1019" i="1"/>
  <c r="T1015" i="1"/>
  <c r="T1011" i="1"/>
  <c r="T1007" i="1"/>
  <c r="T1003" i="1"/>
  <c r="T999" i="1"/>
  <c r="T995" i="1"/>
  <c r="T931" i="1"/>
  <c r="T927" i="1"/>
  <c r="T923" i="1"/>
  <c r="T919" i="1"/>
  <c r="T915" i="1"/>
  <c r="T911" i="1"/>
  <c r="T907" i="1"/>
  <c r="T903" i="1"/>
  <c r="T895" i="1"/>
  <c r="T891" i="1"/>
  <c r="T887" i="1"/>
  <c r="T883" i="1"/>
  <c r="T879" i="1"/>
  <c r="T875" i="1"/>
  <c r="T871" i="1"/>
  <c r="T867" i="1"/>
  <c r="T863" i="1"/>
  <c r="T859" i="1"/>
  <c r="T855" i="1"/>
  <c r="T782" i="1"/>
  <c r="T774" i="1"/>
  <c r="T770" i="1"/>
  <c r="T766" i="1"/>
  <c r="T762" i="1"/>
  <c r="T758" i="1"/>
  <c r="T754" i="1"/>
  <c r="T750" i="1"/>
  <c r="T730" i="1"/>
  <c r="T726" i="1"/>
  <c r="T722" i="1"/>
  <c r="T718" i="1"/>
  <c r="T714" i="1"/>
  <c r="T710" i="1"/>
  <c r="T706" i="1"/>
  <c r="T702" i="1"/>
  <c r="T698" i="1"/>
  <c r="T694" i="1"/>
  <c r="T690" i="1"/>
  <c r="T682" i="1"/>
  <c r="T1095" i="1"/>
  <c r="T1091" i="1"/>
  <c r="T1087" i="1"/>
  <c r="T1083" i="1"/>
  <c r="T1079" i="1"/>
  <c r="T1075" i="1"/>
  <c r="T1071" i="1"/>
  <c r="T1067" i="1"/>
  <c r="T1063" i="1"/>
  <c r="T1059" i="1"/>
  <c r="T1055" i="1"/>
  <c r="T1051" i="1"/>
  <c r="T1047" i="1"/>
  <c r="T842" i="1"/>
  <c r="T834" i="1"/>
  <c r="T830" i="1"/>
  <c r="T826" i="1"/>
  <c r="T822" i="1"/>
  <c r="T818" i="1"/>
  <c r="T814" i="1"/>
  <c r="T810" i="1"/>
  <c r="T806" i="1"/>
  <c r="T802" i="1"/>
  <c r="T798" i="1"/>
  <c r="T794" i="1"/>
  <c r="T669" i="1"/>
  <c r="T665" i="1"/>
  <c r="T661" i="1"/>
  <c r="T657" i="1"/>
  <c r="T653" i="1"/>
  <c r="T649" i="1"/>
  <c r="T645" i="1"/>
  <c r="T641" i="1"/>
  <c r="T637" i="1"/>
  <c r="T633" i="1"/>
  <c r="T629" i="1"/>
  <c r="T565" i="1"/>
  <c r="T561" i="1"/>
  <c r="T557" i="1"/>
  <c r="T553" i="1"/>
  <c r="T549" i="1"/>
  <c r="T545" i="1"/>
  <c r="T541" i="1"/>
  <c r="T537" i="1"/>
  <c r="T529" i="1"/>
  <c r="T525" i="1"/>
  <c r="T521" i="1"/>
  <c r="T517" i="1"/>
  <c r="T513" i="1"/>
  <c r="T509" i="1"/>
  <c r="T505" i="1"/>
  <c r="T501" i="1"/>
  <c r="T497" i="1"/>
  <c r="T493" i="1"/>
  <c r="T1034" i="1"/>
  <c r="T1030" i="1"/>
  <c r="T1026" i="1"/>
  <c r="T1022" i="1"/>
  <c r="T1018" i="1"/>
  <c r="T1014" i="1"/>
  <c r="T1010" i="1"/>
  <c r="T1006" i="1"/>
  <c r="T1002" i="1"/>
  <c r="T998" i="1"/>
  <c r="T994" i="1"/>
  <c r="T990" i="1"/>
  <c r="T930" i="1"/>
  <c r="T926" i="1"/>
  <c r="T922" i="1"/>
  <c r="T918" i="1"/>
  <c r="T914" i="1"/>
  <c r="T910" i="1"/>
  <c r="T906" i="1"/>
  <c r="T902" i="1"/>
  <c r="T898" i="1"/>
  <c r="T894" i="1"/>
  <c r="T890" i="1"/>
  <c r="T886" i="1"/>
  <c r="T882" i="1"/>
  <c r="T878" i="1"/>
  <c r="T874" i="1"/>
  <c r="T870" i="1"/>
  <c r="T866" i="1"/>
  <c r="T862" i="1"/>
  <c r="T858" i="1"/>
  <c r="T781" i="1"/>
  <c r="T777" i="1"/>
  <c r="T773" i="1"/>
  <c r="T769" i="1"/>
  <c r="T765" i="1"/>
  <c r="T761" i="1"/>
  <c r="T757" i="1"/>
  <c r="T753" i="1"/>
  <c r="T733" i="1"/>
  <c r="T729" i="1"/>
  <c r="T725" i="1"/>
  <c r="T721" i="1"/>
  <c r="T717" i="1"/>
  <c r="T713" i="1"/>
  <c r="T709" i="1"/>
  <c r="T705" i="1"/>
  <c r="T701" i="1"/>
  <c r="T697" i="1"/>
  <c r="T693" i="1"/>
  <c r="T689" i="1"/>
  <c r="T685" i="1"/>
  <c r="T681" i="1"/>
  <c r="T480" i="1"/>
  <c r="T476" i="1"/>
  <c r="T468" i="1"/>
  <c r="T464" i="1"/>
  <c r="T460" i="1"/>
  <c r="T456" i="1"/>
  <c r="T452" i="1"/>
  <c r="T448" i="1"/>
  <c r="T444" i="1"/>
  <c r="T440" i="1"/>
  <c r="T436" i="1"/>
  <c r="T432" i="1"/>
  <c r="T428" i="1"/>
  <c r="T1013" i="1"/>
  <c r="T925" i="1"/>
  <c r="T893" i="1"/>
  <c r="T861" i="1"/>
  <c r="T776" i="1"/>
  <c r="T728" i="1"/>
  <c r="T696" i="1"/>
  <c r="T478" i="1"/>
  <c r="T469" i="1"/>
  <c r="T455" i="1"/>
  <c r="T446" i="1"/>
  <c r="T437" i="1"/>
  <c r="T388" i="1"/>
  <c r="T340" i="1"/>
  <c r="T302" i="1"/>
  <c r="T298" i="1"/>
  <c r="T294" i="1"/>
  <c r="T286" i="1"/>
  <c r="T282" i="1"/>
  <c r="T278" i="1"/>
  <c r="T1025" i="1"/>
  <c r="T993" i="1"/>
  <c r="T905" i="1"/>
  <c r="T873" i="1"/>
  <c r="T756" i="1"/>
  <c r="T708" i="1"/>
  <c r="T473" i="1"/>
  <c r="T459" i="1"/>
  <c r="T450" i="1"/>
  <c r="T427" i="1"/>
  <c r="T400" i="1"/>
  <c r="T352" i="1"/>
  <c r="T320" i="1"/>
  <c r="T1005" i="1"/>
  <c r="T917" i="1"/>
  <c r="T885" i="1"/>
  <c r="T768" i="1"/>
  <c r="T720" i="1"/>
  <c r="T688" i="1"/>
  <c r="T477" i="1"/>
  <c r="T463" i="1"/>
  <c r="T454" i="1"/>
  <c r="T445" i="1"/>
  <c r="T431" i="1"/>
  <c r="T412" i="1"/>
  <c r="T364" i="1"/>
  <c r="T332" i="1"/>
  <c r="T305" i="1"/>
  <c r="T301" i="1"/>
  <c r="T297" i="1"/>
  <c r="T293" i="1"/>
  <c r="T289" i="1"/>
  <c r="T285" i="1"/>
  <c r="T281" i="1"/>
  <c r="T277" i="1"/>
  <c r="T273" i="1"/>
  <c r="T269" i="1"/>
  <c r="T265" i="1"/>
  <c r="T261" i="1"/>
  <c r="T1017" i="1"/>
  <c r="T897" i="1"/>
  <c r="T865" i="1"/>
  <c r="T780" i="1"/>
  <c r="T732" i="1"/>
  <c r="T700" i="1"/>
  <c r="T467" i="1"/>
  <c r="T458" i="1"/>
  <c r="T449" i="1"/>
  <c r="T435" i="1"/>
  <c r="T392" i="1"/>
  <c r="T344" i="1"/>
  <c r="T1029" i="1"/>
  <c r="T997" i="1"/>
  <c r="T909" i="1"/>
  <c r="T877" i="1"/>
  <c r="T760" i="1"/>
  <c r="T712" i="1"/>
  <c r="T680" i="1"/>
  <c r="T471" i="1"/>
  <c r="T462" i="1"/>
  <c r="T453" i="1"/>
  <c r="T439" i="1"/>
  <c r="T430" i="1"/>
  <c r="T404" i="1"/>
  <c r="T356" i="1"/>
  <c r="T324" i="1"/>
  <c r="T304" i="1"/>
  <c r="T300" i="1"/>
  <c r="T296" i="1"/>
  <c r="T292" i="1"/>
  <c r="T288" i="1"/>
  <c r="T284" i="1"/>
  <c r="T280" i="1"/>
  <c r="T276" i="1"/>
  <c r="T272" i="1"/>
  <c r="T268" i="1"/>
  <c r="T264" i="1"/>
  <c r="T1009" i="1"/>
  <c r="T921" i="1"/>
  <c r="T889" i="1"/>
  <c r="T857" i="1"/>
  <c r="T772" i="1"/>
  <c r="T724" i="1"/>
  <c r="T692" i="1"/>
  <c r="T475" i="1"/>
  <c r="T466" i="1"/>
  <c r="T457" i="1"/>
  <c r="T443" i="1"/>
  <c r="T434" i="1"/>
  <c r="T416" i="1"/>
  <c r="T368" i="1"/>
  <c r="T1033" i="1"/>
  <c r="T1001" i="1"/>
  <c r="T913" i="1"/>
  <c r="T881" i="1"/>
  <c r="T764" i="1"/>
  <c r="T684" i="1"/>
  <c r="T474" i="1"/>
  <c r="T465" i="1"/>
  <c r="T451" i="1"/>
  <c r="T442" i="1"/>
  <c r="T433" i="1"/>
  <c r="T408" i="1"/>
  <c r="T360" i="1"/>
  <c r="T267" i="1"/>
  <c r="T274" i="1"/>
  <c r="T299" i="1"/>
  <c r="T329" i="1"/>
  <c r="T704" i="1"/>
  <c r="T901" i="1"/>
  <c r="P305" i="1"/>
  <c r="T263" i="1"/>
  <c r="T270" i="1"/>
  <c r="T295" i="1"/>
  <c r="T316" i="1"/>
  <c r="T355" i="1"/>
  <c r="T447" i="1"/>
  <c r="T322" i="1"/>
  <c r="T335" i="1"/>
  <c r="T341" i="1"/>
  <c r="T354" i="1"/>
  <c r="T367" i="1"/>
  <c r="T389" i="1"/>
  <c r="T402" i="1"/>
  <c r="T415" i="1"/>
  <c r="T494" i="1"/>
  <c r="T510" i="1"/>
  <c r="T518" i="1"/>
  <c r="T526" i="1"/>
  <c r="T534" i="1"/>
  <c r="T542" i="1"/>
  <c r="T550" i="1"/>
  <c r="T558" i="1"/>
  <c r="T566" i="1"/>
  <c r="T630" i="1"/>
  <c r="T638" i="1"/>
  <c r="T646" i="1"/>
  <c r="T654" i="1"/>
  <c r="T662" i="1"/>
  <c r="T670" i="1"/>
  <c r="T792" i="1"/>
  <c r="T800" i="1"/>
  <c r="T808" i="1"/>
  <c r="T816" i="1"/>
  <c r="T824" i="1"/>
  <c r="T832" i="1"/>
  <c r="T840" i="1"/>
  <c r="T1049" i="1"/>
  <c r="T1057" i="1"/>
  <c r="T1065" i="1"/>
  <c r="T1073" i="1"/>
  <c r="T1081" i="1"/>
  <c r="T1089" i="1"/>
  <c r="T1097" i="1"/>
  <c r="T317" i="1"/>
  <c r="T330" i="1"/>
  <c r="T343" i="1"/>
  <c r="T349" i="1"/>
  <c r="T362" i="1"/>
  <c r="T391" i="1"/>
  <c r="T397" i="1"/>
  <c r="T410" i="1"/>
  <c r="T496" i="1"/>
  <c r="T504" i="1"/>
  <c r="T512" i="1"/>
  <c r="T520" i="1"/>
  <c r="T528" i="1"/>
  <c r="T536" i="1"/>
  <c r="T544" i="1"/>
  <c r="T552" i="1"/>
  <c r="T560" i="1"/>
  <c r="T568" i="1"/>
  <c r="T632" i="1"/>
  <c r="T640" i="1"/>
  <c r="T648" i="1"/>
  <c r="T656" i="1"/>
  <c r="T664" i="1"/>
  <c r="T318" i="1"/>
  <c r="T331" i="1"/>
  <c r="T337" i="1"/>
  <c r="T350" i="1"/>
  <c r="T363" i="1"/>
  <c r="T385" i="1"/>
  <c r="T398" i="1"/>
  <c r="T411" i="1"/>
  <c r="T417" i="1"/>
  <c r="T795" i="1"/>
  <c r="T803" i="1"/>
  <c r="T811" i="1"/>
  <c r="T819" i="1"/>
  <c r="T827" i="1"/>
  <c r="T835" i="1"/>
  <c r="T843" i="1"/>
  <c r="T1060" i="1"/>
  <c r="T1068" i="1"/>
  <c r="T1076" i="1"/>
  <c r="T1084" i="1"/>
  <c r="T1092" i="1"/>
  <c r="T319" i="1"/>
  <c r="T325" i="1"/>
  <c r="T338" i="1"/>
  <c r="T357" i="1"/>
  <c r="T386" i="1"/>
  <c r="T399" i="1"/>
  <c r="T405" i="1"/>
  <c r="T490" i="1"/>
  <c r="T498" i="1"/>
  <c r="T506" i="1"/>
  <c r="T514" i="1"/>
  <c r="T522" i="1"/>
  <c r="T530" i="1"/>
  <c r="T538" i="1"/>
  <c r="T546" i="1"/>
  <c r="T554" i="1"/>
  <c r="T562" i="1"/>
  <c r="T626" i="1"/>
  <c r="T634" i="1"/>
  <c r="T642" i="1"/>
  <c r="T650" i="1"/>
  <c r="T658" i="1"/>
  <c r="T666" i="1"/>
  <c r="T796" i="1"/>
  <c r="T804" i="1"/>
  <c r="T812" i="1"/>
  <c r="T820" i="1"/>
  <c r="T828" i="1"/>
  <c r="T836" i="1"/>
  <c r="T844" i="1"/>
  <c r="T1045" i="1"/>
  <c r="T1053" i="1"/>
  <c r="T1061" i="1"/>
  <c r="T1069" i="1"/>
  <c r="T1077" i="1"/>
  <c r="T1085" i="1"/>
  <c r="T1093" i="1"/>
  <c r="T326" i="1"/>
  <c r="T339" i="1"/>
  <c r="T345" i="1"/>
  <c r="T358" i="1"/>
  <c r="T387" i="1"/>
  <c r="T393" i="1"/>
  <c r="T406" i="1"/>
  <c r="T491" i="1"/>
  <c r="T499" i="1"/>
  <c r="T507" i="1"/>
  <c r="T515" i="1"/>
  <c r="T523" i="1"/>
  <c r="T531" i="1"/>
  <c r="T539" i="1"/>
  <c r="T547" i="1"/>
  <c r="T555" i="1"/>
  <c r="T627" i="1"/>
  <c r="T635" i="1"/>
  <c r="T643" i="1"/>
  <c r="T651" i="1"/>
  <c r="T659" i="1"/>
  <c r="T667" i="1"/>
  <c r="T797" i="1"/>
  <c r="T805" i="1"/>
  <c r="T813" i="1"/>
  <c r="T821" i="1"/>
  <c r="T829" i="1"/>
  <c r="T837" i="1"/>
  <c r="T845" i="1"/>
  <c r="T1046" i="1"/>
  <c r="T1054" i="1"/>
  <c r="T1062" i="1"/>
  <c r="T1070" i="1"/>
  <c r="T1078" i="1"/>
  <c r="T1086" i="1"/>
  <c r="T1094" i="1"/>
  <c r="T327" i="1"/>
  <c r="T333" i="1"/>
  <c r="T346" i="1"/>
  <c r="T359" i="1"/>
  <c r="T365" i="1"/>
  <c r="T394" i="1"/>
  <c r="T407" i="1"/>
  <c r="T492" i="1"/>
  <c r="T500" i="1"/>
  <c r="T508" i="1"/>
  <c r="T516" i="1"/>
  <c r="T524" i="1"/>
  <c r="T532" i="1"/>
  <c r="T540" i="1"/>
  <c r="T548" i="1"/>
  <c r="T556" i="1"/>
  <c r="T564" i="1"/>
  <c r="T628" i="1"/>
  <c r="T636" i="1"/>
  <c r="T644" i="1"/>
  <c r="T652" i="1"/>
  <c r="T660" i="1"/>
  <c r="T668" i="1"/>
  <c r="T315" i="1"/>
  <c r="T334" i="1"/>
  <c r="T347" i="1"/>
  <c r="T353" i="1"/>
  <c r="T366" i="1"/>
  <c r="T395" i="1"/>
  <c r="T401" i="1"/>
  <c r="T414" i="1"/>
  <c r="T799" i="1"/>
  <c r="T815" i="1"/>
  <c r="T823" i="1"/>
  <c r="T831" i="1"/>
  <c r="T839" i="1"/>
  <c r="T1048" i="1"/>
  <c r="T1056" i="1"/>
  <c r="T1064" i="1"/>
  <c r="T1072" i="1"/>
  <c r="T1080" i="1"/>
  <c r="T1088" i="1"/>
  <c r="T1096" i="1"/>
  <c r="P268" i="1"/>
  <c r="P274" i="1"/>
  <c r="P287" i="1"/>
  <c r="P294" i="1"/>
  <c r="P340" i="1"/>
  <c r="P362" i="1"/>
  <c r="P429" i="1"/>
  <c r="P496" i="1"/>
  <c r="P517" i="1"/>
  <c r="P532" i="1"/>
  <c r="P547" i="1"/>
  <c r="P694" i="1"/>
  <c r="P701" i="1"/>
  <c r="P793" i="1"/>
  <c r="P808" i="1"/>
  <c r="P855" i="1"/>
  <c r="P893" i="1"/>
  <c r="P1032" i="1"/>
  <c r="P1028" i="1"/>
  <c r="P1024" i="1"/>
  <c r="P1020" i="1"/>
  <c r="P1016" i="1"/>
  <c r="P1012" i="1"/>
  <c r="P1008" i="1"/>
  <c r="P1004" i="1"/>
  <c r="P1000" i="1"/>
  <c r="P996" i="1"/>
  <c r="P992" i="1"/>
  <c r="P932" i="1"/>
  <c r="P928" i="1"/>
  <c r="P924" i="1"/>
  <c r="P920" i="1"/>
  <c r="P916" i="1"/>
  <c r="P912" i="1"/>
  <c r="P908" i="1"/>
  <c r="P904" i="1"/>
  <c r="P900" i="1"/>
  <c r="P896" i="1"/>
  <c r="P892" i="1"/>
  <c r="P888" i="1"/>
  <c r="P884" i="1"/>
  <c r="P880" i="1"/>
  <c r="P876" i="1"/>
  <c r="P872" i="1"/>
  <c r="P864" i="1"/>
  <c r="P860" i="1"/>
  <c r="P856" i="1"/>
  <c r="P779" i="1"/>
  <c r="P775" i="1"/>
  <c r="P771" i="1"/>
  <c r="P767" i="1"/>
  <c r="P763" i="1"/>
  <c r="P759" i="1"/>
  <c r="P755" i="1"/>
  <c r="P751" i="1"/>
  <c r="P731" i="1"/>
  <c r="P727" i="1"/>
  <c r="P723" i="1"/>
  <c r="P719" i="1"/>
  <c r="P715" i="1"/>
  <c r="P711" i="1"/>
  <c r="P707" i="1"/>
  <c r="P703" i="1"/>
  <c r="P699" i="1"/>
  <c r="P695" i="1"/>
  <c r="P691" i="1"/>
  <c r="P687" i="1"/>
  <c r="P683" i="1"/>
  <c r="P478" i="1"/>
  <c r="P474" i="1"/>
  <c r="P470" i="1"/>
  <c r="P466" i="1"/>
  <c r="P462" i="1"/>
  <c r="P458" i="1"/>
  <c r="P454" i="1"/>
  <c r="P450" i="1"/>
  <c r="P446" i="1"/>
  <c r="P1095" i="1"/>
  <c r="P1091" i="1"/>
  <c r="P1087" i="1"/>
  <c r="P1083" i="1"/>
  <c r="P1079" i="1"/>
  <c r="P1075" i="1"/>
  <c r="P1071" i="1"/>
  <c r="P1067" i="1"/>
  <c r="P1063" i="1"/>
  <c r="P1059" i="1"/>
  <c r="P1055" i="1"/>
  <c r="P1051" i="1"/>
  <c r="P1047" i="1"/>
  <c r="P842" i="1"/>
  <c r="P834" i="1"/>
  <c r="P830" i="1"/>
  <c r="P826" i="1"/>
  <c r="P822" i="1"/>
  <c r="P818" i="1"/>
  <c r="P814" i="1"/>
  <c r="P810" i="1"/>
  <c r="P806" i="1"/>
  <c r="P802" i="1"/>
  <c r="P798" i="1"/>
  <c r="P794" i="1"/>
  <c r="P669" i="1"/>
  <c r="P665" i="1"/>
  <c r="P661" i="1"/>
  <c r="P657" i="1"/>
  <c r="P653" i="1"/>
  <c r="P649" i="1"/>
  <c r="P645" i="1"/>
  <c r="P641" i="1"/>
  <c r="P637" i="1"/>
  <c r="P633" i="1"/>
  <c r="P629" i="1"/>
  <c r="P565" i="1"/>
  <c r="P561" i="1"/>
  <c r="P557" i="1"/>
  <c r="P553" i="1"/>
  <c r="P549" i="1"/>
  <c r="P545" i="1"/>
  <c r="P541" i="1"/>
  <c r="P537" i="1"/>
  <c r="P1090" i="1"/>
  <c r="P1058" i="1"/>
  <c r="P1005" i="1"/>
  <c r="P917" i="1"/>
  <c r="P885" i="1"/>
  <c r="P845" i="1"/>
  <c r="P813" i="1"/>
  <c r="P760" i="1"/>
  <c r="P712" i="1"/>
  <c r="P680" i="1"/>
  <c r="P640" i="1"/>
  <c r="P552" i="1"/>
  <c r="P475" i="1"/>
  <c r="P443" i="1"/>
  <c r="P438" i="1"/>
  <c r="P427" i="1"/>
  <c r="P408" i="1"/>
  <c r="P403" i="1"/>
  <c r="P392" i="1"/>
  <c r="P387" i="1"/>
  <c r="P360" i="1"/>
  <c r="P355" i="1"/>
  <c r="P344" i="1"/>
  <c r="P335" i="1"/>
  <c r="P326" i="1"/>
  <c r="P304" i="1"/>
  <c r="P281" i="1"/>
  <c r="P272" i="1"/>
  <c r="P1017" i="1"/>
  <c r="P897" i="1"/>
  <c r="P865" i="1"/>
  <c r="P772" i="1"/>
  <c r="P724" i="1"/>
  <c r="P692" i="1"/>
  <c r="P521" i="1"/>
  <c r="P505" i="1"/>
  <c r="P455" i="1"/>
  <c r="P316" i="1"/>
  <c r="P285" i="1"/>
  <c r="P1029" i="1"/>
  <c r="P997" i="1"/>
  <c r="P909" i="1"/>
  <c r="P877" i="1"/>
  <c r="P752" i="1"/>
  <c r="P704" i="1"/>
  <c r="P467" i="1"/>
  <c r="P442" i="1"/>
  <c r="P431" i="1"/>
  <c r="P412" i="1"/>
  <c r="P396" i="1"/>
  <c r="P364" i="1"/>
  <c r="P359" i="1"/>
  <c r="P348" i="1"/>
  <c r="P343" i="1"/>
  <c r="P334" i="1"/>
  <c r="P320" i="1"/>
  <c r="P298" i="1"/>
  <c r="P289" i="1"/>
  <c r="P280" i="1"/>
  <c r="P266" i="1"/>
  <c r="P1009" i="1"/>
  <c r="P921" i="1"/>
  <c r="P889" i="1"/>
  <c r="P857" i="1"/>
  <c r="P764" i="1"/>
  <c r="P684" i="1"/>
  <c r="P525" i="1"/>
  <c r="P509" i="1"/>
  <c r="P493" i="1"/>
  <c r="P479" i="1"/>
  <c r="P447" i="1"/>
  <c r="P324" i="1"/>
  <c r="P293" i="1"/>
  <c r="P261" i="1"/>
  <c r="P1074" i="1"/>
  <c r="P933" i="1"/>
  <c r="P901" i="1"/>
  <c r="P869" i="1"/>
  <c r="P829" i="1"/>
  <c r="P797" i="1"/>
  <c r="P776" i="1"/>
  <c r="P728" i="1"/>
  <c r="P696" i="1"/>
  <c r="P656" i="1"/>
  <c r="P568" i="1"/>
  <c r="P536" i="1"/>
  <c r="P459" i="1"/>
  <c r="P435" i="1"/>
  <c r="P430" i="1"/>
  <c r="P416" i="1"/>
  <c r="P411" i="1"/>
  <c r="P400" i="1"/>
  <c r="P395" i="1"/>
  <c r="P368" i="1"/>
  <c r="P363" i="1"/>
  <c r="P352" i="1"/>
  <c r="P347" i="1"/>
  <c r="P342" i="1"/>
  <c r="P328" i="1"/>
  <c r="P319" i="1"/>
  <c r="P1033" i="1"/>
  <c r="P1001" i="1"/>
  <c r="P913" i="1"/>
  <c r="P881" i="1"/>
  <c r="P756" i="1"/>
  <c r="P708" i="1"/>
  <c r="P529" i="1"/>
  <c r="P513" i="1"/>
  <c r="P497" i="1"/>
  <c r="P471" i="1"/>
  <c r="P332" i="1"/>
  <c r="P301" i="1"/>
  <c r="P269" i="1"/>
  <c r="P1078" i="1"/>
  <c r="P1046" i="1"/>
  <c r="P1025" i="1"/>
  <c r="P993" i="1"/>
  <c r="P905" i="1"/>
  <c r="P873" i="1"/>
  <c r="P833" i="1"/>
  <c r="P270" i="1"/>
  <c r="P276" i="1"/>
  <c r="P288" i="1"/>
  <c r="P322" i="1"/>
  <c r="P356" i="1"/>
  <c r="P394" i="1"/>
  <c r="P445" i="1"/>
  <c r="P491" i="1"/>
  <c r="P512" i="1"/>
  <c r="P534" i="1"/>
  <c r="P564" i="1"/>
  <c r="P635" i="1"/>
  <c r="P681" i="1"/>
  <c r="P688" i="1"/>
  <c r="P726" i="1"/>
  <c r="P733" i="1"/>
  <c r="P795" i="1"/>
  <c r="P825" i="1"/>
  <c r="P841" i="1"/>
  <c r="P919" i="1"/>
  <c r="P1013" i="1"/>
  <c r="P1092" i="1"/>
  <c r="P296" i="1"/>
  <c r="P302" i="1"/>
  <c r="P323" i="1"/>
  <c r="P330" i="1"/>
  <c r="P336" i="1"/>
  <c r="P409" i="1"/>
  <c r="P476" i="1"/>
  <c r="P492" i="1"/>
  <c r="P520" i="1"/>
  <c r="P535" i="1"/>
  <c r="P628" i="1"/>
  <c r="P636" i="1"/>
  <c r="P644" i="1"/>
  <c r="P682" i="1"/>
  <c r="P780" i="1"/>
  <c r="P796" i="1"/>
  <c r="P1007" i="1"/>
  <c r="P1054" i="1"/>
  <c r="P1062" i="1"/>
  <c r="O13" i="1"/>
  <c r="P265" i="1"/>
  <c r="P277" i="1"/>
  <c r="P284" i="1"/>
  <c r="P388" i="1"/>
  <c r="P410" i="1"/>
  <c r="P439" i="1"/>
  <c r="P477" i="1"/>
  <c r="P500" i="1"/>
  <c r="P507" i="1"/>
  <c r="P528" i="1"/>
  <c r="P566" i="1"/>
  <c r="P652" i="1"/>
  <c r="P667" i="1"/>
  <c r="P713" i="1"/>
  <c r="P720" i="1"/>
  <c r="P774" i="1"/>
  <c r="P781" i="1"/>
  <c r="P874" i="1"/>
  <c r="P1070" i="1"/>
  <c r="P1086" i="1"/>
  <c r="P1094" i="1"/>
  <c r="O14" i="1"/>
  <c r="P278" i="1"/>
  <c r="P291" i="1"/>
  <c r="P297" i="1"/>
  <c r="P331" i="1"/>
  <c r="P338" i="1"/>
  <c r="P345" i="1"/>
  <c r="P508" i="1"/>
  <c r="P544" i="1"/>
  <c r="P567" i="1"/>
  <c r="P660" i="1"/>
  <c r="P668" i="1"/>
  <c r="P714" i="1"/>
  <c r="P805" i="1"/>
  <c r="P828" i="1"/>
  <c r="P906" i="1"/>
  <c r="P273" i="1"/>
  <c r="P279" i="1"/>
  <c r="P292" i="1"/>
  <c r="P339" i="1"/>
  <c r="P346" i="1"/>
  <c r="P367" i="1"/>
  <c r="P404" i="1"/>
  <c r="P434" i="1"/>
  <c r="P463" i="1"/>
  <c r="P501" i="1"/>
  <c r="P516" i="1"/>
  <c r="P523" i="1"/>
  <c r="P560" i="1"/>
  <c r="P654" i="1"/>
  <c r="P761" i="1"/>
  <c r="P768" i="1"/>
  <c r="P821" i="1"/>
  <c r="P837" i="1"/>
  <c r="P994" i="1"/>
  <c r="P262" i="1"/>
  <c r="P286" i="1"/>
  <c r="P361" i="1"/>
  <c r="P391" i="1"/>
  <c r="P428" i="1"/>
  <c r="P457" i="1"/>
  <c r="P464" i="1"/>
  <c r="P524" i="1"/>
  <c r="P554" i="1"/>
  <c r="P632" i="1"/>
  <c r="P700" i="1"/>
  <c r="P762" i="1"/>
  <c r="P815" i="1"/>
  <c r="P861" i="1"/>
  <c r="P1026" i="1"/>
  <c r="P1050" i="1"/>
  <c r="P1073" i="1"/>
  <c r="P827" i="1"/>
  <c r="P840" i="1"/>
  <c r="P867" i="1"/>
  <c r="P886" i="1"/>
  <c r="P918" i="1"/>
  <c r="P931" i="1"/>
  <c r="P1006" i="1"/>
  <c r="P1019" i="1"/>
  <c r="P1053" i="1"/>
  <c r="P1072" i="1"/>
  <c r="P1085" i="1"/>
  <c r="P283" i="1"/>
  <c r="P337" i="1"/>
  <c r="P357" i="1"/>
  <c r="P389" i="1"/>
  <c r="P405" i="1"/>
  <c r="P440" i="1"/>
  <c r="P452" i="1"/>
  <c r="P465" i="1"/>
  <c r="P503" i="1"/>
  <c r="P519" i="1"/>
  <c r="P542" i="1"/>
  <c r="P555" i="1"/>
  <c r="P630" i="1"/>
  <c r="P643" i="1"/>
  <c r="P662" i="1"/>
  <c r="P689" i="1"/>
  <c r="P702" i="1"/>
  <c r="P721" i="1"/>
  <c r="P750" i="1"/>
  <c r="P769" i="1"/>
  <c r="P782" i="1"/>
  <c r="P803" i="1"/>
  <c r="P816" i="1"/>
  <c r="P835" i="1"/>
  <c r="P862" i="1"/>
  <c r="P875" i="1"/>
  <c r="P894" i="1"/>
  <c r="P907" i="1"/>
  <c r="P926" i="1"/>
  <c r="P995" i="1"/>
  <c r="P1014" i="1"/>
  <c r="P1027" i="1"/>
  <c r="P1048" i="1"/>
  <c r="P1061" i="1"/>
  <c r="P1080" i="1"/>
  <c r="P1093" i="1"/>
  <c r="P333" i="1"/>
  <c r="P358" i="1"/>
  <c r="P390" i="1"/>
  <c r="P406" i="1"/>
  <c r="P453" i="1"/>
  <c r="P498" i="1"/>
  <c r="P514" i="1"/>
  <c r="P530" i="1"/>
  <c r="P543" i="1"/>
  <c r="P562" i="1"/>
  <c r="P631" i="1"/>
  <c r="P650" i="1"/>
  <c r="P663" i="1"/>
  <c r="P690" i="1"/>
  <c r="P709" i="1"/>
  <c r="P722" i="1"/>
  <c r="P757" i="1"/>
  <c r="P770" i="1"/>
  <c r="P804" i="1"/>
  <c r="P823" i="1"/>
  <c r="P836" i="1"/>
  <c r="P863" i="1"/>
  <c r="P882" i="1"/>
  <c r="P895" i="1"/>
  <c r="P914" i="1"/>
  <c r="P927" i="1"/>
  <c r="P1002" i="1"/>
  <c r="P1015" i="1"/>
  <c r="P1034" i="1"/>
  <c r="P1049" i="1"/>
  <c r="P1068" i="1"/>
  <c r="P1081" i="1"/>
  <c r="P275" i="1"/>
  <c r="P329" i="1"/>
  <c r="P353" i="1"/>
  <c r="P385" i="1"/>
  <c r="P401" i="1"/>
  <c r="P417" i="1"/>
  <c r="P436" i="1"/>
  <c r="P460" i="1"/>
  <c r="P473" i="1"/>
  <c r="P499" i="1"/>
  <c r="P515" i="1"/>
  <c r="P531" i="1"/>
  <c r="P550" i="1"/>
  <c r="P638" i="1"/>
  <c r="P651" i="1"/>
  <c r="P670" i="1"/>
  <c r="P697" i="1"/>
  <c r="P710" i="1"/>
  <c r="P729" i="1"/>
  <c r="P758" i="1"/>
  <c r="P777" i="1"/>
  <c r="P792" i="1"/>
  <c r="P811" i="1"/>
  <c r="P824" i="1"/>
  <c r="P843" i="1"/>
  <c r="P870" i="1"/>
  <c r="P883" i="1"/>
  <c r="P902" i="1"/>
  <c r="P915" i="1"/>
  <c r="P990" i="1"/>
  <c r="P1003" i="1"/>
  <c r="P1022" i="1"/>
  <c r="P1035" i="1"/>
  <c r="P1056" i="1"/>
  <c r="P1069" i="1"/>
  <c r="P1088" i="1"/>
  <c r="P271" i="1"/>
  <c r="P303" i="1"/>
  <c r="P325" i="1"/>
  <c r="P354" i="1"/>
  <c r="P386" i="1"/>
  <c r="P402" i="1"/>
  <c r="P437" i="1"/>
  <c r="P448" i="1"/>
  <c r="P461" i="1"/>
  <c r="P480" i="1"/>
  <c r="P494" i="1"/>
  <c r="P510" i="1"/>
  <c r="P526" i="1"/>
  <c r="P538" i="1"/>
  <c r="P551" i="1"/>
  <c r="P626" i="1"/>
  <c r="P639" i="1"/>
  <c r="P658" i="1"/>
  <c r="P685" i="1"/>
  <c r="P698" i="1"/>
  <c r="P717" i="1"/>
  <c r="P730" i="1"/>
  <c r="P765" i="1"/>
  <c r="P799" i="1"/>
  <c r="P812" i="1"/>
  <c r="P831" i="1"/>
  <c r="P844" i="1"/>
  <c r="P858" i="1"/>
  <c r="P871" i="1"/>
  <c r="P890" i="1"/>
  <c r="P903" i="1"/>
  <c r="P922" i="1"/>
  <c r="P1010" i="1"/>
  <c r="P1023" i="1"/>
  <c r="P1057" i="1"/>
  <c r="P1076" i="1"/>
  <c r="P1089" i="1"/>
  <c r="P267" i="1"/>
  <c r="P299" i="1"/>
  <c r="P349" i="1"/>
  <c r="P365" i="1"/>
  <c r="P397" i="1"/>
  <c r="P432" i="1"/>
  <c r="P449" i="1"/>
  <c r="P468" i="1"/>
  <c r="P495" i="1"/>
  <c r="P511" i="1"/>
  <c r="P527" i="1"/>
  <c r="P539" i="1"/>
  <c r="P558" i="1"/>
  <c r="P627" i="1"/>
  <c r="P646" i="1"/>
  <c r="P659" i="1"/>
  <c r="P705" i="1"/>
  <c r="P718" i="1"/>
  <c r="P753" i="1"/>
  <c r="P766" i="1"/>
  <c r="P800" i="1"/>
  <c r="P819" i="1"/>
  <c r="P832" i="1"/>
  <c r="P859" i="1"/>
  <c r="P878" i="1"/>
  <c r="P891" i="1"/>
  <c r="P910" i="1"/>
  <c r="P923" i="1"/>
  <c r="P998" i="1"/>
  <c r="P1011" i="1"/>
  <c r="P1030" i="1"/>
  <c r="P1045" i="1"/>
  <c r="P1064" i="1"/>
  <c r="P1077" i="1"/>
  <c r="P1096" i="1"/>
  <c r="P263" i="1"/>
  <c r="P295" i="1"/>
  <c r="P317" i="1"/>
  <c r="P350" i="1"/>
  <c r="P366" i="1"/>
  <c r="P398" i="1"/>
  <c r="P414" i="1"/>
  <c r="P433" i="1"/>
  <c r="P456" i="1"/>
  <c r="P469" i="1"/>
  <c r="P490" i="1"/>
  <c r="P506" i="1"/>
  <c r="P522" i="1"/>
  <c r="P546" i="1"/>
  <c r="P559" i="1"/>
  <c r="P634" i="1"/>
  <c r="P647" i="1"/>
  <c r="P666" i="1"/>
  <c r="P693" i="1"/>
  <c r="P706" i="1"/>
  <c r="P725" i="1"/>
  <c r="P754" i="1"/>
  <c r="P773" i="1"/>
  <c r="P820" i="1"/>
  <c r="P839" i="1"/>
  <c r="P866" i="1"/>
  <c r="P879" i="1"/>
  <c r="P898" i="1"/>
  <c r="P911" i="1"/>
  <c r="P930" i="1"/>
  <c r="P999" i="1"/>
  <c r="P1018" i="1"/>
  <c r="P1031" i="1"/>
  <c r="P1065" i="1"/>
  <c r="P1084" i="1"/>
  <c r="P1097" i="1"/>
  <c r="L994" i="1"/>
  <c r="L1026" i="1"/>
  <c r="L701" i="1"/>
  <c r="L733" i="1"/>
  <c r="L1097" i="1"/>
  <c r="L1093" i="1"/>
  <c r="L1089" i="1"/>
  <c r="L1085" i="1"/>
  <c r="L1081" i="1"/>
  <c r="L1077" i="1"/>
  <c r="L1073" i="1"/>
  <c r="L1069" i="1"/>
  <c r="L1065" i="1"/>
  <c r="L1061" i="1"/>
  <c r="L1057" i="1"/>
  <c r="L1053" i="1"/>
  <c r="L1049" i="1"/>
  <c r="L1045" i="1"/>
  <c r="L362" i="1"/>
  <c r="L354" i="1"/>
  <c r="L350" i="1"/>
  <c r="L346" i="1"/>
  <c r="L342" i="1"/>
  <c r="L338" i="1"/>
  <c r="L334" i="1"/>
  <c r="L330" i="1"/>
  <c r="L326" i="1"/>
  <c r="L322" i="1"/>
  <c r="L318" i="1"/>
  <c r="L1032" i="1"/>
  <c r="L1028" i="1"/>
  <c r="L1024" i="1"/>
  <c r="L1020" i="1"/>
  <c r="L1016" i="1"/>
  <c r="L1012" i="1"/>
  <c r="L1008" i="1"/>
  <c r="L1004" i="1"/>
  <c r="L1000" i="1"/>
  <c r="L996" i="1"/>
  <c r="L992" i="1"/>
  <c r="L932" i="1"/>
  <c r="L928" i="1"/>
  <c r="L924" i="1"/>
  <c r="L920" i="1"/>
  <c r="L916" i="1"/>
  <c r="L912" i="1"/>
  <c r="L908" i="1"/>
  <c r="L904" i="1"/>
  <c r="L900" i="1"/>
  <c r="L896" i="1"/>
  <c r="L892" i="1"/>
  <c r="L888" i="1"/>
  <c r="L884" i="1"/>
  <c r="L880" i="1"/>
  <c r="L876" i="1"/>
  <c r="L872" i="1"/>
  <c r="L864" i="1"/>
  <c r="L860" i="1"/>
  <c r="L856" i="1"/>
  <c r="L779" i="1"/>
  <c r="L775" i="1"/>
  <c r="L771" i="1"/>
  <c r="L767" i="1"/>
  <c r="L763" i="1"/>
  <c r="L759" i="1"/>
  <c r="L755" i="1"/>
  <c r="L751" i="1"/>
  <c r="L731" i="1"/>
  <c r="L727" i="1"/>
  <c r="L723" i="1"/>
  <c r="L719" i="1"/>
  <c r="L715" i="1"/>
  <c r="L711" i="1"/>
  <c r="L707" i="1"/>
  <c r="L703" i="1"/>
  <c r="L699" i="1"/>
  <c r="L695" i="1"/>
  <c r="L691" i="1"/>
  <c r="L687" i="1"/>
  <c r="L683" i="1"/>
  <c r="L1096" i="1"/>
  <c r="L1092" i="1"/>
  <c r="L1088" i="1"/>
  <c r="L1084" i="1"/>
  <c r="L1080" i="1"/>
  <c r="L1076" i="1"/>
  <c r="L1072" i="1"/>
  <c r="L1068" i="1"/>
  <c r="L1064" i="1"/>
  <c r="L1060" i="1"/>
  <c r="L1056" i="1"/>
  <c r="L1048" i="1"/>
  <c r="L498" i="1"/>
  <c r="L494" i="1"/>
  <c r="L302" i="1"/>
  <c r="L298" i="1"/>
  <c r="L294" i="1"/>
  <c r="L286" i="1"/>
  <c r="L282" i="1"/>
  <c r="L278" i="1"/>
  <c r="L274" i="1"/>
  <c r="L270" i="1"/>
  <c r="L266" i="1"/>
  <c r="L262" i="1"/>
  <c r="L1090" i="1"/>
  <c r="L1058" i="1"/>
  <c r="L1018" i="1"/>
  <c r="L930" i="1"/>
  <c r="L898" i="1"/>
  <c r="L866" i="1"/>
  <c r="L845" i="1"/>
  <c r="L813" i="1"/>
  <c r="L773" i="1"/>
  <c r="L725" i="1"/>
  <c r="L693" i="1"/>
  <c r="L640" i="1"/>
  <c r="L552" i="1"/>
  <c r="L520" i="1"/>
  <c r="L480" i="1"/>
  <c r="L469" i="1"/>
  <c r="L464" i="1"/>
  <c r="L453" i="1"/>
  <c r="L448" i="1"/>
  <c r="L437" i="1"/>
  <c r="L432" i="1"/>
  <c r="L399" i="1"/>
  <c r="L319" i="1"/>
  <c r="L1070" i="1"/>
  <c r="L825" i="1"/>
  <c r="L793" i="1"/>
  <c r="L652" i="1"/>
  <c r="L564" i="1"/>
  <c r="L532" i="1"/>
  <c r="L500" i="1"/>
  <c r="L411" i="1"/>
  <c r="L363" i="1"/>
  <c r="L331" i="1"/>
  <c r="L304" i="1"/>
  <c r="L288" i="1"/>
  <c r="L272" i="1"/>
  <c r="L1050" i="1"/>
  <c r="L837" i="1"/>
  <c r="L805" i="1"/>
  <c r="L664" i="1"/>
  <c r="L632" i="1"/>
  <c r="L544" i="1"/>
  <c r="L512" i="1"/>
  <c r="L473" i="1"/>
  <c r="L457" i="1"/>
  <c r="L391" i="1"/>
  <c r="L343" i="1"/>
  <c r="L1094" i="1"/>
  <c r="L1062" i="1"/>
  <c r="L817" i="1"/>
  <c r="L644" i="1"/>
  <c r="L556" i="1"/>
  <c r="L524" i="1"/>
  <c r="L492" i="1"/>
  <c r="L403" i="1"/>
  <c r="L355" i="1"/>
  <c r="L323" i="1"/>
  <c r="L292" i="1"/>
  <c r="L276" i="1"/>
  <c r="L1074" i="1"/>
  <c r="L1034" i="1"/>
  <c r="L1002" i="1"/>
  <c r="L914" i="1"/>
  <c r="L882" i="1"/>
  <c r="L829" i="1"/>
  <c r="L797" i="1"/>
  <c r="L757" i="1"/>
  <c r="L709" i="1"/>
  <c r="L656" i="1"/>
  <c r="L568" i="1"/>
  <c r="L536" i="1"/>
  <c r="L504" i="1"/>
  <c r="L477" i="1"/>
  <c r="L461" i="1"/>
  <c r="L456" i="1"/>
  <c r="L445" i="1"/>
  <c r="L440" i="1"/>
  <c r="L429" i="1"/>
  <c r="L415" i="1"/>
  <c r="L367" i="1"/>
  <c r="L335" i="1"/>
  <c r="L1086" i="1"/>
  <c r="L1054" i="1"/>
  <c r="L841" i="1"/>
  <c r="L809" i="1"/>
  <c r="L668" i="1"/>
  <c r="L636" i="1"/>
  <c r="L548" i="1"/>
  <c r="L516" i="1"/>
  <c r="L395" i="1"/>
  <c r="L347" i="1"/>
  <c r="L315" i="1"/>
  <c r="L296" i="1"/>
  <c r="L280" i="1"/>
  <c r="L264" i="1"/>
  <c r="L1066" i="1"/>
  <c r="L874" i="1"/>
  <c r="L713" i="1"/>
  <c r="L660" i="1"/>
  <c r="L433" i="1"/>
  <c r="L327" i="1"/>
  <c r="L268" i="1"/>
  <c r="L1098" i="1"/>
  <c r="L508" i="1"/>
  <c r="L449" i="1"/>
  <c r="L918" i="1"/>
  <c r="L781" i="1"/>
  <c r="L528" i="1"/>
  <c r="L387" i="1"/>
  <c r="L1046" i="1"/>
  <c r="L648" i="1"/>
  <c r="L761" i="1"/>
  <c r="L359" i="1"/>
  <c r="L284" i="1"/>
  <c r="L833" i="1"/>
  <c r="L681" i="1"/>
  <c r="L628" i="1"/>
  <c r="L295" i="1"/>
  <c r="L1078" i="1"/>
  <c r="L886" i="1"/>
  <c r="L496" i="1"/>
  <c r="L339" i="1"/>
  <c r="L801" i="1"/>
  <c r="L540" i="1"/>
  <c r="L465" i="1"/>
  <c r="L407" i="1"/>
  <c r="L300" i="1"/>
  <c r="L279" i="1"/>
  <c r="L906" i="1"/>
  <c r="L1006" i="1"/>
  <c r="L821" i="1"/>
  <c r="L560" i="1"/>
  <c r="L428" i="1"/>
  <c r="L263" i="1"/>
  <c r="L299" i="1"/>
  <c r="L685" i="1"/>
  <c r="L777" i="1"/>
  <c r="L1091" i="1"/>
  <c r="L269" i="1"/>
  <c r="L291" i="1"/>
  <c r="L366" i="1"/>
  <c r="L470" i="1"/>
  <c r="L515" i="1"/>
  <c r="L553" i="1"/>
  <c r="L654" i="1"/>
  <c r="L661" i="1"/>
  <c r="L714" i="1"/>
  <c r="L753" i="1"/>
  <c r="L768" i="1"/>
  <c r="L814" i="1"/>
  <c r="L890" i="1"/>
  <c r="L913" i="1"/>
  <c r="L1014" i="1"/>
  <c r="L1022" i="1"/>
  <c r="L769" i="1"/>
  <c r="L1007" i="1"/>
  <c r="K14" i="1"/>
  <c r="L265" i="1"/>
  <c r="L316" i="1"/>
  <c r="L400" i="1"/>
  <c r="L503" i="1"/>
  <c r="L642" i="1"/>
  <c r="L717" i="1"/>
  <c r="L756" i="1"/>
  <c r="L855" i="1"/>
  <c r="L878" i="1"/>
  <c r="L893" i="1"/>
  <c r="L931" i="1"/>
  <c r="L1047" i="1"/>
  <c r="L554" i="1"/>
  <c r="L287" i="1"/>
  <c r="L301" i="1"/>
  <c r="L401" i="1"/>
  <c r="L438" i="1"/>
  <c r="L452" i="1"/>
  <c r="L534" i="1"/>
  <c r="L541" i="1"/>
  <c r="L635" i="1"/>
  <c r="L688" i="1"/>
  <c r="L726" i="1"/>
  <c r="L795" i="1"/>
  <c r="L802" i="1"/>
  <c r="L840" i="1"/>
  <c r="L894" i="1"/>
  <c r="L902" i="1"/>
  <c r="L1010" i="1"/>
  <c r="L1033" i="1"/>
  <c r="L471" i="1"/>
  <c r="L267" i="1"/>
  <c r="L281" i="1"/>
  <c r="L333" i="1"/>
  <c r="L340" i="1"/>
  <c r="L394" i="1"/>
  <c r="L439" i="1"/>
  <c r="L490" i="1"/>
  <c r="L535" i="1"/>
  <c r="L689" i="1"/>
  <c r="L697" i="1"/>
  <c r="L765" i="1"/>
  <c r="L796" i="1"/>
  <c r="L887" i="1"/>
  <c r="L910" i="1"/>
  <c r="L925" i="1"/>
  <c r="L1019" i="1"/>
  <c r="L1079" i="1"/>
  <c r="L329" i="1"/>
  <c r="L1030" i="1"/>
  <c r="L271" i="1"/>
  <c r="L353" i="1"/>
  <c r="L436" i="1"/>
  <c r="L547" i="1"/>
  <c r="L694" i="1"/>
  <c r="L762" i="1"/>
  <c r="L862" i="1"/>
  <c r="L275" i="1"/>
  <c r="L303" i="1"/>
  <c r="L454" i="1"/>
  <c r="L468" i="1"/>
  <c r="L521" i="1"/>
  <c r="L566" i="1"/>
  <c r="L629" i="1"/>
  <c r="L667" i="1"/>
  <c r="L682" i="1"/>
  <c r="L705" i="1"/>
  <c r="L720" i="1"/>
  <c r="L774" i="1"/>
  <c r="L827" i="1"/>
  <c r="L834" i="1"/>
  <c r="L858" i="1"/>
  <c r="L881" i="1"/>
  <c r="L926" i="1"/>
  <c r="L990" i="1"/>
  <c r="L352" i="1"/>
  <c r="L708" i="1"/>
  <c r="L815" i="1"/>
  <c r="L861" i="1"/>
  <c r="L285" i="1"/>
  <c r="L414" i="1"/>
  <c r="L509" i="1"/>
  <c r="L641" i="1"/>
  <c r="L808" i="1"/>
  <c r="L870" i="1"/>
  <c r="L922" i="1"/>
  <c r="L1001" i="1"/>
  <c r="L283" i="1"/>
  <c r="L297" i="1"/>
  <c r="L320" i="1"/>
  <c r="L365" i="1"/>
  <c r="L388" i="1"/>
  <c r="L455" i="1"/>
  <c r="L522" i="1"/>
  <c r="L567" i="1"/>
  <c r="L721" i="1"/>
  <c r="L729" i="1"/>
  <c r="L828" i="1"/>
  <c r="L867" i="1"/>
  <c r="L919" i="1"/>
  <c r="L998" i="1"/>
  <c r="L1013" i="1"/>
  <c r="L1059" i="1"/>
  <c r="L328" i="1"/>
  <c r="L341" i="1"/>
  <c r="L360" i="1"/>
  <c r="L389" i="1"/>
  <c r="L402" i="1"/>
  <c r="L408" i="1"/>
  <c r="L434" i="1"/>
  <c r="L450" i="1"/>
  <c r="L466" i="1"/>
  <c r="L491" i="1"/>
  <c r="L497" i="1"/>
  <c r="L510" i="1"/>
  <c r="L523" i="1"/>
  <c r="L529" i="1"/>
  <c r="L542" i="1"/>
  <c r="L555" i="1"/>
  <c r="L561" i="1"/>
  <c r="L630" i="1"/>
  <c r="L643" i="1"/>
  <c r="L649" i="1"/>
  <c r="L662" i="1"/>
  <c r="L696" i="1"/>
  <c r="L702" i="1"/>
  <c r="L728" i="1"/>
  <c r="L750" i="1"/>
  <c r="L776" i="1"/>
  <c r="L782" i="1"/>
  <c r="L803" i="1"/>
  <c r="L816" i="1"/>
  <c r="L822" i="1"/>
  <c r="L835" i="1"/>
  <c r="L869" i="1"/>
  <c r="L875" i="1"/>
  <c r="L901" i="1"/>
  <c r="L907" i="1"/>
  <c r="L933" i="1"/>
  <c r="L995" i="1"/>
  <c r="L1027" i="1"/>
  <c r="L1067" i="1"/>
  <c r="L348" i="1"/>
  <c r="L361" i="1"/>
  <c r="L390" i="1"/>
  <c r="L396" i="1"/>
  <c r="L409" i="1"/>
  <c r="L435" i="1"/>
  <c r="L451" i="1"/>
  <c r="L467" i="1"/>
  <c r="L511" i="1"/>
  <c r="L517" i="1"/>
  <c r="L530" i="1"/>
  <c r="L543" i="1"/>
  <c r="L549" i="1"/>
  <c r="L562" i="1"/>
  <c r="L631" i="1"/>
  <c r="L637" i="1"/>
  <c r="L650" i="1"/>
  <c r="L663" i="1"/>
  <c r="L669" i="1"/>
  <c r="L684" i="1"/>
  <c r="L690" i="1"/>
  <c r="L722" i="1"/>
  <c r="L764" i="1"/>
  <c r="L770" i="1"/>
  <c r="L804" i="1"/>
  <c r="L810" i="1"/>
  <c r="L823" i="1"/>
  <c r="L836" i="1"/>
  <c r="L842" i="1"/>
  <c r="L857" i="1"/>
  <c r="L863" i="1"/>
  <c r="L889" i="1"/>
  <c r="L895" i="1"/>
  <c r="L921" i="1"/>
  <c r="L927" i="1"/>
  <c r="L1009" i="1"/>
  <c r="L1015" i="1"/>
  <c r="L1055" i="1"/>
  <c r="L1087" i="1"/>
  <c r="L317" i="1"/>
  <c r="L336" i="1"/>
  <c r="L349" i="1"/>
  <c r="L368" i="1"/>
  <c r="L397" i="1"/>
  <c r="L410" i="1"/>
  <c r="L416" i="1"/>
  <c r="L430" i="1"/>
  <c r="L446" i="1"/>
  <c r="L462" i="1"/>
  <c r="L478" i="1"/>
  <c r="L499" i="1"/>
  <c r="L505" i="1"/>
  <c r="L518" i="1"/>
  <c r="L531" i="1"/>
  <c r="L537" i="1"/>
  <c r="L550" i="1"/>
  <c r="L638" i="1"/>
  <c r="L651" i="1"/>
  <c r="L657" i="1"/>
  <c r="L670" i="1"/>
  <c r="L704" i="1"/>
  <c r="L710" i="1"/>
  <c r="L752" i="1"/>
  <c r="L758" i="1"/>
  <c r="L792" i="1"/>
  <c r="L798" i="1"/>
  <c r="L811" i="1"/>
  <c r="L824" i="1"/>
  <c r="L830" i="1"/>
  <c r="L843" i="1"/>
  <c r="L877" i="1"/>
  <c r="L883" i="1"/>
  <c r="L909" i="1"/>
  <c r="L915" i="1"/>
  <c r="L997" i="1"/>
  <c r="L1003" i="1"/>
  <c r="L1029" i="1"/>
  <c r="L1035" i="1"/>
  <c r="L1075" i="1"/>
  <c r="L261" i="1"/>
  <c r="L277" i="1"/>
  <c r="L293" i="1"/>
  <c r="L324" i="1"/>
  <c r="L337" i="1"/>
  <c r="L356" i="1"/>
  <c r="L385" i="1"/>
  <c r="L398" i="1"/>
  <c r="L404" i="1"/>
  <c r="L417" i="1"/>
  <c r="L431" i="1"/>
  <c r="L447" i="1"/>
  <c r="L463" i="1"/>
  <c r="L479" i="1"/>
  <c r="L493" i="1"/>
  <c r="L506" i="1"/>
  <c r="L519" i="1"/>
  <c r="L525" i="1"/>
  <c r="L538" i="1"/>
  <c r="L551" i="1"/>
  <c r="L557" i="1"/>
  <c r="L626" i="1"/>
  <c r="L639" i="1"/>
  <c r="L645" i="1"/>
  <c r="L658" i="1"/>
  <c r="L692" i="1"/>
  <c r="L698" i="1"/>
  <c r="L724" i="1"/>
  <c r="L730" i="1"/>
  <c r="L772" i="1"/>
  <c r="L799" i="1"/>
  <c r="L812" i="1"/>
  <c r="L818" i="1"/>
  <c r="L831" i="1"/>
  <c r="L844" i="1"/>
  <c r="L865" i="1"/>
  <c r="L871" i="1"/>
  <c r="L897" i="1"/>
  <c r="L903" i="1"/>
  <c r="L1017" i="1"/>
  <c r="L1023" i="1"/>
  <c r="L1063" i="1"/>
  <c r="L1095" i="1"/>
  <c r="L325" i="1"/>
  <c r="L344" i="1"/>
  <c r="L357" i="1"/>
  <c r="L386" i="1"/>
  <c r="L392" i="1"/>
  <c r="L405" i="1"/>
  <c r="L442" i="1"/>
  <c r="L458" i="1"/>
  <c r="L474" i="1"/>
  <c r="L507" i="1"/>
  <c r="L513" i="1"/>
  <c r="L526" i="1"/>
  <c r="L539" i="1"/>
  <c r="L545" i="1"/>
  <c r="L558" i="1"/>
  <c r="L627" i="1"/>
  <c r="L633" i="1"/>
  <c r="L646" i="1"/>
  <c r="L659" i="1"/>
  <c r="L665" i="1"/>
  <c r="L680" i="1"/>
  <c r="L712" i="1"/>
  <c r="L718" i="1"/>
  <c r="L760" i="1"/>
  <c r="L766" i="1"/>
  <c r="L800" i="1"/>
  <c r="L806" i="1"/>
  <c r="L819" i="1"/>
  <c r="L832" i="1"/>
  <c r="L859" i="1"/>
  <c r="L885" i="1"/>
  <c r="L891" i="1"/>
  <c r="L917" i="1"/>
  <c r="L923" i="1"/>
  <c r="L1005" i="1"/>
  <c r="L1011" i="1"/>
  <c r="L1051" i="1"/>
  <c r="L1083" i="1"/>
  <c r="L273" i="1"/>
  <c r="L289" i="1"/>
  <c r="L305" i="1"/>
  <c r="L332" i="1"/>
  <c r="L345" i="1"/>
  <c r="L358" i="1"/>
  <c r="L364" i="1"/>
  <c r="L393" i="1"/>
  <c r="L406" i="1"/>
  <c r="L412" i="1"/>
  <c r="L427" i="1"/>
  <c r="L443" i="1"/>
  <c r="L459" i="1"/>
  <c r="L475" i="1"/>
  <c r="L495" i="1"/>
  <c r="L501" i="1"/>
  <c r="L514" i="1"/>
  <c r="L527" i="1"/>
  <c r="L546" i="1"/>
  <c r="L559" i="1"/>
  <c r="L565" i="1"/>
  <c r="L634" i="1"/>
  <c r="L647" i="1"/>
  <c r="L653" i="1"/>
  <c r="L666" i="1"/>
  <c r="L700" i="1"/>
  <c r="L706" i="1"/>
  <c r="L732" i="1"/>
  <c r="L754" i="1"/>
  <c r="L780" i="1"/>
  <c r="L794" i="1"/>
  <c r="L820" i="1"/>
  <c r="L826" i="1"/>
  <c r="L839" i="1"/>
  <c r="L873" i="1"/>
  <c r="L879" i="1"/>
  <c r="L905" i="1"/>
  <c r="L911" i="1"/>
  <c r="L993" i="1"/>
  <c r="L999" i="1"/>
  <c r="L1025" i="1"/>
  <c r="L1031" i="1"/>
  <c r="L1071" i="1"/>
  <c r="H278" i="1"/>
  <c r="H1048" i="1"/>
  <c r="H1030" i="1"/>
  <c r="BL807" i="1" l="1"/>
  <c r="BP1021" i="1"/>
  <c r="BL838" i="1"/>
  <c r="BP899" i="1"/>
  <c r="BP890" i="1"/>
  <c r="BP1052" i="1"/>
  <c r="BL868" i="1"/>
  <c r="BL929" i="1"/>
  <c r="BP991" i="1"/>
  <c r="BP868" i="1"/>
  <c r="BP807" i="1"/>
  <c r="BL1021" i="1"/>
  <c r="BP1082" i="1"/>
  <c r="BP929" i="1"/>
  <c r="BP838" i="1"/>
  <c r="BL899" i="1"/>
  <c r="BL1082" i="1"/>
  <c r="BL991" i="1"/>
  <c r="BL778" i="1"/>
  <c r="H776" i="1"/>
  <c r="H1076" i="1"/>
  <c r="H1000" i="1"/>
  <c r="H286" i="1"/>
  <c r="H437" i="1"/>
  <c r="H806" i="1"/>
  <c r="H818" i="1"/>
  <c r="H667" i="1"/>
  <c r="H334" i="1"/>
  <c r="H415" i="1"/>
  <c r="H767" i="1"/>
  <c r="BP862" i="1"/>
  <c r="H1077" i="1"/>
  <c r="H843" i="1"/>
  <c r="H688" i="1"/>
  <c r="H769" i="1"/>
  <c r="H826" i="1"/>
  <c r="H179" i="1"/>
  <c r="H653" i="1"/>
  <c r="H836" i="1"/>
  <c r="H417" i="1"/>
  <c r="H496" i="1"/>
  <c r="H1073" i="1"/>
  <c r="H892" i="1"/>
  <c r="H763" i="1"/>
  <c r="H691" i="1"/>
  <c r="H1003" i="1"/>
  <c r="H887" i="1"/>
  <c r="H770" i="1"/>
  <c r="H694" i="1"/>
  <c r="H433" i="1"/>
  <c r="H1005" i="1"/>
  <c r="H281" i="1"/>
  <c r="H692" i="1"/>
  <c r="H269" i="1"/>
  <c r="H147" i="1"/>
  <c r="H438" i="1"/>
  <c r="H728" i="1"/>
  <c r="H273" i="1"/>
  <c r="H150" i="1"/>
  <c r="H431" i="1"/>
  <c r="H451" i="1"/>
  <c r="H266" i="1"/>
  <c r="H874" i="1"/>
  <c r="H492" i="1"/>
  <c r="H191" i="1"/>
  <c r="H837" i="1"/>
  <c r="H548" i="1"/>
  <c r="H330" i="1"/>
  <c r="H521" i="1"/>
  <c r="H761" i="1"/>
  <c r="H1032" i="1"/>
  <c r="H357" i="1"/>
  <c r="H555" i="1"/>
  <c r="H816" i="1"/>
  <c r="H183" i="1"/>
  <c r="H464" i="1"/>
  <c r="H650" i="1"/>
  <c r="H914" i="1"/>
  <c r="H295" i="1"/>
  <c r="H505" i="1"/>
  <c r="H697" i="1"/>
  <c r="H990" i="1"/>
  <c r="H353" i="1"/>
  <c r="H493" i="1"/>
  <c r="H645" i="1"/>
  <c r="H844" i="1"/>
  <c r="H203" i="1"/>
  <c r="H408" i="1"/>
  <c r="H633" i="1"/>
  <c r="H832" i="1"/>
  <c r="H1064" i="1"/>
  <c r="H390" i="1"/>
  <c r="H527" i="1"/>
  <c r="H693" i="1"/>
  <c r="H866" i="1"/>
  <c r="H298" i="1"/>
  <c r="H535" i="1"/>
  <c r="H1057" i="1"/>
  <c r="H474" i="1"/>
  <c r="H750" i="1"/>
  <c r="H885" i="1"/>
  <c r="H193" i="1"/>
  <c r="H536" i="1"/>
  <c r="H913" i="1"/>
  <c r="H404" i="1"/>
  <c r="H343" i="1"/>
  <c r="H362" i="1"/>
  <c r="H1091" i="1"/>
  <c r="H862" i="1"/>
  <c r="H709" i="1"/>
  <c r="H537" i="1"/>
  <c r="H388" i="1"/>
  <c r="H922" i="1"/>
  <c r="H659" i="1"/>
  <c r="H409" i="1"/>
  <c r="H930" i="1"/>
  <c r="H699" i="1"/>
  <c r="H297" i="1"/>
  <c r="H459" i="1"/>
  <c r="H503" i="1"/>
  <c r="H512" i="1"/>
  <c r="H490" i="1"/>
  <c r="H1065" i="1"/>
  <c r="H880" i="1"/>
  <c r="H755" i="1"/>
  <c r="H687" i="1"/>
  <c r="H995" i="1"/>
  <c r="H883" i="1"/>
  <c r="H762" i="1"/>
  <c r="H682" i="1"/>
  <c r="H429" i="1"/>
  <c r="H917" i="1"/>
  <c r="H270" i="1"/>
  <c r="H564" i="1"/>
  <c r="H997" i="1"/>
  <c r="H202" i="1"/>
  <c r="H1009" i="1"/>
  <c r="H427" i="1"/>
  <c r="H656" i="1"/>
  <c r="H262" i="1"/>
  <c r="H142" i="1"/>
  <c r="H182" i="1"/>
  <c r="H435" i="1"/>
  <c r="H318" i="1"/>
  <c r="H1070" i="1"/>
  <c r="H554" i="1"/>
  <c r="H282" i="1"/>
  <c r="H845" i="1"/>
  <c r="H815" i="1"/>
  <c r="H336" i="1"/>
  <c r="H547" i="1"/>
  <c r="H795" i="1"/>
  <c r="H1059" i="1"/>
  <c r="H392" i="1"/>
  <c r="H561" i="1"/>
  <c r="H822" i="1"/>
  <c r="H332" i="1"/>
  <c r="H498" i="1"/>
  <c r="H663" i="1"/>
  <c r="H1002" i="1"/>
  <c r="H320" i="1"/>
  <c r="H518" i="1"/>
  <c r="H777" i="1"/>
  <c r="H1016" i="1"/>
  <c r="H366" i="1"/>
  <c r="H506" i="1"/>
  <c r="H658" i="1"/>
  <c r="H858" i="1"/>
  <c r="H291" i="1"/>
  <c r="H494" i="1"/>
  <c r="H646" i="1"/>
  <c r="H1083" i="1"/>
  <c r="H396" i="1"/>
  <c r="H725" i="1"/>
  <c r="H898" i="1"/>
  <c r="H567" i="1"/>
  <c r="H731" i="1"/>
  <c r="H473" i="1"/>
  <c r="H194" i="1"/>
  <c r="H877" i="1"/>
  <c r="H889" i="1"/>
  <c r="H201" i="1"/>
  <c r="H430" i="1"/>
  <c r="H648" i="1"/>
  <c r="H861" i="1"/>
  <c r="H808" i="1"/>
  <c r="H630" i="1"/>
  <c r="H511" i="1"/>
  <c r="H333" i="1"/>
  <c r="H1022" i="1"/>
  <c r="H685" i="1"/>
  <c r="H507" i="1"/>
  <c r="H1096" i="1"/>
  <c r="H773" i="1"/>
  <c r="G13" i="1"/>
  <c r="H1023" i="1"/>
  <c r="H449" i="1"/>
  <c r="H327" i="1"/>
  <c r="H809" i="1"/>
  <c r="H876" i="1"/>
  <c r="H879" i="1"/>
  <c r="H304" i="1"/>
  <c r="H500" i="1"/>
  <c r="H197" i="1"/>
  <c r="H1078" i="1"/>
  <c r="H1086" i="1"/>
  <c r="H152" i="1"/>
  <c r="H553" i="1"/>
  <c r="H405" i="1"/>
  <c r="H345" i="1"/>
  <c r="H1028" i="1"/>
  <c r="H792" i="1"/>
  <c r="H519" i="1"/>
  <c r="H322" i="1"/>
  <c r="H878" i="1"/>
  <c r="H559" i="1"/>
  <c r="H775" i="1"/>
  <c r="H272" i="1"/>
  <c r="H385" i="1"/>
  <c r="H1020" i="1"/>
  <c r="H802" i="1"/>
  <c r="H701" i="1"/>
  <c r="H1045" i="1"/>
  <c r="H872" i="1"/>
  <c r="H727" i="1"/>
  <c r="H1035" i="1"/>
  <c r="H927" i="1"/>
  <c r="H875" i="1"/>
  <c r="H726" i="1"/>
  <c r="H469" i="1"/>
  <c r="H296" i="1"/>
  <c r="H760" i="1"/>
  <c r="H479" i="1"/>
  <c r="H752" i="1"/>
  <c r="H184" i="1"/>
  <c r="H857" i="1"/>
  <c r="H188" i="1"/>
  <c r="H504" i="1"/>
  <c r="H174" i="1"/>
  <c r="H881" i="1"/>
  <c r="H1025" i="1"/>
  <c r="H403" i="1"/>
  <c r="H452" i="1"/>
  <c r="H1094" i="1"/>
  <c r="H781" i="1"/>
  <c r="H398" i="1"/>
  <c r="H337" i="1"/>
  <c r="H1026" i="1"/>
  <c r="H397" i="1"/>
  <c r="H566" i="1"/>
  <c r="H814" i="1"/>
  <c r="H267" i="1"/>
  <c r="H476" i="1"/>
  <c r="H643" i="1"/>
  <c r="H926" i="1"/>
  <c r="H358" i="1"/>
  <c r="H517" i="1"/>
  <c r="H804" i="1"/>
  <c r="H1034" i="1"/>
  <c r="H346" i="1"/>
  <c r="H798" i="1"/>
  <c r="H1056" i="1"/>
  <c r="H401" i="1"/>
  <c r="H525" i="1"/>
  <c r="H765" i="1"/>
  <c r="H1004" i="1"/>
  <c r="H328" i="1"/>
  <c r="H513" i="1"/>
  <c r="H665" i="1"/>
  <c r="H910" i="1"/>
  <c r="H199" i="1"/>
  <c r="H456" i="1"/>
  <c r="H565" i="1"/>
  <c r="H794" i="1"/>
  <c r="H1012" i="1"/>
  <c r="H1090" i="1"/>
  <c r="H1085" i="1"/>
  <c r="H347" i="1"/>
  <c r="H158" i="1"/>
  <c r="H644" i="1"/>
  <c r="H1060" i="1"/>
  <c r="H1013" i="1"/>
  <c r="H834" i="1"/>
  <c r="H924" i="1"/>
  <c r="H719" i="1"/>
  <c r="H1031" i="1"/>
  <c r="H919" i="1"/>
  <c r="H863" i="1"/>
  <c r="H722" i="1"/>
  <c r="H465" i="1"/>
  <c r="H284" i="1"/>
  <c r="H640" i="1"/>
  <c r="H897" i="1"/>
  <c r="H450" i="1"/>
  <c r="H704" i="1"/>
  <c r="H171" i="1"/>
  <c r="H764" i="1"/>
  <c r="H933" i="1"/>
  <c r="H166" i="1"/>
  <c r="H756" i="1"/>
  <c r="H905" i="1"/>
  <c r="H355" i="1"/>
  <c r="H522" i="1"/>
  <c r="H160" i="1"/>
  <c r="H828" i="1"/>
  <c r="H508" i="1"/>
  <c r="H391" i="1"/>
  <c r="H1050" i="1"/>
  <c r="H410" i="1"/>
  <c r="H635" i="1"/>
  <c r="H840" i="1"/>
  <c r="H283" i="1"/>
  <c r="H491" i="1"/>
  <c r="H662" i="1"/>
  <c r="H1008" i="1"/>
  <c r="H364" i="1"/>
  <c r="H543" i="1"/>
  <c r="H810" i="1"/>
  <c r="H1055" i="1"/>
  <c r="H365" i="1"/>
  <c r="H811" i="1"/>
  <c r="H1075" i="1"/>
  <c r="H414" i="1"/>
  <c r="H551" i="1"/>
  <c r="H799" i="1"/>
  <c r="H1010" i="1"/>
  <c r="H341" i="1"/>
  <c r="H526" i="1"/>
  <c r="H705" i="1"/>
  <c r="H992" i="1"/>
  <c r="H329" i="1"/>
  <c r="H480" i="1"/>
  <c r="H634" i="1"/>
  <c r="H1018" i="1"/>
  <c r="H912" i="1"/>
  <c r="H706" i="1"/>
  <c r="H159" i="1"/>
  <c r="H1066" i="1"/>
  <c r="H141" i="1"/>
  <c r="H331" i="1"/>
  <c r="H1054" i="1"/>
  <c r="H916" i="1"/>
  <c r="H860" i="1"/>
  <c r="H707" i="1"/>
  <c r="H1027" i="1"/>
  <c r="H915" i="1"/>
  <c r="H782" i="1"/>
  <c r="H714" i="1"/>
  <c r="H461" i="1"/>
  <c r="H276" i="1"/>
  <c r="H302" i="1"/>
  <c r="H865" i="1"/>
  <c r="H434" i="1"/>
  <c r="H359" i="1"/>
  <c r="H163" i="1"/>
  <c r="H829" i="1"/>
  <c r="H319" i="1"/>
  <c r="H162" i="1"/>
  <c r="H708" i="1"/>
  <c r="H873" i="1"/>
  <c r="H323" i="1"/>
  <c r="H560" i="1"/>
  <c r="H169" i="1"/>
  <c r="H906" i="1"/>
  <c r="H524" i="1"/>
  <c r="H407" i="1"/>
  <c r="H195" i="1"/>
  <c r="H416" i="1"/>
  <c r="H641" i="1"/>
  <c r="H918" i="1"/>
  <c r="H299" i="1"/>
  <c r="H497" i="1"/>
  <c r="H721" i="1"/>
  <c r="H1014" i="1"/>
  <c r="H393" i="1"/>
  <c r="H562" i="1"/>
  <c r="H823" i="1"/>
  <c r="H1068" i="1"/>
  <c r="H400" i="1"/>
  <c r="H638" i="1"/>
  <c r="H824" i="1"/>
  <c r="H1088" i="1"/>
  <c r="H444" i="1"/>
  <c r="H557" i="1"/>
  <c r="H812" i="1"/>
  <c r="H1063" i="1"/>
  <c r="H354" i="1"/>
  <c r="H539" i="1"/>
  <c r="H753" i="1"/>
  <c r="H1024" i="1"/>
  <c r="H342" i="1"/>
  <c r="H495" i="1"/>
  <c r="H647" i="1"/>
  <c r="H820" i="1"/>
  <c r="H148" i="1"/>
  <c r="H907" i="1"/>
  <c r="H825" i="1"/>
  <c r="H797" i="1"/>
  <c r="H666" i="1"/>
  <c r="H819" i="1"/>
  <c r="H831" i="1"/>
  <c r="H902" i="1"/>
  <c r="H842" i="1"/>
  <c r="H803" i="1"/>
  <c r="H713" i="1"/>
  <c r="H821" i="1"/>
  <c r="H156" i="1"/>
  <c r="H294" i="1"/>
  <c r="H264" i="1"/>
  <c r="H908" i="1"/>
  <c r="H514" i="1"/>
  <c r="H627" i="1"/>
  <c r="H639" i="1"/>
  <c r="H657" i="1"/>
  <c r="H637" i="1"/>
  <c r="H542" i="1"/>
  <c r="H157" i="1"/>
  <c r="H732" i="1"/>
  <c r="H443" i="1"/>
  <c r="H702" i="1"/>
  <c r="H161" i="1"/>
  <c r="H501" i="1"/>
  <c r="H545" i="1"/>
  <c r="H626" i="1"/>
  <c r="H651" i="1"/>
  <c r="H631" i="1"/>
  <c r="H523" i="1"/>
  <c r="H468" i="1"/>
  <c r="H1079" i="1"/>
  <c r="H780" i="1"/>
  <c r="H151" i="1"/>
  <c r="H774" i="1"/>
  <c r="H363" i="1"/>
  <c r="H1084" i="1"/>
  <c r="H361" i="1"/>
  <c r="H389" i="1"/>
  <c r="H499" i="1"/>
  <c r="H448" i="1"/>
  <c r="H338" i="1"/>
  <c r="H303" i="1"/>
  <c r="H350" i="1"/>
  <c r="H442" i="1"/>
  <c r="H895" i="1"/>
  <c r="H339" i="1"/>
  <c r="H1071" i="1"/>
  <c r="H348" i="1"/>
  <c r="H360" i="1"/>
  <c r="H460" i="1"/>
  <c r="H412" i="1"/>
  <c r="H325" i="1"/>
  <c r="H287" i="1"/>
  <c r="H335" i="1"/>
  <c r="H315" i="1"/>
  <c r="H1015" i="1"/>
  <c r="H458" i="1"/>
  <c r="H839" i="1"/>
  <c r="H1051" i="1"/>
  <c r="H1095" i="1"/>
  <c r="H340" i="1"/>
  <c r="H279" i="1"/>
  <c r="H1067" i="1"/>
  <c r="H1006" i="1"/>
  <c r="H509" i="1"/>
  <c r="H733" i="1"/>
  <c r="H154" i="1"/>
  <c r="H772" i="1"/>
  <c r="H695" i="1"/>
  <c r="G14" i="1"/>
  <c r="H528" i="1"/>
  <c r="H541" i="1"/>
  <c r="H801" i="1"/>
  <c r="H173" i="1"/>
  <c r="H520" i="1"/>
  <c r="H186" i="1"/>
  <c r="H411" i="1"/>
  <c r="H1062" i="1"/>
  <c r="H1069" i="1"/>
  <c r="H928" i="1"/>
  <c r="H896" i="1"/>
  <c r="H864" i="1"/>
  <c r="H759" i="1"/>
  <c r="H711" i="1"/>
  <c r="H478" i="1"/>
  <c r="H1019" i="1"/>
  <c r="H931" i="1"/>
  <c r="H867" i="1"/>
  <c r="H766" i="1"/>
  <c r="H718" i="1"/>
  <c r="H453" i="1"/>
  <c r="H300" i="1"/>
  <c r="H268" i="1"/>
  <c r="H680" i="1"/>
  <c r="H265" i="1"/>
  <c r="H793" i="1"/>
  <c r="H455" i="1"/>
  <c r="H1029" i="1"/>
  <c r="H301" i="1"/>
  <c r="H175" i="1"/>
  <c r="H143" i="1"/>
  <c r="H471" i="1"/>
  <c r="H696" i="1"/>
  <c r="H305" i="1"/>
  <c r="H178" i="1"/>
  <c r="H146" i="1"/>
  <c r="H463" i="1"/>
  <c r="H1046" i="1"/>
  <c r="H462" i="1"/>
  <c r="H190" i="1"/>
  <c r="H436" i="1"/>
  <c r="H796" i="1"/>
  <c r="H144" i="1"/>
  <c r="H664" i="1"/>
  <c r="H164" i="1"/>
  <c r="H516" i="1"/>
  <c r="H145" i="1"/>
  <c r="H540" i="1"/>
  <c r="H1058" i="1"/>
  <c r="H349" i="1"/>
  <c r="H515" i="1"/>
  <c r="H654" i="1"/>
  <c r="H827" i="1"/>
  <c r="H1072" i="1"/>
  <c r="H344" i="1"/>
  <c r="H510" i="1"/>
  <c r="H649" i="1"/>
  <c r="H835" i="1"/>
  <c r="H1080" i="1"/>
  <c r="H406" i="1"/>
  <c r="H530" i="1"/>
  <c r="H669" i="1"/>
  <c r="H882" i="1"/>
  <c r="H1087" i="1"/>
  <c r="H352" i="1"/>
  <c r="H531" i="1"/>
  <c r="H670" i="1"/>
  <c r="H830" i="1"/>
  <c r="H165" i="1"/>
  <c r="H636" i="1"/>
  <c r="H153" i="1"/>
  <c r="H817" i="1"/>
  <c r="H293" i="1"/>
  <c r="H661" i="1"/>
  <c r="H660" i="1"/>
  <c r="H544" i="1"/>
  <c r="H1093" i="1"/>
  <c r="H1061" i="1"/>
  <c r="H920" i="1"/>
  <c r="H888" i="1"/>
  <c r="H856" i="1"/>
  <c r="H751" i="1"/>
  <c r="H703" i="1"/>
  <c r="H470" i="1"/>
  <c r="H1011" i="1"/>
  <c r="H923" i="1"/>
  <c r="H891" i="1"/>
  <c r="H859" i="1"/>
  <c r="H758" i="1"/>
  <c r="H710" i="1"/>
  <c r="H477" i="1"/>
  <c r="H445" i="1"/>
  <c r="H292" i="1"/>
  <c r="H467" i="1"/>
  <c r="H185" i="1"/>
  <c r="H724" i="1"/>
  <c r="H439" i="1"/>
  <c r="H909" i="1"/>
  <c r="H285" i="1"/>
  <c r="H167" i="1"/>
  <c r="H921" i="1"/>
  <c r="H454" i="1"/>
  <c r="H901" i="1"/>
  <c r="H568" i="1"/>
  <c r="H289" i="1"/>
  <c r="H170" i="1"/>
  <c r="H1033" i="1"/>
  <c r="H447" i="1"/>
  <c r="H993" i="1"/>
  <c r="H446" i="1"/>
  <c r="H1098" i="1"/>
  <c r="H475" i="1"/>
  <c r="H1047" i="1"/>
  <c r="H176" i="1"/>
  <c r="H805" i="1"/>
  <c r="H261" i="1"/>
  <c r="H642" i="1"/>
  <c r="H177" i="1"/>
  <c r="H556" i="1"/>
  <c r="H271" i="1"/>
  <c r="H368" i="1"/>
  <c r="H534" i="1"/>
  <c r="H681" i="1"/>
  <c r="H886" i="1"/>
  <c r="H187" i="1"/>
  <c r="H386" i="1"/>
  <c r="H529" i="1"/>
  <c r="H689" i="1"/>
  <c r="H894" i="1"/>
  <c r="H326" i="1"/>
  <c r="H432" i="1"/>
  <c r="H549" i="1"/>
  <c r="H757" i="1"/>
  <c r="H996" i="1"/>
  <c r="H263" i="1"/>
  <c r="H394" i="1"/>
  <c r="H550" i="1"/>
  <c r="H729" i="1"/>
  <c r="H870" i="1"/>
  <c r="H428" i="1"/>
  <c r="H538" i="1"/>
  <c r="H717" i="1"/>
  <c r="H890" i="1"/>
  <c r="H275" i="1"/>
  <c r="H402" i="1"/>
  <c r="H558" i="1"/>
  <c r="H800" i="1"/>
  <c r="H998" i="1"/>
  <c r="H316" i="1"/>
  <c r="H440" i="1"/>
  <c r="H546" i="1"/>
  <c r="H317" i="1"/>
  <c r="H720" i="1"/>
  <c r="H994" i="1"/>
  <c r="H367" i="1"/>
  <c r="H813" i="1"/>
  <c r="H652" i="1"/>
  <c r="H632" i="1"/>
  <c r="H149" i="1"/>
  <c r="H700" i="1"/>
  <c r="H196" i="1"/>
  <c r="H1001" i="1"/>
  <c r="H192" i="1"/>
  <c r="H399" i="1"/>
  <c r="H869" i="1"/>
  <c r="H684" i="1"/>
  <c r="H155" i="1"/>
  <c r="H274" i="1"/>
  <c r="H189" i="1"/>
  <c r="H532" i="1"/>
  <c r="H1017" i="1"/>
  <c r="H712" i="1"/>
  <c r="H280" i="1"/>
  <c r="H690" i="1"/>
  <c r="H730" i="1"/>
  <c r="H855" i="1"/>
  <c r="H903" i="1"/>
  <c r="H999" i="1"/>
  <c r="H466" i="1"/>
  <c r="H715" i="1"/>
  <c r="H771" i="1"/>
  <c r="H884" i="1"/>
  <c r="H932" i="1"/>
  <c r="H1081" i="1"/>
  <c r="H552" i="1"/>
  <c r="H1092" i="1"/>
  <c r="H387" i="1"/>
  <c r="H925" i="1"/>
  <c r="H1074" i="1"/>
  <c r="H277" i="1"/>
  <c r="H200" i="1"/>
  <c r="H288" i="1"/>
  <c r="H457" i="1"/>
  <c r="H698" i="1"/>
  <c r="H754" i="1"/>
  <c r="H871" i="1"/>
  <c r="H911" i="1"/>
  <c r="H1007" i="1"/>
  <c r="H683" i="1"/>
  <c r="H723" i="1"/>
  <c r="H779" i="1"/>
  <c r="H900" i="1"/>
  <c r="H1049" i="1"/>
  <c r="H1089" i="1"/>
  <c r="H395" i="1"/>
  <c r="H841" i="1"/>
  <c r="H324" i="1"/>
  <c r="H668" i="1"/>
  <c r="H893" i="1"/>
  <c r="H172" i="1"/>
  <c r="H904" i="1"/>
  <c r="H1053" i="1"/>
  <c r="H1097" i="1"/>
  <c r="H356" i="1"/>
  <c r="H833" i="1"/>
  <c r="H180" i="1"/>
  <c r="H629" i="1"/>
  <c r="H768" i="1"/>
  <c r="H140" i="1"/>
  <c r="H628" i="1"/>
  <c r="BP861" i="1"/>
  <c r="BP1071" i="1"/>
  <c r="BP931" i="1"/>
  <c r="BP902" i="1"/>
  <c r="BP925" i="1"/>
  <c r="BP1075" i="1"/>
  <c r="BP1034" i="1"/>
  <c r="BP1017" i="1"/>
  <c r="BP871" i="1"/>
  <c r="BP886" i="1"/>
  <c r="BP917" i="1"/>
  <c r="BP1035" i="1"/>
  <c r="BP922" i="1"/>
  <c r="BP921" i="1"/>
  <c r="BP828" i="1"/>
  <c r="BP878" i="1"/>
  <c r="BP877" i="1"/>
  <c r="BP1003" i="1"/>
  <c r="BP914" i="1"/>
  <c r="BP913" i="1"/>
  <c r="BP796" i="1"/>
  <c r="BP1030" i="1"/>
  <c r="BP814" i="1"/>
  <c r="BP820" i="1"/>
  <c r="BP875" i="1"/>
  <c r="BP858" i="1"/>
  <c r="BP810" i="1"/>
  <c r="BP1079" i="1"/>
  <c r="BP857" i="1"/>
  <c r="BP1022" i="1"/>
  <c r="BP1045" i="1"/>
  <c r="BP1095" i="1"/>
  <c r="BP867" i="1"/>
  <c r="BP798" i="1"/>
  <c r="BP804" i="1"/>
  <c r="BL1062" i="1"/>
  <c r="BP998" i="1"/>
  <c r="BP1029" i="1"/>
  <c r="BP1089" i="1"/>
  <c r="BP818" i="1"/>
  <c r="BP1067" i="1"/>
  <c r="BP1023" i="1"/>
  <c r="BL1085" i="1"/>
  <c r="BP990" i="1"/>
  <c r="BP800" i="1"/>
  <c r="BP1081" i="1"/>
  <c r="BP1033" i="1"/>
  <c r="BP1007" i="1"/>
  <c r="BP1006" i="1"/>
  <c r="BP870" i="1"/>
  <c r="BP1005" i="1"/>
  <c r="BP794" i="1"/>
  <c r="BP1011" i="1"/>
  <c r="BP1087" i="1"/>
  <c r="BP882" i="1"/>
  <c r="BP993" i="1"/>
  <c r="BP1085" i="1"/>
  <c r="BP1073" i="1"/>
  <c r="H139" i="1"/>
  <c r="BP926" i="1"/>
  <c r="BP808" i="1"/>
  <c r="BP901" i="1"/>
  <c r="BP1057" i="1"/>
  <c r="BP915" i="1"/>
  <c r="BP1018" i="1"/>
  <c r="BP792" i="1"/>
  <c r="BP889" i="1"/>
  <c r="BP927" i="1"/>
  <c r="BP1097" i="1"/>
  <c r="BP910" i="1"/>
  <c r="BP1083" i="1"/>
  <c r="BP885" i="1"/>
  <c r="BP806" i="1"/>
  <c r="BP891" i="1"/>
  <c r="BP1002" i="1"/>
  <c r="BP1093" i="1"/>
  <c r="BP873" i="1"/>
  <c r="H138" i="1"/>
  <c r="BP1065" i="1"/>
  <c r="BP918" i="1"/>
  <c r="BP840" i="1"/>
  <c r="BP997" i="1"/>
  <c r="BP826" i="1"/>
  <c r="BP1027" i="1"/>
  <c r="BP883" i="1"/>
  <c r="BP994" i="1"/>
  <c r="BP830" i="1"/>
  <c r="BP842" i="1"/>
  <c r="BP903" i="1"/>
  <c r="BP1014" i="1"/>
  <c r="BP894" i="1"/>
  <c r="BP780" i="1"/>
  <c r="BP1051" i="1"/>
  <c r="BP909" i="1"/>
  <c r="BP995" i="1"/>
  <c r="BP844" i="1"/>
  <c r="BP1049" i="1"/>
  <c r="BP898" i="1"/>
  <c r="BP1061" i="1"/>
  <c r="BP897" i="1"/>
  <c r="BP1059" i="1"/>
  <c r="BP863" i="1"/>
  <c r="BP907" i="1"/>
  <c r="BP1010" i="1"/>
  <c r="BP874" i="1"/>
  <c r="BP1009" i="1"/>
  <c r="BP865" i="1"/>
  <c r="BL1075" i="1"/>
  <c r="BP1015" i="1"/>
  <c r="BP895" i="1"/>
  <c r="BP802" i="1"/>
  <c r="BP1013" i="1"/>
  <c r="BP893" i="1"/>
  <c r="BP1063" i="1"/>
  <c r="BP1069" i="1"/>
  <c r="BP923" i="1"/>
  <c r="BP859" i="1"/>
  <c r="BP1055" i="1"/>
  <c r="BP930" i="1"/>
  <c r="BP866" i="1"/>
  <c r="BP1025" i="1"/>
  <c r="BP905" i="1"/>
  <c r="BP836" i="1"/>
  <c r="BP1091" i="1"/>
  <c r="BP999" i="1"/>
  <c r="BP879" i="1"/>
  <c r="BP781" i="1"/>
  <c r="BP1077" i="1"/>
  <c r="BP933" i="1"/>
  <c r="BP869" i="1"/>
  <c r="BP832" i="1"/>
  <c r="BP1019" i="1"/>
  <c r="BP812" i="1"/>
  <c r="BP1026" i="1"/>
  <c r="BP906" i="1"/>
  <c r="BP824" i="1"/>
  <c r="BP1001" i="1"/>
  <c r="BP881" i="1"/>
  <c r="BP1053" i="1"/>
  <c r="BP919" i="1"/>
  <c r="BP855" i="1"/>
  <c r="BP1031" i="1"/>
  <c r="BP911" i="1"/>
  <c r="BP834" i="1"/>
  <c r="BP782" i="1"/>
  <c r="BL810" i="1"/>
  <c r="BL1065" i="1"/>
  <c r="BL805" i="1"/>
  <c r="BL1032" i="1"/>
  <c r="BL1090" i="1"/>
  <c r="BL833" i="1"/>
  <c r="BP1032" i="1"/>
  <c r="BP1028" i="1"/>
  <c r="BP1024" i="1"/>
  <c r="BP1020" i="1"/>
  <c r="BP1016" i="1"/>
  <c r="BP1012" i="1"/>
  <c r="BP1008" i="1"/>
  <c r="BP1004" i="1"/>
  <c r="BP1000" i="1"/>
  <c r="BP996" i="1"/>
  <c r="BP992" i="1"/>
  <c r="BP932" i="1"/>
  <c r="BP928" i="1"/>
  <c r="BP924" i="1"/>
  <c r="BP920" i="1"/>
  <c r="BP916" i="1"/>
  <c r="BP912" i="1"/>
  <c r="BP908" i="1"/>
  <c r="BP904" i="1"/>
  <c r="BP900" i="1"/>
  <c r="BP896" i="1"/>
  <c r="BP892" i="1"/>
  <c r="BP888" i="1"/>
  <c r="BP884" i="1"/>
  <c r="BP880" i="1"/>
  <c r="BP876" i="1"/>
  <c r="BP872" i="1"/>
  <c r="BP864" i="1"/>
  <c r="BP860" i="1"/>
  <c r="BP856" i="1"/>
  <c r="BP779" i="1"/>
  <c r="BP1096" i="1"/>
  <c r="BP1092" i="1"/>
  <c r="BP1088" i="1"/>
  <c r="BP1084" i="1"/>
  <c r="BP1080" i="1"/>
  <c r="BP1076" i="1"/>
  <c r="BP1072" i="1"/>
  <c r="BP1068" i="1"/>
  <c r="BP1064" i="1"/>
  <c r="BP1060" i="1"/>
  <c r="BP1056" i="1"/>
  <c r="BP1048" i="1"/>
  <c r="BP843" i="1"/>
  <c r="BP839" i="1"/>
  <c r="BP835" i="1"/>
  <c r="BP831" i="1"/>
  <c r="BP827" i="1"/>
  <c r="BP823" i="1"/>
  <c r="BP819" i="1"/>
  <c r="BP815" i="1"/>
  <c r="BP811" i="1"/>
  <c r="BP803" i="1"/>
  <c r="BP799" i="1"/>
  <c r="BP795" i="1"/>
  <c r="BP1090" i="1"/>
  <c r="BP1058" i="1"/>
  <c r="BP833" i="1"/>
  <c r="BP801" i="1"/>
  <c r="BP1070" i="1"/>
  <c r="BP845" i="1"/>
  <c r="BP813" i="1"/>
  <c r="BP1050" i="1"/>
  <c r="BP825" i="1"/>
  <c r="BP793" i="1"/>
  <c r="BP1094" i="1"/>
  <c r="BP1062" i="1"/>
  <c r="BP837" i="1"/>
  <c r="BP805" i="1"/>
  <c r="BP1074" i="1"/>
  <c r="BP817" i="1"/>
  <c r="BP1086" i="1"/>
  <c r="BP1054" i="1"/>
  <c r="BP829" i="1"/>
  <c r="BP797" i="1"/>
  <c r="BP1078" i="1"/>
  <c r="BP1046" i="1"/>
  <c r="BP821" i="1"/>
  <c r="BP841" i="1"/>
  <c r="BP809" i="1"/>
  <c r="BP1098" i="1"/>
  <c r="BP1066" i="1"/>
  <c r="BP1047" i="1"/>
  <c r="BP822" i="1"/>
  <c r="BP816" i="1"/>
  <c r="BL1047" i="1"/>
  <c r="BL1070" i="1"/>
  <c r="BL813" i="1"/>
  <c r="BL1093" i="1"/>
  <c r="BL844" i="1"/>
  <c r="BL1083" i="1"/>
  <c r="BL818" i="1"/>
  <c r="BL1098" i="1"/>
  <c r="BL841" i="1"/>
  <c r="BL800" i="1"/>
  <c r="BL1016" i="1"/>
  <c r="BL1012" i="1"/>
  <c r="BL1008" i="1"/>
  <c r="BL1004" i="1"/>
  <c r="BL1000" i="1"/>
  <c r="BL996" i="1"/>
  <c r="BL992" i="1"/>
  <c r="BL932" i="1"/>
  <c r="BL928" i="1"/>
  <c r="BL924" i="1"/>
  <c r="BL920" i="1"/>
  <c r="BL916" i="1"/>
  <c r="BL912" i="1"/>
  <c r="BL908" i="1"/>
  <c r="BL904" i="1"/>
  <c r="BL900" i="1"/>
  <c r="BL896" i="1"/>
  <c r="BL892" i="1"/>
  <c r="BL888" i="1"/>
  <c r="BL884" i="1"/>
  <c r="BL880" i="1"/>
  <c r="BL876" i="1"/>
  <c r="BL872" i="1"/>
  <c r="BL864" i="1"/>
  <c r="BL860" i="1"/>
  <c r="BL856" i="1"/>
  <c r="BL779" i="1"/>
  <c r="BL775" i="1"/>
  <c r="BL771" i="1"/>
  <c r="BL767" i="1"/>
  <c r="BL763" i="1"/>
  <c r="BL759" i="1"/>
  <c r="BL755" i="1"/>
  <c r="BL751" i="1"/>
  <c r="BL1096" i="1"/>
  <c r="BL1092" i="1"/>
  <c r="BL1088" i="1"/>
  <c r="BL1084" i="1"/>
  <c r="BL1080" i="1"/>
  <c r="BL1076" i="1"/>
  <c r="BL1072" i="1"/>
  <c r="BL1068" i="1"/>
  <c r="BL1064" i="1"/>
  <c r="BL1060" i="1"/>
  <c r="BL1056" i="1"/>
  <c r="BL1048" i="1"/>
  <c r="BL843" i="1"/>
  <c r="BL839" i="1"/>
  <c r="BL835" i="1"/>
  <c r="BL831" i="1"/>
  <c r="BL827" i="1"/>
  <c r="BL823" i="1"/>
  <c r="BL819" i="1"/>
  <c r="BL815" i="1"/>
  <c r="BL811" i="1"/>
  <c r="BL803" i="1"/>
  <c r="BL799" i="1"/>
  <c r="BL795" i="1"/>
  <c r="BL1035" i="1"/>
  <c r="BL1031" i="1"/>
  <c r="BL1027" i="1"/>
  <c r="BL1023" i="1"/>
  <c r="BL1019" i="1"/>
  <c r="BL1015" i="1"/>
  <c r="BL1011" i="1"/>
  <c r="BL1007" i="1"/>
  <c r="BL1003" i="1"/>
  <c r="BL999" i="1"/>
  <c r="BL995" i="1"/>
  <c r="BL931" i="1"/>
  <c r="BL927" i="1"/>
  <c r="BL923" i="1"/>
  <c r="BL919" i="1"/>
  <c r="BL915" i="1"/>
  <c r="BL911" i="1"/>
  <c r="BL907" i="1"/>
  <c r="BL903" i="1"/>
  <c r="BL895" i="1"/>
  <c r="BL891" i="1"/>
  <c r="BL887" i="1"/>
  <c r="BL883" i="1"/>
  <c r="BL879" i="1"/>
  <c r="BL875" i="1"/>
  <c r="BL871" i="1"/>
  <c r="BL867" i="1"/>
  <c r="BL863" i="1"/>
  <c r="BL859" i="1"/>
  <c r="BL855" i="1"/>
  <c r="BL782" i="1"/>
  <c r="BL774" i="1"/>
  <c r="BL770" i="1"/>
  <c r="BL766" i="1"/>
  <c r="BL762" i="1"/>
  <c r="BL758" i="1"/>
  <c r="BL754" i="1"/>
  <c r="BL750" i="1"/>
  <c r="BL1034" i="1"/>
  <c r="BL1030" i="1"/>
  <c r="BL1026" i="1"/>
  <c r="BL1022" i="1"/>
  <c r="BL1018" i="1"/>
  <c r="BL1014" i="1"/>
  <c r="BL1010" i="1"/>
  <c r="BL1006" i="1"/>
  <c r="BL1002" i="1"/>
  <c r="BL998" i="1"/>
  <c r="BL994" i="1"/>
  <c r="BL990" i="1"/>
  <c r="BL930" i="1"/>
  <c r="BL926" i="1"/>
  <c r="BL922" i="1"/>
  <c r="BL918" i="1"/>
  <c r="BL914" i="1"/>
  <c r="BL910" i="1"/>
  <c r="BL906" i="1"/>
  <c r="BL902" i="1"/>
  <c r="BL898" i="1"/>
  <c r="BL894" i="1"/>
  <c r="BL890" i="1"/>
  <c r="BL886" i="1"/>
  <c r="BL882" i="1"/>
  <c r="BL878" i="1"/>
  <c r="BL874" i="1"/>
  <c r="BL870" i="1"/>
  <c r="BL866" i="1"/>
  <c r="BL862" i="1"/>
  <c r="BL858" i="1"/>
  <c r="BL781" i="1"/>
  <c r="BL777" i="1"/>
  <c r="BL773" i="1"/>
  <c r="BL769" i="1"/>
  <c r="BL765" i="1"/>
  <c r="BL761" i="1"/>
  <c r="BL757" i="1"/>
  <c r="BL753" i="1"/>
  <c r="BL1013" i="1"/>
  <c r="BL925" i="1"/>
  <c r="BL893" i="1"/>
  <c r="BL861" i="1"/>
  <c r="BL776" i="1"/>
  <c r="BL1025" i="1"/>
  <c r="BL993" i="1"/>
  <c r="BL905" i="1"/>
  <c r="BL873" i="1"/>
  <c r="BL756" i="1"/>
  <c r="BL1005" i="1"/>
  <c r="BL917" i="1"/>
  <c r="BL885" i="1"/>
  <c r="BL768" i="1"/>
  <c r="BL1017" i="1"/>
  <c r="BL897" i="1"/>
  <c r="BL865" i="1"/>
  <c r="BL780" i="1"/>
  <c r="BL1029" i="1"/>
  <c r="BL997" i="1"/>
  <c r="BL909" i="1"/>
  <c r="BL877" i="1"/>
  <c r="BL760" i="1"/>
  <c r="BL1009" i="1"/>
  <c r="BL921" i="1"/>
  <c r="BL889" i="1"/>
  <c r="BL857" i="1"/>
  <c r="BL772" i="1"/>
  <c r="BL933" i="1"/>
  <c r="BL901" i="1"/>
  <c r="BL869" i="1"/>
  <c r="BL752" i="1"/>
  <c r="BL1033" i="1"/>
  <c r="BL1001" i="1"/>
  <c r="BL913" i="1"/>
  <c r="BL881" i="1"/>
  <c r="BL764" i="1"/>
  <c r="BL792" i="1"/>
  <c r="BL1095" i="1"/>
  <c r="BL1054" i="1"/>
  <c r="BL797" i="1"/>
  <c r="BL1077" i="1"/>
  <c r="BL828" i="1"/>
  <c r="BL1089" i="1"/>
  <c r="BL1067" i="1"/>
  <c r="BL802" i="1"/>
  <c r="BL825" i="1"/>
  <c r="BL1049" i="1"/>
  <c r="BL1087" i="1"/>
  <c r="BL830" i="1"/>
  <c r="BL1046" i="1"/>
  <c r="BL1069" i="1"/>
  <c r="BL820" i="1"/>
  <c r="BL1059" i="1"/>
  <c r="BL794" i="1"/>
  <c r="BL1074" i="1"/>
  <c r="BL817" i="1"/>
  <c r="BL840" i="1"/>
  <c r="BL1020" i="1"/>
  <c r="BL1079" i="1"/>
  <c r="BL822" i="1"/>
  <c r="BL1081" i="1"/>
  <c r="BL845" i="1"/>
  <c r="BL1061" i="1"/>
  <c r="BL812" i="1"/>
  <c r="BL1051" i="1"/>
  <c r="BL1066" i="1"/>
  <c r="BL809" i="1"/>
  <c r="BL832" i="1"/>
  <c r="BL1071" i="1"/>
  <c r="BL814" i="1"/>
  <c r="BL1094" i="1"/>
  <c r="BL837" i="1"/>
  <c r="BL1053" i="1"/>
  <c r="BL804" i="1"/>
  <c r="BL842" i="1"/>
  <c r="BL1058" i="1"/>
  <c r="BL801" i="1"/>
  <c r="BL824" i="1"/>
  <c r="BL1063" i="1"/>
  <c r="BL806" i="1"/>
  <c r="BL1086" i="1"/>
  <c r="BL829" i="1"/>
  <c r="BL1045" i="1"/>
  <c r="BL796" i="1"/>
  <c r="BL1073" i="1"/>
  <c r="BL834" i="1"/>
  <c r="BL1050" i="1"/>
  <c r="BL793" i="1"/>
  <c r="BL816" i="1"/>
  <c r="BL1055" i="1"/>
  <c r="BL798" i="1"/>
  <c r="BL1078" i="1"/>
  <c r="BL821" i="1"/>
  <c r="BL1057" i="1"/>
  <c r="BL1024" i="1"/>
  <c r="BL1091" i="1"/>
  <c r="BL826" i="1"/>
  <c r="BL1097" i="1"/>
  <c r="BL1028" i="1"/>
  <c r="BL808" i="1"/>
</calcChain>
</file>

<file path=xl/sharedStrings.xml><?xml version="1.0" encoding="utf-8"?>
<sst xmlns="http://schemas.openxmlformats.org/spreadsheetml/2006/main" count="388" uniqueCount="38">
  <si>
    <t>taille établissement</t>
  </si>
  <si>
    <t>espérance %</t>
  </si>
  <si>
    <t>espérance</t>
  </si>
  <si>
    <t>écart-type %</t>
  </si>
  <si>
    <t>écart-type</t>
  </si>
  <si>
    <t>écart-max</t>
  </si>
  <si>
    <t>amplitude</t>
  </si>
  <si>
    <t>date</t>
  </si>
  <si>
    <t>variable aléatoire</t>
  </si>
  <si>
    <t>Nombre de commandes</t>
  </si>
  <si>
    <t>Campus Partenaires</t>
  </si>
  <si>
    <t>Liste</t>
  </si>
  <si>
    <r>
      <t>taille</t>
    </r>
    <r>
      <rPr>
        <vertAlign val="subscript"/>
        <sz val="10"/>
        <color rgb="FF000000"/>
        <rFont val="Arial"/>
        <family val="2"/>
      </rPr>
      <t xml:space="preserve">res </t>
    </r>
    <r>
      <rPr>
        <sz val="10"/>
        <color rgb="FF000000"/>
        <rFont val="Arial"/>
        <family val="2"/>
      </rPr>
      <t>(étudiants)</t>
    </r>
  </si>
  <si>
    <t>G. Charpak</t>
  </si>
  <si>
    <t>Mines ICM</t>
  </si>
  <si>
    <t>Mines Albi</t>
  </si>
  <si>
    <t>Telecom Paris</t>
  </si>
  <si>
    <t xml:space="preserve">Telecom sud Paris </t>
  </si>
  <si>
    <t>IMT Business school</t>
  </si>
  <si>
    <t>IMT Atlantique</t>
  </si>
  <si>
    <t>IMT Douai</t>
  </si>
  <si>
    <r>
      <t>taille</t>
    </r>
    <r>
      <rPr>
        <vertAlign val="subscript"/>
        <sz val="10"/>
        <color rgb="FF000000"/>
        <rFont val="Arial"/>
        <family val="2"/>
      </rPr>
      <t xml:space="preserve">tot </t>
    </r>
    <r>
      <rPr>
        <sz val="10"/>
        <color rgb="FF000000"/>
        <rFont val="Arial"/>
        <family val="2"/>
      </rPr>
      <t>(étudiants + chercheurs)</t>
    </r>
  </si>
  <si>
    <t>Date Intégration</t>
  </si>
  <si>
    <t>Campus 1</t>
  </si>
  <si>
    <t>Campus 2</t>
  </si>
  <si>
    <t>Campus 3</t>
  </si>
  <si>
    <t>Campus 4</t>
  </si>
  <si>
    <t>Campus 5</t>
  </si>
  <si>
    <t>Campus 6</t>
  </si>
  <si>
    <t>Campus 7</t>
  </si>
  <si>
    <t>Campus 8</t>
  </si>
  <si>
    <t>Campus 9</t>
  </si>
  <si>
    <t>Campus 10</t>
  </si>
  <si>
    <t>Clientèle (Loi normale)</t>
  </si>
  <si>
    <t>Vacances</t>
  </si>
  <si>
    <t>Date</t>
  </si>
  <si>
    <t>Total commandes</t>
  </si>
  <si>
    <t>% pop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</si>
</sst>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0[$ Personnes]"/>
  </numFmts>
  <fonts count="8" x14ac:knownFonts="1">
    <font>
      <sz val="10"/>
      <color rgb="FF000000"/>
      <name val="Arial"/>
    </font>
    <font>
      <sz val="10"/>
      <color theme="1"/>
      <name val="Arial"/>
    </font>
    <font>
      <b/>
      <sz val="10"/>
      <color theme="1"/>
      <name val="Arial"/>
    </font>
    <font>
      <sz val="10"/>
      <color theme="1"/>
      <name val="Arial"/>
      <family val="2"/>
    </font>
    <font>
      <sz val="10"/>
      <color rgb="FF000000"/>
      <name val="Arial"/>
      <family val="2"/>
    </font>
    <font>
      <vertAlign val="subscript"/>
      <sz val="10"/>
      <color rgb="FF000000"/>
      <name val="Arial"/>
      <family val="2"/>
    </font>
    <font>
      <b/>
      <sz val="10"/>
      <color rgb="FF000000"/>
      <name val="Arial"/>
      <family val="2"/>
    </font>
    <font>
      <sz val="10"/>
      <color theme="0"/>
      <name val="Arial"/>
      <family val="2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52">
    <xf numFmtId="0" fontId="0" fillId="0" borderId="0" xfId="0" applyFont="1" applyAlignment="1"/>
    <xf numFmtId="0" fontId="1" fillId="0" borderId="0" xfId="0" applyFont="1" applyAlignment="1">
      <alignment horizontal="center"/>
    </xf>
    <xf numFmtId="164" fontId="1" fillId="0" borderId="1" xfId="0" applyNumberFormat="1" applyFont="1" applyBorder="1" applyAlignment="1"/>
    <xf numFmtId="10" fontId="1" fillId="0" borderId="1" xfId="0" applyNumberFormat="1" applyFont="1" applyBorder="1" applyAlignment="1"/>
    <xf numFmtId="164" fontId="1" fillId="0" borderId="1" xfId="0" applyNumberFormat="1" applyFont="1" applyBorder="1"/>
    <xf numFmtId="14" fontId="1" fillId="0" borderId="0" xfId="0" applyNumberFormat="1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2" xfId="0" applyFont="1" applyBorder="1" applyAlignment="1"/>
    <xf numFmtId="0" fontId="4" fillId="0" borderId="2" xfId="0" applyFont="1" applyBorder="1" applyAlignment="1"/>
    <xf numFmtId="0" fontId="0" fillId="0" borderId="2" xfId="0" applyFont="1" applyBorder="1" applyAlignment="1">
      <alignment horizontal="center"/>
    </xf>
    <xf numFmtId="0" fontId="4" fillId="0" borderId="2" xfId="0" applyFont="1" applyFill="1" applyBorder="1" applyAlignment="1">
      <alignment horizontal="center"/>
    </xf>
    <xf numFmtId="14" fontId="0" fillId="0" borderId="2" xfId="0" applyNumberFormat="1" applyFont="1" applyBorder="1" applyAlignment="1"/>
    <xf numFmtId="0" fontId="4" fillId="0" borderId="2" xfId="0" applyFont="1" applyFill="1" applyBorder="1" applyAlignment="1"/>
    <xf numFmtId="14" fontId="1" fillId="0" borderId="5" xfId="0" applyNumberFormat="1" applyFont="1" applyBorder="1" applyAlignment="1"/>
    <xf numFmtId="14" fontId="1" fillId="0" borderId="4" xfId="0" applyNumberFormat="1" applyFont="1" applyBorder="1" applyAlignment="1"/>
    <xf numFmtId="14" fontId="1" fillId="0" borderId="6" xfId="0" applyNumberFormat="1" applyFont="1" applyBorder="1" applyAlignment="1"/>
    <xf numFmtId="0" fontId="6" fillId="0" borderId="0" xfId="0" applyFont="1" applyAlignment="1"/>
    <xf numFmtId="14" fontId="0" fillId="0" borderId="5" xfId="0" applyNumberFormat="1" applyFont="1" applyBorder="1" applyAlignment="1"/>
    <xf numFmtId="14" fontId="0" fillId="0" borderId="4" xfId="0" applyNumberFormat="1" applyFont="1" applyBorder="1" applyAlignment="1"/>
    <xf numFmtId="14" fontId="0" fillId="0" borderId="6" xfId="0" applyNumberFormat="1" applyFont="1" applyBorder="1" applyAlignment="1"/>
    <xf numFmtId="14" fontId="1" fillId="0" borderId="7" xfId="0" applyNumberFormat="1" applyFont="1" applyBorder="1" applyAlignment="1"/>
    <xf numFmtId="14" fontId="1" fillId="0" borderId="8" xfId="0" applyNumberFormat="1" applyFont="1" applyBorder="1" applyAlignment="1"/>
    <xf numFmtId="14" fontId="1" fillId="0" borderId="9" xfId="0" applyNumberFormat="1" applyFont="1" applyBorder="1" applyAlignment="1"/>
    <xf numFmtId="0" fontId="0" fillId="0" borderId="0" xfId="0" applyFont="1" applyBorder="1" applyAlignment="1"/>
    <xf numFmtId="0" fontId="1" fillId="0" borderId="0" xfId="0" applyFont="1" applyBorder="1" applyAlignment="1">
      <alignment horizontal="center"/>
    </xf>
    <xf numFmtId="0" fontId="1" fillId="0" borderId="0" xfId="0" applyFont="1" applyBorder="1"/>
    <xf numFmtId="0" fontId="1" fillId="0" borderId="12" xfId="0" applyFont="1" applyBorder="1" applyAlignment="1">
      <alignment horizontal="center"/>
    </xf>
    <xf numFmtId="0" fontId="1" fillId="0" borderId="13" xfId="0" applyFont="1" applyBorder="1" applyAlignment="1"/>
    <xf numFmtId="0" fontId="1" fillId="0" borderId="3" xfId="0" applyFont="1" applyBorder="1" applyAlignment="1">
      <alignment horizontal="center"/>
    </xf>
    <xf numFmtId="0" fontId="0" fillId="0" borderId="8" xfId="0" applyFont="1" applyBorder="1" applyAlignment="1"/>
    <xf numFmtId="0" fontId="1" fillId="0" borderId="8" xfId="0" applyFont="1" applyBorder="1" applyAlignment="1">
      <alignment horizontal="center"/>
    </xf>
    <xf numFmtId="0" fontId="1" fillId="0" borderId="14" xfId="0" applyFont="1" applyBorder="1"/>
    <xf numFmtId="0" fontId="1" fillId="0" borderId="15" xfId="0" applyFont="1" applyBorder="1" applyAlignment="1">
      <alignment horizontal="center"/>
    </xf>
    <xf numFmtId="0" fontId="7" fillId="0" borderId="0" xfId="0" applyFont="1" applyAlignment="1"/>
    <xf numFmtId="0" fontId="2" fillId="0" borderId="0" xfId="0" applyFont="1" applyAlignment="1">
      <alignment horizontal="center"/>
    </xf>
    <xf numFmtId="0" fontId="0" fillId="0" borderId="0" xfId="0" applyFont="1" applyAlignment="1"/>
    <xf numFmtId="0" fontId="3" fillId="0" borderId="3" xfId="0" applyFont="1" applyBorder="1" applyAlignment="1">
      <alignment horizontal="center"/>
    </xf>
    <xf numFmtId="14" fontId="0" fillId="0" borderId="0" xfId="0" applyNumberFormat="1" applyFont="1" applyAlignment="1"/>
    <xf numFmtId="0" fontId="3" fillId="0" borderId="2" xfId="0" applyFont="1" applyFill="1" applyBorder="1" applyAlignment="1">
      <alignment horizontal="center"/>
    </xf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0" fillId="0" borderId="10" xfId="0" applyFont="1" applyBorder="1" applyAlignment="1">
      <alignment horizontal="center"/>
    </xf>
    <xf numFmtId="0" fontId="0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Font="1" applyAlignment="1"/>
    <xf numFmtId="0" fontId="0" fillId="0" borderId="7" xfId="0" applyFont="1" applyBorder="1" applyAlignment="1">
      <alignment horizontal="center"/>
    </xf>
    <xf numFmtId="0" fontId="0" fillId="0" borderId="16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2" xfId="0" applyFont="1" applyBorder="1"/>
    <xf numFmtId="0" fontId="0" fillId="0" borderId="2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c:style val="2"/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Evolution du nombre de commande pour un établissement de petite taille sur l'année 2022-2023 (tendance stationnaire)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numRef>
              <c:f>'Simplified Model'!$B$17:$B$381</c:f>
              <c:numCache>
                <c:formatCode>m/d/yyyy</c:formatCode>
                <c:ptCount val="365"/>
                <c:pt idx="0">
                  <c:v>44562</c:v>
                </c:pt>
                <c:pt idx="1">
                  <c:v>44563</c:v>
                </c:pt>
                <c:pt idx="2">
                  <c:v>44564</c:v>
                </c:pt>
                <c:pt idx="3">
                  <c:v>44565</c:v>
                </c:pt>
                <c:pt idx="4">
                  <c:v>44566</c:v>
                </c:pt>
                <c:pt idx="5">
                  <c:v>44567</c:v>
                </c:pt>
                <c:pt idx="6">
                  <c:v>44568</c:v>
                </c:pt>
                <c:pt idx="7">
                  <c:v>44569</c:v>
                </c:pt>
                <c:pt idx="8">
                  <c:v>44570</c:v>
                </c:pt>
                <c:pt idx="9">
                  <c:v>44571</c:v>
                </c:pt>
                <c:pt idx="10">
                  <c:v>44572</c:v>
                </c:pt>
                <c:pt idx="11">
                  <c:v>44573</c:v>
                </c:pt>
                <c:pt idx="12">
                  <c:v>44574</c:v>
                </c:pt>
                <c:pt idx="13">
                  <c:v>44575</c:v>
                </c:pt>
                <c:pt idx="14">
                  <c:v>44576</c:v>
                </c:pt>
                <c:pt idx="15">
                  <c:v>44577</c:v>
                </c:pt>
                <c:pt idx="16">
                  <c:v>44578</c:v>
                </c:pt>
                <c:pt idx="17">
                  <c:v>44579</c:v>
                </c:pt>
                <c:pt idx="18">
                  <c:v>44580</c:v>
                </c:pt>
                <c:pt idx="19">
                  <c:v>44581</c:v>
                </c:pt>
                <c:pt idx="20">
                  <c:v>44582</c:v>
                </c:pt>
                <c:pt idx="21">
                  <c:v>44583</c:v>
                </c:pt>
                <c:pt idx="22">
                  <c:v>44584</c:v>
                </c:pt>
                <c:pt idx="23">
                  <c:v>44585</c:v>
                </c:pt>
                <c:pt idx="24">
                  <c:v>44586</c:v>
                </c:pt>
                <c:pt idx="25">
                  <c:v>44587</c:v>
                </c:pt>
                <c:pt idx="26">
                  <c:v>44588</c:v>
                </c:pt>
                <c:pt idx="27">
                  <c:v>44589</c:v>
                </c:pt>
                <c:pt idx="28">
                  <c:v>44590</c:v>
                </c:pt>
                <c:pt idx="29">
                  <c:v>44591</c:v>
                </c:pt>
                <c:pt idx="30">
                  <c:v>44592</c:v>
                </c:pt>
                <c:pt idx="31">
                  <c:v>44593</c:v>
                </c:pt>
                <c:pt idx="32">
                  <c:v>44594</c:v>
                </c:pt>
                <c:pt idx="33">
                  <c:v>44595</c:v>
                </c:pt>
                <c:pt idx="34">
                  <c:v>44596</c:v>
                </c:pt>
                <c:pt idx="35">
                  <c:v>44597</c:v>
                </c:pt>
                <c:pt idx="36">
                  <c:v>44598</c:v>
                </c:pt>
                <c:pt idx="37">
                  <c:v>44599</c:v>
                </c:pt>
                <c:pt idx="38">
                  <c:v>44600</c:v>
                </c:pt>
                <c:pt idx="39">
                  <c:v>44601</c:v>
                </c:pt>
                <c:pt idx="40">
                  <c:v>44602</c:v>
                </c:pt>
                <c:pt idx="41">
                  <c:v>44603</c:v>
                </c:pt>
                <c:pt idx="42">
                  <c:v>44604</c:v>
                </c:pt>
                <c:pt idx="43">
                  <c:v>44605</c:v>
                </c:pt>
                <c:pt idx="44">
                  <c:v>44606</c:v>
                </c:pt>
                <c:pt idx="45">
                  <c:v>44607</c:v>
                </c:pt>
                <c:pt idx="46">
                  <c:v>44608</c:v>
                </c:pt>
                <c:pt idx="47">
                  <c:v>44609</c:v>
                </c:pt>
                <c:pt idx="48">
                  <c:v>44610</c:v>
                </c:pt>
                <c:pt idx="49">
                  <c:v>44611</c:v>
                </c:pt>
                <c:pt idx="50">
                  <c:v>44612</c:v>
                </c:pt>
                <c:pt idx="51">
                  <c:v>44613</c:v>
                </c:pt>
                <c:pt idx="52">
                  <c:v>44614</c:v>
                </c:pt>
                <c:pt idx="53">
                  <c:v>44615</c:v>
                </c:pt>
                <c:pt idx="54">
                  <c:v>44616</c:v>
                </c:pt>
                <c:pt idx="55">
                  <c:v>44617</c:v>
                </c:pt>
                <c:pt idx="56">
                  <c:v>44618</c:v>
                </c:pt>
                <c:pt idx="57">
                  <c:v>44619</c:v>
                </c:pt>
                <c:pt idx="58">
                  <c:v>44620</c:v>
                </c:pt>
                <c:pt idx="59">
                  <c:v>44621</c:v>
                </c:pt>
                <c:pt idx="60">
                  <c:v>44622</c:v>
                </c:pt>
                <c:pt idx="61">
                  <c:v>44623</c:v>
                </c:pt>
                <c:pt idx="62">
                  <c:v>44624</c:v>
                </c:pt>
                <c:pt idx="63">
                  <c:v>44625</c:v>
                </c:pt>
                <c:pt idx="64">
                  <c:v>44626</c:v>
                </c:pt>
                <c:pt idx="65">
                  <c:v>44627</c:v>
                </c:pt>
                <c:pt idx="66">
                  <c:v>44628</c:v>
                </c:pt>
                <c:pt idx="67">
                  <c:v>44629</c:v>
                </c:pt>
                <c:pt idx="68">
                  <c:v>44630</c:v>
                </c:pt>
                <c:pt idx="69">
                  <c:v>44631</c:v>
                </c:pt>
                <c:pt idx="70">
                  <c:v>44632</c:v>
                </c:pt>
                <c:pt idx="71">
                  <c:v>44633</c:v>
                </c:pt>
                <c:pt idx="72">
                  <c:v>44634</c:v>
                </c:pt>
                <c:pt idx="73">
                  <c:v>44635</c:v>
                </c:pt>
                <c:pt idx="74">
                  <c:v>44636</c:v>
                </c:pt>
                <c:pt idx="75">
                  <c:v>44637</c:v>
                </c:pt>
                <c:pt idx="76">
                  <c:v>44638</c:v>
                </c:pt>
                <c:pt idx="77">
                  <c:v>44639</c:v>
                </c:pt>
                <c:pt idx="78">
                  <c:v>44640</c:v>
                </c:pt>
                <c:pt idx="79">
                  <c:v>44641</c:v>
                </c:pt>
                <c:pt idx="80">
                  <c:v>44642</c:v>
                </c:pt>
                <c:pt idx="81">
                  <c:v>44643</c:v>
                </c:pt>
                <c:pt idx="82">
                  <c:v>44644</c:v>
                </c:pt>
                <c:pt idx="83">
                  <c:v>44645</c:v>
                </c:pt>
                <c:pt idx="84">
                  <c:v>44646</c:v>
                </c:pt>
                <c:pt idx="85">
                  <c:v>44647</c:v>
                </c:pt>
                <c:pt idx="86">
                  <c:v>44648</c:v>
                </c:pt>
                <c:pt idx="87">
                  <c:v>44649</c:v>
                </c:pt>
                <c:pt idx="88">
                  <c:v>44650</c:v>
                </c:pt>
                <c:pt idx="89">
                  <c:v>44651</c:v>
                </c:pt>
                <c:pt idx="90">
                  <c:v>44652</c:v>
                </c:pt>
                <c:pt idx="91">
                  <c:v>44653</c:v>
                </c:pt>
                <c:pt idx="92">
                  <c:v>44654</c:v>
                </c:pt>
                <c:pt idx="93">
                  <c:v>44655</c:v>
                </c:pt>
                <c:pt idx="94">
                  <c:v>44656</c:v>
                </c:pt>
                <c:pt idx="95">
                  <c:v>44657</c:v>
                </c:pt>
                <c:pt idx="96">
                  <c:v>44658</c:v>
                </c:pt>
                <c:pt idx="97">
                  <c:v>44659</c:v>
                </c:pt>
                <c:pt idx="98">
                  <c:v>44660</c:v>
                </c:pt>
                <c:pt idx="99">
                  <c:v>44661</c:v>
                </c:pt>
                <c:pt idx="100">
                  <c:v>44662</c:v>
                </c:pt>
                <c:pt idx="101">
                  <c:v>44663</c:v>
                </c:pt>
                <c:pt idx="102">
                  <c:v>44664</c:v>
                </c:pt>
                <c:pt idx="103">
                  <c:v>44665</c:v>
                </c:pt>
                <c:pt idx="104">
                  <c:v>44666</c:v>
                </c:pt>
                <c:pt idx="105">
                  <c:v>44667</c:v>
                </c:pt>
                <c:pt idx="106">
                  <c:v>44668</c:v>
                </c:pt>
                <c:pt idx="107">
                  <c:v>44669</c:v>
                </c:pt>
                <c:pt idx="108">
                  <c:v>44670</c:v>
                </c:pt>
                <c:pt idx="109">
                  <c:v>44671</c:v>
                </c:pt>
                <c:pt idx="110">
                  <c:v>44672</c:v>
                </c:pt>
                <c:pt idx="111">
                  <c:v>44673</c:v>
                </c:pt>
                <c:pt idx="112">
                  <c:v>44674</c:v>
                </c:pt>
                <c:pt idx="113">
                  <c:v>44675</c:v>
                </c:pt>
                <c:pt idx="114">
                  <c:v>44676</c:v>
                </c:pt>
                <c:pt idx="115">
                  <c:v>44677</c:v>
                </c:pt>
                <c:pt idx="116">
                  <c:v>44678</c:v>
                </c:pt>
                <c:pt idx="117">
                  <c:v>44679</c:v>
                </c:pt>
                <c:pt idx="118">
                  <c:v>44680</c:v>
                </c:pt>
                <c:pt idx="119">
                  <c:v>44681</c:v>
                </c:pt>
                <c:pt idx="120">
                  <c:v>44682</c:v>
                </c:pt>
                <c:pt idx="121">
                  <c:v>44683</c:v>
                </c:pt>
                <c:pt idx="122">
                  <c:v>44684</c:v>
                </c:pt>
                <c:pt idx="123">
                  <c:v>44685</c:v>
                </c:pt>
                <c:pt idx="124">
                  <c:v>44686</c:v>
                </c:pt>
                <c:pt idx="125">
                  <c:v>44687</c:v>
                </c:pt>
                <c:pt idx="126">
                  <c:v>44688</c:v>
                </c:pt>
                <c:pt idx="127">
                  <c:v>44689</c:v>
                </c:pt>
                <c:pt idx="128">
                  <c:v>44690</c:v>
                </c:pt>
                <c:pt idx="129">
                  <c:v>44691</c:v>
                </c:pt>
                <c:pt idx="130">
                  <c:v>44692</c:v>
                </c:pt>
                <c:pt idx="131">
                  <c:v>44693</c:v>
                </c:pt>
                <c:pt idx="132">
                  <c:v>44694</c:v>
                </c:pt>
                <c:pt idx="133">
                  <c:v>44695</c:v>
                </c:pt>
                <c:pt idx="134">
                  <c:v>44696</c:v>
                </c:pt>
                <c:pt idx="135">
                  <c:v>44697</c:v>
                </c:pt>
                <c:pt idx="136">
                  <c:v>44698</c:v>
                </c:pt>
                <c:pt idx="137">
                  <c:v>44699</c:v>
                </c:pt>
                <c:pt idx="138">
                  <c:v>44700</c:v>
                </c:pt>
                <c:pt idx="139">
                  <c:v>44701</c:v>
                </c:pt>
                <c:pt idx="140">
                  <c:v>44702</c:v>
                </c:pt>
                <c:pt idx="141">
                  <c:v>44703</c:v>
                </c:pt>
                <c:pt idx="142">
                  <c:v>44704</c:v>
                </c:pt>
                <c:pt idx="143">
                  <c:v>44705</c:v>
                </c:pt>
                <c:pt idx="144">
                  <c:v>44706</c:v>
                </c:pt>
                <c:pt idx="145">
                  <c:v>44707</c:v>
                </c:pt>
                <c:pt idx="146">
                  <c:v>44708</c:v>
                </c:pt>
                <c:pt idx="147">
                  <c:v>44709</c:v>
                </c:pt>
                <c:pt idx="148">
                  <c:v>44710</c:v>
                </c:pt>
                <c:pt idx="149">
                  <c:v>44711</c:v>
                </c:pt>
                <c:pt idx="150">
                  <c:v>44712</c:v>
                </c:pt>
                <c:pt idx="151">
                  <c:v>44713</c:v>
                </c:pt>
                <c:pt idx="152">
                  <c:v>44714</c:v>
                </c:pt>
                <c:pt idx="153">
                  <c:v>44715</c:v>
                </c:pt>
                <c:pt idx="154">
                  <c:v>44716</c:v>
                </c:pt>
                <c:pt idx="155">
                  <c:v>44717</c:v>
                </c:pt>
                <c:pt idx="156">
                  <c:v>44718</c:v>
                </c:pt>
                <c:pt idx="157">
                  <c:v>44719</c:v>
                </c:pt>
                <c:pt idx="158">
                  <c:v>44720</c:v>
                </c:pt>
                <c:pt idx="159">
                  <c:v>44721</c:v>
                </c:pt>
                <c:pt idx="160">
                  <c:v>44722</c:v>
                </c:pt>
                <c:pt idx="161">
                  <c:v>44723</c:v>
                </c:pt>
                <c:pt idx="162">
                  <c:v>44724</c:v>
                </c:pt>
                <c:pt idx="163">
                  <c:v>44725</c:v>
                </c:pt>
                <c:pt idx="164">
                  <c:v>44726</c:v>
                </c:pt>
                <c:pt idx="165">
                  <c:v>44727</c:v>
                </c:pt>
                <c:pt idx="166">
                  <c:v>44728</c:v>
                </c:pt>
                <c:pt idx="167">
                  <c:v>44729</c:v>
                </c:pt>
                <c:pt idx="168">
                  <c:v>44730</c:v>
                </c:pt>
                <c:pt idx="169">
                  <c:v>44731</c:v>
                </c:pt>
                <c:pt idx="170">
                  <c:v>44732</c:v>
                </c:pt>
                <c:pt idx="171">
                  <c:v>44733</c:v>
                </c:pt>
                <c:pt idx="172">
                  <c:v>44734</c:v>
                </c:pt>
                <c:pt idx="173">
                  <c:v>44735</c:v>
                </c:pt>
                <c:pt idx="174">
                  <c:v>44736</c:v>
                </c:pt>
                <c:pt idx="175">
                  <c:v>44737</c:v>
                </c:pt>
                <c:pt idx="176">
                  <c:v>44738</c:v>
                </c:pt>
                <c:pt idx="177">
                  <c:v>44739</c:v>
                </c:pt>
                <c:pt idx="178">
                  <c:v>44740</c:v>
                </c:pt>
                <c:pt idx="179">
                  <c:v>44741</c:v>
                </c:pt>
                <c:pt idx="180">
                  <c:v>44742</c:v>
                </c:pt>
                <c:pt idx="181">
                  <c:v>44743</c:v>
                </c:pt>
                <c:pt idx="182">
                  <c:v>44744</c:v>
                </c:pt>
                <c:pt idx="183">
                  <c:v>44745</c:v>
                </c:pt>
                <c:pt idx="184">
                  <c:v>44746</c:v>
                </c:pt>
                <c:pt idx="185">
                  <c:v>44747</c:v>
                </c:pt>
                <c:pt idx="186">
                  <c:v>44748</c:v>
                </c:pt>
                <c:pt idx="187">
                  <c:v>44749</c:v>
                </c:pt>
                <c:pt idx="188">
                  <c:v>44750</c:v>
                </c:pt>
                <c:pt idx="189">
                  <c:v>44751</c:v>
                </c:pt>
                <c:pt idx="190">
                  <c:v>44752</c:v>
                </c:pt>
                <c:pt idx="191">
                  <c:v>44753</c:v>
                </c:pt>
                <c:pt idx="192">
                  <c:v>44754</c:v>
                </c:pt>
                <c:pt idx="193">
                  <c:v>44755</c:v>
                </c:pt>
                <c:pt idx="194">
                  <c:v>44756</c:v>
                </c:pt>
                <c:pt idx="195">
                  <c:v>44757</c:v>
                </c:pt>
                <c:pt idx="196">
                  <c:v>44758</c:v>
                </c:pt>
                <c:pt idx="197">
                  <c:v>44759</c:v>
                </c:pt>
                <c:pt idx="198">
                  <c:v>44760</c:v>
                </c:pt>
                <c:pt idx="199">
                  <c:v>44761</c:v>
                </c:pt>
                <c:pt idx="200">
                  <c:v>44762</c:v>
                </c:pt>
                <c:pt idx="201">
                  <c:v>44763</c:v>
                </c:pt>
                <c:pt idx="202">
                  <c:v>44764</c:v>
                </c:pt>
                <c:pt idx="203">
                  <c:v>44765</c:v>
                </c:pt>
                <c:pt idx="204">
                  <c:v>44766</c:v>
                </c:pt>
                <c:pt idx="205">
                  <c:v>44767</c:v>
                </c:pt>
                <c:pt idx="206">
                  <c:v>44768</c:v>
                </c:pt>
                <c:pt idx="207">
                  <c:v>44769</c:v>
                </c:pt>
                <c:pt idx="208">
                  <c:v>44770</c:v>
                </c:pt>
                <c:pt idx="209">
                  <c:v>44771</c:v>
                </c:pt>
                <c:pt idx="210">
                  <c:v>44772</c:v>
                </c:pt>
                <c:pt idx="211">
                  <c:v>44773</c:v>
                </c:pt>
                <c:pt idx="212">
                  <c:v>44774</c:v>
                </c:pt>
                <c:pt idx="213">
                  <c:v>44775</c:v>
                </c:pt>
                <c:pt idx="214">
                  <c:v>44776</c:v>
                </c:pt>
                <c:pt idx="215">
                  <c:v>44777</c:v>
                </c:pt>
                <c:pt idx="216">
                  <c:v>44778</c:v>
                </c:pt>
                <c:pt idx="217">
                  <c:v>44779</c:v>
                </c:pt>
                <c:pt idx="218">
                  <c:v>44780</c:v>
                </c:pt>
                <c:pt idx="219">
                  <c:v>44781</c:v>
                </c:pt>
                <c:pt idx="220">
                  <c:v>44782</c:v>
                </c:pt>
                <c:pt idx="221">
                  <c:v>44783</c:v>
                </c:pt>
                <c:pt idx="222">
                  <c:v>44784</c:v>
                </c:pt>
                <c:pt idx="223">
                  <c:v>44785</c:v>
                </c:pt>
                <c:pt idx="224">
                  <c:v>44786</c:v>
                </c:pt>
                <c:pt idx="225">
                  <c:v>44787</c:v>
                </c:pt>
                <c:pt idx="226">
                  <c:v>44788</c:v>
                </c:pt>
                <c:pt idx="227">
                  <c:v>44789</c:v>
                </c:pt>
                <c:pt idx="228">
                  <c:v>44790</c:v>
                </c:pt>
                <c:pt idx="229">
                  <c:v>44791</c:v>
                </c:pt>
                <c:pt idx="230">
                  <c:v>44792</c:v>
                </c:pt>
                <c:pt idx="231">
                  <c:v>44793</c:v>
                </c:pt>
                <c:pt idx="232">
                  <c:v>44794</c:v>
                </c:pt>
                <c:pt idx="233">
                  <c:v>44795</c:v>
                </c:pt>
                <c:pt idx="234">
                  <c:v>44796</c:v>
                </c:pt>
                <c:pt idx="235">
                  <c:v>44797</c:v>
                </c:pt>
                <c:pt idx="236">
                  <c:v>44798</c:v>
                </c:pt>
                <c:pt idx="237">
                  <c:v>44799</c:v>
                </c:pt>
                <c:pt idx="238">
                  <c:v>44800</c:v>
                </c:pt>
                <c:pt idx="239">
                  <c:v>44801</c:v>
                </c:pt>
                <c:pt idx="240">
                  <c:v>44802</c:v>
                </c:pt>
                <c:pt idx="241">
                  <c:v>44803</c:v>
                </c:pt>
                <c:pt idx="242">
                  <c:v>44804</c:v>
                </c:pt>
                <c:pt idx="243">
                  <c:v>44805</c:v>
                </c:pt>
                <c:pt idx="244">
                  <c:v>44806</c:v>
                </c:pt>
                <c:pt idx="245">
                  <c:v>44807</c:v>
                </c:pt>
                <c:pt idx="246">
                  <c:v>44808</c:v>
                </c:pt>
                <c:pt idx="247">
                  <c:v>44809</c:v>
                </c:pt>
                <c:pt idx="248">
                  <c:v>44810</c:v>
                </c:pt>
                <c:pt idx="249">
                  <c:v>44811</c:v>
                </c:pt>
                <c:pt idx="250">
                  <c:v>44812</c:v>
                </c:pt>
                <c:pt idx="251">
                  <c:v>44813</c:v>
                </c:pt>
                <c:pt idx="252">
                  <c:v>44814</c:v>
                </c:pt>
                <c:pt idx="253">
                  <c:v>44815</c:v>
                </c:pt>
                <c:pt idx="254">
                  <c:v>44816</c:v>
                </c:pt>
                <c:pt idx="255">
                  <c:v>44817</c:v>
                </c:pt>
                <c:pt idx="256">
                  <c:v>44818</c:v>
                </c:pt>
                <c:pt idx="257">
                  <c:v>44819</c:v>
                </c:pt>
                <c:pt idx="258">
                  <c:v>44820</c:v>
                </c:pt>
                <c:pt idx="259">
                  <c:v>44821</c:v>
                </c:pt>
                <c:pt idx="260">
                  <c:v>44822</c:v>
                </c:pt>
                <c:pt idx="261">
                  <c:v>44823</c:v>
                </c:pt>
                <c:pt idx="262">
                  <c:v>44824</c:v>
                </c:pt>
                <c:pt idx="263">
                  <c:v>44825</c:v>
                </c:pt>
                <c:pt idx="264">
                  <c:v>44826</c:v>
                </c:pt>
                <c:pt idx="265">
                  <c:v>44827</c:v>
                </c:pt>
                <c:pt idx="266">
                  <c:v>44828</c:v>
                </c:pt>
                <c:pt idx="267">
                  <c:v>44829</c:v>
                </c:pt>
                <c:pt idx="268">
                  <c:v>44830</c:v>
                </c:pt>
                <c:pt idx="269">
                  <c:v>44831</c:v>
                </c:pt>
                <c:pt idx="270">
                  <c:v>44832</c:v>
                </c:pt>
                <c:pt idx="271">
                  <c:v>44833</c:v>
                </c:pt>
                <c:pt idx="272">
                  <c:v>44834</c:v>
                </c:pt>
                <c:pt idx="273">
                  <c:v>44835</c:v>
                </c:pt>
                <c:pt idx="274">
                  <c:v>44836</c:v>
                </c:pt>
                <c:pt idx="275">
                  <c:v>44837</c:v>
                </c:pt>
                <c:pt idx="276">
                  <c:v>44838</c:v>
                </c:pt>
                <c:pt idx="277">
                  <c:v>44839</c:v>
                </c:pt>
                <c:pt idx="278">
                  <c:v>44840</c:v>
                </c:pt>
                <c:pt idx="279">
                  <c:v>44841</c:v>
                </c:pt>
                <c:pt idx="280">
                  <c:v>44842</c:v>
                </c:pt>
                <c:pt idx="281">
                  <c:v>44843</c:v>
                </c:pt>
                <c:pt idx="282">
                  <c:v>44844</c:v>
                </c:pt>
                <c:pt idx="283">
                  <c:v>44845</c:v>
                </c:pt>
                <c:pt idx="284">
                  <c:v>44846</c:v>
                </c:pt>
                <c:pt idx="285">
                  <c:v>44847</c:v>
                </c:pt>
                <c:pt idx="286">
                  <c:v>44848</c:v>
                </c:pt>
                <c:pt idx="287">
                  <c:v>44849</c:v>
                </c:pt>
                <c:pt idx="288">
                  <c:v>44850</c:v>
                </c:pt>
                <c:pt idx="289">
                  <c:v>44851</c:v>
                </c:pt>
                <c:pt idx="290">
                  <c:v>44852</c:v>
                </c:pt>
                <c:pt idx="291">
                  <c:v>44853</c:v>
                </c:pt>
                <c:pt idx="292">
                  <c:v>44854</c:v>
                </c:pt>
                <c:pt idx="293">
                  <c:v>44855</c:v>
                </c:pt>
                <c:pt idx="294">
                  <c:v>44856</c:v>
                </c:pt>
                <c:pt idx="295">
                  <c:v>44857</c:v>
                </c:pt>
                <c:pt idx="296">
                  <c:v>44858</c:v>
                </c:pt>
                <c:pt idx="297">
                  <c:v>44859</c:v>
                </c:pt>
                <c:pt idx="298">
                  <c:v>44860</c:v>
                </c:pt>
                <c:pt idx="299">
                  <c:v>44861</c:v>
                </c:pt>
                <c:pt idx="300">
                  <c:v>44862</c:v>
                </c:pt>
                <c:pt idx="301">
                  <c:v>44863</c:v>
                </c:pt>
                <c:pt idx="302">
                  <c:v>44864</c:v>
                </c:pt>
                <c:pt idx="303">
                  <c:v>44865</c:v>
                </c:pt>
                <c:pt idx="304">
                  <c:v>44866</c:v>
                </c:pt>
                <c:pt idx="305">
                  <c:v>44867</c:v>
                </c:pt>
                <c:pt idx="306">
                  <c:v>44868</c:v>
                </c:pt>
                <c:pt idx="307">
                  <c:v>44869</c:v>
                </c:pt>
                <c:pt idx="308">
                  <c:v>44870</c:v>
                </c:pt>
                <c:pt idx="309">
                  <c:v>44871</c:v>
                </c:pt>
                <c:pt idx="310">
                  <c:v>44872</c:v>
                </c:pt>
                <c:pt idx="311">
                  <c:v>44873</c:v>
                </c:pt>
                <c:pt idx="312">
                  <c:v>44874</c:v>
                </c:pt>
                <c:pt idx="313">
                  <c:v>44875</c:v>
                </c:pt>
                <c:pt idx="314">
                  <c:v>44876</c:v>
                </c:pt>
                <c:pt idx="315">
                  <c:v>44877</c:v>
                </c:pt>
                <c:pt idx="316">
                  <c:v>44878</c:v>
                </c:pt>
                <c:pt idx="317">
                  <c:v>44879</c:v>
                </c:pt>
                <c:pt idx="318">
                  <c:v>44880</c:v>
                </c:pt>
                <c:pt idx="319">
                  <c:v>44881</c:v>
                </c:pt>
                <c:pt idx="320">
                  <c:v>44882</c:v>
                </c:pt>
                <c:pt idx="321">
                  <c:v>44883</c:v>
                </c:pt>
                <c:pt idx="322">
                  <c:v>44884</c:v>
                </c:pt>
                <c:pt idx="323">
                  <c:v>44885</c:v>
                </c:pt>
                <c:pt idx="324">
                  <c:v>44886</c:v>
                </c:pt>
                <c:pt idx="325">
                  <c:v>44887</c:v>
                </c:pt>
                <c:pt idx="326">
                  <c:v>44888</c:v>
                </c:pt>
                <c:pt idx="327">
                  <c:v>44889</c:v>
                </c:pt>
                <c:pt idx="328">
                  <c:v>44890</c:v>
                </c:pt>
                <c:pt idx="329">
                  <c:v>44891</c:v>
                </c:pt>
                <c:pt idx="330">
                  <c:v>44892</c:v>
                </c:pt>
                <c:pt idx="331">
                  <c:v>44893</c:v>
                </c:pt>
                <c:pt idx="332">
                  <c:v>44894</c:v>
                </c:pt>
                <c:pt idx="333">
                  <c:v>44895</c:v>
                </c:pt>
                <c:pt idx="334">
                  <c:v>44896</c:v>
                </c:pt>
                <c:pt idx="335">
                  <c:v>44897</c:v>
                </c:pt>
                <c:pt idx="336">
                  <c:v>44898</c:v>
                </c:pt>
                <c:pt idx="337">
                  <c:v>44899</c:v>
                </c:pt>
                <c:pt idx="338">
                  <c:v>44900</c:v>
                </c:pt>
                <c:pt idx="339">
                  <c:v>44901</c:v>
                </c:pt>
                <c:pt idx="340">
                  <c:v>44902</c:v>
                </c:pt>
                <c:pt idx="341">
                  <c:v>44903</c:v>
                </c:pt>
                <c:pt idx="342">
                  <c:v>44904</c:v>
                </c:pt>
                <c:pt idx="343">
                  <c:v>44905</c:v>
                </c:pt>
                <c:pt idx="344">
                  <c:v>44906</c:v>
                </c:pt>
                <c:pt idx="345">
                  <c:v>44907</c:v>
                </c:pt>
                <c:pt idx="346">
                  <c:v>44908</c:v>
                </c:pt>
                <c:pt idx="347">
                  <c:v>44909</c:v>
                </c:pt>
                <c:pt idx="348">
                  <c:v>44910</c:v>
                </c:pt>
                <c:pt idx="349">
                  <c:v>44911</c:v>
                </c:pt>
                <c:pt idx="350">
                  <c:v>44912</c:v>
                </c:pt>
                <c:pt idx="351">
                  <c:v>44913</c:v>
                </c:pt>
                <c:pt idx="352">
                  <c:v>44914</c:v>
                </c:pt>
                <c:pt idx="353">
                  <c:v>44915</c:v>
                </c:pt>
                <c:pt idx="354">
                  <c:v>44916</c:v>
                </c:pt>
                <c:pt idx="355">
                  <c:v>44917</c:v>
                </c:pt>
                <c:pt idx="356">
                  <c:v>44918</c:v>
                </c:pt>
                <c:pt idx="357">
                  <c:v>44919</c:v>
                </c:pt>
                <c:pt idx="358">
                  <c:v>44920</c:v>
                </c:pt>
                <c:pt idx="359">
                  <c:v>44921</c:v>
                </c:pt>
                <c:pt idx="360">
                  <c:v>44922</c:v>
                </c:pt>
                <c:pt idx="361">
                  <c:v>44923</c:v>
                </c:pt>
                <c:pt idx="362">
                  <c:v>44924</c:v>
                </c:pt>
                <c:pt idx="363">
                  <c:v>44925</c:v>
                </c:pt>
                <c:pt idx="364">
                  <c:v>44926</c:v>
                </c:pt>
              </c:numCache>
            </c:numRef>
          </c:cat>
          <c:val>
            <c:numRef>
              <c:f>'Simplified Model'!$D$17:$D$381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59</c:v>
                </c:pt>
                <c:pt idx="4">
                  <c:v>101</c:v>
                </c:pt>
                <c:pt idx="5">
                  <c:v>86</c:v>
                </c:pt>
                <c:pt idx="6">
                  <c:v>95</c:v>
                </c:pt>
                <c:pt idx="7">
                  <c:v>93</c:v>
                </c:pt>
                <c:pt idx="8">
                  <c:v>64</c:v>
                </c:pt>
                <c:pt idx="9">
                  <c:v>98</c:v>
                </c:pt>
                <c:pt idx="10">
                  <c:v>47</c:v>
                </c:pt>
                <c:pt idx="11">
                  <c:v>113</c:v>
                </c:pt>
                <c:pt idx="12">
                  <c:v>96</c:v>
                </c:pt>
                <c:pt idx="13">
                  <c:v>89</c:v>
                </c:pt>
                <c:pt idx="14">
                  <c:v>66</c:v>
                </c:pt>
                <c:pt idx="15">
                  <c:v>64</c:v>
                </c:pt>
                <c:pt idx="16">
                  <c:v>78</c:v>
                </c:pt>
                <c:pt idx="17">
                  <c:v>89</c:v>
                </c:pt>
                <c:pt idx="18">
                  <c:v>80</c:v>
                </c:pt>
                <c:pt idx="19">
                  <c:v>94</c:v>
                </c:pt>
                <c:pt idx="20">
                  <c:v>66</c:v>
                </c:pt>
                <c:pt idx="21">
                  <c:v>71</c:v>
                </c:pt>
                <c:pt idx="22">
                  <c:v>85</c:v>
                </c:pt>
                <c:pt idx="23">
                  <c:v>100</c:v>
                </c:pt>
                <c:pt idx="24">
                  <c:v>67</c:v>
                </c:pt>
                <c:pt idx="25">
                  <c:v>81</c:v>
                </c:pt>
                <c:pt idx="26">
                  <c:v>102</c:v>
                </c:pt>
                <c:pt idx="27">
                  <c:v>118</c:v>
                </c:pt>
                <c:pt idx="28">
                  <c:v>92</c:v>
                </c:pt>
                <c:pt idx="29">
                  <c:v>62</c:v>
                </c:pt>
                <c:pt idx="30">
                  <c:v>90</c:v>
                </c:pt>
                <c:pt idx="31">
                  <c:v>90</c:v>
                </c:pt>
                <c:pt idx="32">
                  <c:v>46</c:v>
                </c:pt>
                <c:pt idx="33">
                  <c:v>77</c:v>
                </c:pt>
                <c:pt idx="34">
                  <c:v>80</c:v>
                </c:pt>
                <c:pt idx="35">
                  <c:v>84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105</c:v>
                </c:pt>
                <c:pt idx="46">
                  <c:v>71</c:v>
                </c:pt>
                <c:pt idx="47">
                  <c:v>96</c:v>
                </c:pt>
                <c:pt idx="48">
                  <c:v>92</c:v>
                </c:pt>
                <c:pt idx="49">
                  <c:v>80</c:v>
                </c:pt>
                <c:pt idx="50">
                  <c:v>54</c:v>
                </c:pt>
                <c:pt idx="51">
                  <c:v>47</c:v>
                </c:pt>
                <c:pt idx="52">
                  <c:v>72</c:v>
                </c:pt>
                <c:pt idx="53">
                  <c:v>62</c:v>
                </c:pt>
                <c:pt idx="54">
                  <c:v>108</c:v>
                </c:pt>
                <c:pt idx="55">
                  <c:v>39</c:v>
                </c:pt>
                <c:pt idx="56">
                  <c:v>69</c:v>
                </c:pt>
                <c:pt idx="57">
                  <c:v>99</c:v>
                </c:pt>
                <c:pt idx="58">
                  <c:v>127</c:v>
                </c:pt>
                <c:pt idx="59">
                  <c:v>127</c:v>
                </c:pt>
                <c:pt idx="60">
                  <c:v>61</c:v>
                </c:pt>
                <c:pt idx="61">
                  <c:v>74</c:v>
                </c:pt>
                <c:pt idx="62">
                  <c:v>107</c:v>
                </c:pt>
                <c:pt idx="63">
                  <c:v>49</c:v>
                </c:pt>
                <c:pt idx="64">
                  <c:v>71</c:v>
                </c:pt>
                <c:pt idx="65">
                  <c:v>73</c:v>
                </c:pt>
                <c:pt idx="66">
                  <c:v>78</c:v>
                </c:pt>
                <c:pt idx="67">
                  <c:v>82</c:v>
                </c:pt>
                <c:pt idx="68">
                  <c:v>48</c:v>
                </c:pt>
                <c:pt idx="69">
                  <c:v>97</c:v>
                </c:pt>
                <c:pt idx="70">
                  <c:v>29</c:v>
                </c:pt>
                <c:pt idx="71">
                  <c:v>112</c:v>
                </c:pt>
                <c:pt idx="72">
                  <c:v>119</c:v>
                </c:pt>
                <c:pt idx="73">
                  <c:v>73</c:v>
                </c:pt>
                <c:pt idx="74">
                  <c:v>99</c:v>
                </c:pt>
                <c:pt idx="75">
                  <c:v>82</c:v>
                </c:pt>
                <c:pt idx="76">
                  <c:v>67</c:v>
                </c:pt>
                <c:pt idx="77">
                  <c:v>36</c:v>
                </c:pt>
                <c:pt idx="78">
                  <c:v>80</c:v>
                </c:pt>
                <c:pt idx="79">
                  <c:v>103</c:v>
                </c:pt>
                <c:pt idx="80">
                  <c:v>63</c:v>
                </c:pt>
                <c:pt idx="81">
                  <c:v>86</c:v>
                </c:pt>
                <c:pt idx="82">
                  <c:v>67</c:v>
                </c:pt>
                <c:pt idx="83">
                  <c:v>112</c:v>
                </c:pt>
                <c:pt idx="84">
                  <c:v>50</c:v>
                </c:pt>
                <c:pt idx="85">
                  <c:v>76</c:v>
                </c:pt>
                <c:pt idx="86">
                  <c:v>55</c:v>
                </c:pt>
                <c:pt idx="87">
                  <c:v>92</c:v>
                </c:pt>
                <c:pt idx="88">
                  <c:v>58</c:v>
                </c:pt>
                <c:pt idx="89">
                  <c:v>86</c:v>
                </c:pt>
                <c:pt idx="90">
                  <c:v>86</c:v>
                </c:pt>
                <c:pt idx="91">
                  <c:v>63</c:v>
                </c:pt>
                <c:pt idx="92">
                  <c:v>57</c:v>
                </c:pt>
                <c:pt idx="93">
                  <c:v>68</c:v>
                </c:pt>
                <c:pt idx="94">
                  <c:v>98</c:v>
                </c:pt>
                <c:pt idx="95">
                  <c:v>42</c:v>
                </c:pt>
                <c:pt idx="96">
                  <c:v>85</c:v>
                </c:pt>
                <c:pt idx="97">
                  <c:v>87</c:v>
                </c:pt>
                <c:pt idx="98">
                  <c:v>108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104</c:v>
                </c:pt>
                <c:pt idx="109">
                  <c:v>87</c:v>
                </c:pt>
                <c:pt idx="110">
                  <c:v>34</c:v>
                </c:pt>
                <c:pt idx="111">
                  <c:v>125</c:v>
                </c:pt>
                <c:pt idx="112">
                  <c:v>83</c:v>
                </c:pt>
                <c:pt idx="113">
                  <c:v>80</c:v>
                </c:pt>
                <c:pt idx="114">
                  <c:v>85</c:v>
                </c:pt>
                <c:pt idx="115">
                  <c:v>34</c:v>
                </c:pt>
                <c:pt idx="116">
                  <c:v>59</c:v>
                </c:pt>
                <c:pt idx="117">
                  <c:v>58</c:v>
                </c:pt>
                <c:pt idx="118">
                  <c:v>99</c:v>
                </c:pt>
                <c:pt idx="119">
                  <c:v>56</c:v>
                </c:pt>
                <c:pt idx="120">
                  <c:v>56</c:v>
                </c:pt>
                <c:pt idx="121">
                  <c:v>65</c:v>
                </c:pt>
                <c:pt idx="122">
                  <c:v>23</c:v>
                </c:pt>
                <c:pt idx="123">
                  <c:v>29</c:v>
                </c:pt>
                <c:pt idx="124">
                  <c:v>65</c:v>
                </c:pt>
                <c:pt idx="125">
                  <c:v>76</c:v>
                </c:pt>
                <c:pt idx="126">
                  <c:v>73</c:v>
                </c:pt>
                <c:pt idx="127">
                  <c:v>92</c:v>
                </c:pt>
                <c:pt idx="128">
                  <c:v>80</c:v>
                </c:pt>
                <c:pt idx="129">
                  <c:v>100</c:v>
                </c:pt>
                <c:pt idx="130">
                  <c:v>57</c:v>
                </c:pt>
                <c:pt idx="131">
                  <c:v>54</c:v>
                </c:pt>
                <c:pt idx="132">
                  <c:v>84</c:v>
                </c:pt>
                <c:pt idx="133">
                  <c:v>49</c:v>
                </c:pt>
                <c:pt idx="134">
                  <c:v>56</c:v>
                </c:pt>
                <c:pt idx="135">
                  <c:v>69</c:v>
                </c:pt>
                <c:pt idx="136">
                  <c:v>106</c:v>
                </c:pt>
                <c:pt idx="137">
                  <c:v>75</c:v>
                </c:pt>
                <c:pt idx="138">
                  <c:v>57</c:v>
                </c:pt>
                <c:pt idx="139">
                  <c:v>105</c:v>
                </c:pt>
                <c:pt idx="140">
                  <c:v>66</c:v>
                </c:pt>
                <c:pt idx="141">
                  <c:v>105</c:v>
                </c:pt>
                <c:pt idx="142">
                  <c:v>61</c:v>
                </c:pt>
                <c:pt idx="143">
                  <c:v>50</c:v>
                </c:pt>
                <c:pt idx="144">
                  <c:v>74</c:v>
                </c:pt>
                <c:pt idx="145">
                  <c:v>45</c:v>
                </c:pt>
                <c:pt idx="146">
                  <c:v>73</c:v>
                </c:pt>
                <c:pt idx="147">
                  <c:v>43</c:v>
                </c:pt>
                <c:pt idx="148">
                  <c:v>64</c:v>
                </c:pt>
                <c:pt idx="149">
                  <c:v>87</c:v>
                </c:pt>
                <c:pt idx="150">
                  <c:v>90</c:v>
                </c:pt>
                <c:pt idx="151">
                  <c:v>90</c:v>
                </c:pt>
                <c:pt idx="152">
                  <c:v>116</c:v>
                </c:pt>
                <c:pt idx="153">
                  <c:v>34</c:v>
                </c:pt>
                <c:pt idx="154">
                  <c:v>119</c:v>
                </c:pt>
                <c:pt idx="155">
                  <c:v>82</c:v>
                </c:pt>
                <c:pt idx="156">
                  <c:v>53</c:v>
                </c:pt>
                <c:pt idx="157">
                  <c:v>74</c:v>
                </c:pt>
                <c:pt idx="158">
                  <c:v>61</c:v>
                </c:pt>
                <c:pt idx="159">
                  <c:v>88</c:v>
                </c:pt>
                <c:pt idx="160">
                  <c:v>72</c:v>
                </c:pt>
                <c:pt idx="161">
                  <c:v>94</c:v>
                </c:pt>
                <c:pt idx="162">
                  <c:v>77</c:v>
                </c:pt>
                <c:pt idx="163">
                  <c:v>101</c:v>
                </c:pt>
                <c:pt idx="164">
                  <c:v>101</c:v>
                </c:pt>
                <c:pt idx="165">
                  <c:v>75</c:v>
                </c:pt>
                <c:pt idx="166">
                  <c:v>64</c:v>
                </c:pt>
                <c:pt idx="167">
                  <c:v>99</c:v>
                </c:pt>
                <c:pt idx="168">
                  <c:v>65</c:v>
                </c:pt>
                <c:pt idx="169">
                  <c:v>100</c:v>
                </c:pt>
                <c:pt idx="170">
                  <c:v>69</c:v>
                </c:pt>
                <c:pt idx="171">
                  <c:v>38</c:v>
                </c:pt>
                <c:pt idx="172">
                  <c:v>80</c:v>
                </c:pt>
                <c:pt idx="173">
                  <c:v>60</c:v>
                </c:pt>
                <c:pt idx="174">
                  <c:v>55</c:v>
                </c:pt>
                <c:pt idx="175">
                  <c:v>75</c:v>
                </c:pt>
                <c:pt idx="176">
                  <c:v>54</c:v>
                </c:pt>
                <c:pt idx="177">
                  <c:v>94</c:v>
                </c:pt>
                <c:pt idx="178">
                  <c:v>103</c:v>
                </c:pt>
                <c:pt idx="179">
                  <c:v>99</c:v>
                </c:pt>
                <c:pt idx="180">
                  <c:v>96</c:v>
                </c:pt>
                <c:pt idx="181">
                  <c:v>96</c:v>
                </c:pt>
                <c:pt idx="182">
                  <c:v>99</c:v>
                </c:pt>
                <c:pt idx="183">
                  <c:v>109</c:v>
                </c:pt>
                <c:pt idx="184">
                  <c:v>60</c:v>
                </c:pt>
                <c:pt idx="185">
                  <c:v>56</c:v>
                </c:pt>
                <c:pt idx="186">
                  <c:v>84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78</c:v>
                </c:pt>
                <c:pt idx="245">
                  <c:v>82</c:v>
                </c:pt>
                <c:pt idx="246">
                  <c:v>81</c:v>
                </c:pt>
                <c:pt idx="247">
                  <c:v>152</c:v>
                </c:pt>
                <c:pt idx="248">
                  <c:v>94</c:v>
                </c:pt>
                <c:pt idx="249">
                  <c:v>64</c:v>
                </c:pt>
                <c:pt idx="250">
                  <c:v>57</c:v>
                </c:pt>
                <c:pt idx="251">
                  <c:v>115</c:v>
                </c:pt>
                <c:pt idx="252">
                  <c:v>104</c:v>
                </c:pt>
                <c:pt idx="253">
                  <c:v>77</c:v>
                </c:pt>
                <c:pt idx="254">
                  <c:v>61</c:v>
                </c:pt>
                <c:pt idx="255">
                  <c:v>60</c:v>
                </c:pt>
                <c:pt idx="256">
                  <c:v>95</c:v>
                </c:pt>
                <c:pt idx="257">
                  <c:v>71</c:v>
                </c:pt>
                <c:pt idx="258">
                  <c:v>74</c:v>
                </c:pt>
                <c:pt idx="259">
                  <c:v>78</c:v>
                </c:pt>
                <c:pt idx="260">
                  <c:v>74</c:v>
                </c:pt>
                <c:pt idx="261">
                  <c:v>93</c:v>
                </c:pt>
                <c:pt idx="262">
                  <c:v>69</c:v>
                </c:pt>
                <c:pt idx="263">
                  <c:v>69</c:v>
                </c:pt>
                <c:pt idx="264">
                  <c:v>77</c:v>
                </c:pt>
                <c:pt idx="265">
                  <c:v>104</c:v>
                </c:pt>
                <c:pt idx="266">
                  <c:v>34</c:v>
                </c:pt>
                <c:pt idx="267">
                  <c:v>99</c:v>
                </c:pt>
                <c:pt idx="268">
                  <c:v>119</c:v>
                </c:pt>
                <c:pt idx="269">
                  <c:v>93</c:v>
                </c:pt>
                <c:pt idx="270">
                  <c:v>104</c:v>
                </c:pt>
                <c:pt idx="271">
                  <c:v>55</c:v>
                </c:pt>
                <c:pt idx="272">
                  <c:v>60</c:v>
                </c:pt>
                <c:pt idx="273">
                  <c:v>60</c:v>
                </c:pt>
                <c:pt idx="274">
                  <c:v>45</c:v>
                </c:pt>
                <c:pt idx="275">
                  <c:v>91</c:v>
                </c:pt>
                <c:pt idx="276">
                  <c:v>86</c:v>
                </c:pt>
                <c:pt idx="277">
                  <c:v>93</c:v>
                </c:pt>
                <c:pt idx="278">
                  <c:v>76</c:v>
                </c:pt>
                <c:pt idx="279">
                  <c:v>72</c:v>
                </c:pt>
                <c:pt idx="280">
                  <c:v>70</c:v>
                </c:pt>
                <c:pt idx="281">
                  <c:v>61</c:v>
                </c:pt>
                <c:pt idx="282">
                  <c:v>92</c:v>
                </c:pt>
                <c:pt idx="283">
                  <c:v>58</c:v>
                </c:pt>
                <c:pt idx="284">
                  <c:v>56</c:v>
                </c:pt>
                <c:pt idx="285">
                  <c:v>44</c:v>
                </c:pt>
                <c:pt idx="286">
                  <c:v>71</c:v>
                </c:pt>
                <c:pt idx="287">
                  <c:v>66</c:v>
                </c:pt>
                <c:pt idx="288">
                  <c:v>42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79</c:v>
                </c:pt>
                <c:pt idx="299">
                  <c:v>98</c:v>
                </c:pt>
                <c:pt idx="300">
                  <c:v>69</c:v>
                </c:pt>
                <c:pt idx="301">
                  <c:v>74</c:v>
                </c:pt>
                <c:pt idx="302">
                  <c:v>41</c:v>
                </c:pt>
                <c:pt idx="303">
                  <c:v>46</c:v>
                </c:pt>
                <c:pt idx="304">
                  <c:v>46</c:v>
                </c:pt>
                <c:pt idx="305">
                  <c:v>90</c:v>
                </c:pt>
                <c:pt idx="306">
                  <c:v>49</c:v>
                </c:pt>
                <c:pt idx="307">
                  <c:v>54</c:v>
                </c:pt>
                <c:pt idx="308">
                  <c:v>64</c:v>
                </c:pt>
                <c:pt idx="309">
                  <c:v>33</c:v>
                </c:pt>
                <c:pt idx="310">
                  <c:v>79</c:v>
                </c:pt>
                <c:pt idx="311">
                  <c:v>66</c:v>
                </c:pt>
                <c:pt idx="312">
                  <c:v>31</c:v>
                </c:pt>
                <c:pt idx="313">
                  <c:v>56</c:v>
                </c:pt>
                <c:pt idx="314">
                  <c:v>76</c:v>
                </c:pt>
                <c:pt idx="315">
                  <c:v>54</c:v>
                </c:pt>
                <c:pt idx="316">
                  <c:v>80</c:v>
                </c:pt>
                <c:pt idx="317">
                  <c:v>55</c:v>
                </c:pt>
                <c:pt idx="318">
                  <c:v>41</c:v>
                </c:pt>
                <c:pt idx="319">
                  <c:v>114</c:v>
                </c:pt>
                <c:pt idx="320">
                  <c:v>60</c:v>
                </c:pt>
                <c:pt idx="321">
                  <c:v>58</c:v>
                </c:pt>
                <c:pt idx="322">
                  <c:v>78</c:v>
                </c:pt>
                <c:pt idx="323">
                  <c:v>107</c:v>
                </c:pt>
                <c:pt idx="324">
                  <c:v>48</c:v>
                </c:pt>
                <c:pt idx="325">
                  <c:v>94</c:v>
                </c:pt>
                <c:pt idx="326">
                  <c:v>64</c:v>
                </c:pt>
                <c:pt idx="327">
                  <c:v>56</c:v>
                </c:pt>
                <c:pt idx="328">
                  <c:v>72</c:v>
                </c:pt>
                <c:pt idx="329">
                  <c:v>90</c:v>
                </c:pt>
                <c:pt idx="330">
                  <c:v>95</c:v>
                </c:pt>
                <c:pt idx="331">
                  <c:v>81</c:v>
                </c:pt>
                <c:pt idx="332">
                  <c:v>86</c:v>
                </c:pt>
                <c:pt idx="333">
                  <c:v>97</c:v>
                </c:pt>
                <c:pt idx="334">
                  <c:v>97</c:v>
                </c:pt>
                <c:pt idx="335">
                  <c:v>83</c:v>
                </c:pt>
                <c:pt idx="336">
                  <c:v>89</c:v>
                </c:pt>
                <c:pt idx="337">
                  <c:v>55</c:v>
                </c:pt>
                <c:pt idx="338">
                  <c:v>55</c:v>
                </c:pt>
                <c:pt idx="339">
                  <c:v>74</c:v>
                </c:pt>
                <c:pt idx="340">
                  <c:v>103</c:v>
                </c:pt>
                <c:pt idx="341">
                  <c:v>107</c:v>
                </c:pt>
                <c:pt idx="342">
                  <c:v>104</c:v>
                </c:pt>
                <c:pt idx="343">
                  <c:v>59</c:v>
                </c:pt>
                <c:pt idx="344">
                  <c:v>77</c:v>
                </c:pt>
                <c:pt idx="345">
                  <c:v>92</c:v>
                </c:pt>
                <c:pt idx="346">
                  <c:v>92</c:v>
                </c:pt>
                <c:pt idx="347">
                  <c:v>51</c:v>
                </c:pt>
                <c:pt idx="348">
                  <c:v>67</c:v>
                </c:pt>
                <c:pt idx="349">
                  <c:v>86</c:v>
                </c:pt>
                <c:pt idx="350">
                  <c:v>51</c:v>
                </c:pt>
                <c:pt idx="351">
                  <c:v>55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9085304"/>
        <c:axId val="369084128"/>
      </c:lineChart>
      <c:dateAx>
        <c:axId val="3690853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sz="2000"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fr-FR" sz="2000" b="0">
                    <a:solidFill>
                      <a:srgbClr val="000000"/>
                    </a:solidFill>
                    <a:latin typeface="+mn-lt"/>
                  </a:rPr>
                  <a:t>date</a:t>
                </a:r>
              </a:p>
            </c:rich>
          </c:tx>
          <c:overlay val="0"/>
        </c:title>
        <c:numFmt formatCode="m/d/yyyy" sourceLinked="1"/>
        <c:majorTickMark val="cross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369084128"/>
        <c:crosses val="autoZero"/>
        <c:auto val="1"/>
        <c:lblOffset val="100"/>
        <c:baseTimeUnit val="days"/>
      </c:dateAx>
      <c:valAx>
        <c:axId val="369084128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sz="2000"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fr-FR" sz="2000" b="0">
                    <a:solidFill>
                      <a:srgbClr val="000000"/>
                    </a:solidFill>
                    <a:latin typeface="+mn-lt"/>
                  </a:rPr>
                  <a:t>Nombre de commande</a:t>
                </a:r>
              </a:p>
            </c:rich>
          </c:tx>
          <c:overlay val="0"/>
        </c:title>
        <c:numFmt formatCode="General" sourceLinked="1"/>
        <c:majorTickMark val="cross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369085304"/>
        <c:crosses val="autoZero"/>
        <c:crossBetween val="between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fr-FR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Total</a:t>
            </a:r>
            <a:r>
              <a:rPr lang="fr-FR" baseline="0"/>
              <a:t> commandes mensuelles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'Simplified Model'!$CA$17:$CA$52</c:f>
              <c:numCache>
                <c:formatCode>m/d/yyyy</c:formatCode>
                <c:ptCount val="36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44986</c:v>
                </c:pt>
                <c:pt idx="15">
                  <c:v>45017</c:v>
                </c:pt>
                <c:pt idx="16">
                  <c:v>45047</c:v>
                </c:pt>
                <c:pt idx="17">
                  <c:v>45078</c:v>
                </c:pt>
                <c:pt idx="18">
                  <c:v>45108</c:v>
                </c:pt>
                <c:pt idx="19">
                  <c:v>45139</c:v>
                </c:pt>
                <c:pt idx="20">
                  <c:v>45170</c:v>
                </c:pt>
                <c:pt idx="21">
                  <c:v>45200</c:v>
                </c:pt>
                <c:pt idx="22">
                  <c:v>45231</c:v>
                </c:pt>
                <c:pt idx="23">
                  <c:v>45261</c:v>
                </c:pt>
                <c:pt idx="24">
                  <c:v>45292</c:v>
                </c:pt>
                <c:pt idx="25">
                  <c:v>45323</c:v>
                </c:pt>
                <c:pt idx="26">
                  <c:v>45352</c:v>
                </c:pt>
                <c:pt idx="27">
                  <c:v>45383</c:v>
                </c:pt>
                <c:pt idx="28">
                  <c:v>45413</c:v>
                </c:pt>
                <c:pt idx="29">
                  <c:v>45444</c:v>
                </c:pt>
                <c:pt idx="30">
                  <c:v>45474</c:v>
                </c:pt>
                <c:pt idx="31">
                  <c:v>45505</c:v>
                </c:pt>
                <c:pt idx="32">
                  <c:v>45536</c:v>
                </c:pt>
                <c:pt idx="33">
                  <c:v>45566</c:v>
                </c:pt>
                <c:pt idx="34">
                  <c:v>45597</c:v>
                </c:pt>
                <c:pt idx="35">
                  <c:v>45627</c:v>
                </c:pt>
              </c:numCache>
            </c:numRef>
          </c:cat>
          <c:val>
            <c:numRef>
              <c:f>'Simplified Model'!$CB$17:$CB$52</c:f>
              <c:numCache>
                <c:formatCode>General</c:formatCode>
                <c:ptCount val="36"/>
                <c:pt idx="0">
                  <c:v>2163</c:v>
                </c:pt>
                <c:pt idx="1">
                  <c:v>1545</c:v>
                </c:pt>
                <c:pt idx="2">
                  <c:v>2261</c:v>
                </c:pt>
                <c:pt idx="3">
                  <c:v>1515</c:v>
                </c:pt>
                <c:pt idx="4">
                  <c:v>8919</c:v>
                </c:pt>
                <c:pt idx="5">
                  <c:v>9021</c:v>
                </c:pt>
                <c:pt idx="6">
                  <c:v>1731</c:v>
                </c:pt>
                <c:pt idx="7">
                  <c:v>2</c:v>
                </c:pt>
                <c:pt idx="8">
                  <c:v>23249</c:v>
                </c:pt>
                <c:pt idx="9">
                  <c:v>17833</c:v>
                </c:pt>
                <c:pt idx="10">
                  <c:v>24464</c:v>
                </c:pt>
                <c:pt idx="11">
                  <c:v>14526</c:v>
                </c:pt>
                <c:pt idx="12">
                  <c:v>36433</c:v>
                </c:pt>
                <c:pt idx="13">
                  <c:v>24633</c:v>
                </c:pt>
                <c:pt idx="14">
                  <c:v>40889</c:v>
                </c:pt>
                <c:pt idx="15">
                  <c:v>27090</c:v>
                </c:pt>
                <c:pt idx="16">
                  <c:v>40565</c:v>
                </c:pt>
                <c:pt idx="17">
                  <c:v>39008</c:v>
                </c:pt>
                <c:pt idx="18">
                  <c:v>7775</c:v>
                </c:pt>
                <c:pt idx="19">
                  <c:v>5</c:v>
                </c:pt>
                <c:pt idx="20">
                  <c:v>38100</c:v>
                </c:pt>
                <c:pt idx="21">
                  <c:v>25467</c:v>
                </c:pt>
                <c:pt idx="22">
                  <c:v>34831</c:v>
                </c:pt>
                <c:pt idx="23">
                  <c:v>22580</c:v>
                </c:pt>
                <c:pt idx="24">
                  <c:v>42631</c:v>
                </c:pt>
                <c:pt idx="25">
                  <c:v>32096</c:v>
                </c:pt>
                <c:pt idx="26">
                  <c:v>56030</c:v>
                </c:pt>
                <c:pt idx="27">
                  <c:v>37726</c:v>
                </c:pt>
                <c:pt idx="28">
                  <c:v>55813</c:v>
                </c:pt>
                <c:pt idx="29">
                  <c:v>53474</c:v>
                </c:pt>
                <c:pt idx="30">
                  <c:v>9258</c:v>
                </c:pt>
                <c:pt idx="31">
                  <c:v>1716</c:v>
                </c:pt>
                <c:pt idx="32">
                  <c:v>53870</c:v>
                </c:pt>
                <c:pt idx="33">
                  <c:v>39048</c:v>
                </c:pt>
                <c:pt idx="34">
                  <c:v>53421</c:v>
                </c:pt>
                <c:pt idx="35">
                  <c:v>29645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9086480"/>
        <c:axId val="369084520"/>
      </c:barChart>
      <c:dateAx>
        <c:axId val="3690864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9084520"/>
        <c:crosses val="autoZero"/>
        <c:auto val="1"/>
        <c:lblOffset val="100"/>
        <c:baseTimeUnit val="months"/>
      </c:dateAx>
      <c:valAx>
        <c:axId val="369084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9086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'Real Model'!$D$14</c:f>
              <c:strCache>
                <c:ptCount val="1"/>
                <c:pt idx="0">
                  <c:v>Nombre de commandes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'Real Model'!$A$15:$A$379</c:f>
              <c:numCache>
                <c:formatCode>m/d/yyyy</c:formatCode>
                <c:ptCount val="365"/>
                <c:pt idx="0">
                  <c:v>44562</c:v>
                </c:pt>
                <c:pt idx="1">
                  <c:v>44563</c:v>
                </c:pt>
                <c:pt idx="2">
                  <c:v>44564</c:v>
                </c:pt>
                <c:pt idx="3">
                  <c:v>44565</c:v>
                </c:pt>
                <c:pt idx="4">
                  <c:v>44566</c:v>
                </c:pt>
                <c:pt idx="5">
                  <c:v>44567</c:v>
                </c:pt>
                <c:pt idx="6">
                  <c:v>44568</c:v>
                </c:pt>
                <c:pt idx="7">
                  <c:v>44569</c:v>
                </c:pt>
                <c:pt idx="8">
                  <c:v>44570</c:v>
                </c:pt>
                <c:pt idx="9">
                  <c:v>44571</c:v>
                </c:pt>
                <c:pt idx="10">
                  <c:v>44572</c:v>
                </c:pt>
                <c:pt idx="11">
                  <c:v>44573</c:v>
                </c:pt>
                <c:pt idx="12">
                  <c:v>44574</c:v>
                </c:pt>
                <c:pt idx="13">
                  <c:v>44575</c:v>
                </c:pt>
                <c:pt idx="14">
                  <c:v>44576</c:v>
                </c:pt>
                <c:pt idx="15">
                  <c:v>44577</c:v>
                </c:pt>
                <c:pt idx="16">
                  <c:v>44578</c:v>
                </c:pt>
                <c:pt idx="17">
                  <c:v>44579</c:v>
                </c:pt>
                <c:pt idx="18">
                  <c:v>44580</c:v>
                </c:pt>
                <c:pt idx="19">
                  <c:v>44581</c:v>
                </c:pt>
                <c:pt idx="20">
                  <c:v>44582</c:v>
                </c:pt>
                <c:pt idx="21">
                  <c:v>44583</c:v>
                </c:pt>
                <c:pt idx="22">
                  <c:v>44584</c:v>
                </c:pt>
                <c:pt idx="23">
                  <c:v>44585</c:v>
                </c:pt>
                <c:pt idx="24">
                  <c:v>44586</c:v>
                </c:pt>
                <c:pt idx="25">
                  <c:v>44587</c:v>
                </c:pt>
                <c:pt idx="26">
                  <c:v>44588</c:v>
                </c:pt>
                <c:pt idx="27">
                  <c:v>44589</c:v>
                </c:pt>
                <c:pt idx="28">
                  <c:v>44590</c:v>
                </c:pt>
                <c:pt idx="29">
                  <c:v>44591</c:v>
                </c:pt>
                <c:pt idx="30">
                  <c:v>44592</c:v>
                </c:pt>
                <c:pt idx="31">
                  <c:v>44593</c:v>
                </c:pt>
                <c:pt idx="32">
                  <c:v>44594</c:v>
                </c:pt>
                <c:pt idx="33">
                  <c:v>44595</c:v>
                </c:pt>
                <c:pt idx="34">
                  <c:v>44596</c:v>
                </c:pt>
                <c:pt idx="35">
                  <c:v>44597</c:v>
                </c:pt>
                <c:pt idx="36">
                  <c:v>44598</c:v>
                </c:pt>
                <c:pt idx="37">
                  <c:v>44599</c:v>
                </c:pt>
                <c:pt idx="38">
                  <c:v>44600</c:v>
                </c:pt>
                <c:pt idx="39">
                  <c:v>44601</c:v>
                </c:pt>
                <c:pt idx="40">
                  <c:v>44602</c:v>
                </c:pt>
                <c:pt idx="41">
                  <c:v>44603</c:v>
                </c:pt>
                <c:pt idx="42">
                  <c:v>44604</c:v>
                </c:pt>
                <c:pt idx="43">
                  <c:v>44605</c:v>
                </c:pt>
                <c:pt idx="44">
                  <c:v>44606</c:v>
                </c:pt>
                <c:pt idx="45">
                  <c:v>44607</c:v>
                </c:pt>
                <c:pt idx="46">
                  <c:v>44608</c:v>
                </c:pt>
                <c:pt idx="47">
                  <c:v>44609</c:v>
                </c:pt>
                <c:pt idx="48">
                  <c:v>44610</c:v>
                </c:pt>
                <c:pt idx="49">
                  <c:v>44611</c:v>
                </c:pt>
                <c:pt idx="50">
                  <c:v>44612</c:v>
                </c:pt>
                <c:pt idx="51">
                  <c:v>44613</c:v>
                </c:pt>
                <c:pt idx="52">
                  <c:v>44614</c:v>
                </c:pt>
                <c:pt idx="53">
                  <c:v>44615</c:v>
                </c:pt>
                <c:pt idx="54">
                  <c:v>44616</c:v>
                </c:pt>
                <c:pt idx="55">
                  <c:v>44617</c:v>
                </c:pt>
                <c:pt idx="56">
                  <c:v>44618</c:v>
                </c:pt>
                <c:pt idx="57">
                  <c:v>44619</c:v>
                </c:pt>
                <c:pt idx="58">
                  <c:v>44620</c:v>
                </c:pt>
                <c:pt idx="59">
                  <c:v>44621</c:v>
                </c:pt>
                <c:pt idx="60">
                  <c:v>44622</c:v>
                </c:pt>
                <c:pt idx="61">
                  <c:v>44623</c:v>
                </c:pt>
                <c:pt idx="62">
                  <c:v>44624</c:v>
                </c:pt>
                <c:pt idx="63">
                  <c:v>44625</c:v>
                </c:pt>
                <c:pt idx="64">
                  <c:v>44626</c:v>
                </c:pt>
                <c:pt idx="65">
                  <c:v>44627</c:v>
                </c:pt>
                <c:pt idx="66">
                  <c:v>44628</c:v>
                </c:pt>
                <c:pt idx="67">
                  <c:v>44629</c:v>
                </c:pt>
                <c:pt idx="68">
                  <c:v>44630</c:v>
                </c:pt>
                <c:pt idx="69">
                  <c:v>44631</c:v>
                </c:pt>
                <c:pt idx="70">
                  <c:v>44632</c:v>
                </c:pt>
                <c:pt idx="71">
                  <c:v>44633</c:v>
                </c:pt>
                <c:pt idx="72">
                  <c:v>44634</c:v>
                </c:pt>
                <c:pt idx="73">
                  <c:v>44635</c:v>
                </c:pt>
                <c:pt idx="74">
                  <c:v>44636</c:v>
                </c:pt>
                <c:pt idx="75">
                  <c:v>44637</c:v>
                </c:pt>
                <c:pt idx="76">
                  <c:v>44638</c:v>
                </c:pt>
                <c:pt idx="77">
                  <c:v>44639</c:v>
                </c:pt>
                <c:pt idx="78">
                  <c:v>44640</c:v>
                </c:pt>
                <c:pt idx="79">
                  <c:v>44641</c:v>
                </c:pt>
                <c:pt idx="80">
                  <c:v>44642</c:v>
                </c:pt>
                <c:pt idx="81">
                  <c:v>44643</c:v>
                </c:pt>
                <c:pt idx="82">
                  <c:v>44644</c:v>
                </c:pt>
                <c:pt idx="83">
                  <c:v>44645</c:v>
                </c:pt>
                <c:pt idx="84">
                  <c:v>44646</c:v>
                </c:pt>
                <c:pt idx="85">
                  <c:v>44647</c:v>
                </c:pt>
                <c:pt idx="86">
                  <c:v>44648</c:v>
                </c:pt>
                <c:pt idx="87">
                  <c:v>44649</c:v>
                </c:pt>
                <c:pt idx="88">
                  <c:v>44650</c:v>
                </c:pt>
                <c:pt idx="89">
                  <c:v>44651</c:v>
                </c:pt>
                <c:pt idx="90">
                  <c:v>44652</c:v>
                </c:pt>
                <c:pt idx="91">
                  <c:v>44653</c:v>
                </c:pt>
                <c:pt idx="92">
                  <c:v>44654</c:v>
                </c:pt>
                <c:pt idx="93">
                  <c:v>44655</c:v>
                </c:pt>
                <c:pt idx="94">
                  <c:v>44656</c:v>
                </c:pt>
                <c:pt idx="95">
                  <c:v>44657</c:v>
                </c:pt>
                <c:pt idx="96">
                  <c:v>44658</c:v>
                </c:pt>
                <c:pt idx="97">
                  <c:v>44659</c:v>
                </c:pt>
                <c:pt idx="98">
                  <c:v>44660</c:v>
                </c:pt>
                <c:pt idx="99">
                  <c:v>44661</c:v>
                </c:pt>
                <c:pt idx="100">
                  <c:v>44662</c:v>
                </c:pt>
                <c:pt idx="101">
                  <c:v>44663</c:v>
                </c:pt>
                <c:pt idx="102">
                  <c:v>44664</c:v>
                </c:pt>
                <c:pt idx="103">
                  <c:v>44665</c:v>
                </c:pt>
                <c:pt idx="104">
                  <c:v>44666</c:v>
                </c:pt>
                <c:pt idx="105">
                  <c:v>44667</c:v>
                </c:pt>
                <c:pt idx="106">
                  <c:v>44668</c:v>
                </c:pt>
                <c:pt idx="107">
                  <c:v>44669</c:v>
                </c:pt>
                <c:pt idx="108">
                  <c:v>44670</c:v>
                </c:pt>
                <c:pt idx="109">
                  <c:v>44671</c:v>
                </c:pt>
                <c:pt idx="110">
                  <c:v>44672</c:v>
                </c:pt>
                <c:pt idx="111">
                  <c:v>44673</c:v>
                </c:pt>
                <c:pt idx="112">
                  <c:v>44674</c:v>
                </c:pt>
                <c:pt idx="113">
                  <c:v>44675</c:v>
                </c:pt>
                <c:pt idx="114">
                  <c:v>44676</c:v>
                </c:pt>
                <c:pt idx="115">
                  <c:v>44677</c:v>
                </c:pt>
                <c:pt idx="116">
                  <c:v>44678</c:v>
                </c:pt>
                <c:pt idx="117">
                  <c:v>44679</c:v>
                </c:pt>
                <c:pt idx="118">
                  <c:v>44680</c:v>
                </c:pt>
                <c:pt idx="119">
                  <c:v>44681</c:v>
                </c:pt>
                <c:pt idx="120">
                  <c:v>44682</c:v>
                </c:pt>
                <c:pt idx="121">
                  <c:v>44683</c:v>
                </c:pt>
                <c:pt idx="122">
                  <c:v>44684</c:v>
                </c:pt>
                <c:pt idx="123">
                  <c:v>44685</c:v>
                </c:pt>
                <c:pt idx="124">
                  <c:v>44686</c:v>
                </c:pt>
                <c:pt idx="125">
                  <c:v>44687</c:v>
                </c:pt>
                <c:pt idx="126">
                  <c:v>44688</c:v>
                </c:pt>
                <c:pt idx="127">
                  <c:v>44689</c:v>
                </c:pt>
                <c:pt idx="128">
                  <c:v>44690</c:v>
                </c:pt>
                <c:pt idx="129">
                  <c:v>44691</c:v>
                </c:pt>
                <c:pt idx="130">
                  <c:v>44692</c:v>
                </c:pt>
                <c:pt idx="131">
                  <c:v>44693</c:v>
                </c:pt>
                <c:pt idx="132">
                  <c:v>44694</c:v>
                </c:pt>
                <c:pt idx="133">
                  <c:v>44695</c:v>
                </c:pt>
                <c:pt idx="134">
                  <c:v>44696</c:v>
                </c:pt>
                <c:pt idx="135">
                  <c:v>44697</c:v>
                </c:pt>
                <c:pt idx="136">
                  <c:v>44698</c:v>
                </c:pt>
                <c:pt idx="137">
                  <c:v>44699</c:v>
                </c:pt>
                <c:pt idx="138">
                  <c:v>44700</c:v>
                </c:pt>
                <c:pt idx="139">
                  <c:v>44701</c:v>
                </c:pt>
                <c:pt idx="140">
                  <c:v>44702</c:v>
                </c:pt>
                <c:pt idx="141">
                  <c:v>44703</c:v>
                </c:pt>
                <c:pt idx="142">
                  <c:v>44704</c:v>
                </c:pt>
                <c:pt idx="143">
                  <c:v>44705</c:v>
                </c:pt>
                <c:pt idx="144">
                  <c:v>44706</c:v>
                </c:pt>
                <c:pt idx="145">
                  <c:v>44707</c:v>
                </c:pt>
                <c:pt idx="146">
                  <c:v>44708</c:v>
                </c:pt>
                <c:pt idx="147">
                  <c:v>44709</c:v>
                </c:pt>
                <c:pt idx="148">
                  <c:v>44710</c:v>
                </c:pt>
                <c:pt idx="149">
                  <c:v>44711</c:v>
                </c:pt>
                <c:pt idx="150">
                  <c:v>44712</c:v>
                </c:pt>
                <c:pt idx="151">
                  <c:v>44713</c:v>
                </c:pt>
                <c:pt idx="152">
                  <c:v>44714</c:v>
                </c:pt>
                <c:pt idx="153">
                  <c:v>44715</c:v>
                </c:pt>
                <c:pt idx="154">
                  <c:v>44716</c:v>
                </c:pt>
                <c:pt idx="155">
                  <c:v>44717</c:v>
                </c:pt>
                <c:pt idx="156">
                  <c:v>44718</c:v>
                </c:pt>
                <c:pt idx="157">
                  <c:v>44719</c:v>
                </c:pt>
                <c:pt idx="158">
                  <c:v>44720</c:v>
                </c:pt>
                <c:pt idx="159">
                  <c:v>44721</c:v>
                </c:pt>
                <c:pt idx="160">
                  <c:v>44722</c:v>
                </c:pt>
                <c:pt idx="161">
                  <c:v>44723</c:v>
                </c:pt>
                <c:pt idx="162">
                  <c:v>44724</c:v>
                </c:pt>
                <c:pt idx="163">
                  <c:v>44725</c:v>
                </c:pt>
                <c:pt idx="164">
                  <c:v>44726</c:v>
                </c:pt>
                <c:pt idx="165">
                  <c:v>44727</c:v>
                </c:pt>
                <c:pt idx="166">
                  <c:v>44728</c:v>
                </c:pt>
                <c:pt idx="167">
                  <c:v>44729</c:v>
                </c:pt>
                <c:pt idx="168">
                  <c:v>44730</c:v>
                </c:pt>
                <c:pt idx="169">
                  <c:v>44731</c:v>
                </c:pt>
                <c:pt idx="170">
                  <c:v>44732</c:v>
                </c:pt>
                <c:pt idx="171">
                  <c:v>44733</c:v>
                </c:pt>
                <c:pt idx="172">
                  <c:v>44734</c:v>
                </c:pt>
                <c:pt idx="173">
                  <c:v>44735</c:v>
                </c:pt>
                <c:pt idx="174">
                  <c:v>44736</c:v>
                </c:pt>
                <c:pt idx="175">
                  <c:v>44737</c:v>
                </c:pt>
                <c:pt idx="176">
                  <c:v>44738</c:v>
                </c:pt>
                <c:pt idx="177">
                  <c:v>44739</c:v>
                </c:pt>
                <c:pt idx="178">
                  <c:v>44740</c:v>
                </c:pt>
                <c:pt idx="179">
                  <c:v>44741</c:v>
                </c:pt>
                <c:pt idx="180">
                  <c:v>44742</c:v>
                </c:pt>
                <c:pt idx="181">
                  <c:v>44743</c:v>
                </c:pt>
                <c:pt idx="182">
                  <c:v>44744</c:v>
                </c:pt>
                <c:pt idx="183">
                  <c:v>44745</c:v>
                </c:pt>
                <c:pt idx="184">
                  <c:v>44746</c:v>
                </c:pt>
                <c:pt idx="185">
                  <c:v>44747</c:v>
                </c:pt>
                <c:pt idx="186">
                  <c:v>44748</c:v>
                </c:pt>
                <c:pt idx="187">
                  <c:v>44749</c:v>
                </c:pt>
                <c:pt idx="188">
                  <c:v>44750</c:v>
                </c:pt>
                <c:pt idx="189">
                  <c:v>44751</c:v>
                </c:pt>
                <c:pt idx="190">
                  <c:v>44752</c:v>
                </c:pt>
                <c:pt idx="191">
                  <c:v>44753</c:v>
                </c:pt>
                <c:pt idx="192">
                  <c:v>44754</c:v>
                </c:pt>
                <c:pt idx="193">
                  <c:v>44755</c:v>
                </c:pt>
                <c:pt idx="194">
                  <c:v>44756</c:v>
                </c:pt>
                <c:pt idx="195">
                  <c:v>44757</c:v>
                </c:pt>
                <c:pt idx="196">
                  <c:v>44758</c:v>
                </c:pt>
                <c:pt idx="197">
                  <c:v>44759</c:v>
                </c:pt>
                <c:pt idx="198">
                  <c:v>44760</c:v>
                </c:pt>
                <c:pt idx="199">
                  <c:v>44761</c:v>
                </c:pt>
                <c:pt idx="200">
                  <c:v>44762</c:v>
                </c:pt>
                <c:pt idx="201">
                  <c:v>44763</c:v>
                </c:pt>
                <c:pt idx="202">
                  <c:v>44764</c:v>
                </c:pt>
                <c:pt idx="203">
                  <c:v>44765</c:v>
                </c:pt>
                <c:pt idx="204">
                  <c:v>44766</c:v>
                </c:pt>
                <c:pt idx="205">
                  <c:v>44767</c:v>
                </c:pt>
                <c:pt idx="206">
                  <c:v>44768</c:v>
                </c:pt>
                <c:pt idx="207">
                  <c:v>44769</c:v>
                </c:pt>
                <c:pt idx="208">
                  <c:v>44770</c:v>
                </c:pt>
                <c:pt idx="209">
                  <c:v>44771</c:v>
                </c:pt>
                <c:pt idx="210">
                  <c:v>44772</c:v>
                </c:pt>
                <c:pt idx="211">
                  <c:v>44773</c:v>
                </c:pt>
                <c:pt idx="212">
                  <c:v>44774</c:v>
                </c:pt>
                <c:pt idx="213">
                  <c:v>44775</c:v>
                </c:pt>
                <c:pt idx="214">
                  <c:v>44776</c:v>
                </c:pt>
                <c:pt idx="215">
                  <c:v>44777</c:v>
                </c:pt>
                <c:pt idx="216">
                  <c:v>44778</c:v>
                </c:pt>
                <c:pt idx="217">
                  <c:v>44779</c:v>
                </c:pt>
                <c:pt idx="218">
                  <c:v>44780</c:v>
                </c:pt>
                <c:pt idx="219">
                  <c:v>44781</c:v>
                </c:pt>
                <c:pt idx="220">
                  <c:v>44782</c:v>
                </c:pt>
                <c:pt idx="221">
                  <c:v>44783</c:v>
                </c:pt>
                <c:pt idx="222">
                  <c:v>44784</c:v>
                </c:pt>
                <c:pt idx="223">
                  <c:v>44785</c:v>
                </c:pt>
                <c:pt idx="224">
                  <c:v>44786</c:v>
                </c:pt>
                <c:pt idx="225">
                  <c:v>44787</c:v>
                </c:pt>
                <c:pt idx="226">
                  <c:v>44788</c:v>
                </c:pt>
                <c:pt idx="227">
                  <c:v>44789</c:v>
                </c:pt>
                <c:pt idx="228">
                  <c:v>44790</c:v>
                </c:pt>
                <c:pt idx="229">
                  <c:v>44791</c:v>
                </c:pt>
                <c:pt idx="230">
                  <c:v>44792</c:v>
                </c:pt>
                <c:pt idx="231">
                  <c:v>44793</c:v>
                </c:pt>
                <c:pt idx="232">
                  <c:v>44794</c:v>
                </c:pt>
                <c:pt idx="233">
                  <c:v>44795</c:v>
                </c:pt>
                <c:pt idx="234">
                  <c:v>44796</c:v>
                </c:pt>
                <c:pt idx="235">
                  <c:v>44797</c:v>
                </c:pt>
                <c:pt idx="236">
                  <c:v>44798</c:v>
                </c:pt>
                <c:pt idx="237">
                  <c:v>44799</c:v>
                </c:pt>
                <c:pt idx="238">
                  <c:v>44800</c:v>
                </c:pt>
                <c:pt idx="239">
                  <c:v>44801</c:v>
                </c:pt>
                <c:pt idx="240">
                  <c:v>44802</c:v>
                </c:pt>
                <c:pt idx="241">
                  <c:v>44803</c:v>
                </c:pt>
                <c:pt idx="242">
                  <c:v>44804</c:v>
                </c:pt>
                <c:pt idx="243">
                  <c:v>44805</c:v>
                </c:pt>
                <c:pt idx="244">
                  <c:v>44806</c:v>
                </c:pt>
                <c:pt idx="245">
                  <c:v>44807</c:v>
                </c:pt>
                <c:pt idx="246">
                  <c:v>44808</c:v>
                </c:pt>
                <c:pt idx="247">
                  <c:v>44809</c:v>
                </c:pt>
                <c:pt idx="248">
                  <c:v>44810</c:v>
                </c:pt>
                <c:pt idx="249">
                  <c:v>44811</c:v>
                </c:pt>
                <c:pt idx="250">
                  <c:v>44812</c:v>
                </c:pt>
                <c:pt idx="251">
                  <c:v>44813</c:v>
                </c:pt>
                <c:pt idx="252">
                  <c:v>44814</c:v>
                </c:pt>
                <c:pt idx="253">
                  <c:v>44815</c:v>
                </c:pt>
                <c:pt idx="254">
                  <c:v>44816</c:v>
                </c:pt>
                <c:pt idx="255">
                  <c:v>44817</c:v>
                </c:pt>
                <c:pt idx="256">
                  <c:v>44818</c:v>
                </c:pt>
                <c:pt idx="257">
                  <c:v>44819</c:v>
                </c:pt>
                <c:pt idx="258">
                  <c:v>44820</c:v>
                </c:pt>
                <c:pt idx="259">
                  <c:v>44821</c:v>
                </c:pt>
                <c:pt idx="260">
                  <c:v>44822</c:v>
                </c:pt>
                <c:pt idx="261">
                  <c:v>44823</c:v>
                </c:pt>
                <c:pt idx="262">
                  <c:v>44824</c:v>
                </c:pt>
                <c:pt idx="263">
                  <c:v>44825</c:v>
                </c:pt>
                <c:pt idx="264">
                  <c:v>44826</c:v>
                </c:pt>
                <c:pt idx="265">
                  <c:v>44827</c:v>
                </c:pt>
                <c:pt idx="266">
                  <c:v>44828</c:v>
                </c:pt>
                <c:pt idx="267">
                  <c:v>44829</c:v>
                </c:pt>
                <c:pt idx="268">
                  <c:v>44830</c:v>
                </c:pt>
                <c:pt idx="269">
                  <c:v>44831</c:v>
                </c:pt>
                <c:pt idx="270">
                  <c:v>44832</c:v>
                </c:pt>
                <c:pt idx="271">
                  <c:v>44833</c:v>
                </c:pt>
                <c:pt idx="272">
                  <c:v>44834</c:v>
                </c:pt>
                <c:pt idx="273">
                  <c:v>44835</c:v>
                </c:pt>
                <c:pt idx="274">
                  <c:v>44836</c:v>
                </c:pt>
                <c:pt idx="275">
                  <c:v>44837</c:v>
                </c:pt>
                <c:pt idx="276">
                  <c:v>44838</c:v>
                </c:pt>
                <c:pt idx="277">
                  <c:v>44839</c:v>
                </c:pt>
                <c:pt idx="278">
                  <c:v>44840</c:v>
                </c:pt>
                <c:pt idx="279">
                  <c:v>44841</c:v>
                </c:pt>
                <c:pt idx="280">
                  <c:v>44842</c:v>
                </c:pt>
                <c:pt idx="281">
                  <c:v>44843</c:v>
                </c:pt>
                <c:pt idx="282">
                  <c:v>44844</c:v>
                </c:pt>
                <c:pt idx="283">
                  <c:v>44845</c:v>
                </c:pt>
                <c:pt idx="284">
                  <c:v>44846</c:v>
                </c:pt>
                <c:pt idx="285">
                  <c:v>44847</c:v>
                </c:pt>
                <c:pt idx="286">
                  <c:v>44848</c:v>
                </c:pt>
                <c:pt idx="287">
                  <c:v>44849</c:v>
                </c:pt>
                <c:pt idx="288">
                  <c:v>44850</c:v>
                </c:pt>
                <c:pt idx="289">
                  <c:v>44851</c:v>
                </c:pt>
                <c:pt idx="290">
                  <c:v>44852</c:v>
                </c:pt>
                <c:pt idx="291">
                  <c:v>44853</c:v>
                </c:pt>
                <c:pt idx="292">
                  <c:v>44854</c:v>
                </c:pt>
                <c:pt idx="293">
                  <c:v>44855</c:v>
                </c:pt>
                <c:pt idx="294">
                  <c:v>44856</c:v>
                </c:pt>
                <c:pt idx="295">
                  <c:v>44857</c:v>
                </c:pt>
                <c:pt idx="296">
                  <c:v>44858</c:v>
                </c:pt>
                <c:pt idx="297">
                  <c:v>44859</c:v>
                </c:pt>
                <c:pt idx="298">
                  <c:v>44860</c:v>
                </c:pt>
                <c:pt idx="299">
                  <c:v>44861</c:v>
                </c:pt>
                <c:pt idx="300">
                  <c:v>44862</c:v>
                </c:pt>
                <c:pt idx="301">
                  <c:v>44863</c:v>
                </c:pt>
                <c:pt idx="302">
                  <c:v>44864</c:v>
                </c:pt>
                <c:pt idx="303">
                  <c:v>44865</c:v>
                </c:pt>
                <c:pt idx="304">
                  <c:v>44866</c:v>
                </c:pt>
                <c:pt idx="305">
                  <c:v>44867</c:v>
                </c:pt>
                <c:pt idx="306">
                  <c:v>44868</c:v>
                </c:pt>
                <c:pt idx="307">
                  <c:v>44869</c:v>
                </c:pt>
                <c:pt idx="308">
                  <c:v>44870</c:v>
                </c:pt>
                <c:pt idx="309">
                  <c:v>44871</c:v>
                </c:pt>
                <c:pt idx="310">
                  <c:v>44872</c:v>
                </c:pt>
                <c:pt idx="311">
                  <c:v>44873</c:v>
                </c:pt>
                <c:pt idx="312">
                  <c:v>44874</c:v>
                </c:pt>
                <c:pt idx="313">
                  <c:v>44875</c:v>
                </c:pt>
                <c:pt idx="314">
                  <c:v>44876</c:v>
                </c:pt>
                <c:pt idx="315">
                  <c:v>44877</c:v>
                </c:pt>
                <c:pt idx="316">
                  <c:v>44878</c:v>
                </c:pt>
                <c:pt idx="317">
                  <c:v>44879</c:v>
                </c:pt>
                <c:pt idx="318">
                  <c:v>44880</c:v>
                </c:pt>
                <c:pt idx="319">
                  <c:v>44881</c:v>
                </c:pt>
                <c:pt idx="320">
                  <c:v>44882</c:v>
                </c:pt>
                <c:pt idx="321">
                  <c:v>44883</c:v>
                </c:pt>
                <c:pt idx="322">
                  <c:v>44884</c:v>
                </c:pt>
                <c:pt idx="323">
                  <c:v>44885</c:v>
                </c:pt>
                <c:pt idx="324">
                  <c:v>44886</c:v>
                </c:pt>
                <c:pt idx="325">
                  <c:v>44887</c:v>
                </c:pt>
                <c:pt idx="326">
                  <c:v>44888</c:v>
                </c:pt>
                <c:pt idx="327">
                  <c:v>44889</c:v>
                </c:pt>
                <c:pt idx="328">
                  <c:v>44890</c:v>
                </c:pt>
                <c:pt idx="329">
                  <c:v>44891</c:v>
                </c:pt>
                <c:pt idx="330">
                  <c:v>44892</c:v>
                </c:pt>
                <c:pt idx="331">
                  <c:v>44893</c:v>
                </c:pt>
                <c:pt idx="332">
                  <c:v>44894</c:v>
                </c:pt>
                <c:pt idx="333">
                  <c:v>44895</c:v>
                </c:pt>
                <c:pt idx="334">
                  <c:v>44896</c:v>
                </c:pt>
                <c:pt idx="335">
                  <c:v>44897</c:v>
                </c:pt>
                <c:pt idx="336">
                  <c:v>44898</c:v>
                </c:pt>
                <c:pt idx="337">
                  <c:v>44899</c:v>
                </c:pt>
                <c:pt idx="338">
                  <c:v>44900</c:v>
                </c:pt>
                <c:pt idx="339">
                  <c:v>44901</c:v>
                </c:pt>
                <c:pt idx="340">
                  <c:v>44902</c:v>
                </c:pt>
                <c:pt idx="341">
                  <c:v>44903</c:v>
                </c:pt>
                <c:pt idx="342">
                  <c:v>44904</c:v>
                </c:pt>
                <c:pt idx="343">
                  <c:v>44905</c:v>
                </c:pt>
                <c:pt idx="344">
                  <c:v>44906</c:v>
                </c:pt>
                <c:pt idx="345">
                  <c:v>44907</c:v>
                </c:pt>
                <c:pt idx="346">
                  <c:v>44908</c:v>
                </c:pt>
                <c:pt idx="347">
                  <c:v>44909</c:v>
                </c:pt>
                <c:pt idx="348">
                  <c:v>44910</c:v>
                </c:pt>
                <c:pt idx="349">
                  <c:v>44911</c:v>
                </c:pt>
                <c:pt idx="350">
                  <c:v>44912</c:v>
                </c:pt>
                <c:pt idx="351">
                  <c:v>44913</c:v>
                </c:pt>
                <c:pt idx="352">
                  <c:v>44914</c:v>
                </c:pt>
                <c:pt idx="353">
                  <c:v>44915</c:v>
                </c:pt>
                <c:pt idx="354">
                  <c:v>44916</c:v>
                </c:pt>
                <c:pt idx="355">
                  <c:v>44917</c:v>
                </c:pt>
                <c:pt idx="356">
                  <c:v>44918</c:v>
                </c:pt>
                <c:pt idx="357">
                  <c:v>44919</c:v>
                </c:pt>
                <c:pt idx="358">
                  <c:v>44920</c:v>
                </c:pt>
                <c:pt idx="359">
                  <c:v>44921</c:v>
                </c:pt>
                <c:pt idx="360">
                  <c:v>44922</c:v>
                </c:pt>
                <c:pt idx="361">
                  <c:v>44923</c:v>
                </c:pt>
                <c:pt idx="362">
                  <c:v>44924</c:v>
                </c:pt>
                <c:pt idx="363">
                  <c:v>44925</c:v>
                </c:pt>
                <c:pt idx="364">
                  <c:v>44926</c:v>
                </c:pt>
              </c:numCache>
            </c:numRef>
          </c:xVal>
          <c:yVal>
            <c:numRef>
              <c:f>'Real Model'!$D$15:$D$379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79</c:v>
                </c:pt>
                <c:pt idx="4">
                  <c:v>89</c:v>
                </c:pt>
                <c:pt idx="5">
                  <c:v>83</c:v>
                </c:pt>
                <c:pt idx="6">
                  <c:v>76</c:v>
                </c:pt>
                <c:pt idx="7">
                  <c:v>65</c:v>
                </c:pt>
                <c:pt idx="8">
                  <c:v>65</c:v>
                </c:pt>
                <c:pt idx="9">
                  <c:v>82</c:v>
                </c:pt>
                <c:pt idx="10">
                  <c:v>73</c:v>
                </c:pt>
                <c:pt idx="11">
                  <c:v>82</c:v>
                </c:pt>
                <c:pt idx="12">
                  <c:v>74</c:v>
                </c:pt>
                <c:pt idx="13">
                  <c:v>88</c:v>
                </c:pt>
                <c:pt idx="14">
                  <c:v>85</c:v>
                </c:pt>
                <c:pt idx="15">
                  <c:v>64</c:v>
                </c:pt>
                <c:pt idx="16">
                  <c:v>65</c:v>
                </c:pt>
                <c:pt idx="17">
                  <c:v>49</c:v>
                </c:pt>
                <c:pt idx="18">
                  <c:v>91</c:v>
                </c:pt>
                <c:pt idx="19">
                  <c:v>74</c:v>
                </c:pt>
                <c:pt idx="20">
                  <c:v>46</c:v>
                </c:pt>
                <c:pt idx="21">
                  <c:v>72</c:v>
                </c:pt>
                <c:pt idx="22">
                  <c:v>77</c:v>
                </c:pt>
                <c:pt idx="23">
                  <c:v>83</c:v>
                </c:pt>
                <c:pt idx="24">
                  <c:v>88</c:v>
                </c:pt>
                <c:pt idx="25">
                  <c:v>86</c:v>
                </c:pt>
                <c:pt idx="26">
                  <c:v>65</c:v>
                </c:pt>
                <c:pt idx="27">
                  <c:v>73</c:v>
                </c:pt>
                <c:pt idx="28">
                  <c:v>96</c:v>
                </c:pt>
                <c:pt idx="29">
                  <c:v>89</c:v>
                </c:pt>
                <c:pt idx="30">
                  <c:v>90</c:v>
                </c:pt>
                <c:pt idx="31">
                  <c:v>83</c:v>
                </c:pt>
                <c:pt idx="32">
                  <c:v>129</c:v>
                </c:pt>
                <c:pt idx="33">
                  <c:v>106</c:v>
                </c:pt>
                <c:pt idx="34">
                  <c:v>81</c:v>
                </c:pt>
                <c:pt idx="35">
                  <c:v>66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115</c:v>
                </c:pt>
                <c:pt idx="46">
                  <c:v>106</c:v>
                </c:pt>
                <c:pt idx="47">
                  <c:v>103</c:v>
                </c:pt>
                <c:pt idx="48">
                  <c:v>108</c:v>
                </c:pt>
                <c:pt idx="49">
                  <c:v>104</c:v>
                </c:pt>
                <c:pt idx="50">
                  <c:v>73</c:v>
                </c:pt>
                <c:pt idx="51">
                  <c:v>103</c:v>
                </c:pt>
                <c:pt idx="52">
                  <c:v>120</c:v>
                </c:pt>
                <c:pt idx="53">
                  <c:v>95</c:v>
                </c:pt>
                <c:pt idx="54">
                  <c:v>76</c:v>
                </c:pt>
                <c:pt idx="55">
                  <c:v>83</c:v>
                </c:pt>
                <c:pt idx="56">
                  <c:v>81</c:v>
                </c:pt>
                <c:pt idx="57">
                  <c:v>84</c:v>
                </c:pt>
                <c:pt idx="58">
                  <c:v>104</c:v>
                </c:pt>
                <c:pt idx="59">
                  <c:v>88</c:v>
                </c:pt>
                <c:pt idx="60">
                  <c:v>125</c:v>
                </c:pt>
                <c:pt idx="61">
                  <c:v>106</c:v>
                </c:pt>
                <c:pt idx="62">
                  <c:v>101</c:v>
                </c:pt>
                <c:pt idx="63">
                  <c:v>71</c:v>
                </c:pt>
                <c:pt idx="64">
                  <c:v>88</c:v>
                </c:pt>
                <c:pt idx="65">
                  <c:v>75</c:v>
                </c:pt>
                <c:pt idx="66">
                  <c:v>92</c:v>
                </c:pt>
                <c:pt idx="67">
                  <c:v>106</c:v>
                </c:pt>
                <c:pt idx="68">
                  <c:v>73</c:v>
                </c:pt>
                <c:pt idx="69">
                  <c:v>103</c:v>
                </c:pt>
                <c:pt idx="70">
                  <c:v>80</c:v>
                </c:pt>
                <c:pt idx="71">
                  <c:v>84</c:v>
                </c:pt>
                <c:pt idx="72">
                  <c:v>89</c:v>
                </c:pt>
                <c:pt idx="73">
                  <c:v>159</c:v>
                </c:pt>
                <c:pt idx="74">
                  <c:v>123</c:v>
                </c:pt>
                <c:pt idx="75">
                  <c:v>68</c:v>
                </c:pt>
                <c:pt idx="76">
                  <c:v>111</c:v>
                </c:pt>
                <c:pt idx="77">
                  <c:v>82</c:v>
                </c:pt>
                <c:pt idx="78">
                  <c:v>66</c:v>
                </c:pt>
                <c:pt idx="79">
                  <c:v>86</c:v>
                </c:pt>
                <c:pt idx="80">
                  <c:v>65</c:v>
                </c:pt>
                <c:pt idx="81">
                  <c:v>99</c:v>
                </c:pt>
                <c:pt idx="82">
                  <c:v>120</c:v>
                </c:pt>
                <c:pt idx="83">
                  <c:v>96</c:v>
                </c:pt>
                <c:pt idx="84">
                  <c:v>62</c:v>
                </c:pt>
                <c:pt idx="85">
                  <c:v>109</c:v>
                </c:pt>
                <c:pt idx="86">
                  <c:v>91</c:v>
                </c:pt>
                <c:pt idx="87">
                  <c:v>73</c:v>
                </c:pt>
                <c:pt idx="88">
                  <c:v>116</c:v>
                </c:pt>
                <c:pt idx="89">
                  <c:v>100</c:v>
                </c:pt>
                <c:pt idx="90">
                  <c:v>32</c:v>
                </c:pt>
                <c:pt idx="91">
                  <c:v>88</c:v>
                </c:pt>
                <c:pt idx="92">
                  <c:v>55</c:v>
                </c:pt>
                <c:pt idx="93">
                  <c:v>74</c:v>
                </c:pt>
                <c:pt idx="94">
                  <c:v>59</c:v>
                </c:pt>
                <c:pt idx="95">
                  <c:v>70</c:v>
                </c:pt>
                <c:pt idx="96">
                  <c:v>75</c:v>
                </c:pt>
                <c:pt idx="97">
                  <c:v>76</c:v>
                </c:pt>
                <c:pt idx="98">
                  <c:v>90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90</c:v>
                </c:pt>
                <c:pt idx="109">
                  <c:v>84</c:v>
                </c:pt>
                <c:pt idx="110">
                  <c:v>88</c:v>
                </c:pt>
                <c:pt idx="111">
                  <c:v>69</c:v>
                </c:pt>
                <c:pt idx="112">
                  <c:v>64</c:v>
                </c:pt>
                <c:pt idx="113">
                  <c:v>89</c:v>
                </c:pt>
                <c:pt idx="114">
                  <c:v>93</c:v>
                </c:pt>
                <c:pt idx="115">
                  <c:v>50</c:v>
                </c:pt>
                <c:pt idx="116">
                  <c:v>65</c:v>
                </c:pt>
                <c:pt idx="117">
                  <c:v>109</c:v>
                </c:pt>
                <c:pt idx="118">
                  <c:v>72</c:v>
                </c:pt>
                <c:pt idx="119">
                  <c:v>49</c:v>
                </c:pt>
                <c:pt idx="120">
                  <c:v>75</c:v>
                </c:pt>
                <c:pt idx="121">
                  <c:v>88</c:v>
                </c:pt>
                <c:pt idx="122">
                  <c:v>104</c:v>
                </c:pt>
                <c:pt idx="123">
                  <c:v>80</c:v>
                </c:pt>
                <c:pt idx="124">
                  <c:v>77</c:v>
                </c:pt>
                <c:pt idx="125">
                  <c:v>90</c:v>
                </c:pt>
                <c:pt idx="126">
                  <c:v>93</c:v>
                </c:pt>
                <c:pt idx="127">
                  <c:v>54</c:v>
                </c:pt>
                <c:pt idx="128">
                  <c:v>95</c:v>
                </c:pt>
                <c:pt idx="129">
                  <c:v>78</c:v>
                </c:pt>
                <c:pt idx="130">
                  <c:v>59</c:v>
                </c:pt>
                <c:pt idx="131">
                  <c:v>70</c:v>
                </c:pt>
                <c:pt idx="132">
                  <c:v>80</c:v>
                </c:pt>
                <c:pt idx="133">
                  <c:v>95</c:v>
                </c:pt>
                <c:pt idx="134">
                  <c:v>72</c:v>
                </c:pt>
                <c:pt idx="135">
                  <c:v>77</c:v>
                </c:pt>
                <c:pt idx="136">
                  <c:v>64</c:v>
                </c:pt>
                <c:pt idx="137">
                  <c:v>67</c:v>
                </c:pt>
                <c:pt idx="138">
                  <c:v>86</c:v>
                </c:pt>
                <c:pt idx="139">
                  <c:v>75</c:v>
                </c:pt>
                <c:pt idx="140">
                  <c:v>66</c:v>
                </c:pt>
                <c:pt idx="141">
                  <c:v>73</c:v>
                </c:pt>
                <c:pt idx="142">
                  <c:v>63</c:v>
                </c:pt>
                <c:pt idx="143">
                  <c:v>104</c:v>
                </c:pt>
                <c:pt idx="144">
                  <c:v>48</c:v>
                </c:pt>
                <c:pt idx="145">
                  <c:v>70</c:v>
                </c:pt>
                <c:pt idx="146">
                  <c:v>82</c:v>
                </c:pt>
                <c:pt idx="147">
                  <c:v>64</c:v>
                </c:pt>
                <c:pt idx="148">
                  <c:v>58</c:v>
                </c:pt>
                <c:pt idx="149">
                  <c:v>85</c:v>
                </c:pt>
                <c:pt idx="150">
                  <c:v>73</c:v>
                </c:pt>
                <c:pt idx="151">
                  <c:v>76</c:v>
                </c:pt>
                <c:pt idx="152">
                  <c:v>64</c:v>
                </c:pt>
                <c:pt idx="153">
                  <c:v>64</c:v>
                </c:pt>
                <c:pt idx="154">
                  <c:v>39</c:v>
                </c:pt>
                <c:pt idx="155">
                  <c:v>89</c:v>
                </c:pt>
                <c:pt idx="156">
                  <c:v>57</c:v>
                </c:pt>
                <c:pt idx="157">
                  <c:v>71</c:v>
                </c:pt>
                <c:pt idx="158">
                  <c:v>76</c:v>
                </c:pt>
                <c:pt idx="159">
                  <c:v>44</c:v>
                </c:pt>
                <c:pt idx="160">
                  <c:v>115</c:v>
                </c:pt>
                <c:pt idx="161">
                  <c:v>63</c:v>
                </c:pt>
                <c:pt idx="162">
                  <c:v>65</c:v>
                </c:pt>
                <c:pt idx="163">
                  <c:v>69</c:v>
                </c:pt>
                <c:pt idx="164">
                  <c:v>92</c:v>
                </c:pt>
                <c:pt idx="165">
                  <c:v>74</c:v>
                </c:pt>
                <c:pt idx="166">
                  <c:v>86</c:v>
                </c:pt>
                <c:pt idx="167">
                  <c:v>72</c:v>
                </c:pt>
                <c:pt idx="168">
                  <c:v>81</c:v>
                </c:pt>
                <c:pt idx="169">
                  <c:v>67</c:v>
                </c:pt>
                <c:pt idx="170">
                  <c:v>60</c:v>
                </c:pt>
                <c:pt idx="171">
                  <c:v>90</c:v>
                </c:pt>
                <c:pt idx="172">
                  <c:v>59</c:v>
                </c:pt>
                <c:pt idx="173">
                  <c:v>82</c:v>
                </c:pt>
                <c:pt idx="174">
                  <c:v>68</c:v>
                </c:pt>
                <c:pt idx="175">
                  <c:v>69</c:v>
                </c:pt>
                <c:pt idx="176">
                  <c:v>68</c:v>
                </c:pt>
                <c:pt idx="177">
                  <c:v>72</c:v>
                </c:pt>
                <c:pt idx="178">
                  <c:v>81</c:v>
                </c:pt>
                <c:pt idx="179">
                  <c:v>44</c:v>
                </c:pt>
                <c:pt idx="180">
                  <c:v>59</c:v>
                </c:pt>
                <c:pt idx="181">
                  <c:v>65</c:v>
                </c:pt>
                <c:pt idx="182">
                  <c:v>95</c:v>
                </c:pt>
                <c:pt idx="183">
                  <c:v>72</c:v>
                </c:pt>
                <c:pt idx="184">
                  <c:v>79</c:v>
                </c:pt>
                <c:pt idx="185">
                  <c:v>77</c:v>
                </c:pt>
                <c:pt idx="186">
                  <c:v>83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100</c:v>
                </c:pt>
                <c:pt idx="245">
                  <c:v>102</c:v>
                </c:pt>
                <c:pt idx="246">
                  <c:v>129</c:v>
                </c:pt>
                <c:pt idx="247">
                  <c:v>104</c:v>
                </c:pt>
                <c:pt idx="248">
                  <c:v>83</c:v>
                </c:pt>
                <c:pt idx="249">
                  <c:v>79</c:v>
                </c:pt>
                <c:pt idx="250">
                  <c:v>83</c:v>
                </c:pt>
                <c:pt idx="251">
                  <c:v>95</c:v>
                </c:pt>
                <c:pt idx="252">
                  <c:v>136</c:v>
                </c:pt>
                <c:pt idx="253">
                  <c:v>80</c:v>
                </c:pt>
                <c:pt idx="254">
                  <c:v>111</c:v>
                </c:pt>
                <c:pt idx="255">
                  <c:v>126</c:v>
                </c:pt>
                <c:pt idx="256">
                  <c:v>100</c:v>
                </c:pt>
                <c:pt idx="257">
                  <c:v>108</c:v>
                </c:pt>
                <c:pt idx="258">
                  <c:v>93</c:v>
                </c:pt>
                <c:pt idx="259">
                  <c:v>76</c:v>
                </c:pt>
                <c:pt idx="260">
                  <c:v>74</c:v>
                </c:pt>
                <c:pt idx="261">
                  <c:v>105</c:v>
                </c:pt>
                <c:pt idx="262">
                  <c:v>97</c:v>
                </c:pt>
                <c:pt idx="263">
                  <c:v>163</c:v>
                </c:pt>
                <c:pt idx="264">
                  <c:v>94</c:v>
                </c:pt>
                <c:pt idx="265">
                  <c:v>92</c:v>
                </c:pt>
                <c:pt idx="266">
                  <c:v>118</c:v>
                </c:pt>
                <c:pt idx="267">
                  <c:v>77</c:v>
                </c:pt>
                <c:pt idx="268">
                  <c:v>72</c:v>
                </c:pt>
                <c:pt idx="269">
                  <c:v>120</c:v>
                </c:pt>
                <c:pt idx="270">
                  <c:v>107</c:v>
                </c:pt>
                <c:pt idx="271">
                  <c:v>118</c:v>
                </c:pt>
                <c:pt idx="272">
                  <c:v>120</c:v>
                </c:pt>
                <c:pt idx="273">
                  <c:v>89</c:v>
                </c:pt>
                <c:pt idx="274">
                  <c:v>133</c:v>
                </c:pt>
                <c:pt idx="275">
                  <c:v>108</c:v>
                </c:pt>
                <c:pt idx="276">
                  <c:v>101</c:v>
                </c:pt>
                <c:pt idx="277">
                  <c:v>88</c:v>
                </c:pt>
                <c:pt idx="278">
                  <c:v>110</c:v>
                </c:pt>
                <c:pt idx="279">
                  <c:v>116</c:v>
                </c:pt>
                <c:pt idx="280">
                  <c:v>104</c:v>
                </c:pt>
                <c:pt idx="281">
                  <c:v>90</c:v>
                </c:pt>
                <c:pt idx="282">
                  <c:v>90</c:v>
                </c:pt>
                <c:pt idx="283">
                  <c:v>69</c:v>
                </c:pt>
                <c:pt idx="284">
                  <c:v>78</c:v>
                </c:pt>
                <c:pt idx="285">
                  <c:v>69</c:v>
                </c:pt>
                <c:pt idx="286">
                  <c:v>120</c:v>
                </c:pt>
                <c:pt idx="287">
                  <c:v>102</c:v>
                </c:pt>
                <c:pt idx="288">
                  <c:v>93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110</c:v>
                </c:pt>
                <c:pt idx="299">
                  <c:v>75</c:v>
                </c:pt>
                <c:pt idx="300">
                  <c:v>92</c:v>
                </c:pt>
                <c:pt idx="301">
                  <c:v>138</c:v>
                </c:pt>
                <c:pt idx="302">
                  <c:v>80</c:v>
                </c:pt>
                <c:pt idx="303">
                  <c:v>89</c:v>
                </c:pt>
                <c:pt idx="304">
                  <c:v>95</c:v>
                </c:pt>
                <c:pt idx="305">
                  <c:v>91</c:v>
                </c:pt>
                <c:pt idx="306">
                  <c:v>118</c:v>
                </c:pt>
                <c:pt idx="307">
                  <c:v>83</c:v>
                </c:pt>
                <c:pt idx="308">
                  <c:v>83</c:v>
                </c:pt>
                <c:pt idx="309">
                  <c:v>94</c:v>
                </c:pt>
                <c:pt idx="310">
                  <c:v>98</c:v>
                </c:pt>
                <c:pt idx="311">
                  <c:v>95</c:v>
                </c:pt>
                <c:pt idx="312">
                  <c:v>74</c:v>
                </c:pt>
                <c:pt idx="313">
                  <c:v>96</c:v>
                </c:pt>
                <c:pt idx="314">
                  <c:v>134</c:v>
                </c:pt>
                <c:pt idx="315">
                  <c:v>109</c:v>
                </c:pt>
                <c:pt idx="316">
                  <c:v>95</c:v>
                </c:pt>
                <c:pt idx="317">
                  <c:v>89</c:v>
                </c:pt>
                <c:pt idx="318">
                  <c:v>112</c:v>
                </c:pt>
                <c:pt idx="319">
                  <c:v>106</c:v>
                </c:pt>
                <c:pt idx="320">
                  <c:v>118</c:v>
                </c:pt>
                <c:pt idx="321">
                  <c:v>96</c:v>
                </c:pt>
                <c:pt idx="322">
                  <c:v>82</c:v>
                </c:pt>
                <c:pt idx="323">
                  <c:v>99</c:v>
                </c:pt>
                <c:pt idx="324">
                  <c:v>113</c:v>
                </c:pt>
                <c:pt idx="325">
                  <c:v>100</c:v>
                </c:pt>
                <c:pt idx="326">
                  <c:v>108</c:v>
                </c:pt>
                <c:pt idx="327">
                  <c:v>123</c:v>
                </c:pt>
                <c:pt idx="328">
                  <c:v>97</c:v>
                </c:pt>
                <c:pt idx="329">
                  <c:v>132</c:v>
                </c:pt>
                <c:pt idx="330">
                  <c:v>97</c:v>
                </c:pt>
                <c:pt idx="331">
                  <c:v>99</c:v>
                </c:pt>
                <c:pt idx="332">
                  <c:v>126</c:v>
                </c:pt>
                <c:pt idx="333">
                  <c:v>94</c:v>
                </c:pt>
                <c:pt idx="334">
                  <c:v>118</c:v>
                </c:pt>
                <c:pt idx="335">
                  <c:v>102</c:v>
                </c:pt>
                <c:pt idx="336">
                  <c:v>80</c:v>
                </c:pt>
                <c:pt idx="337">
                  <c:v>93</c:v>
                </c:pt>
                <c:pt idx="338">
                  <c:v>132</c:v>
                </c:pt>
                <c:pt idx="339">
                  <c:v>71</c:v>
                </c:pt>
                <c:pt idx="340">
                  <c:v>98</c:v>
                </c:pt>
                <c:pt idx="341">
                  <c:v>87</c:v>
                </c:pt>
                <c:pt idx="342">
                  <c:v>110</c:v>
                </c:pt>
                <c:pt idx="343">
                  <c:v>78</c:v>
                </c:pt>
                <c:pt idx="344">
                  <c:v>125</c:v>
                </c:pt>
                <c:pt idx="345">
                  <c:v>81</c:v>
                </c:pt>
                <c:pt idx="346">
                  <c:v>81</c:v>
                </c:pt>
                <c:pt idx="347">
                  <c:v>84</c:v>
                </c:pt>
                <c:pt idx="348">
                  <c:v>137</c:v>
                </c:pt>
                <c:pt idx="349">
                  <c:v>104</c:v>
                </c:pt>
                <c:pt idx="350">
                  <c:v>94</c:v>
                </c:pt>
                <c:pt idx="351">
                  <c:v>117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3344"/>
        <c:axId val="373062856"/>
      </c:scatterChart>
      <c:valAx>
        <c:axId val="369083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73062856"/>
        <c:crosses val="autoZero"/>
        <c:crossBetween val="midCat"/>
      </c:valAx>
      <c:valAx>
        <c:axId val="373062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9083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81</xdr:col>
      <xdr:colOff>824395</xdr:colOff>
      <xdr:row>15</xdr:row>
      <xdr:rowOff>57884</xdr:rowOff>
    </xdr:from>
    <xdr:ext cx="13337899" cy="4902626"/>
    <xdr:graphicFrame macro="">
      <xdr:nvGraphicFramePr>
        <xdr:cNvPr id="2" name="Chart 1" title="Graphiqu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77</xdr:col>
      <xdr:colOff>95613</xdr:colOff>
      <xdr:row>3</xdr:row>
      <xdr:rowOff>43790</xdr:rowOff>
    </xdr:from>
    <xdr:ext cx="3552825" cy="1771650"/>
    <xdr:pic>
      <xdr:nvPicPr>
        <xdr:cNvPr id="3" name="image1.png" title="Image"/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77003184" y="533647"/>
          <a:ext cx="3552825" cy="1771650"/>
        </a:xfrm>
        <a:prstGeom prst="rect">
          <a:avLst/>
        </a:prstGeom>
        <a:noFill/>
      </xdr:spPr>
    </xdr:pic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1</xdr:row>
          <xdr:rowOff>9525</xdr:rowOff>
        </xdr:from>
        <xdr:to>
          <xdr:col>5</xdr:col>
          <xdr:colOff>1143000</xdr:colOff>
          <xdr:row>2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Appuyer pour calculer les nombres de paniers mensuels pour chaque campus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1009650</xdr:colOff>
          <xdr:row>0</xdr:row>
          <xdr:rowOff>152400</xdr:rowOff>
        </xdr:from>
        <xdr:to>
          <xdr:col>11</xdr:col>
          <xdr:colOff>0</xdr:colOff>
          <xdr:row>3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Appuyez pour faire les totaux mensuels</a:t>
              </a:r>
            </a:p>
          </xdr:txBody>
        </xdr:sp>
        <xdr:clientData fPrintsWithSheet="0"/>
      </xdr:twoCellAnchor>
    </mc:Choice>
    <mc:Fallback/>
  </mc:AlternateContent>
  <xdr:twoCellAnchor>
    <xdr:from>
      <xdr:col>83</xdr:col>
      <xdr:colOff>10205</xdr:colOff>
      <xdr:row>49</xdr:row>
      <xdr:rowOff>91166</xdr:rowOff>
    </xdr:from>
    <xdr:to>
      <xdr:col>93</xdr:col>
      <xdr:colOff>523874</xdr:colOff>
      <xdr:row>87</xdr:row>
      <xdr:rowOff>125231</xdr:rowOff>
    </xdr:to>
    <xdr:graphicFrame macro="">
      <xdr:nvGraphicFramePr>
        <xdr:cNvPr id="4" name="Graphique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75</xdr:col>
      <xdr:colOff>653142</xdr:colOff>
      <xdr:row>14</xdr:row>
      <xdr:rowOff>29935</xdr:rowOff>
    </xdr:from>
    <xdr:to>
      <xdr:col>103</xdr:col>
      <xdr:colOff>68035</xdr:colOff>
      <xdr:row>47</xdr:row>
      <xdr:rowOff>136071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outlinePr summaryBelow="0" summaryRight="0"/>
  </sheetPr>
  <dimension ref="B1:CB1114"/>
  <sheetViews>
    <sheetView zoomScale="58" zoomScaleNormal="55" workbookViewId="0">
      <selection activeCell="F7" sqref="F7:G7"/>
    </sheetView>
  </sheetViews>
  <sheetFormatPr baseColWidth="10" defaultColWidth="14.42578125" defaultRowHeight="15.75" customHeight="1" x14ac:dyDescent="0.2"/>
  <cols>
    <col min="2" max="2" width="17.140625" customWidth="1"/>
    <col min="3" max="3" width="16.5703125" bestFit="1" customWidth="1"/>
    <col min="4" max="4" width="20.85546875" customWidth="1"/>
    <col min="6" max="6" width="17.140625" bestFit="1" customWidth="1"/>
    <col min="7" max="7" width="15.28515625" bestFit="1" customWidth="1"/>
    <col min="8" max="8" width="20.85546875" bestFit="1" customWidth="1"/>
    <col min="11" max="11" width="15.28515625" bestFit="1" customWidth="1"/>
    <col min="12" max="12" width="20.85546875" bestFit="1" customWidth="1"/>
    <col min="15" max="15" width="15.28515625" bestFit="1" customWidth="1"/>
    <col min="23" max="23" width="15.28515625" bestFit="1" customWidth="1"/>
    <col min="27" max="27" width="15.28515625" bestFit="1" customWidth="1"/>
    <col min="29" max="30" width="14.42578125" style="36"/>
    <col min="33" max="33" width="15.28515625" bestFit="1" customWidth="1"/>
    <col min="37" max="37" width="15.28515625" bestFit="1" customWidth="1"/>
    <col min="45" max="45" width="15.28515625" bestFit="1" customWidth="1"/>
    <col min="49" max="49" width="15.28515625" bestFit="1" customWidth="1"/>
    <col min="53" max="53" width="15.28515625" bestFit="1" customWidth="1"/>
    <col min="55" max="56" width="14.42578125" style="36"/>
    <col min="59" max="59" width="15.28515625" bestFit="1" customWidth="1"/>
    <col min="63" max="63" width="15.28515625" bestFit="1" customWidth="1"/>
    <col min="71" max="71" width="15.28515625" bestFit="1" customWidth="1"/>
    <col min="75" max="75" width="15.28515625" bestFit="1" customWidth="1"/>
    <col min="80" max="80" width="17.140625" bestFit="1" customWidth="1"/>
  </cols>
  <sheetData>
    <row r="1" spans="2:80" ht="12.75" x14ac:dyDescent="0.2">
      <c r="D1" s="1"/>
    </row>
    <row r="2" spans="2:80" s="36" customFormat="1" ht="12.75" x14ac:dyDescent="0.2">
      <c r="B2" s="35"/>
      <c r="D2" s="7"/>
    </row>
    <row r="3" spans="2:80" s="36" customFormat="1" ht="12.75" x14ac:dyDescent="0.2">
      <c r="B3" s="35"/>
      <c r="D3" s="7"/>
    </row>
    <row r="4" spans="2:80" s="36" customFormat="1" ht="12.75" x14ac:dyDescent="0.2">
      <c r="B4" s="35"/>
      <c r="D4" s="7"/>
    </row>
    <row r="5" spans="2:80" s="36" customFormat="1" ht="12.75" x14ac:dyDescent="0.2">
      <c r="B5" s="35"/>
      <c r="D5" s="7"/>
    </row>
    <row r="6" spans="2:80" ht="12.75" x14ac:dyDescent="0.2">
      <c r="B6" s="45" t="s">
        <v>33</v>
      </c>
      <c r="C6" s="46"/>
      <c r="D6" s="7"/>
    </row>
    <row r="7" spans="2:80" ht="12.75" x14ac:dyDescent="0.2">
      <c r="B7" s="43" t="str">
        <f>'Nombre campus'!B5</f>
        <v>G. Charpak</v>
      </c>
      <c r="C7" s="44"/>
      <c r="D7" s="27"/>
      <c r="E7" s="24"/>
      <c r="F7" s="43" t="str">
        <f>'Nombre campus'!B6</f>
        <v>Mines ICM</v>
      </c>
      <c r="G7" s="44"/>
      <c r="H7" s="27"/>
      <c r="J7" s="43" t="str">
        <f>'Nombre campus'!B7</f>
        <v>Mines Albi</v>
      </c>
      <c r="K7" s="44"/>
      <c r="L7" s="27"/>
      <c r="N7" s="43" t="str">
        <f>'Nombre campus'!B8</f>
        <v>Telecom Paris</v>
      </c>
      <c r="O7" s="44"/>
      <c r="P7" s="27"/>
      <c r="R7" s="43" t="str">
        <f>'Nombre campus'!B9</f>
        <v xml:space="preserve">Telecom sud Paris </v>
      </c>
      <c r="S7" s="44"/>
      <c r="T7" s="27"/>
      <c r="V7" s="43" t="str">
        <f>'Nombre campus'!B10</f>
        <v>IMT Business school</v>
      </c>
      <c r="W7" s="44"/>
      <c r="X7" s="27"/>
      <c r="Z7" s="43" t="str">
        <f>'Nombre campus'!B11</f>
        <v>IMT Atlantique</v>
      </c>
      <c r="AA7" s="44"/>
      <c r="AB7" s="27"/>
      <c r="AC7" s="25"/>
      <c r="AD7" s="25"/>
      <c r="AF7" s="43" t="str">
        <f>'Nombre campus'!B12</f>
        <v>IMT Douai</v>
      </c>
      <c r="AG7" s="44"/>
      <c r="AH7" s="27"/>
      <c r="AJ7" s="43" t="str">
        <f>'Nombre campus'!B13</f>
        <v>Campus 1</v>
      </c>
      <c r="AK7" s="44"/>
      <c r="AL7" s="27"/>
      <c r="AN7" s="43" t="str">
        <f>'Nombre campus'!B14</f>
        <v>Campus 2</v>
      </c>
      <c r="AO7" s="44"/>
      <c r="AP7" s="27"/>
      <c r="AR7" s="43" t="str">
        <f>'Nombre campus'!B15</f>
        <v>Campus 3</v>
      </c>
      <c r="AS7" s="44"/>
      <c r="AT7" s="27"/>
      <c r="AV7" s="43" t="str">
        <f>'Nombre campus'!B16</f>
        <v>Campus 4</v>
      </c>
      <c r="AW7" s="44"/>
      <c r="AX7" s="27"/>
      <c r="AZ7" s="43" t="str">
        <f>'Nombre campus'!B17</f>
        <v>Campus 5</v>
      </c>
      <c r="BA7" s="44"/>
      <c r="BB7" s="27"/>
      <c r="BC7" s="25"/>
      <c r="BD7" s="25"/>
      <c r="BF7" s="43" t="str">
        <f>'Nombre campus'!B18</f>
        <v>Campus 6</v>
      </c>
      <c r="BG7" s="44"/>
      <c r="BH7" s="27"/>
      <c r="BJ7" s="43" t="str">
        <f>'Nombre campus'!B19</f>
        <v>Campus 7</v>
      </c>
      <c r="BK7" s="44"/>
      <c r="BL7" s="27"/>
      <c r="BN7" s="43" t="str">
        <f>'Nombre campus'!B20</f>
        <v>Campus 8</v>
      </c>
      <c r="BO7" s="44"/>
      <c r="BP7" s="27"/>
      <c r="BR7" s="43" t="str">
        <f>'Nombre campus'!B21</f>
        <v>Campus 9</v>
      </c>
      <c r="BS7" s="44"/>
      <c r="BT7" s="27"/>
      <c r="BV7" s="43" t="str">
        <f>'Nombre campus'!B22</f>
        <v>Campus 10</v>
      </c>
      <c r="BW7" s="44"/>
      <c r="BX7" s="27"/>
    </row>
    <row r="8" spans="2:80" ht="12.75" x14ac:dyDescent="0.2">
      <c r="B8" s="28" t="s">
        <v>0</v>
      </c>
      <c r="C8" s="2">
        <f>'Nombre campus'!$C$5</f>
        <v>500</v>
      </c>
      <c r="D8" s="29"/>
      <c r="E8" s="24"/>
      <c r="F8" s="28" t="s">
        <v>0</v>
      </c>
      <c r="G8" s="2">
        <f>'Nombre campus'!C6</f>
        <v>1436</v>
      </c>
      <c r="H8" s="29"/>
      <c r="J8" s="28" t="s">
        <v>0</v>
      </c>
      <c r="K8" s="2">
        <f>'Nombre campus'!C7</f>
        <v>1000</v>
      </c>
      <c r="L8" s="29"/>
      <c r="N8" s="28" t="s">
        <v>0</v>
      </c>
      <c r="O8" s="2">
        <f>'Nombre campus'!C8</f>
        <v>1529</v>
      </c>
      <c r="P8" s="29"/>
      <c r="R8" s="28" t="s">
        <v>0</v>
      </c>
      <c r="S8" s="2">
        <f>'Nombre campus'!C9</f>
        <v>925</v>
      </c>
      <c r="T8" s="29"/>
      <c r="V8" s="28" t="s">
        <v>0</v>
      </c>
      <c r="W8" s="2">
        <f>'Nombre campus'!C10</f>
        <v>1500</v>
      </c>
      <c r="X8" s="29"/>
      <c r="Z8" s="28" t="s">
        <v>0</v>
      </c>
      <c r="AA8" s="2">
        <f>'Nombre campus'!C11</f>
        <v>1800</v>
      </c>
      <c r="AB8" s="29"/>
      <c r="AC8" s="25"/>
      <c r="AD8" s="25"/>
      <c r="AF8" s="28" t="s">
        <v>0</v>
      </c>
      <c r="AG8" s="2">
        <f>'Nombre campus'!C12</f>
        <v>2180</v>
      </c>
      <c r="AH8" s="29"/>
      <c r="AJ8" s="28" t="s">
        <v>0</v>
      </c>
      <c r="AK8" s="2">
        <f>'Nombre campus'!C13</f>
        <v>1199</v>
      </c>
      <c r="AL8" s="29"/>
      <c r="AN8" s="28" t="s">
        <v>0</v>
      </c>
      <c r="AO8" s="2">
        <f>'Nombre campus'!C14</f>
        <v>981</v>
      </c>
      <c r="AP8" s="29"/>
      <c r="AR8" s="28" t="s">
        <v>0</v>
      </c>
      <c r="AS8" s="2">
        <f>'Nombre campus'!C15</f>
        <v>1445</v>
      </c>
      <c r="AT8" s="29"/>
      <c r="AV8" s="28" t="s">
        <v>0</v>
      </c>
      <c r="AW8" s="2">
        <f>'Nombre campus'!C16</f>
        <v>1278</v>
      </c>
      <c r="AX8" s="29"/>
      <c r="AZ8" s="28" t="s">
        <v>0</v>
      </c>
      <c r="BA8" s="2">
        <f>'Nombre campus'!C17</f>
        <v>1199</v>
      </c>
      <c r="BB8" s="29"/>
      <c r="BC8" s="25"/>
      <c r="BD8" s="25"/>
      <c r="BF8" s="28" t="s">
        <v>0</v>
      </c>
      <c r="BG8" s="2">
        <f>'Nombre campus'!C18</f>
        <v>1064</v>
      </c>
      <c r="BH8" s="29"/>
      <c r="BJ8" s="28" t="s">
        <v>0</v>
      </c>
      <c r="BK8" s="2">
        <f>'Nombre campus'!C19</f>
        <v>1097</v>
      </c>
      <c r="BL8" s="29"/>
      <c r="BN8" s="28" t="s">
        <v>0</v>
      </c>
      <c r="BO8" s="2">
        <f>'Nombre campus'!C20</f>
        <v>873</v>
      </c>
      <c r="BP8" s="29"/>
      <c r="BR8" s="28" t="s">
        <v>0</v>
      </c>
      <c r="BS8" s="2">
        <f>'Nombre campus'!C21</f>
        <v>1157</v>
      </c>
      <c r="BT8" s="29"/>
      <c r="BV8" s="28" t="s">
        <v>0</v>
      </c>
      <c r="BW8" s="2">
        <f>'Nombre campus'!C22</f>
        <v>1223</v>
      </c>
      <c r="BX8" s="29"/>
    </row>
    <row r="9" spans="2:80" ht="12.75" x14ac:dyDescent="0.2">
      <c r="B9" s="28" t="s">
        <v>1</v>
      </c>
      <c r="C9" s="3">
        <v>0.15</v>
      </c>
      <c r="D9" s="29"/>
      <c r="E9" s="24"/>
      <c r="F9" s="28" t="s">
        <v>1</v>
      </c>
      <c r="G9" s="3">
        <v>0.15</v>
      </c>
      <c r="H9" s="29"/>
      <c r="J9" s="28" t="s">
        <v>1</v>
      </c>
      <c r="K9" s="3">
        <f>G9</f>
        <v>0.15</v>
      </c>
      <c r="L9" s="29"/>
      <c r="N9" s="28" t="s">
        <v>1</v>
      </c>
      <c r="O9" s="3">
        <f>G9</f>
        <v>0.15</v>
      </c>
      <c r="P9" s="29"/>
      <c r="R9" s="28" t="s">
        <v>1</v>
      </c>
      <c r="S9" s="3">
        <f>G9</f>
        <v>0.15</v>
      </c>
      <c r="T9" s="29"/>
      <c r="V9" s="28" t="s">
        <v>1</v>
      </c>
      <c r="W9" s="3">
        <f>G9</f>
        <v>0.15</v>
      </c>
      <c r="X9" s="29"/>
      <c r="Z9" s="28" t="s">
        <v>1</v>
      </c>
      <c r="AA9" s="3">
        <f>G9</f>
        <v>0.15</v>
      </c>
      <c r="AB9" s="29"/>
      <c r="AC9" s="25"/>
      <c r="AD9" s="25"/>
      <c r="AF9" s="28" t="s">
        <v>1</v>
      </c>
      <c r="AG9" s="3">
        <f>G9</f>
        <v>0.15</v>
      </c>
      <c r="AH9" s="29"/>
      <c r="AJ9" s="28" t="s">
        <v>1</v>
      </c>
      <c r="AK9" s="3">
        <f>G9</f>
        <v>0.15</v>
      </c>
      <c r="AL9" s="29"/>
      <c r="AN9" s="28" t="s">
        <v>1</v>
      </c>
      <c r="AO9" s="3">
        <f>G9</f>
        <v>0.15</v>
      </c>
      <c r="AP9" s="29"/>
      <c r="AR9" s="28" t="s">
        <v>1</v>
      </c>
      <c r="AS9" s="3">
        <f>G9</f>
        <v>0.15</v>
      </c>
      <c r="AT9" s="29"/>
      <c r="AV9" s="28" t="s">
        <v>1</v>
      </c>
      <c r="AW9" s="3">
        <f>G9</f>
        <v>0.15</v>
      </c>
      <c r="AX9" s="29"/>
      <c r="AZ9" s="28" t="s">
        <v>1</v>
      </c>
      <c r="BA9" s="3">
        <f>G9</f>
        <v>0.15</v>
      </c>
      <c r="BB9" s="29"/>
      <c r="BC9" s="25"/>
      <c r="BD9" s="25"/>
      <c r="BF9" s="28" t="s">
        <v>1</v>
      </c>
      <c r="BG9" s="3">
        <f>G9</f>
        <v>0.15</v>
      </c>
      <c r="BH9" s="29"/>
      <c r="BJ9" s="28" t="s">
        <v>1</v>
      </c>
      <c r="BK9" s="3">
        <f>G9</f>
        <v>0.15</v>
      </c>
      <c r="BL9" s="29"/>
      <c r="BN9" s="28" t="s">
        <v>1</v>
      </c>
      <c r="BO9" s="3">
        <f>G9</f>
        <v>0.15</v>
      </c>
      <c r="BP9" s="29"/>
      <c r="BR9" s="28" t="s">
        <v>1</v>
      </c>
      <c r="BS9" s="3">
        <f>G9</f>
        <v>0.15</v>
      </c>
      <c r="BT9" s="29"/>
      <c r="BV9" s="28" t="s">
        <v>1</v>
      </c>
      <c r="BW9" s="3">
        <f>G9</f>
        <v>0.15</v>
      </c>
      <c r="BX9" s="29"/>
    </row>
    <row r="10" spans="2:80" ht="12.75" x14ac:dyDescent="0.2">
      <c r="B10" s="28" t="s">
        <v>2</v>
      </c>
      <c r="C10" s="2">
        <f>C8*C9</f>
        <v>75</v>
      </c>
      <c r="D10" s="29"/>
      <c r="E10" s="24"/>
      <c r="F10" s="28" t="s">
        <v>2</v>
      </c>
      <c r="G10" s="2">
        <f>G8*G9</f>
        <v>215.4</v>
      </c>
      <c r="H10" s="29"/>
      <c r="J10" s="28" t="s">
        <v>2</v>
      </c>
      <c r="K10" s="2">
        <f>K8*K9</f>
        <v>150</v>
      </c>
      <c r="L10" s="29"/>
      <c r="N10" s="28" t="s">
        <v>2</v>
      </c>
      <c r="O10" s="2">
        <f>O8*O9</f>
        <v>229.35</v>
      </c>
      <c r="P10" s="29"/>
      <c r="R10" s="28" t="s">
        <v>2</v>
      </c>
      <c r="S10" s="2">
        <f>S8*S9</f>
        <v>138.75</v>
      </c>
      <c r="T10" s="29"/>
      <c r="V10" s="28" t="s">
        <v>2</v>
      </c>
      <c r="W10" s="2">
        <f>W8*W9</f>
        <v>225</v>
      </c>
      <c r="X10" s="29"/>
      <c r="Z10" s="28" t="s">
        <v>2</v>
      </c>
      <c r="AA10" s="2">
        <f>AA8*AA9</f>
        <v>270</v>
      </c>
      <c r="AB10" s="29"/>
      <c r="AC10" s="25"/>
      <c r="AD10" s="25"/>
      <c r="AF10" s="28" t="s">
        <v>2</v>
      </c>
      <c r="AG10" s="2">
        <f>AG8*AG9</f>
        <v>327</v>
      </c>
      <c r="AH10" s="29"/>
      <c r="AJ10" s="28" t="s">
        <v>2</v>
      </c>
      <c r="AK10" s="2">
        <f>AK8*AK9</f>
        <v>179.85</v>
      </c>
      <c r="AL10" s="29"/>
      <c r="AN10" s="28" t="s">
        <v>2</v>
      </c>
      <c r="AO10" s="2">
        <f>AO8*AO9</f>
        <v>147.15</v>
      </c>
      <c r="AP10" s="29"/>
      <c r="AR10" s="28" t="s">
        <v>2</v>
      </c>
      <c r="AS10" s="2">
        <f>AS8*AS9</f>
        <v>216.75</v>
      </c>
      <c r="AT10" s="29"/>
      <c r="AV10" s="28" t="s">
        <v>2</v>
      </c>
      <c r="AW10" s="2">
        <f>AW8*AW9</f>
        <v>191.7</v>
      </c>
      <c r="AX10" s="29"/>
      <c r="AZ10" s="28" t="s">
        <v>2</v>
      </c>
      <c r="BA10" s="2">
        <f>BA8*BA9</f>
        <v>179.85</v>
      </c>
      <c r="BB10" s="29"/>
      <c r="BC10" s="25"/>
      <c r="BD10" s="25"/>
      <c r="BF10" s="28" t="s">
        <v>2</v>
      </c>
      <c r="BG10" s="2">
        <f>BG8*BG9</f>
        <v>159.6</v>
      </c>
      <c r="BH10" s="29"/>
      <c r="BJ10" s="28" t="s">
        <v>2</v>
      </c>
      <c r="BK10" s="2">
        <f>BK8*BK9</f>
        <v>164.54999999999998</v>
      </c>
      <c r="BL10" s="29"/>
      <c r="BN10" s="28" t="s">
        <v>2</v>
      </c>
      <c r="BO10" s="2">
        <f>BO8*BO9</f>
        <v>130.94999999999999</v>
      </c>
      <c r="BP10" s="29"/>
      <c r="BR10" s="28" t="s">
        <v>2</v>
      </c>
      <c r="BS10" s="2">
        <f>BS8*BS9</f>
        <v>173.54999999999998</v>
      </c>
      <c r="BT10" s="29"/>
      <c r="BV10" s="28" t="s">
        <v>2</v>
      </c>
      <c r="BW10" s="2">
        <f>BW8*BW9</f>
        <v>183.45</v>
      </c>
      <c r="BX10" s="29"/>
    </row>
    <row r="11" spans="2:80" ht="12.75" x14ac:dyDescent="0.2">
      <c r="B11" s="28" t="s">
        <v>3</v>
      </c>
      <c r="C11" s="3">
        <v>0.04</v>
      </c>
      <c r="D11" s="29"/>
      <c r="E11" s="24"/>
      <c r="F11" s="28" t="s">
        <v>3</v>
      </c>
      <c r="G11" s="3">
        <v>0.01</v>
      </c>
      <c r="H11" s="29"/>
      <c r="J11" s="28" t="s">
        <v>3</v>
      </c>
      <c r="K11" s="3">
        <v>0.01</v>
      </c>
      <c r="L11" s="29"/>
      <c r="N11" s="28" t="s">
        <v>3</v>
      </c>
      <c r="O11" s="3">
        <v>0.01</v>
      </c>
      <c r="P11" s="29"/>
      <c r="R11" s="28" t="s">
        <v>3</v>
      </c>
      <c r="S11" s="3">
        <v>0.01</v>
      </c>
      <c r="T11" s="29"/>
      <c r="V11" s="28" t="s">
        <v>3</v>
      </c>
      <c r="W11" s="3">
        <v>0.01</v>
      </c>
      <c r="X11" s="29"/>
      <c r="Z11" s="28" t="s">
        <v>3</v>
      </c>
      <c r="AA11" s="3">
        <v>0.01</v>
      </c>
      <c r="AB11" s="29"/>
      <c r="AC11" s="25"/>
      <c r="AD11" s="25"/>
      <c r="AF11" s="28" t="s">
        <v>3</v>
      </c>
      <c r="AG11" s="3">
        <v>0.04</v>
      </c>
      <c r="AH11" s="29"/>
      <c r="AJ11" s="28" t="s">
        <v>3</v>
      </c>
      <c r="AK11" s="3">
        <v>0.04</v>
      </c>
      <c r="AL11" s="29"/>
      <c r="AN11" s="28" t="s">
        <v>3</v>
      </c>
      <c r="AO11" s="3">
        <v>0.04</v>
      </c>
      <c r="AP11" s="29"/>
      <c r="AR11" s="28" t="s">
        <v>3</v>
      </c>
      <c r="AS11" s="3">
        <v>0.04</v>
      </c>
      <c r="AT11" s="29"/>
      <c r="AV11" s="28" t="s">
        <v>3</v>
      </c>
      <c r="AW11" s="3">
        <v>0.04</v>
      </c>
      <c r="AX11" s="29"/>
      <c r="AZ11" s="28" t="s">
        <v>3</v>
      </c>
      <c r="BA11" s="3">
        <v>0.04</v>
      </c>
      <c r="BB11" s="29"/>
      <c r="BC11" s="25"/>
      <c r="BD11" s="25"/>
      <c r="BF11" s="28" t="s">
        <v>3</v>
      </c>
      <c r="BG11" s="3">
        <v>0.04</v>
      </c>
      <c r="BH11" s="29"/>
      <c r="BJ11" s="28" t="s">
        <v>3</v>
      </c>
      <c r="BK11" s="3">
        <v>0.04</v>
      </c>
      <c r="BL11" s="29"/>
      <c r="BN11" s="28" t="s">
        <v>3</v>
      </c>
      <c r="BO11" s="3">
        <v>0.04</v>
      </c>
      <c r="BP11" s="29"/>
      <c r="BR11" s="28" t="s">
        <v>3</v>
      </c>
      <c r="BS11" s="3">
        <v>0.04</v>
      </c>
      <c r="BT11" s="29"/>
      <c r="BV11" s="28" t="s">
        <v>3</v>
      </c>
      <c r="BW11" s="3">
        <v>0.04</v>
      </c>
      <c r="BX11" s="29"/>
    </row>
    <row r="12" spans="2:80" ht="12.75" x14ac:dyDescent="0.2">
      <c r="B12" s="28" t="s">
        <v>4</v>
      </c>
      <c r="C12" s="2">
        <f>C8*C11</f>
        <v>20</v>
      </c>
      <c r="D12" s="29"/>
      <c r="E12" s="24"/>
      <c r="F12" s="28" t="s">
        <v>4</v>
      </c>
      <c r="G12" s="2">
        <f>G8*G11</f>
        <v>14.36</v>
      </c>
      <c r="H12" s="29"/>
      <c r="J12" s="28" t="s">
        <v>4</v>
      </c>
      <c r="K12" s="2">
        <f>K8*K11</f>
        <v>10</v>
      </c>
      <c r="L12" s="29"/>
      <c r="N12" s="28" t="s">
        <v>4</v>
      </c>
      <c r="O12" s="2">
        <f>O8*O11</f>
        <v>15.290000000000001</v>
      </c>
      <c r="P12" s="29"/>
      <c r="R12" s="28" t="s">
        <v>4</v>
      </c>
      <c r="S12" s="2">
        <f>S8*S11</f>
        <v>9.25</v>
      </c>
      <c r="T12" s="29"/>
      <c r="V12" s="28" t="s">
        <v>4</v>
      </c>
      <c r="W12" s="2">
        <f>W8*W11</f>
        <v>15</v>
      </c>
      <c r="X12" s="29"/>
      <c r="Z12" s="28" t="s">
        <v>4</v>
      </c>
      <c r="AA12" s="2">
        <f>AA8*AA11</f>
        <v>18</v>
      </c>
      <c r="AB12" s="29"/>
      <c r="AC12" s="25"/>
      <c r="AD12" s="25"/>
      <c r="AF12" s="28" t="s">
        <v>4</v>
      </c>
      <c r="AG12" s="2">
        <f>AG8*AG11</f>
        <v>87.2</v>
      </c>
      <c r="AH12" s="29"/>
      <c r="AJ12" s="28" t="s">
        <v>4</v>
      </c>
      <c r="AK12" s="2">
        <f>AK8*AK11</f>
        <v>47.96</v>
      </c>
      <c r="AL12" s="29"/>
      <c r="AN12" s="28" t="s">
        <v>4</v>
      </c>
      <c r="AO12" s="2">
        <f>AO8*AO11</f>
        <v>39.24</v>
      </c>
      <c r="AP12" s="29"/>
      <c r="AR12" s="28" t="s">
        <v>4</v>
      </c>
      <c r="AS12" s="2">
        <f>AS8*AS11</f>
        <v>57.800000000000004</v>
      </c>
      <c r="AT12" s="29"/>
      <c r="AV12" s="28" t="s">
        <v>4</v>
      </c>
      <c r="AW12" s="2">
        <f>AW8*AW11</f>
        <v>51.120000000000005</v>
      </c>
      <c r="AX12" s="29"/>
      <c r="AZ12" s="28" t="s">
        <v>4</v>
      </c>
      <c r="BA12" s="2">
        <f>BA8*BA11</f>
        <v>47.96</v>
      </c>
      <c r="BB12" s="29"/>
      <c r="BC12" s="25"/>
      <c r="BD12" s="25"/>
      <c r="BF12" s="28" t="s">
        <v>4</v>
      </c>
      <c r="BG12" s="2">
        <f>BG8*BG11</f>
        <v>42.56</v>
      </c>
      <c r="BH12" s="29"/>
      <c r="BJ12" s="28" t="s">
        <v>4</v>
      </c>
      <c r="BK12" s="2">
        <f>BK8*BK11</f>
        <v>43.88</v>
      </c>
      <c r="BL12" s="29"/>
      <c r="BN12" s="28" t="s">
        <v>4</v>
      </c>
      <c r="BO12" s="2">
        <f>BO8*BO11</f>
        <v>34.92</v>
      </c>
      <c r="BP12" s="29"/>
      <c r="BR12" s="28" t="s">
        <v>4</v>
      </c>
      <c r="BS12" s="2">
        <f>BS8*BS11</f>
        <v>46.28</v>
      </c>
      <c r="BT12" s="29"/>
      <c r="BV12" s="28" t="s">
        <v>4</v>
      </c>
      <c r="BW12" s="2">
        <f>BW8*BW11</f>
        <v>48.92</v>
      </c>
      <c r="BX12" s="29"/>
    </row>
    <row r="13" spans="2:80" ht="12.75" x14ac:dyDescent="0.2">
      <c r="B13" s="28" t="s">
        <v>5</v>
      </c>
      <c r="C13" s="2">
        <f>3*C12</f>
        <v>60</v>
      </c>
      <c r="D13" s="29"/>
      <c r="E13" s="24"/>
      <c r="F13" s="28" t="s">
        <v>5</v>
      </c>
      <c r="G13" s="2">
        <f>3*G12</f>
        <v>43.08</v>
      </c>
      <c r="H13" s="29"/>
      <c r="J13" s="28" t="s">
        <v>5</v>
      </c>
      <c r="K13" s="2">
        <f>3*K12</f>
        <v>30</v>
      </c>
      <c r="L13" s="29"/>
      <c r="N13" s="28" t="s">
        <v>5</v>
      </c>
      <c r="O13" s="2">
        <f>3*O12</f>
        <v>45.870000000000005</v>
      </c>
      <c r="P13" s="29"/>
      <c r="R13" s="28" t="s">
        <v>5</v>
      </c>
      <c r="S13" s="2">
        <f>3*S12</f>
        <v>27.75</v>
      </c>
      <c r="T13" s="29"/>
      <c r="V13" s="28" t="s">
        <v>5</v>
      </c>
      <c r="W13" s="2">
        <f>3*W12</f>
        <v>45</v>
      </c>
      <c r="X13" s="29"/>
      <c r="Z13" s="28" t="s">
        <v>5</v>
      </c>
      <c r="AA13" s="2">
        <f>3*AA12</f>
        <v>54</v>
      </c>
      <c r="AB13" s="29"/>
      <c r="AC13" s="25"/>
      <c r="AD13" s="25"/>
      <c r="AF13" s="28" t="s">
        <v>5</v>
      </c>
      <c r="AG13" s="2">
        <f>3*AG12</f>
        <v>261.60000000000002</v>
      </c>
      <c r="AH13" s="29"/>
      <c r="AJ13" s="28" t="s">
        <v>5</v>
      </c>
      <c r="AK13" s="2">
        <f>3*AK12</f>
        <v>143.88</v>
      </c>
      <c r="AL13" s="29"/>
      <c r="AN13" s="28" t="s">
        <v>5</v>
      </c>
      <c r="AO13" s="2">
        <f>3*AO12</f>
        <v>117.72</v>
      </c>
      <c r="AP13" s="29"/>
      <c r="AR13" s="28" t="s">
        <v>5</v>
      </c>
      <c r="AS13" s="2">
        <f>3*AS12</f>
        <v>173.4</v>
      </c>
      <c r="AT13" s="29"/>
      <c r="AV13" s="28" t="s">
        <v>5</v>
      </c>
      <c r="AW13" s="2">
        <f>3*AW12</f>
        <v>153.36000000000001</v>
      </c>
      <c r="AX13" s="29"/>
      <c r="AZ13" s="28" t="s">
        <v>5</v>
      </c>
      <c r="BA13" s="2">
        <f>3*BA12</f>
        <v>143.88</v>
      </c>
      <c r="BB13" s="29"/>
      <c r="BC13" s="25"/>
      <c r="BD13" s="25"/>
      <c r="BF13" s="28" t="s">
        <v>5</v>
      </c>
      <c r="BG13" s="2">
        <f>3*BG12</f>
        <v>127.68</v>
      </c>
      <c r="BH13" s="29"/>
      <c r="BJ13" s="28" t="s">
        <v>5</v>
      </c>
      <c r="BK13" s="2">
        <f>3*BK12</f>
        <v>131.64000000000001</v>
      </c>
      <c r="BL13" s="29"/>
      <c r="BN13" s="28" t="s">
        <v>5</v>
      </c>
      <c r="BO13" s="2">
        <f>3*BO12</f>
        <v>104.76</v>
      </c>
      <c r="BP13" s="29"/>
      <c r="BR13" s="28" t="s">
        <v>5</v>
      </c>
      <c r="BS13" s="2">
        <f>3*BS12</f>
        <v>138.84</v>
      </c>
      <c r="BT13" s="29"/>
      <c r="BV13" s="28" t="s">
        <v>5</v>
      </c>
      <c r="BW13" s="2">
        <f>3*BW12</f>
        <v>146.76</v>
      </c>
      <c r="BX13" s="29"/>
    </row>
    <row r="14" spans="2:80" ht="12.75" x14ac:dyDescent="0.2">
      <c r="B14" s="28" t="s">
        <v>6</v>
      </c>
      <c r="C14" s="4">
        <f>6*C12</f>
        <v>120</v>
      </c>
      <c r="D14" s="29"/>
      <c r="E14" s="24"/>
      <c r="F14" s="28" t="s">
        <v>6</v>
      </c>
      <c r="G14" s="4">
        <f>6*G12</f>
        <v>86.16</v>
      </c>
      <c r="H14" s="29"/>
      <c r="J14" s="28" t="s">
        <v>6</v>
      </c>
      <c r="K14" s="4">
        <f>6*K12</f>
        <v>60</v>
      </c>
      <c r="L14" s="29"/>
      <c r="N14" s="28" t="s">
        <v>6</v>
      </c>
      <c r="O14" s="4">
        <f>6*O12</f>
        <v>91.740000000000009</v>
      </c>
      <c r="P14" s="29"/>
      <c r="R14" s="28" t="s">
        <v>6</v>
      </c>
      <c r="S14" s="4">
        <f>6*S12</f>
        <v>55.5</v>
      </c>
      <c r="T14" s="29"/>
      <c r="V14" s="28" t="s">
        <v>6</v>
      </c>
      <c r="W14" s="4">
        <f>6*W12</f>
        <v>90</v>
      </c>
      <c r="X14" s="29"/>
      <c r="Z14" s="28" t="s">
        <v>6</v>
      </c>
      <c r="AA14" s="4">
        <f>6*AA12</f>
        <v>108</v>
      </c>
      <c r="AB14" s="29"/>
      <c r="AC14" s="25"/>
      <c r="AD14" s="25"/>
      <c r="AF14" s="28" t="s">
        <v>6</v>
      </c>
      <c r="AG14" s="4">
        <f>6*AG12</f>
        <v>523.20000000000005</v>
      </c>
      <c r="AH14" s="29"/>
      <c r="AJ14" s="28" t="s">
        <v>6</v>
      </c>
      <c r="AK14" s="4">
        <f>6*AK12</f>
        <v>287.76</v>
      </c>
      <c r="AL14" s="29"/>
      <c r="AN14" s="28" t="s">
        <v>6</v>
      </c>
      <c r="AO14" s="4">
        <f>6*AO12</f>
        <v>235.44</v>
      </c>
      <c r="AP14" s="29"/>
      <c r="AR14" s="28" t="s">
        <v>6</v>
      </c>
      <c r="AS14" s="4">
        <f>6*AS12</f>
        <v>346.8</v>
      </c>
      <c r="AT14" s="29"/>
      <c r="AV14" s="28" t="s">
        <v>6</v>
      </c>
      <c r="AW14" s="4">
        <f>6*AW12</f>
        <v>306.72000000000003</v>
      </c>
      <c r="AX14" s="29"/>
      <c r="AZ14" s="28" t="s">
        <v>6</v>
      </c>
      <c r="BA14" s="4">
        <f>6*BA12</f>
        <v>287.76</v>
      </c>
      <c r="BB14" s="29"/>
      <c r="BC14" s="25"/>
      <c r="BD14" s="25"/>
      <c r="BF14" s="28" t="s">
        <v>6</v>
      </c>
      <c r="BG14" s="4">
        <f>6*BG12</f>
        <v>255.36</v>
      </c>
      <c r="BH14" s="29"/>
      <c r="BJ14" s="28" t="s">
        <v>6</v>
      </c>
      <c r="BK14" s="4">
        <f>6*BK12</f>
        <v>263.28000000000003</v>
      </c>
      <c r="BL14" s="29"/>
      <c r="BN14" s="28" t="s">
        <v>6</v>
      </c>
      <c r="BO14" s="4">
        <f>6*BO12</f>
        <v>209.52</v>
      </c>
      <c r="BP14" s="29"/>
      <c r="BR14" s="28" t="s">
        <v>6</v>
      </c>
      <c r="BS14" s="4">
        <f>6*BS12</f>
        <v>277.68</v>
      </c>
      <c r="BT14" s="29"/>
      <c r="BV14" s="28" t="s">
        <v>6</v>
      </c>
      <c r="BW14" s="4">
        <f>6*BW12</f>
        <v>293.52</v>
      </c>
      <c r="BX14" s="29"/>
    </row>
    <row r="15" spans="2:80" ht="15.75" customHeight="1" x14ac:dyDescent="0.2">
      <c r="B15" s="30"/>
      <c r="C15" s="24"/>
      <c r="D15" s="29"/>
      <c r="E15" s="24"/>
      <c r="F15" s="30"/>
      <c r="G15" s="24"/>
      <c r="H15" s="29"/>
      <c r="J15" s="30"/>
      <c r="K15" s="24"/>
      <c r="L15" s="29"/>
      <c r="N15" s="30"/>
      <c r="O15" s="24"/>
      <c r="P15" s="29"/>
      <c r="R15" s="30"/>
      <c r="S15" s="24"/>
      <c r="T15" s="29"/>
      <c r="V15" s="30"/>
      <c r="W15" s="24"/>
      <c r="X15" s="29"/>
      <c r="Z15" s="30"/>
      <c r="AA15" s="24"/>
      <c r="AB15" s="29"/>
      <c r="AC15" s="25"/>
      <c r="AD15" s="25"/>
      <c r="AF15" s="30"/>
      <c r="AG15" s="24"/>
      <c r="AH15" s="29"/>
      <c r="AJ15" s="30"/>
      <c r="AK15" s="24"/>
      <c r="AL15" s="29"/>
      <c r="AN15" s="30"/>
      <c r="AO15" s="24"/>
      <c r="AP15" s="29"/>
      <c r="AR15" s="30"/>
      <c r="AS15" s="24"/>
      <c r="AT15" s="29"/>
      <c r="AV15" s="30"/>
      <c r="AW15" s="24"/>
      <c r="AX15" s="29"/>
      <c r="AZ15" s="30"/>
      <c r="BA15" s="24"/>
      <c r="BB15" s="29"/>
      <c r="BC15" s="25"/>
      <c r="BD15" s="25"/>
      <c r="BF15" s="30"/>
      <c r="BG15" s="24"/>
      <c r="BH15" s="29"/>
      <c r="BJ15" s="30"/>
      <c r="BK15" s="24"/>
      <c r="BL15" s="29"/>
      <c r="BN15" s="30"/>
      <c r="BO15" s="24"/>
      <c r="BP15" s="29"/>
      <c r="BR15" s="30"/>
      <c r="BS15" s="24"/>
      <c r="BT15" s="29"/>
      <c r="BV15" s="30"/>
      <c r="BW15" s="24"/>
      <c r="BX15" s="29"/>
    </row>
    <row r="16" spans="2:80" ht="15.75" customHeight="1" x14ac:dyDescent="0.2">
      <c r="B16" s="31" t="s">
        <v>7</v>
      </c>
      <c r="C16" s="25" t="s">
        <v>8</v>
      </c>
      <c r="D16" s="29" t="s">
        <v>9</v>
      </c>
      <c r="E16" s="24"/>
      <c r="F16" s="31" t="s">
        <v>7</v>
      </c>
      <c r="G16" s="25" t="s">
        <v>8</v>
      </c>
      <c r="H16" s="29" t="s">
        <v>9</v>
      </c>
      <c r="J16" s="31" t="s">
        <v>7</v>
      </c>
      <c r="K16" s="25" t="s">
        <v>8</v>
      </c>
      <c r="L16" s="29" t="s">
        <v>9</v>
      </c>
      <c r="N16" s="31" t="s">
        <v>7</v>
      </c>
      <c r="O16" s="25" t="s">
        <v>8</v>
      </c>
      <c r="P16" s="29" t="s">
        <v>9</v>
      </c>
      <c r="R16" s="31" t="s">
        <v>7</v>
      </c>
      <c r="S16" s="25" t="s">
        <v>8</v>
      </c>
      <c r="T16" s="29" t="s">
        <v>9</v>
      </c>
      <c r="V16" s="31" t="s">
        <v>7</v>
      </c>
      <c r="W16" s="25" t="s">
        <v>8</v>
      </c>
      <c r="X16" s="29" t="s">
        <v>9</v>
      </c>
      <c r="Z16" s="31" t="s">
        <v>7</v>
      </c>
      <c r="AA16" s="25" t="s">
        <v>8</v>
      </c>
      <c r="AB16" s="29" t="s">
        <v>9</v>
      </c>
      <c r="AC16" s="25"/>
      <c r="AD16" s="25"/>
      <c r="AF16" s="31" t="s">
        <v>7</v>
      </c>
      <c r="AG16" s="25" t="s">
        <v>8</v>
      </c>
      <c r="AH16" s="29" t="s">
        <v>9</v>
      </c>
      <c r="AJ16" s="31" t="s">
        <v>7</v>
      </c>
      <c r="AK16" s="25" t="s">
        <v>8</v>
      </c>
      <c r="AL16" s="29" t="s">
        <v>9</v>
      </c>
      <c r="AN16" s="31" t="s">
        <v>7</v>
      </c>
      <c r="AO16" s="25" t="s">
        <v>8</v>
      </c>
      <c r="AP16" s="29" t="s">
        <v>9</v>
      </c>
      <c r="AR16" s="31" t="s">
        <v>7</v>
      </c>
      <c r="AS16" s="25" t="s">
        <v>8</v>
      </c>
      <c r="AT16" s="29" t="s">
        <v>9</v>
      </c>
      <c r="AV16" s="31" t="s">
        <v>7</v>
      </c>
      <c r="AW16" s="25" t="s">
        <v>8</v>
      </c>
      <c r="AX16" s="29" t="s">
        <v>9</v>
      </c>
      <c r="AZ16" s="31" t="s">
        <v>7</v>
      </c>
      <c r="BA16" s="25" t="s">
        <v>8</v>
      </c>
      <c r="BB16" s="29" t="s">
        <v>9</v>
      </c>
      <c r="BC16" s="25"/>
      <c r="BD16" s="25"/>
      <c r="BF16" s="31" t="s">
        <v>7</v>
      </c>
      <c r="BG16" s="25" t="s">
        <v>8</v>
      </c>
      <c r="BH16" s="29" t="s">
        <v>9</v>
      </c>
      <c r="BJ16" s="31" t="s">
        <v>7</v>
      </c>
      <c r="BK16" s="25" t="s">
        <v>8</v>
      </c>
      <c r="BL16" s="29" t="s">
        <v>9</v>
      </c>
      <c r="BN16" s="31" t="s">
        <v>7</v>
      </c>
      <c r="BO16" s="25" t="s">
        <v>8</v>
      </c>
      <c r="BP16" s="29" t="s">
        <v>9</v>
      </c>
      <c r="BR16" s="31" t="s">
        <v>7</v>
      </c>
      <c r="BS16" s="25" t="s">
        <v>8</v>
      </c>
      <c r="BT16" s="29" t="s">
        <v>9</v>
      </c>
      <c r="BV16" s="31" t="s">
        <v>7</v>
      </c>
      <c r="BW16" s="25" t="s">
        <v>8</v>
      </c>
      <c r="BX16" s="29" t="s">
        <v>9</v>
      </c>
      <c r="CA16" s="39" t="s">
        <v>35</v>
      </c>
      <c r="CB16" s="39" t="s">
        <v>36</v>
      </c>
    </row>
    <row r="17" spans="2:80" ht="12.75" x14ac:dyDescent="0.2">
      <c r="B17" s="22">
        <v>44562</v>
      </c>
      <c r="C17" s="26">
        <f t="shared" ref="C17:C384" ca="1" si="0">RAND()</f>
        <v>0.32801618013856493</v>
      </c>
      <c r="D17" s="29">
        <v>0</v>
      </c>
      <c r="E17" s="25"/>
      <c r="F17" s="22">
        <v>44562</v>
      </c>
      <c r="G17" s="26">
        <f t="shared" ref="G17:G271" ca="1" si="1">RAND()</f>
        <v>0.65107825547042109</v>
      </c>
      <c r="H17" s="29">
        <f>IF(DATEDIF(F17,'Nombre campus'!$E$6,"d")&lt;=0,_xlfn.NORM.INV($G$17,$G$10,$G$12),0)</f>
        <v>0</v>
      </c>
      <c r="J17" s="22">
        <v>44562</v>
      </c>
      <c r="K17" s="26">
        <f t="shared" ref="K17:K271" ca="1" si="2">RAND()</f>
        <v>0.44098995063531032</v>
      </c>
      <c r="L17" s="29">
        <v>0</v>
      </c>
      <c r="N17" s="22">
        <v>44562</v>
      </c>
      <c r="O17" s="26">
        <f t="shared" ref="O17:O271" ca="1" si="3">RAND()</f>
        <v>0.53363953411273823</v>
      </c>
      <c r="P17" s="29">
        <v>0</v>
      </c>
      <c r="R17" s="22">
        <v>44562</v>
      </c>
      <c r="S17" s="26">
        <f t="shared" ref="S17:S271" ca="1" si="4">RAND()</f>
        <v>0.12168131852183839</v>
      </c>
      <c r="T17" s="29">
        <v>0</v>
      </c>
      <c r="V17" s="22">
        <v>44562</v>
      </c>
      <c r="W17" s="26">
        <f t="shared" ref="W17:W271" ca="1" si="5">RAND()</f>
        <v>6.4069956283090979E-2</v>
      </c>
      <c r="X17" s="29">
        <v>0</v>
      </c>
      <c r="Z17" s="22">
        <v>44562</v>
      </c>
      <c r="AA17" s="26">
        <f t="shared" ref="AA17:AA271" ca="1" si="6">RAND()</f>
        <v>0.84724045891250166</v>
      </c>
      <c r="AB17" s="29">
        <v>0</v>
      </c>
      <c r="AC17" s="25"/>
      <c r="AD17" s="25"/>
      <c r="AF17" s="22">
        <v>44562</v>
      </c>
      <c r="AG17" s="26">
        <f t="shared" ref="AG17:AG271" ca="1" si="7">RAND()</f>
        <v>0.47219817515122797</v>
      </c>
      <c r="AH17" s="29">
        <v>0</v>
      </c>
      <c r="AJ17" s="22">
        <v>44562</v>
      </c>
      <c r="AK17" s="26">
        <f t="shared" ref="AK17:AK271" ca="1" si="8">RAND()</f>
        <v>0.55471668362947313</v>
      </c>
      <c r="AL17" s="29">
        <v>0</v>
      </c>
      <c r="AN17" s="22">
        <v>44562</v>
      </c>
      <c r="AO17" s="26">
        <f t="shared" ref="AO17:AO271" ca="1" si="9">RAND()</f>
        <v>0.81949208613005697</v>
      </c>
      <c r="AP17" s="29">
        <v>0</v>
      </c>
      <c r="AR17" s="22">
        <v>44562</v>
      </c>
      <c r="AS17" s="26">
        <f t="shared" ref="AS17:AS271" ca="1" si="10">RAND()</f>
        <v>0.4502562040678556</v>
      </c>
      <c r="AT17" s="29">
        <v>0</v>
      </c>
      <c r="AV17" s="22">
        <v>44562</v>
      </c>
      <c r="AW17" s="26">
        <f t="shared" ref="AW17:AW271" ca="1" si="11">RAND()</f>
        <v>0.22399531550483909</v>
      </c>
      <c r="AX17" s="29">
        <v>0</v>
      </c>
      <c r="AZ17" s="22">
        <v>44562</v>
      </c>
      <c r="BA17" s="26">
        <f t="shared" ref="BA17:BA271" ca="1" si="12">RAND()</f>
        <v>8.4591067136937426E-2</v>
      </c>
      <c r="BB17" s="29">
        <v>0</v>
      </c>
      <c r="BC17" s="25"/>
      <c r="BD17" s="25"/>
      <c r="BF17" s="22">
        <v>44562</v>
      </c>
      <c r="BG17" s="26">
        <f t="shared" ref="BG17:BG271" ca="1" si="13">RAND()</f>
        <v>7.293305631698721E-3</v>
      </c>
      <c r="BH17" s="29">
        <v>0</v>
      </c>
      <c r="BJ17" s="22">
        <v>44562</v>
      </c>
      <c r="BK17" s="26">
        <f t="shared" ref="BK17:BK271" ca="1" si="14">RAND()</f>
        <v>0.14200955844552654</v>
      </c>
      <c r="BL17" s="29">
        <v>0</v>
      </c>
      <c r="BN17" s="22">
        <v>44562</v>
      </c>
      <c r="BO17" s="26">
        <f t="shared" ref="BO17:BO271" ca="1" si="15">RAND()</f>
        <v>0.33667870202414818</v>
      </c>
      <c r="BP17" s="29">
        <v>0</v>
      </c>
      <c r="BR17" s="22">
        <v>44562</v>
      </c>
      <c r="BS17" s="26">
        <f t="shared" ref="BS17:BS271" ca="1" si="16">RAND()</f>
        <v>0.81385024010919838</v>
      </c>
      <c r="BT17" s="29">
        <v>0</v>
      </c>
      <c r="BV17" s="22">
        <v>44562</v>
      </c>
      <c r="BW17" s="26">
        <f t="shared" ref="BW17:BW271" ca="1" si="17">RAND()</f>
        <v>0.90957185938940788</v>
      </c>
      <c r="BX17" s="29">
        <v>0</v>
      </c>
      <c r="CA17" s="12">
        <f>DATE(2022,1,1)</f>
        <v>44562</v>
      </c>
      <c r="CB17" s="8">
        <v>2163</v>
      </c>
    </row>
    <row r="18" spans="2:80" ht="12.75" x14ac:dyDescent="0.2">
      <c r="B18" s="22">
        <v>44563</v>
      </c>
      <c r="C18" s="26">
        <f t="shared" ca="1" si="0"/>
        <v>0.37325729362509774</v>
      </c>
      <c r="D18" s="29">
        <v>0</v>
      </c>
      <c r="F18" s="22">
        <v>44563</v>
      </c>
      <c r="G18" s="26">
        <f t="shared" ca="1" si="1"/>
        <v>0.2527578708538637</v>
      </c>
      <c r="H18" s="29">
        <v>0</v>
      </c>
      <c r="J18" s="22">
        <v>44563</v>
      </c>
      <c r="K18" s="26">
        <f t="shared" ca="1" si="2"/>
        <v>0.2134927831670953</v>
      </c>
      <c r="L18" s="29">
        <v>0</v>
      </c>
      <c r="N18" s="22">
        <v>44563</v>
      </c>
      <c r="O18" s="26">
        <f t="shared" ca="1" si="3"/>
        <v>0.3611262053125105</v>
      </c>
      <c r="P18" s="29">
        <v>0</v>
      </c>
      <c r="R18" s="22">
        <v>44563</v>
      </c>
      <c r="S18" s="26">
        <f t="shared" ca="1" si="4"/>
        <v>0.28730964989808683</v>
      </c>
      <c r="T18" s="29">
        <v>0</v>
      </c>
      <c r="V18" s="22">
        <v>44563</v>
      </c>
      <c r="W18" s="26">
        <f t="shared" ca="1" si="5"/>
        <v>0.35139223756050675</v>
      </c>
      <c r="X18" s="29">
        <v>0</v>
      </c>
      <c r="Z18" s="22">
        <v>44563</v>
      </c>
      <c r="AA18" s="26">
        <f t="shared" ca="1" si="6"/>
        <v>0.30987768328224408</v>
      </c>
      <c r="AB18" s="29">
        <v>0</v>
      </c>
      <c r="AC18"/>
      <c r="AD18" s="25"/>
      <c r="AF18" s="22">
        <v>44563</v>
      </c>
      <c r="AG18" s="26">
        <f t="shared" ca="1" si="7"/>
        <v>2.0675421470425337E-2</v>
      </c>
      <c r="AH18" s="29">
        <v>0</v>
      </c>
      <c r="AJ18" s="22">
        <v>44563</v>
      </c>
      <c r="AK18" s="26">
        <f t="shared" ca="1" si="8"/>
        <v>0.53911102728225213</v>
      </c>
      <c r="AL18" s="29">
        <v>0</v>
      </c>
      <c r="AN18" s="22">
        <v>44563</v>
      </c>
      <c r="AO18" s="26">
        <f t="shared" ca="1" si="9"/>
        <v>5.118721912439117E-2</v>
      </c>
      <c r="AP18" s="29">
        <v>0</v>
      </c>
      <c r="AR18" s="22">
        <v>44563</v>
      </c>
      <c r="AS18" s="26">
        <f t="shared" ca="1" si="10"/>
        <v>8.4767756519674164E-2</v>
      </c>
      <c r="AT18" s="29">
        <v>0</v>
      </c>
      <c r="AV18" s="22">
        <v>44563</v>
      </c>
      <c r="AW18" s="26">
        <f t="shared" ca="1" si="11"/>
        <v>0.29683545160423974</v>
      </c>
      <c r="AX18" s="29">
        <v>0</v>
      </c>
      <c r="AZ18" s="22">
        <v>44563</v>
      </c>
      <c r="BA18" s="26">
        <f t="shared" ca="1" si="12"/>
        <v>0.98755191770699668</v>
      </c>
      <c r="BB18" s="29">
        <v>0</v>
      </c>
      <c r="BC18"/>
      <c r="BD18" s="25"/>
      <c r="BF18" s="22">
        <v>44563</v>
      </c>
      <c r="BG18" s="26">
        <f t="shared" ca="1" si="13"/>
        <v>0.30982665442109447</v>
      </c>
      <c r="BH18" s="29">
        <v>0</v>
      </c>
      <c r="BJ18" s="22">
        <v>44563</v>
      </c>
      <c r="BK18" s="26">
        <f t="shared" ca="1" si="14"/>
        <v>0.61694830235558595</v>
      </c>
      <c r="BL18" s="29">
        <v>0</v>
      </c>
      <c r="BN18" s="22">
        <v>44563</v>
      </c>
      <c r="BO18" s="26">
        <f t="shared" ca="1" si="15"/>
        <v>0.97008457205418752</v>
      </c>
      <c r="BP18" s="29">
        <v>0</v>
      </c>
      <c r="BR18" s="22">
        <v>44563</v>
      </c>
      <c r="BS18" s="26">
        <f t="shared" ca="1" si="16"/>
        <v>0.47282914541425725</v>
      </c>
      <c r="BT18" s="29">
        <v>0</v>
      </c>
      <c r="BV18" s="22">
        <v>44563</v>
      </c>
      <c r="BW18" s="26">
        <f t="shared" ca="1" si="17"/>
        <v>0.56147093692314665</v>
      </c>
      <c r="BX18" s="29">
        <v>0</v>
      </c>
      <c r="CA18" s="12">
        <f t="shared" ref="CA18:CA25" si="18">EDATE(CA17,1)</f>
        <v>44593</v>
      </c>
      <c r="CB18" s="8">
        <v>1545</v>
      </c>
    </row>
    <row r="19" spans="2:80" ht="12.75" x14ac:dyDescent="0.2">
      <c r="B19" s="22">
        <v>44564</v>
      </c>
      <c r="C19" s="26">
        <f t="shared" ca="1" si="0"/>
        <v>0.33532574622508315</v>
      </c>
      <c r="D19" s="29">
        <v>0</v>
      </c>
      <c r="F19" s="22">
        <v>44564</v>
      </c>
      <c r="G19" s="26">
        <f t="shared" ca="1" si="1"/>
        <v>9.2923168018760327E-3</v>
      </c>
      <c r="H19" s="29">
        <v>0</v>
      </c>
      <c r="J19" s="22">
        <v>44564</v>
      </c>
      <c r="K19" s="26">
        <f t="shared" ca="1" si="2"/>
        <v>0.69966582330025151</v>
      </c>
      <c r="L19" s="29">
        <v>0</v>
      </c>
      <c r="N19" s="22">
        <v>44564</v>
      </c>
      <c r="O19" s="26">
        <f t="shared" ca="1" si="3"/>
        <v>0.35746824425721269</v>
      </c>
      <c r="P19" s="29">
        <v>0</v>
      </c>
      <c r="R19" s="22">
        <v>44564</v>
      </c>
      <c r="S19" s="26">
        <f t="shared" ca="1" si="4"/>
        <v>0.19783633497378617</v>
      </c>
      <c r="T19" s="29">
        <v>0</v>
      </c>
      <c r="V19" s="22">
        <v>44564</v>
      </c>
      <c r="W19" s="26">
        <f t="shared" ca="1" si="5"/>
        <v>0.43935400790220558</v>
      </c>
      <c r="X19" s="29">
        <v>0</v>
      </c>
      <c r="Z19" s="22">
        <v>44564</v>
      </c>
      <c r="AA19" s="26">
        <f t="shared" ca="1" si="6"/>
        <v>0.98053382258666155</v>
      </c>
      <c r="AB19" s="29">
        <v>0</v>
      </c>
      <c r="AC19"/>
      <c r="AD19" s="25"/>
      <c r="AF19" s="22">
        <v>44564</v>
      </c>
      <c r="AG19" s="26">
        <f t="shared" ca="1" si="7"/>
        <v>0.55122402709643026</v>
      </c>
      <c r="AH19" s="29">
        <v>0</v>
      </c>
      <c r="AJ19" s="22">
        <v>44564</v>
      </c>
      <c r="AK19" s="26">
        <f t="shared" ca="1" si="8"/>
        <v>0.91362535100646747</v>
      </c>
      <c r="AL19" s="29">
        <v>0</v>
      </c>
      <c r="AN19" s="22">
        <v>44564</v>
      </c>
      <c r="AO19" s="26">
        <f t="shared" ca="1" si="9"/>
        <v>0.21464814771583496</v>
      </c>
      <c r="AP19" s="29">
        <v>0</v>
      </c>
      <c r="AR19" s="22">
        <v>44564</v>
      </c>
      <c r="AS19" s="26">
        <f t="shared" ca="1" si="10"/>
        <v>0.90327006832576218</v>
      </c>
      <c r="AT19" s="29">
        <v>0</v>
      </c>
      <c r="AV19" s="22">
        <v>44564</v>
      </c>
      <c r="AW19" s="26">
        <f t="shared" ca="1" si="11"/>
        <v>5.5665158365807321E-2</v>
      </c>
      <c r="AX19" s="29">
        <v>0</v>
      </c>
      <c r="AZ19" s="22">
        <v>44564</v>
      </c>
      <c r="BA19" s="26">
        <f t="shared" ca="1" si="12"/>
        <v>0.62123079433915673</v>
      </c>
      <c r="BB19" s="29">
        <v>0</v>
      </c>
      <c r="BC19"/>
      <c r="BD19" s="25"/>
      <c r="BF19" s="22">
        <v>44564</v>
      </c>
      <c r="BG19" s="26">
        <f t="shared" ca="1" si="13"/>
        <v>0.21109177568235327</v>
      </c>
      <c r="BH19" s="29">
        <v>0</v>
      </c>
      <c r="BJ19" s="22">
        <v>44564</v>
      </c>
      <c r="BK19" s="26">
        <f t="shared" ca="1" si="14"/>
        <v>3.0822791005209571E-2</v>
      </c>
      <c r="BL19" s="29">
        <v>0</v>
      </c>
      <c r="BN19" s="22">
        <v>44564</v>
      </c>
      <c r="BO19" s="26">
        <f t="shared" ca="1" si="15"/>
        <v>0.52348979534970852</v>
      </c>
      <c r="BP19" s="29">
        <v>0</v>
      </c>
      <c r="BR19" s="22">
        <v>44564</v>
      </c>
      <c r="BS19" s="26">
        <f t="shared" ca="1" si="16"/>
        <v>0.50741664775928086</v>
      </c>
      <c r="BT19" s="29">
        <v>0</v>
      </c>
      <c r="BV19" s="22">
        <v>44564</v>
      </c>
      <c r="BW19" s="26">
        <f t="shared" ca="1" si="17"/>
        <v>0.65939657737323187</v>
      </c>
      <c r="BX19" s="29">
        <v>0</v>
      </c>
      <c r="CA19" s="12">
        <f t="shared" si="18"/>
        <v>44621</v>
      </c>
      <c r="CB19" s="8">
        <v>2261</v>
      </c>
    </row>
    <row r="20" spans="2:80" ht="12.75" x14ac:dyDescent="0.2">
      <c r="B20" s="22">
        <v>44565</v>
      </c>
      <c r="C20" s="26">
        <f t="shared" ca="1" si="0"/>
        <v>0.19911002159037694</v>
      </c>
      <c r="D20" s="29">
        <f t="shared" ref="D20:D81" ca="1" si="19">ROUNDUP(_xlfn.NORM.INV(C20,C$10,C$12),0)</f>
        <v>59</v>
      </c>
      <c r="F20" s="22">
        <v>44565</v>
      </c>
      <c r="G20" s="26">
        <f t="shared" ca="1" si="1"/>
        <v>0.82017180312954141</v>
      </c>
      <c r="H20" s="29">
        <v>0</v>
      </c>
      <c r="J20" s="22">
        <v>44565</v>
      </c>
      <c r="K20" s="26">
        <f t="shared" ca="1" si="2"/>
        <v>0.67562487929918014</v>
      </c>
      <c r="L20" s="29">
        <v>0</v>
      </c>
      <c r="N20" s="22">
        <v>44565</v>
      </c>
      <c r="O20" s="26">
        <f t="shared" ca="1" si="3"/>
        <v>0.244352528389152</v>
      </c>
      <c r="P20" s="29">
        <v>0</v>
      </c>
      <c r="R20" s="22">
        <v>44565</v>
      </c>
      <c r="S20" s="26">
        <f t="shared" ca="1" si="4"/>
        <v>0.37247889264212242</v>
      </c>
      <c r="T20" s="29">
        <v>0</v>
      </c>
      <c r="V20" s="22">
        <v>44565</v>
      </c>
      <c r="W20" s="26">
        <f t="shared" ca="1" si="5"/>
        <v>0.47933908791963464</v>
      </c>
      <c r="X20" s="29">
        <v>0</v>
      </c>
      <c r="Z20" s="22">
        <v>44565</v>
      </c>
      <c r="AA20" s="26">
        <f t="shared" ca="1" si="6"/>
        <v>0.12574857815868312</v>
      </c>
      <c r="AB20" s="29">
        <v>0</v>
      </c>
      <c r="AC20"/>
      <c r="AD20" s="25"/>
      <c r="AF20" s="22">
        <v>44565</v>
      </c>
      <c r="AG20" s="26">
        <f t="shared" ca="1" si="7"/>
        <v>2.4318473784283756E-2</v>
      </c>
      <c r="AH20" s="29">
        <v>0</v>
      </c>
      <c r="AJ20" s="22">
        <v>44565</v>
      </c>
      <c r="AK20" s="26">
        <f t="shared" ca="1" si="8"/>
        <v>0.64912843481979865</v>
      </c>
      <c r="AL20" s="29">
        <v>0</v>
      </c>
      <c r="AN20" s="22">
        <v>44565</v>
      </c>
      <c r="AO20" s="26">
        <f t="shared" ca="1" si="9"/>
        <v>0.30946271743775988</v>
      </c>
      <c r="AP20" s="29">
        <v>0</v>
      </c>
      <c r="AR20" s="22">
        <v>44565</v>
      </c>
      <c r="AS20" s="26">
        <f t="shared" ca="1" si="10"/>
        <v>0.60310123750056055</v>
      </c>
      <c r="AT20" s="29">
        <v>0</v>
      </c>
      <c r="AV20" s="22">
        <v>44565</v>
      </c>
      <c r="AW20" s="26">
        <f t="shared" ca="1" si="11"/>
        <v>0.42113974969974632</v>
      </c>
      <c r="AX20" s="29">
        <v>0</v>
      </c>
      <c r="AZ20" s="22">
        <v>44565</v>
      </c>
      <c r="BA20" s="26">
        <f t="shared" ca="1" si="12"/>
        <v>9.0214010726052951E-4</v>
      </c>
      <c r="BB20" s="29">
        <v>0</v>
      </c>
      <c r="BC20"/>
      <c r="BD20" s="25"/>
      <c r="BF20" s="22">
        <v>44565</v>
      </c>
      <c r="BG20" s="26">
        <f t="shared" ca="1" si="13"/>
        <v>0.88143047609756486</v>
      </c>
      <c r="BH20" s="29">
        <v>0</v>
      </c>
      <c r="BJ20" s="22">
        <v>44565</v>
      </c>
      <c r="BK20" s="26">
        <f t="shared" ca="1" si="14"/>
        <v>0.51894331306910435</v>
      </c>
      <c r="BL20" s="29">
        <v>0</v>
      </c>
      <c r="BN20" s="22">
        <v>44565</v>
      </c>
      <c r="BO20" s="26">
        <f t="shared" ca="1" si="15"/>
        <v>0.52340382477423297</v>
      </c>
      <c r="BP20" s="29">
        <v>0</v>
      </c>
      <c r="BR20" s="22">
        <v>44565</v>
      </c>
      <c r="BS20" s="26">
        <f t="shared" ca="1" si="16"/>
        <v>0.69656770650549538</v>
      </c>
      <c r="BT20" s="29">
        <v>0</v>
      </c>
      <c r="BV20" s="22">
        <v>44565</v>
      </c>
      <c r="BW20" s="26">
        <f t="shared" ca="1" si="17"/>
        <v>0.15353689563097994</v>
      </c>
      <c r="BX20" s="29">
        <v>0</v>
      </c>
      <c r="CA20" s="12">
        <f t="shared" si="18"/>
        <v>44652</v>
      </c>
      <c r="CB20" s="8">
        <v>1515</v>
      </c>
    </row>
    <row r="21" spans="2:80" ht="12.75" x14ac:dyDescent="0.2">
      <c r="B21" s="22">
        <v>44566</v>
      </c>
      <c r="C21" s="26">
        <f t="shared" ca="1" si="0"/>
        <v>0.89860170257802174</v>
      </c>
      <c r="D21" s="29">
        <f t="shared" ca="1" si="19"/>
        <v>101</v>
      </c>
      <c r="F21" s="22">
        <v>44566</v>
      </c>
      <c r="G21" s="26">
        <f t="shared" ca="1" si="1"/>
        <v>0.46875550801588317</v>
      </c>
      <c r="H21" s="29">
        <v>0</v>
      </c>
      <c r="J21" s="22">
        <v>44566</v>
      </c>
      <c r="K21" s="26">
        <f t="shared" ca="1" si="2"/>
        <v>1.3508994738178459E-2</v>
      </c>
      <c r="L21" s="29">
        <v>0</v>
      </c>
      <c r="N21" s="22">
        <v>44566</v>
      </c>
      <c r="O21" s="26">
        <f t="shared" ca="1" si="3"/>
        <v>0.65460409633761407</v>
      </c>
      <c r="P21" s="29">
        <v>0</v>
      </c>
      <c r="R21" s="22">
        <v>44566</v>
      </c>
      <c r="S21" s="26">
        <f t="shared" ca="1" si="4"/>
        <v>2.8767132627125269E-2</v>
      </c>
      <c r="T21" s="29">
        <v>0</v>
      </c>
      <c r="V21" s="22">
        <v>44566</v>
      </c>
      <c r="W21" s="26">
        <f t="shared" ca="1" si="5"/>
        <v>0.17081896653446627</v>
      </c>
      <c r="X21" s="29">
        <v>0</v>
      </c>
      <c r="Z21" s="22">
        <v>44566</v>
      </c>
      <c r="AA21" s="26">
        <f t="shared" ca="1" si="6"/>
        <v>0.23212547540699591</v>
      </c>
      <c r="AB21" s="29">
        <v>0</v>
      </c>
      <c r="AC21"/>
      <c r="AD21" s="25"/>
      <c r="AF21" s="22">
        <v>44566</v>
      </c>
      <c r="AG21" s="26">
        <f t="shared" ca="1" si="7"/>
        <v>0.70908425351126114</v>
      </c>
      <c r="AH21" s="29">
        <v>0</v>
      </c>
      <c r="AJ21" s="22">
        <v>44566</v>
      </c>
      <c r="AK21" s="26">
        <f t="shared" ca="1" si="8"/>
        <v>0.37000539706713864</v>
      </c>
      <c r="AL21" s="29">
        <v>0</v>
      </c>
      <c r="AN21" s="22">
        <v>44566</v>
      </c>
      <c r="AO21" s="26">
        <f t="shared" ca="1" si="9"/>
        <v>0.65734816958464415</v>
      </c>
      <c r="AP21" s="29">
        <v>0</v>
      </c>
      <c r="AR21" s="22">
        <v>44566</v>
      </c>
      <c r="AS21" s="26">
        <f t="shared" ca="1" si="10"/>
        <v>0.54798540565738485</v>
      </c>
      <c r="AT21" s="29">
        <v>0</v>
      </c>
      <c r="AV21" s="22">
        <v>44566</v>
      </c>
      <c r="AW21" s="26">
        <f t="shared" ca="1" si="11"/>
        <v>0.2332916990687961</v>
      </c>
      <c r="AX21" s="29">
        <v>0</v>
      </c>
      <c r="AZ21" s="22">
        <v>44566</v>
      </c>
      <c r="BA21" s="26">
        <f t="shared" ca="1" si="12"/>
        <v>0.57149916584072613</v>
      </c>
      <c r="BB21" s="29">
        <v>0</v>
      </c>
      <c r="BC21"/>
      <c r="BD21" s="25"/>
      <c r="BF21" s="22">
        <v>44566</v>
      </c>
      <c r="BG21" s="26">
        <f t="shared" ca="1" si="13"/>
        <v>0.94363580526229174</v>
      </c>
      <c r="BH21" s="29">
        <v>0</v>
      </c>
      <c r="BJ21" s="22">
        <v>44566</v>
      </c>
      <c r="BK21" s="26">
        <f t="shared" ca="1" si="14"/>
        <v>0.25535665504012806</v>
      </c>
      <c r="BL21" s="29">
        <v>0</v>
      </c>
      <c r="BN21" s="22">
        <v>44566</v>
      </c>
      <c r="BO21" s="26">
        <f t="shared" ca="1" si="15"/>
        <v>0.75608865142064752</v>
      </c>
      <c r="BP21" s="29">
        <v>0</v>
      </c>
      <c r="BR21" s="22">
        <v>44566</v>
      </c>
      <c r="BS21" s="26">
        <f t="shared" ca="1" si="16"/>
        <v>0.44275084576871948</v>
      </c>
      <c r="BT21" s="29">
        <v>0</v>
      </c>
      <c r="BV21" s="22">
        <v>44566</v>
      </c>
      <c r="BW21" s="26">
        <f t="shared" ca="1" si="17"/>
        <v>0.44446474043142703</v>
      </c>
      <c r="BX21" s="29">
        <v>0</v>
      </c>
      <c r="CA21" s="12">
        <f t="shared" si="18"/>
        <v>44682</v>
      </c>
      <c r="CB21" s="8">
        <v>8919</v>
      </c>
    </row>
    <row r="22" spans="2:80" ht="12.75" x14ac:dyDescent="0.2">
      <c r="B22" s="22">
        <v>44567</v>
      </c>
      <c r="C22" s="26">
        <f t="shared" ca="1" si="0"/>
        <v>0.69334626149807332</v>
      </c>
      <c r="D22" s="29">
        <f t="shared" ca="1" si="19"/>
        <v>86</v>
      </c>
      <c r="F22" s="22">
        <v>44567</v>
      </c>
      <c r="G22" s="26">
        <f t="shared" ca="1" si="1"/>
        <v>3.5056990268977906E-2</v>
      </c>
      <c r="H22" s="29">
        <v>0</v>
      </c>
      <c r="J22" s="22">
        <v>44567</v>
      </c>
      <c r="K22" s="26">
        <f t="shared" ca="1" si="2"/>
        <v>0.85381198034436501</v>
      </c>
      <c r="L22" s="29">
        <v>0</v>
      </c>
      <c r="N22" s="22">
        <v>44567</v>
      </c>
      <c r="O22" s="26">
        <f t="shared" ca="1" si="3"/>
        <v>0.44398926976437303</v>
      </c>
      <c r="P22" s="29">
        <v>0</v>
      </c>
      <c r="R22" s="22">
        <v>44567</v>
      </c>
      <c r="S22" s="26">
        <f t="shared" ca="1" si="4"/>
        <v>0.21701519833057359</v>
      </c>
      <c r="T22" s="29">
        <v>0</v>
      </c>
      <c r="V22" s="22">
        <v>44567</v>
      </c>
      <c r="W22" s="26">
        <f t="shared" ca="1" si="5"/>
        <v>7.2494826188045369E-3</v>
      </c>
      <c r="X22" s="29">
        <v>0</v>
      </c>
      <c r="Z22" s="22">
        <v>44567</v>
      </c>
      <c r="AA22" s="26">
        <f t="shared" ca="1" si="6"/>
        <v>0.21120590651980509</v>
      </c>
      <c r="AB22" s="29">
        <v>0</v>
      </c>
      <c r="AC22"/>
      <c r="AD22" s="25"/>
      <c r="AF22" s="22">
        <v>44567</v>
      </c>
      <c r="AG22" s="26">
        <f t="shared" ca="1" si="7"/>
        <v>0.89169859067667234</v>
      </c>
      <c r="AH22" s="29">
        <v>0</v>
      </c>
      <c r="AJ22" s="22">
        <v>44567</v>
      </c>
      <c r="AK22" s="26">
        <f t="shared" ca="1" si="8"/>
        <v>0.90449429734925868</v>
      </c>
      <c r="AL22" s="29">
        <v>0</v>
      </c>
      <c r="AN22" s="22">
        <v>44567</v>
      </c>
      <c r="AO22" s="26">
        <f t="shared" ca="1" si="9"/>
        <v>0.66878054018595412</v>
      </c>
      <c r="AP22" s="29">
        <v>0</v>
      </c>
      <c r="AR22" s="22">
        <v>44567</v>
      </c>
      <c r="AS22" s="26">
        <f t="shared" ca="1" si="10"/>
        <v>0.64129910963041792</v>
      </c>
      <c r="AT22" s="29">
        <v>0</v>
      </c>
      <c r="AV22" s="22">
        <v>44567</v>
      </c>
      <c r="AW22" s="26">
        <f t="shared" ca="1" si="11"/>
        <v>0.52638506484897085</v>
      </c>
      <c r="AX22" s="29">
        <v>0</v>
      </c>
      <c r="AZ22" s="22">
        <v>44567</v>
      </c>
      <c r="BA22" s="26">
        <f t="shared" ca="1" si="12"/>
        <v>0.82516972352891849</v>
      </c>
      <c r="BB22" s="29">
        <v>0</v>
      </c>
      <c r="BC22"/>
      <c r="BD22" s="25"/>
      <c r="BF22" s="22">
        <v>44567</v>
      </c>
      <c r="BG22" s="26">
        <f t="shared" ca="1" si="13"/>
        <v>0.39843209127378376</v>
      </c>
      <c r="BH22" s="29">
        <v>0</v>
      </c>
      <c r="BJ22" s="22">
        <v>44567</v>
      </c>
      <c r="BK22" s="26">
        <f t="shared" ca="1" si="14"/>
        <v>0.48526434656913964</v>
      </c>
      <c r="BL22" s="29">
        <v>0</v>
      </c>
      <c r="BN22" s="22">
        <v>44567</v>
      </c>
      <c r="BO22" s="26">
        <f t="shared" ca="1" si="15"/>
        <v>0.37036088827494074</v>
      </c>
      <c r="BP22" s="29">
        <v>0</v>
      </c>
      <c r="BR22" s="22">
        <v>44567</v>
      </c>
      <c r="BS22" s="26">
        <f t="shared" ca="1" si="16"/>
        <v>7.1182255923249782E-2</v>
      </c>
      <c r="BT22" s="29">
        <v>0</v>
      </c>
      <c r="BV22" s="22">
        <v>44567</v>
      </c>
      <c r="BW22" s="26">
        <f t="shared" ca="1" si="17"/>
        <v>0.34644828291227769</v>
      </c>
      <c r="BX22" s="29">
        <v>0</v>
      </c>
      <c r="CA22" s="12">
        <f t="shared" si="18"/>
        <v>44713</v>
      </c>
      <c r="CB22" s="8">
        <v>9021</v>
      </c>
    </row>
    <row r="23" spans="2:80" ht="12.75" x14ac:dyDescent="0.2">
      <c r="B23" s="22">
        <v>44568</v>
      </c>
      <c r="C23" s="26">
        <f t="shared" ca="1" si="0"/>
        <v>0.83835020591907339</v>
      </c>
      <c r="D23" s="29">
        <f t="shared" ca="1" si="19"/>
        <v>95</v>
      </c>
      <c r="F23" s="22">
        <v>44568</v>
      </c>
      <c r="G23" s="26">
        <f t="shared" ca="1" si="1"/>
        <v>0.61812270399101588</v>
      </c>
      <c r="H23" s="29">
        <v>0</v>
      </c>
      <c r="J23" s="22">
        <v>44568</v>
      </c>
      <c r="K23" s="26">
        <f t="shared" ca="1" si="2"/>
        <v>0.10667733539429514</v>
      </c>
      <c r="L23" s="29">
        <v>0</v>
      </c>
      <c r="N23" s="22">
        <v>44568</v>
      </c>
      <c r="O23" s="26">
        <f t="shared" ca="1" si="3"/>
        <v>0.33547910779755841</v>
      </c>
      <c r="P23" s="29">
        <v>0</v>
      </c>
      <c r="R23" s="22">
        <v>44568</v>
      </c>
      <c r="S23" s="26">
        <f t="shared" ca="1" si="4"/>
        <v>0.27702598996270744</v>
      </c>
      <c r="T23" s="29">
        <v>0</v>
      </c>
      <c r="V23" s="22">
        <v>44568</v>
      </c>
      <c r="W23" s="26">
        <f t="shared" ca="1" si="5"/>
        <v>0.93025193055971356</v>
      </c>
      <c r="X23" s="29">
        <v>0</v>
      </c>
      <c r="Z23" s="22">
        <v>44568</v>
      </c>
      <c r="AA23" s="26">
        <f t="shared" ca="1" si="6"/>
        <v>0.83386640417395763</v>
      </c>
      <c r="AB23" s="29">
        <v>0</v>
      </c>
      <c r="AC23"/>
      <c r="AD23" s="25"/>
      <c r="AF23" s="22">
        <v>44568</v>
      </c>
      <c r="AG23" s="26">
        <f t="shared" ca="1" si="7"/>
        <v>0.46221417060049397</v>
      </c>
      <c r="AH23" s="29">
        <v>0</v>
      </c>
      <c r="AJ23" s="22">
        <v>44568</v>
      </c>
      <c r="AK23" s="26">
        <f t="shared" ca="1" si="8"/>
        <v>0.65901637611119446</v>
      </c>
      <c r="AL23" s="29">
        <v>0</v>
      </c>
      <c r="AN23" s="22">
        <v>44568</v>
      </c>
      <c r="AO23" s="26">
        <f t="shared" ca="1" si="9"/>
        <v>0.28153946651235628</v>
      </c>
      <c r="AP23" s="29">
        <v>0</v>
      </c>
      <c r="AR23" s="22">
        <v>44568</v>
      </c>
      <c r="AS23" s="26">
        <f t="shared" ca="1" si="10"/>
        <v>0.74843084237664226</v>
      </c>
      <c r="AT23" s="29">
        <v>0</v>
      </c>
      <c r="AV23" s="22">
        <v>44568</v>
      </c>
      <c r="AW23" s="26">
        <f t="shared" ca="1" si="11"/>
        <v>0.23554411435240863</v>
      </c>
      <c r="AX23" s="29">
        <v>0</v>
      </c>
      <c r="AZ23" s="22">
        <v>44568</v>
      </c>
      <c r="BA23" s="26">
        <f t="shared" ca="1" si="12"/>
        <v>0.60178552009760722</v>
      </c>
      <c r="BB23" s="29">
        <v>0</v>
      </c>
      <c r="BC23"/>
      <c r="BD23" s="25"/>
      <c r="BF23" s="22">
        <v>44568</v>
      </c>
      <c r="BG23" s="26">
        <f t="shared" ca="1" si="13"/>
        <v>0.31209170169538492</v>
      </c>
      <c r="BH23" s="29">
        <v>0</v>
      </c>
      <c r="BJ23" s="22">
        <v>44568</v>
      </c>
      <c r="BK23" s="26">
        <f t="shared" ca="1" si="14"/>
        <v>0.2774724921680416</v>
      </c>
      <c r="BL23" s="29">
        <v>0</v>
      </c>
      <c r="BN23" s="22">
        <v>44568</v>
      </c>
      <c r="BO23" s="26">
        <f t="shared" ca="1" si="15"/>
        <v>0.89003249155893993</v>
      </c>
      <c r="BP23" s="29">
        <v>0</v>
      </c>
      <c r="BR23" s="22">
        <v>44568</v>
      </c>
      <c r="BS23" s="26">
        <f t="shared" ca="1" si="16"/>
        <v>0.25093900296942806</v>
      </c>
      <c r="BT23" s="29">
        <v>0</v>
      </c>
      <c r="BV23" s="22">
        <v>44568</v>
      </c>
      <c r="BW23" s="26">
        <f t="shared" ca="1" si="17"/>
        <v>0.85206578918843523</v>
      </c>
      <c r="BX23" s="29">
        <v>0</v>
      </c>
      <c r="CA23" s="12">
        <f t="shared" si="18"/>
        <v>44743</v>
      </c>
      <c r="CB23" s="8">
        <v>1731</v>
      </c>
    </row>
    <row r="24" spans="2:80" ht="12.75" x14ac:dyDescent="0.2">
      <c r="B24" s="22">
        <v>44569</v>
      </c>
      <c r="C24" s="26">
        <f t="shared" ca="1" si="0"/>
        <v>0.81004871746964635</v>
      </c>
      <c r="D24" s="29">
        <f t="shared" ca="1" si="19"/>
        <v>93</v>
      </c>
      <c r="F24" s="22">
        <v>44569</v>
      </c>
      <c r="G24" s="26">
        <f t="shared" ca="1" si="1"/>
        <v>0.5117245139509724</v>
      </c>
      <c r="H24" s="29">
        <v>0</v>
      </c>
      <c r="J24" s="22">
        <v>44569</v>
      </c>
      <c r="K24" s="26">
        <f t="shared" ca="1" si="2"/>
        <v>0.19983255708175518</v>
      </c>
      <c r="L24" s="29">
        <v>0</v>
      </c>
      <c r="N24" s="22">
        <v>44569</v>
      </c>
      <c r="O24" s="26">
        <f t="shared" ca="1" si="3"/>
        <v>0.77139282590331526</v>
      </c>
      <c r="P24" s="29">
        <v>0</v>
      </c>
      <c r="R24" s="22">
        <v>44569</v>
      </c>
      <c r="S24" s="26">
        <f t="shared" ca="1" si="4"/>
        <v>0.41246394536280251</v>
      </c>
      <c r="T24" s="29">
        <v>0</v>
      </c>
      <c r="V24" s="22">
        <v>44569</v>
      </c>
      <c r="W24" s="26">
        <f t="shared" ca="1" si="5"/>
        <v>0.10143759894613302</v>
      </c>
      <c r="X24" s="29">
        <v>0</v>
      </c>
      <c r="Z24" s="22">
        <v>44569</v>
      </c>
      <c r="AA24" s="26">
        <f t="shared" ca="1" si="6"/>
        <v>0.62115235254020051</v>
      </c>
      <c r="AB24" s="29">
        <v>0</v>
      </c>
      <c r="AC24"/>
      <c r="AD24" s="25"/>
      <c r="AF24" s="22">
        <v>44569</v>
      </c>
      <c r="AG24" s="26">
        <f t="shared" ca="1" si="7"/>
        <v>0.51506032257171375</v>
      </c>
      <c r="AH24" s="29">
        <v>0</v>
      </c>
      <c r="AJ24" s="22">
        <v>44569</v>
      </c>
      <c r="AK24" s="26">
        <f t="shared" ca="1" si="8"/>
        <v>0.93443868653699902</v>
      </c>
      <c r="AL24" s="29">
        <v>0</v>
      </c>
      <c r="AN24" s="22">
        <v>44569</v>
      </c>
      <c r="AO24" s="26">
        <f t="shared" ca="1" si="9"/>
        <v>0.26068072668355458</v>
      </c>
      <c r="AP24" s="29">
        <v>0</v>
      </c>
      <c r="AR24" s="22">
        <v>44569</v>
      </c>
      <c r="AS24" s="26">
        <f t="shared" ca="1" si="10"/>
        <v>0.20478345051413815</v>
      </c>
      <c r="AT24" s="29">
        <v>0</v>
      </c>
      <c r="AV24" s="22">
        <v>44569</v>
      </c>
      <c r="AW24" s="26">
        <f t="shared" ca="1" si="11"/>
        <v>0.47315281338827697</v>
      </c>
      <c r="AX24" s="29">
        <v>0</v>
      </c>
      <c r="AZ24" s="22">
        <v>44569</v>
      </c>
      <c r="BA24" s="26">
        <f t="shared" ca="1" si="12"/>
        <v>0.90926797898672507</v>
      </c>
      <c r="BB24" s="29">
        <v>0</v>
      </c>
      <c r="BC24"/>
      <c r="BD24" s="25"/>
      <c r="BF24" s="22">
        <v>44569</v>
      </c>
      <c r="BG24" s="26">
        <f t="shared" ca="1" si="13"/>
        <v>0.67835885271353624</v>
      </c>
      <c r="BH24" s="29">
        <v>0</v>
      </c>
      <c r="BJ24" s="22">
        <v>44569</v>
      </c>
      <c r="BK24" s="26">
        <f t="shared" ca="1" si="14"/>
        <v>0.88053710336324986</v>
      </c>
      <c r="BL24" s="29">
        <v>0</v>
      </c>
      <c r="BN24" s="22">
        <v>44569</v>
      </c>
      <c r="BO24" s="26">
        <f t="shared" ca="1" si="15"/>
        <v>0.17721216164710107</v>
      </c>
      <c r="BP24" s="29">
        <v>0</v>
      </c>
      <c r="BR24" s="22">
        <v>44569</v>
      </c>
      <c r="BS24" s="26">
        <f t="shared" ca="1" si="16"/>
        <v>0.51358674860454701</v>
      </c>
      <c r="BT24" s="29">
        <v>0</v>
      </c>
      <c r="BV24" s="22">
        <v>44569</v>
      </c>
      <c r="BW24" s="26">
        <f t="shared" ca="1" si="17"/>
        <v>0.97309910390432697</v>
      </c>
      <c r="BX24" s="29">
        <v>0</v>
      </c>
      <c r="CA24" s="12">
        <f t="shared" si="18"/>
        <v>44774</v>
      </c>
      <c r="CB24" s="8">
        <v>2</v>
      </c>
    </row>
    <row r="25" spans="2:80" ht="12.75" x14ac:dyDescent="0.2">
      <c r="B25" s="22">
        <v>44570</v>
      </c>
      <c r="C25" s="26">
        <f t="shared" ca="1" si="0"/>
        <v>0.27632674636374843</v>
      </c>
      <c r="D25" s="29">
        <f t="shared" ca="1" si="19"/>
        <v>64</v>
      </c>
      <c r="F25" s="22">
        <v>44570</v>
      </c>
      <c r="G25" s="26">
        <f t="shared" ca="1" si="1"/>
        <v>0.24170998282421874</v>
      </c>
      <c r="H25" s="29">
        <v>0</v>
      </c>
      <c r="J25" s="22">
        <v>44570</v>
      </c>
      <c r="K25" s="26">
        <f t="shared" ca="1" si="2"/>
        <v>0.82997617921617328</v>
      </c>
      <c r="L25" s="29">
        <v>0</v>
      </c>
      <c r="N25" s="22">
        <v>44570</v>
      </c>
      <c r="O25" s="26">
        <f t="shared" ca="1" si="3"/>
        <v>0.70913299051789946</v>
      </c>
      <c r="P25" s="29">
        <v>0</v>
      </c>
      <c r="R25" s="22">
        <v>44570</v>
      </c>
      <c r="S25" s="26">
        <f t="shared" ca="1" si="4"/>
        <v>0.58466060552448507</v>
      </c>
      <c r="T25" s="29">
        <v>0</v>
      </c>
      <c r="V25" s="22">
        <v>44570</v>
      </c>
      <c r="W25" s="26">
        <f t="shared" ca="1" si="5"/>
        <v>0.63413369857835877</v>
      </c>
      <c r="X25" s="29">
        <v>0</v>
      </c>
      <c r="Z25" s="22">
        <v>44570</v>
      </c>
      <c r="AA25" s="26">
        <f t="shared" ca="1" si="6"/>
        <v>5.9965574412851996E-2</v>
      </c>
      <c r="AB25" s="29">
        <v>0</v>
      </c>
      <c r="AC25"/>
      <c r="AD25" s="25"/>
      <c r="AF25" s="22">
        <v>44570</v>
      </c>
      <c r="AG25" s="26">
        <f t="shared" ca="1" si="7"/>
        <v>0.44454673091319763</v>
      </c>
      <c r="AH25" s="29">
        <v>0</v>
      </c>
      <c r="AJ25" s="22">
        <v>44570</v>
      </c>
      <c r="AK25" s="26">
        <f t="shared" ca="1" si="8"/>
        <v>0.85311830657267196</v>
      </c>
      <c r="AL25" s="29">
        <v>0</v>
      </c>
      <c r="AN25" s="22">
        <v>44570</v>
      </c>
      <c r="AO25" s="26">
        <f t="shared" ca="1" si="9"/>
        <v>0.16213234044078728</v>
      </c>
      <c r="AP25" s="29">
        <v>0</v>
      </c>
      <c r="AR25" s="22">
        <v>44570</v>
      </c>
      <c r="AS25" s="26">
        <f t="shared" ca="1" si="10"/>
        <v>0.56556815696613627</v>
      </c>
      <c r="AT25" s="29">
        <v>0</v>
      </c>
      <c r="AV25" s="22">
        <v>44570</v>
      </c>
      <c r="AW25" s="26">
        <f t="shared" ca="1" si="11"/>
        <v>0.2958338609759591</v>
      </c>
      <c r="AX25" s="29">
        <v>0</v>
      </c>
      <c r="AZ25" s="22">
        <v>44570</v>
      </c>
      <c r="BA25" s="26">
        <f t="shared" ca="1" si="12"/>
        <v>0.52529386618849461</v>
      </c>
      <c r="BB25" s="29">
        <v>0</v>
      </c>
      <c r="BC25"/>
      <c r="BD25" s="25"/>
      <c r="BF25" s="22">
        <v>44570</v>
      </c>
      <c r="BG25" s="26">
        <f t="shared" ca="1" si="13"/>
        <v>0.15511322655796433</v>
      </c>
      <c r="BH25" s="29">
        <v>0</v>
      </c>
      <c r="BJ25" s="22">
        <v>44570</v>
      </c>
      <c r="BK25" s="26">
        <f t="shared" ca="1" si="14"/>
        <v>0.86669534009110072</v>
      </c>
      <c r="BL25" s="29">
        <v>0</v>
      </c>
      <c r="BN25" s="22">
        <v>44570</v>
      </c>
      <c r="BO25" s="26">
        <f t="shared" ca="1" si="15"/>
        <v>0.47248961404513523</v>
      </c>
      <c r="BP25" s="29">
        <v>0</v>
      </c>
      <c r="BR25" s="22">
        <v>44570</v>
      </c>
      <c r="BS25" s="26">
        <f t="shared" ca="1" si="16"/>
        <v>0.67834916273990864</v>
      </c>
      <c r="BT25" s="29">
        <v>0</v>
      </c>
      <c r="BV25" s="22">
        <v>44570</v>
      </c>
      <c r="BW25" s="26">
        <f t="shared" ca="1" si="17"/>
        <v>0.38667109213160211</v>
      </c>
      <c r="BX25" s="29">
        <v>0</v>
      </c>
      <c r="CA25" s="12">
        <f t="shared" si="18"/>
        <v>44805</v>
      </c>
      <c r="CB25" s="8">
        <v>23249</v>
      </c>
    </row>
    <row r="26" spans="2:80" ht="12.75" x14ac:dyDescent="0.2">
      <c r="B26" s="22">
        <v>44571</v>
      </c>
      <c r="C26" s="26">
        <f t="shared" ca="1" si="0"/>
        <v>0.86920342809218698</v>
      </c>
      <c r="D26" s="29">
        <f t="shared" ca="1" si="19"/>
        <v>98</v>
      </c>
      <c r="F26" s="22">
        <v>44571</v>
      </c>
      <c r="G26" s="26">
        <f t="shared" ca="1" si="1"/>
        <v>0.87754374573051908</v>
      </c>
      <c r="H26" s="29">
        <v>0</v>
      </c>
      <c r="J26" s="22">
        <v>44571</v>
      </c>
      <c r="K26" s="26">
        <f t="shared" ca="1" si="2"/>
        <v>0.73455594307447936</v>
      </c>
      <c r="L26" s="29">
        <v>0</v>
      </c>
      <c r="N26" s="22">
        <v>44571</v>
      </c>
      <c r="O26" s="26">
        <f t="shared" ca="1" si="3"/>
        <v>0.40750914904888524</v>
      </c>
      <c r="P26" s="29">
        <v>0</v>
      </c>
      <c r="R26" s="22">
        <v>44571</v>
      </c>
      <c r="S26" s="26">
        <f t="shared" ca="1" si="4"/>
        <v>0.59462993409595477</v>
      </c>
      <c r="T26" s="29">
        <v>0</v>
      </c>
      <c r="V26" s="22">
        <v>44571</v>
      </c>
      <c r="W26" s="26">
        <f t="shared" ca="1" si="5"/>
        <v>0.65444433567427807</v>
      </c>
      <c r="X26" s="29">
        <v>0</v>
      </c>
      <c r="Z26" s="22">
        <v>44571</v>
      </c>
      <c r="AA26" s="26">
        <f t="shared" ca="1" si="6"/>
        <v>0.15058834338699978</v>
      </c>
      <c r="AB26" s="29">
        <v>0</v>
      </c>
      <c r="AC26"/>
      <c r="AD26" s="25"/>
      <c r="AF26" s="22">
        <v>44571</v>
      </c>
      <c r="AG26" s="26">
        <f t="shared" ca="1" si="7"/>
        <v>0.29445451097082131</v>
      </c>
      <c r="AH26" s="29">
        <v>0</v>
      </c>
      <c r="AJ26" s="22">
        <v>44571</v>
      </c>
      <c r="AK26" s="26">
        <f t="shared" ca="1" si="8"/>
        <v>0.91682485388676405</v>
      </c>
      <c r="AL26" s="29">
        <v>0</v>
      </c>
      <c r="AN26" s="22">
        <v>44571</v>
      </c>
      <c r="AO26" s="26">
        <f t="shared" ca="1" si="9"/>
        <v>0.12597719911609606</v>
      </c>
      <c r="AP26" s="29">
        <v>0</v>
      </c>
      <c r="AR26" s="22">
        <v>44571</v>
      </c>
      <c r="AS26" s="26">
        <f t="shared" ca="1" si="10"/>
        <v>0.81575395455757127</v>
      </c>
      <c r="AT26" s="29">
        <v>0</v>
      </c>
      <c r="AV26" s="22">
        <v>44571</v>
      </c>
      <c r="AW26" s="26">
        <f t="shared" ca="1" si="11"/>
        <v>0.91183768897293227</v>
      </c>
      <c r="AX26" s="29">
        <v>0</v>
      </c>
      <c r="AZ26" s="22">
        <v>44571</v>
      </c>
      <c r="BA26" s="26">
        <f t="shared" ca="1" si="12"/>
        <v>0.78313340400061437</v>
      </c>
      <c r="BB26" s="29">
        <v>0</v>
      </c>
      <c r="BC26"/>
      <c r="BD26" s="25"/>
      <c r="BF26" s="22">
        <v>44571</v>
      </c>
      <c r="BG26" s="26">
        <f t="shared" ca="1" si="13"/>
        <v>0.21064388436877279</v>
      </c>
      <c r="BH26" s="29">
        <v>0</v>
      </c>
      <c r="BJ26" s="22">
        <v>44571</v>
      </c>
      <c r="BK26" s="26">
        <f t="shared" ca="1" si="14"/>
        <v>0.31297474930899105</v>
      </c>
      <c r="BL26" s="29">
        <v>0</v>
      </c>
      <c r="BN26" s="22">
        <v>44571</v>
      </c>
      <c r="BO26" s="26">
        <f t="shared" ca="1" si="15"/>
        <v>0.22568175220555309</v>
      </c>
      <c r="BP26" s="29">
        <v>0</v>
      </c>
      <c r="BR26" s="22">
        <v>44571</v>
      </c>
      <c r="BS26" s="26">
        <f t="shared" ca="1" si="16"/>
        <v>0.24077729789333713</v>
      </c>
      <c r="BT26" s="29">
        <v>0</v>
      </c>
      <c r="BV26" s="22">
        <v>44571</v>
      </c>
      <c r="BW26" s="26">
        <f t="shared" ca="1" si="17"/>
        <v>0.95963574268581664</v>
      </c>
      <c r="BX26" s="29">
        <v>0</v>
      </c>
      <c r="CA26" s="12">
        <f t="shared" ref="CA26" si="20">EDATE(CA25,1)</f>
        <v>44835</v>
      </c>
      <c r="CB26" s="8">
        <v>17833</v>
      </c>
    </row>
    <row r="27" spans="2:80" ht="12.75" x14ac:dyDescent="0.2">
      <c r="B27" s="22">
        <v>44572</v>
      </c>
      <c r="C27" s="26">
        <f t="shared" ca="1" si="0"/>
        <v>8.0015837688058644E-2</v>
      </c>
      <c r="D27" s="29">
        <f t="shared" ca="1" si="19"/>
        <v>47</v>
      </c>
      <c r="F27" s="22">
        <v>44572</v>
      </c>
      <c r="G27" s="26">
        <f t="shared" ca="1" si="1"/>
        <v>0.87773438608285814</v>
      </c>
      <c r="H27" s="29">
        <v>0</v>
      </c>
      <c r="J27" s="22">
        <v>44572</v>
      </c>
      <c r="K27" s="26">
        <f t="shared" ca="1" si="2"/>
        <v>0.50253213211697045</v>
      </c>
      <c r="L27" s="29">
        <v>0</v>
      </c>
      <c r="N27" s="22">
        <v>44572</v>
      </c>
      <c r="O27" s="26">
        <f t="shared" ca="1" si="3"/>
        <v>0.5755722112357573</v>
      </c>
      <c r="P27" s="29">
        <v>0</v>
      </c>
      <c r="R27" s="22">
        <v>44572</v>
      </c>
      <c r="S27" s="26">
        <f t="shared" ca="1" si="4"/>
        <v>0.45314104905333885</v>
      </c>
      <c r="T27" s="29">
        <v>0</v>
      </c>
      <c r="V27" s="22">
        <v>44572</v>
      </c>
      <c r="W27" s="26">
        <f t="shared" ca="1" si="5"/>
        <v>0.41709474422866777</v>
      </c>
      <c r="X27" s="29">
        <v>0</v>
      </c>
      <c r="Z27" s="22">
        <v>44572</v>
      </c>
      <c r="AA27" s="26">
        <f t="shared" ca="1" si="6"/>
        <v>0.92781647188521243</v>
      </c>
      <c r="AB27" s="29">
        <v>0</v>
      </c>
      <c r="AC27"/>
      <c r="AD27" s="25"/>
      <c r="AF27" s="22">
        <v>44572</v>
      </c>
      <c r="AG27" s="26">
        <f t="shared" ca="1" si="7"/>
        <v>0.1605602960023399</v>
      </c>
      <c r="AH27" s="29">
        <v>0</v>
      </c>
      <c r="AJ27" s="22">
        <v>44572</v>
      </c>
      <c r="AK27" s="26">
        <f t="shared" ca="1" si="8"/>
        <v>0.80356161611845234</v>
      </c>
      <c r="AL27" s="29">
        <v>0</v>
      </c>
      <c r="AN27" s="22">
        <v>44572</v>
      </c>
      <c r="AO27" s="26">
        <f t="shared" ca="1" si="9"/>
        <v>0.22514541961083001</v>
      </c>
      <c r="AP27" s="29">
        <v>0</v>
      </c>
      <c r="AR27" s="22">
        <v>44572</v>
      </c>
      <c r="AS27" s="26">
        <f t="shared" ca="1" si="10"/>
        <v>0.46769726570096715</v>
      </c>
      <c r="AT27" s="29">
        <v>0</v>
      </c>
      <c r="AV27" s="22">
        <v>44572</v>
      </c>
      <c r="AW27" s="26">
        <f t="shared" ca="1" si="11"/>
        <v>0.9010408373515546</v>
      </c>
      <c r="AX27" s="29">
        <v>0</v>
      </c>
      <c r="AZ27" s="22">
        <v>44572</v>
      </c>
      <c r="BA27" s="26">
        <f t="shared" ca="1" si="12"/>
        <v>0.65467338988962831</v>
      </c>
      <c r="BB27" s="29">
        <v>0</v>
      </c>
      <c r="BC27"/>
      <c r="BD27" s="25"/>
      <c r="BF27" s="22">
        <v>44572</v>
      </c>
      <c r="BG27" s="26">
        <f t="shared" ca="1" si="13"/>
        <v>0.7096162291743715</v>
      </c>
      <c r="BH27" s="29">
        <v>0</v>
      </c>
      <c r="BJ27" s="22">
        <v>44572</v>
      </c>
      <c r="BK27" s="26">
        <f t="shared" ca="1" si="14"/>
        <v>0.52242665980968583</v>
      </c>
      <c r="BL27" s="29">
        <v>0</v>
      </c>
      <c r="BN27" s="22">
        <v>44572</v>
      </c>
      <c r="BO27" s="26">
        <f t="shared" ca="1" si="15"/>
        <v>4.5889849629555557E-2</v>
      </c>
      <c r="BP27" s="29">
        <v>0</v>
      </c>
      <c r="BR27" s="22">
        <v>44572</v>
      </c>
      <c r="BS27" s="26">
        <f t="shared" ca="1" si="16"/>
        <v>0.74617398626650078</v>
      </c>
      <c r="BT27" s="29">
        <v>0</v>
      </c>
      <c r="BV27" s="22">
        <v>44572</v>
      </c>
      <c r="BW27" s="26">
        <f t="shared" ca="1" si="17"/>
        <v>0.86115864194608305</v>
      </c>
      <c r="BX27" s="29">
        <v>0</v>
      </c>
      <c r="CA27" s="12">
        <f t="shared" ref="CA27:CA52" si="21">EDATE(CA26,1)</f>
        <v>44866</v>
      </c>
      <c r="CB27" s="8">
        <v>24464</v>
      </c>
    </row>
    <row r="28" spans="2:80" ht="12.75" x14ac:dyDescent="0.2">
      <c r="B28" s="22">
        <v>44573</v>
      </c>
      <c r="C28" s="26">
        <f t="shared" ca="1" si="0"/>
        <v>0.96953934450129631</v>
      </c>
      <c r="D28" s="29">
        <f t="shared" ca="1" si="19"/>
        <v>113</v>
      </c>
      <c r="F28" s="22">
        <v>44573</v>
      </c>
      <c r="G28" s="26">
        <f t="shared" ca="1" si="1"/>
        <v>0.83952674783978731</v>
      </c>
      <c r="H28" s="29">
        <v>0</v>
      </c>
      <c r="J28" s="22">
        <v>44573</v>
      </c>
      <c r="K28" s="26">
        <f t="shared" ca="1" si="2"/>
        <v>0.70797206100619114</v>
      </c>
      <c r="L28" s="29">
        <v>0</v>
      </c>
      <c r="N28" s="22">
        <v>44573</v>
      </c>
      <c r="O28" s="26">
        <f t="shared" ca="1" si="3"/>
        <v>0.50286984054660322</v>
      </c>
      <c r="P28" s="29">
        <v>0</v>
      </c>
      <c r="R28" s="22">
        <v>44573</v>
      </c>
      <c r="S28" s="26">
        <f t="shared" ca="1" si="4"/>
        <v>0.23610979671235222</v>
      </c>
      <c r="T28" s="29">
        <v>0</v>
      </c>
      <c r="V28" s="22">
        <v>44573</v>
      </c>
      <c r="W28" s="26">
        <f t="shared" ca="1" si="5"/>
        <v>0.52548643655384586</v>
      </c>
      <c r="X28" s="29">
        <v>0</v>
      </c>
      <c r="Z28" s="22">
        <v>44573</v>
      </c>
      <c r="AA28" s="26">
        <f t="shared" ca="1" si="6"/>
        <v>0.64151605758213059</v>
      </c>
      <c r="AB28" s="29">
        <v>0</v>
      </c>
      <c r="AC28"/>
      <c r="AD28" s="25"/>
      <c r="AF28" s="22">
        <v>44573</v>
      </c>
      <c r="AG28" s="26">
        <f t="shared" ca="1" si="7"/>
        <v>0.1598183560531955</v>
      </c>
      <c r="AH28" s="29">
        <v>0</v>
      </c>
      <c r="AJ28" s="22">
        <v>44573</v>
      </c>
      <c r="AK28" s="26">
        <f t="shared" ca="1" si="8"/>
        <v>0.79852082717449346</v>
      </c>
      <c r="AL28" s="29">
        <v>0</v>
      </c>
      <c r="AN28" s="22">
        <v>44573</v>
      </c>
      <c r="AO28" s="26">
        <f t="shared" ca="1" si="9"/>
        <v>0.13978401840869581</v>
      </c>
      <c r="AP28" s="29">
        <v>0</v>
      </c>
      <c r="AR28" s="22">
        <v>44573</v>
      </c>
      <c r="AS28" s="26">
        <f t="shared" ca="1" si="10"/>
        <v>0.84845276335512665</v>
      </c>
      <c r="AT28" s="29">
        <v>0</v>
      </c>
      <c r="AV28" s="22">
        <v>44573</v>
      </c>
      <c r="AW28" s="26">
        <f t="shared" ca="1" si="11"/>
        <v>0.12446910284239066</v>
      </c>
      <c r="AX28" s="29">
        <v>0</v>
      </c>
      <c r="AZ28" s="22">
        <v>44573</v>
      </c>
      <c r="BA28" s="26">
        <f t="shared" ca="1" si="12"/>
        <v>0.946685537038367</v>
      </c>
      <c r="BB28" s="29">
        <v>0</v>
      </c>
      <c r="BC28"/>
      <c r="BD28" s="25"/>
      <c r="BF28" s="22">
        <v>44573</v>
      </c>
      <c r="BG28" s="26">
        <f t="shared" ca="1" si="13"/>
        <v>3.9959713164537169E-2</v>
      </c>
      <c r="BH28" s="29">
        <v>0</v>
      </c>
      <c r="BJ28" s="22">
        <v>44573</v>
      </c>
      <c r="BK28" s="26">
        <f t="shared" ca="1" si="14"/>
        <v>0.15278297166212773</v>
      </c>
      <c r="BL28" s="29">
        <v>0</v>
      </c>
      <c r="BN28" s="22">
        <v>44573</v>
      </c>
      <c r="BO28" s="26">
        <f t="shared" ca="1" si="15"/>
        <v>0.11484379431776515</v>
      </c>
      <c r="BP28" s="29">
        <v>0</v>
      </c>
      <c r="BR28" s="22">
        <v>44573</v>
      </c>
      <c r="BS28" s="26">
        <f t="shared" ca="1" si="16"/>
        <v>0.96955076725071587</v>
      </c>
      <c r="BT28" s="29">
        <v>0</v>
      </c>
      <c r="BV28" s="22">
        <v>44573</v>
      </c>
      <c r="BW28" s="26">
        <f t="shared" ca="1" si="17"/>
        <v>0.9423030850283417</v>
      </c>
      <c r="BX28" s="29">
        <v>0</v>
      </c>
      <c r="CA28" s="12">
        <f t="shared" si="21"/>
        <v>44896</v>
      </c>
      <c r="CB28" s="8">
        <v>14526</v>
      </c>
    </row>
    <row r="29" spans="2:80" ht="12.75" x14ac:dyDescent="0.2">
      <c r="B29" s="22">
        <v>44574</v>
      </c>
      <c r="C29" s="26">
        <f t="shared" ca="1" si="0"/>
        <v>0.8447364957219301</v>
      </c>
      <c r="D29" s="29">
        <f t="shared" ca="1" si="19"/>
        <v>96</v>
      </c>
      <c r="F29" s="22">
        <v>44574</v>
      </c>
      <c r="G29" s="26">
        <f t="shared" ca="1" si="1"/>
        <v>0.11397199517943801</v>
      </c>
      <c r="H29" s="29">
        <v>0</v>
      </c>
      <c r="J29" s="22">
        <v>44574</v>
      </c>
      <c r="K29" s="26">
        <f t="shared" ca="1" si="2"/>
        <v>0.17847463890293391</v>
      </c>
      <c r="L29" s="29">
        <v>0</v>
      </c>
      <c r="N29" s="22">
        <v>44574</v>
      </c>
      <c r="O29" s="26">
        <f t="shared" ca="1" si="3"/>
        <v>1.489397071191001E-2</v>
      </c>
      <c r="P29" s="29">
        <v>0</v>
      </c>
      <c r="R29" s="22">
        <v>44574</v>
      </c>
      <c r="S29" s="26">
        <f t="shared" ca="1" si="4"/>
        <v>0.27629792050572477</v>
      </c>
      <c r="T29" s="29">
        <v>0</v>
      </c>
      <c r="V29" s="22">
        <v>44574</v>
      </c>
      <c r="W29" s="26">
        <f t="shared" ca="1" si="5"/>
        <v>0.65653547382012645</v>
      </c>
      <c r="X29" s="29">
        <v>0</v>
      </c>
      <c r="Z29" s="22">
        <v>44574</v>
      </c>
      <c r="AA29" s="26">
        <f t="shared" ca="1" si="6"/>
        <v>0.47945527840745572</v>
      </c>
      <c r="AB29" s="29">
        <v>0</v>
      </c>
      <c r="AC29"/>
      <c r="AD29" s="25"/>
      <c r="AF29" s="22">
        <v>44574</v>
      </c>
      <c r="AG29" s="26">
        <f t="shared" ca="1" si="7"/>
        <v>0.78704056518225918</v>
      </c>
      <c r="AH29" s="29">
        <v>0</v>
      </c>
      <c r="AJ29" s="22">
        <v>44574</v>
      </c>
      <c r="AK29" s="26">
        <f t="shared" ca="1" si="8"/>
        <v>0.71840830335922956</v>
      </c>
      <c r="AL29" s="29">
        <v>0</v>
      </c>
      <c r="AN29" s="22">
        <v>44574</v>
      </c>
      <c r="AO29" s="26">
        <f t="shared" ca="1" si="9"/>
        <v>0.19687070374888582</v>
      </c>
      <c r="AP29" s="29">
        <v>0</v>
      </c>
      <c r="AR29" s="22">
        <v>44574</v>
      </c>
      <c r="AS29" s="26">
        <f t="shared" ca="1" si="10"/>
        <v>0.98028973979711953</v>
      </c>
      <c r="AT29" s="29">
        <v>0</v>
      </c>
      <c r="AV29" s="22">
        <v>44574</v>
      </c>
      <c r="AW29" s="26">
        <f t="shared" ca="1" si="11"/>
        <v>8.9628683090924088E-2</v>
      </c>
      <c r="AX29" s="29">
        <v>0</v>
      </c>
      <c r="AZ29" s="22">
        <v>44574</v>
      </c>
      <c r="BA29" s="26">
        <f t="shared" ca="1" si="12"/>
        <v>0.4286511798213839</v>
      </c>
      <c r="BB29" s="29">
        <v>0</v>
      </c>
      <c r="BC29"/>
      <c r="BD29" s="25"/>
      <c r="BF29" s="22">
        <v>44574</v>
      </c>
      <c r="BG29" s="26">
        <f t="shared" ca="1" si="13"/>
        <v>0.44559203306166895</v>
      </c>
      <c r="BH29" s="29">
        <v>0</v>
      </c>
      <c r="BJ29" s="22">
        <v>44574</v>
      </c>
      <c r="BK29" s="26">
        <f t="shared" ca="1" si="14"/>
        <v>0.29266998433251445</v>
      </c>
      <c r="BL29" s="29">
        <v>0</v>
      </c>
      <c r="BN29" s="22">
        <v>44574</v>
      </c>
      <c r="BO29" s="26">
        <f t="shared" ca="1" si="15"/>
        <v>0.19847113901529168</v>
      </c>
      <c r="BP29" s="29">
        <v>0</v>
      </c>
      <c r="BR29" s="22">
        <v>44574</v>
      </c>
      <c r="BS29" s="26">
        <f t="shared" ca="1" si="16"/>
        <v>0.36929730800853466</v>
      </c>
      <c r="BT29" s="29">
        <v>0</v>
      </c>
      <c r="BV29" s="22">
        <v>44574</v>
      </c>
      <c r="BW29" s="26">
        <f t="shared" ca="1" si="17"/>
        <v>0.85498633808358482</v>
      </c>
      <c r="BX29" s="29">
        <v>0</v>
      </c>
      <c r="CA29" s="12">
        <f t="shared" si="21"/>
        <v>44927</v>
      </c>
      <c r="CB29" s="8">
        <v>36433</v>
      </c>
    </row>
    <row r="30" spans="2:80" ht="12.75" x14ac:dyDescent="0.2">
      <c r="B30" s="22">
        <v>44575</v>
      </c>
      <c r="C30" s="26">
        <f t="shared" ca="1" si="0"/>
        <v>0.74932058210620367</v>
      </c>
      <c r="D30" s="29">
        <f t="shared" ca="1" si="19"/>
        <v>89</v>
      </c>
      <c r="F30" s="22">
        <v>44575</v>
      </c>
      <c r="G30" s="26">
        <f t="shared" ca="1" si="1"/>
        <v>0.49265900469205315</v>
      </c>
      <c r="H30" s="29">
        <v>0</v>
      </c>
      <c r="J30" s="22">
        <v>44575</v>
      </c>
      <c r="K30" s="26">
        <f t="shared" ca="1" si="2"/>
        <v>0.34497410029210551</v>
      </c>
      <c r="L30" s="29">
        <v>0</v>
      </c>
      <c r="N30" s="22">
        <v>44575</v>
      </c>
      <c r="O30" s="26">
        <f t="shared" ca="1" si="3"/>
        <v>0.79403071612681542</v>
      </c>
      <c r="P30" s="29">
        <v>0</v>
      </c>
      <c r="R30" s="22">
        <v>44575</v>
      </c>
      <c r="S30" s="26">
        <f t="shared" ca="1" si="4"/>
        <v>0.70985524781624887</v>
      </c>
      <c r="T30" s="29">
        <v>0</v>
      </c>
      <c r="V30" s="22">
        <v>44575</v>
      </c>
      <c r="W30" s="26">
        <f t="shared" ca="1" si="5"/>
        <v>0.474271606235941</v>
      </c>
      <c r="X30" s="29">
        <v>0</v>
      </c>
      <c r="Z30" s="22">
        <v>44575</v>
      </c>
      <c r="AA30" s="26">
        <f t="shared" ca="1" si="6"/>
        <v>0.15183441376077178</v>
      </c>
      <c r="AB30" s="29">
        <v>0</v>
      </c>
      <c r="AC30"/>
      <c r="AD30" s="25"/>
      <c r="AF30" s="22">
        <v>44575</v>
      </c>
      <c r="AG30" s="26">
        <f t="shared" ca="1" si="7"/>
        <v>0.84707328468532794</v>
      </c>
      <c r="AH30" s="29">
        <v>0</v>
      </c>
      <c r="AJ30" s="22">
        <v>44575</v>
      </c>
      <c r="AK30" s="26">
        <f t="shared" ca="1" si="8"/>
        <v>0.67250828480763336</v>
      </c>
      <c r="AL30" s="29">
        <v>0</v>
      </c>
      <c r="AN30" s="22">
        <v>44575</v>
      </c>
      <c r="AO30" s="26">
        <f t="shared" ca="1" si="9"/>
        <v>0.28828605660712459</v>
      </c>
      <c r="AP30" s="29">
        <v>0</v>
      </c>
      <c r="AR30" s="22">
        <v>44575</v>
      </c>
      <c r="AS30" s="26">
        <f t="shared" ca="1" si="10"/>
        <v>3.0146257704106394E-2</v>
      </c>
      <c r="AT30" s="29">
        <v>0</v>
      </c>
      <c r="AV30" s="22">
        <v>44575</v>
      </c>
      <c r="AW30" s="26">
        <f t="shared" ca="1" si="11"/>
        <v>0.59355829225138101</v>
      </c>
      <c r="AX30" s="29">
        <v>0</v>
      </c>
      <c r="AZ30" s="22">
        <v>44575</v>
      </c>
      <c r="BA30" s="26">
        <f t="shared" ca="1" si="12"/>
        <v>3.0862023309767839E-3</v>
      </c>
      <c r="BB30" s="29">
        <v>0</v>
      </c>
      <c r="BC30"/>
      <c r="BD30" s="25"/>
      <c r="BF30" s="22">
        <v>44575</v>
      </c>
      <c r="BG30" s="26">
        <f t="shared" ca="1" si="13"/>
        <v>5.4596634399110444E-2</v>
      </c>
      <c r="BH30" s="29">
        <v>0</v>
      </c>
      <c r="BJ30" s="22">
        <v>44575</v>
      </c>
      <c r="BK30" s="26">
        <f t="shared" ca="1" si="14"/>
        <v>0.10633071216629431</v>
      </c>
      <c r="BL30" s="29">
        <v>0</v>
      </c>
      <c r="BN30" s="22">
        <v>44575</v>
      </c>
      <c r="BO30" s="26">
        <f t="shared" ca="1" si="15"/>
        <v>9.0385586260770534E-2</v>
      </c>
      <c r="BP30" s="29">
        <v>0</v>
      </c>
      <c r="BR30" s="22">
        <v>44575</v>
      </c>
      <c r="BS30" s="26">
        <f t="shared" ca="1" si="16"/>
        <v>0.58939359904550725</v>
      </c>
      <c r="BT30" s="29">
        <v>0</v>
      </c>
      <c r="BV30" s="22">
        <v>44575</v>
      </c>
      <c r="BW30" s="26">
        <f t="shared" ca="1" si="17"/>
        <v>0.3241436436228986</v>
      </c>
      <c r="BX30" s="29">
        <v>0</v>
      </c>
      <c r="CA30" s="12">
        <f t="shared" si="21"/>
        <v>44958</v>
      </c>
      <c r="CB30" s="8">
        <v>24633</v>
      </c>
    </row>
    <row r="31" spans="2:80" ht="12.75" x14ac:dyDescent="0.2">
      <c r="B31" s="22">
        <v>44576</v>
      </c>
      <c r="C31" s="26">
        <f t="shared" ca="1" si="0"/>
        <v>0.32570847916095558</v>
      </c>
      <c r="D31" s="29">
        <f t="shared" ca="1" si="19"/>
        <v>66</v>
      </c>
      <c r="F31" s="22">
        <v>44576</v>
      </c>
      <c r="G31" s="26">
        <f t="shared" ca="1" si="1"/>
        <v>0.29186031747397234</v>
      </c>
      <c r="H31" s="29">
        <v>0</v>
      </c>
      <c r="J31" s="22">
        <v>44576</v>
      </c>
      <c r="K31" s="26">
        <f t="shared" ca="1" si="2"/>
        <v>0.91177221931783692</v>
      </c>
      <c r="L31" s="29">
        <v>0</v>
      </c>
      <c r="N31" s="22">
        <v>44576</v>
      </c>
      <c r="O31" s="26">
        <f t="shared" ca="1" si="3"/>
        <v>0.73071852502474777</v>
      </c>
      <c r="P31" s="29">
        <v>0</v>
      </c>
      <c r="R31" s="22">
        <v>44576</v>
      </c>
      <c r="S31" s="26">
        <f t="shared" ca="1" si="4"/>
        <v>0.82600494307868788</v>
      </c>
      <c r="T31" s="29">
        <v>0</v>
      </c>
      <c r="V31" s="22">
        <v>44576</v>
      </c>
      <c r="W31" s="26">
        <f t="shared" ca="1" si="5"/>
        <v>0.97224877889739325</v>
      </c>
      <c r="X31" s="29">
        <v>0</v>
      </c>
      <c r="Z31" s="22">
        <v>44576</v>
      </c>
      <c r="AA31" s="26">
        <f t="shared" ca="1" si="6"/>
        <v>9.8886346510730916E-2</v>
      </c>
      <c r="AB31" s="29">
        <v>0</v>
      </c>
      <c r="AC31"/>
      <c r="AD31" s="25"/>
      <c r="AF31" s="22">
        <v>44576</v>
      </c>
      <c r="AG31" s="26">
        <f t="shared" ca="1" si="7"/>
        <v>0.22207864401888255</v>
      </c>
      <c r="AH31" s="29">
        <v>0</v>
      </c>
      <c r="AJ31" s="22">
        <v>44576</v>
      </c>
      <c r="AK31" s="26">
        <f t="shared" ca="1" si="8"/>
        <v>0.81301992477217266</v>
      </c>
      <c r="AL31" s="29">
        <v>0</v>
      </c>
      <c r="AN31" s="22">
        <v>44576</v>
      </c>
      <c r="AO31" s="26">
        <f t="shared" ca="1" si="9"/>
        <v>0.45053180311132102</v>
      </c>
      <c r="AP31" s="29">
        <v>0</v>
      </c>
      <c r="AR31" s="22">
        <v>44576</v>
      </c>
      <c r="AS31" s="26">
        <f t="shared" ca="1" si="10"/>
        <v>0.5602673055043047</v>
      </c>
      <c r="AT31" s="29">
        <v>0</v>
      </c>
      <c r="AV31" s="22">
        <v>44576</v>
      </c>
      <c r="AW31" s="26">
        <f t="shared" ca="1" si="11"/>
        <v>0.83102296552036647</v>
      </c>
      <c r="AX31" s="29">
        <v>0</v>
      </c>
      <c r="AZ31" s="22">
        <v>44576</v>
      </c>
      <c r="BA31" s="26">
        <f t="shared" ca="1" si="12"/>
        <v>0.74421762803982439</v>
      </c>
      <c r="BB31" s="29">
        <v>0</v>
      </c>
      <c r="BC31"/>
      <c r="BD31" s="25"/>
      <c r="BF31" s="22">
        <v>44576</v>
      </c>
      <c r="BG31" s="26">
        <f t="shared" ca="1" si="13"/>
        <v>0.69179472262492714</v>
      </c>
      <c r="BH31" s="29">
        <v>0</v>
      </c>
      <c r="BJ31" s="22">
        <v>44576</v>
      </c>
      <c r="BK31" s="26">
        <f t="shared" ca="1" si="14"/>
        <v>0.19198524612243451</v>
      </c>
      <c r="BL31" s="29">
        <v>0</v>
      </c>
      <c r="BN31" s="22">
        <v>44576</v>
      </c>
      <c r="BO31" s="26">
        <f t="shared" ca="1" si="15"/>
        <v>0.81585246063859962</v>
      </c>
      <c r="BP31" s="29">
        <v>0</v>
      </c>
      <c r="BR31" s="22">
        <v>44576</v>
      </c>
      <c r="BS31" s="26">
        <f t="shared" ca="1" si="16"/>
        <v>1.437519241761398E-2</v>
      </c>
      <c r="BT31" s="29">
        <v>0</v>
      </c>
      <c r="BV31" s="22">
        <v>44576</v>
      </c>
      <c r="BW31" s="26">
        <f t="shared" ca="1" si="17"/>
        <v>2.3133310846087052E-2</v>
      </c>
      <c r="BX31" s="29">
        <v>0</v>
      </c>
      <c r="CA31" s="12">
        <f t="shared" si="21"/>
        <v>44986</v>
      </c>
      <c r="CB31" s="8">
        <v>40889</v>
      </c>
    </row>
    <row r="32" spans="2:80" ht="12.75" x14ac:dyDescent="0.2">
      <c r="B32" s="22">
        <v>44577</v>
      </c>
      <c r="C32" s="26">
        <f t="shared" ca="1" si="0"/>
        <v>0.28992306522449229</v>
      </c>
      <c r="D32" s="29">
        <f t="shared" ca="1" si="19"/>
        <v>64</v>
      </c>
      <c r="F32" s="22">
        <v>44577</v>
      </c>
      <c r="G32" s="26">
        <f t="shared" ca="1" si="1"/>
        <v>0.82011569337255641</v>
      </c>
      <c r="H32" s="29">
        <v>0</v>
      </c>
      <c r="J32" s="22">
        <v>44577</v>
      </c>
      <c r="K32" s="26">
        <f t="shared" ca="1" si="2"/>
        <v>0.28770455316900845</v>
      </c>
      <c r="L32" s="29">
        <v>0</v>
      </c>
      <c r="N32" s="22">
        <v>44577</v>
      </c>
      <c r="O32" s="26">
        <f t="shared" ca="1" si="3"/>
        <v>0.88532470717811673</v>
      </c>
      <c r="P32" s="29">
        <v>0</v>
      </c>
      <c r="R32" s="22">
        <v>44577</v>
      </c>
      <c r="S32" s="26">
        <f t="shared" ca="1" si="4"/>
        <v>0.29233972077053683</v>
      </c>
      <c r="T32" s="29">
        <v>0</v>
      </c>
      <c r="V32" s="22">
        <v>44577</v>
      </c>
      <c r="W32" s="26">
        <f t="shared" ca="1" si="5"/>
        <v>0.74570823945237452</v>
      </c>
      <c r="X32" s="29">
        <v>0</v>
      </c>
      <c r="Z32" s="22">
        <v>44577</v>
      </c>
      <c r="AA32" s="26">
        <f t="shared" ca="1" si="6"/>
        <v>0.9857616317840876</v>
      </c>
      <c r="AB32" s="29">
        <v>0</v>
      </c>
      <c r="AC32"/>
      <c r="AD32" s="25"/>
      <c r="AF32" s="22">
        <v>44577</v>
      </c>
      <c r="AG32" s="26">
        <f t="shared" ca="1" si="7"/>
        <v>0.41817649616164132</v>
      </c>
      <c r="AH32" s="29">
        <v>0</v>
      </c>
      <c r="AJ32" s="22">
        <v>44577</v>
      </c>
      <c r="AK32" s="26">
        <f t="shared" ca="1" si="8"/>
        <v>0.47801564922604611</v>
      </c>
      <c r="AL32" s="29">
        <v>0</v>
      </c>
      <c r="AN32" s="22">
        <v>44577</v>
      </c>
      <c r="AO32" s="26">
        <f t="shared" ca="1" si="9"/>
        <v>0.25326347619615619</v>
      </c>
      <c r="AP32" s="29">
        <v>0</v>
      </c>
      <c r="AR32" s="22">
        <v>44577</v>
      </c>
      <c r="AS32" s="26">
        <f t="shared" ca="1" si="10"/>
        <v>0.94299988467714702</v>
      </c>
      <c r="AT32" s="29">
        <v>0</v>
      </c>
      <c r="AV32" s="22">
        <v>44577</v>
      </c>
      <c r="AW32" s="26">
        <f t="shared" ca="1" si="11"/>
        <v>0.70089810562716104</v>
      </c>
      <c r="AX32" s="29">
        <v>0</v>
      </c>
      <c r="AZ32" s="22">
        <v>44577</v>
      </c>
      <c r="BA32" s="26">
        <f t="shared" ca="1" si="12"/>
        <v>0.87153875332762054</v>
      </c>
      <c r="BB32" s="29">
        <v>0</v>
      </c>
      <c r="BC32"/>
      <c r="BD32" s="25"/>
      <c r="BF32" s="22">
        <v>44577</v>
      </c>
      <c r="BG32" s="26">
        <f t="shared" ca="1" si="13"/>
        <v>0.68487110541048657</v>
      </c>
      <c r="BH32" s="29">
        <v>0</v>
      </c>
      <c r="BJ32" s="22">
        <v>44577</v>
      </c>
      <c r="BK32" s="26">
        <f t="shared" ca="1" si="14"/>
        <v>0.59661011813548503</v>
      </c>
      <c r="BL32" s="29">
        <v>0</v>
      </c>
      <c r="BN32" s="22">
        <v>44577</v>
      </c>
      <c r="BO32" s="26">
        <f t="shared" ca="1" si="15"/>
        <v>0.17740224140745897</v>
      </c>
      <c r="BP32" s="29">
        <v>0</v>
      </c>
      <c r="BR32" s="22">
        <v>44577</v>
      </c>
      <c r="BS32" s="26">
        <f t="shared" ca="1" si="16"/>
        <v>0.55437978926753451</v>
      </c>
      <c r="BT32" s="29">
        <v>0</v>
      </c>
      <c r="BV32" s="22">
        <v>44577</v>
      </c>
      <c r="BW32" s="26">
        <f t="shared" ca="1" si="17"/>
        <v>0.43873524399500607</v>
      </c>
      <c r="BX32" s="29">
        <v>0</v>
      </c>
      <c r="CA32" s="12">
        <f t="shared" si="21"/>
        <v>45017</v>
      </c>
      <c r="CB32" s="8">
        <v>27090</v>
      </c>
    </row>
    <row r="33" spans="2:80" ht="12.75" x14ac:dyDescent="0.2">
      <c r="B33" s="22">
        <v>44578</v>
      </c>
      <c r="C33" s="26">
        <f t="shared" ca="1" si="0"/>
        <v>0.55817042915529191</v>
      </c>
      <c r="D33" s="29">
        <f t="shared" ca="1" si="19"/>
        <v>78</v>
      </c>
      <c r="F33" s="22">
        <v>44578</v>
      </c>
      <c r="G33" s="26">
        <f t="shared" ca="1" si="1"/>
        <v>0.20919711149268638</v>
      </c>
      <c r="H33" s="29">
        <v>0</v>
      </c>
      <c r="J33" s="22">
        <v>44578</v>
      </c>
      <c r="K33" s="26">
        <f t="shared" ca="1" si="2"/>
        <v>0.44679454588911471</v>
      </c>
      <c r="L33" s="29">
        <v>0</v>
      </c>
      <c r="N33" s="22">
        <v>44578</v>
      </c>
      <c r="O33" s="26">
        <f t="shared" ca="1" si="3"/>
        <v>0.26320552808630138</v>
      </c>
      <c r="P33" s="29">
        <v>0</v>
      </c>
      <c r="R33" s="22">
        <v>44578</v>
      </c>
      <c r="S33" s="26">
        <f t="shared" ca="1" si="4"/>
        <v>0.58949165106026546</v>
      </c>
      <c r="T33" s="29">
        <v>0</v>
      </c>
      <c r="V33" s="22">
        <v>44578</v>
      </c>
      <c r="W33" s="26">
        <f t="shared" ca="1" si="5"/>
        <v>0.17926643171031931</v>
      </c>
      <c r="X33" s="29">
        <v>0</v>
      </c>
      <c r="Z33" s="22">
        <v>44578</v>
      </c>
      <c r="AA33" s="26">
        <f t="shared" ca="1" si="6"/>
        <v>0.48203992201044432</v>
      </c>
      <c r="AB33" s="29">
        <v>0</v>
      </c>
      <c r="AC33"/>
      <c r="AD33" s="25"/>
      <c r="AF33" s="22">
        <v>44578</v>
      </c>
      <c r="AG33" s="26">
        <f t="shared" ca="1" si="7"/>
        <v>0.83802787944876944</v>
      </c>
      <c r="AH33" s="29">
        <v>0</v>
      </c>
      <c r="AJ33" s="22">
        <v>44578</v>
      </c>
      <c r="AK33" s="26">
        <f t="shared" ca="1" si="8"/>
        <v>0.18732539772860379</v>
      </c>
      <c r="AL33" s="29">
        <v>0</v>
      </c>
      <c r="AN33" s="22">
        <v>44578</v>
      </c>
      <c r="AO33" s="26">
        <f t="shared" ca="1" si="9"/>
        <v>0.20780186937902578</v>
      </c>
      <c r="AP33" s="29">
        <v>0</v>
      </c>
      <c r="AR33" s="22">
        <v>44578</v>
      </c>
      <c r="AS33" s="26">
        <f t="shared" ca="1" si="10"/>
        <v>0.23140294419896312</v>
      </c>
      <c r="AT33" s="29">
        <v>0</v>
      </c>
      <c r="AV33" s="22">
        <v>44578</v>
      </c>
      <c r="AW33" s="26">
        <f t="shared" ca="1" si="11"/>
        <v>0.98922306520072212</v>
      </c>
      <c r="AX33" s="29">
        <v>0</v>
      </c>
      <c r="AZ33" s="22">
        <v>44578</v>
      </c>
      <c r="BA33" s="26">
        <f t="shared" ca="1" si="12"/>
        <v>0.88722625581063164</v>
      </c>
      <c r="BB33" s="29">
        <v>0</v>
      </c>
      <c r="BC33"/>
      <c r="BD33" s="25"/>
      <c r="BF33" s="22">
        <v>44578</v>
      </c>
      <c r="BG33" s="26">
        <f t="shared" ca="1" si="13"/>
        <v>0.955919568492552</v>
      </c>
      <c r="BH33" s="29">
        <v>0</v>
      </c>
      <c r="BJ33" s="22">
        <v>44578</v>
      </c>
      <c r="BK33" s="26">
        <f t="shared" ca="1" si="14"/>
        <v>0.84321098833362929</v>
      </c>
      <c r="BL33" s="29">
        <v>0</v>
      </c>
      <c r="BN33" s="22">
        <v>44578</v>
      </c>
      <c r="BO33" s="26">
        <f t="shared" ca="1" si="15"/>
        <v>0.86559136471255738</v>
      </c>
      <c r="BP33" s="29">
        <v>0</v>
      </c>
      <c r="BR33" s="22">
        <v>44578</v>
      </c>
      <c r="BS33" s="26">
        <f t="shared" ca="1" si="16"/>
        <v>0.21046095878504134</v>
      </c>
      <c r="BT33" s="29">
        <v>0</v>
      </c>
      <c r="BV33" s="22">
        <v>44578</v>
      </c>
      <c r="BW33" s="26">
        <f t="shared" ca="1" si="17"/>
        <v>0.80438531525151069</v>
      </c>
      <c r="BX33" s="29">
        <v>0</v>
      </c>
      <c r="CA33" s="12">
        <f t="shared" si="21"/>
        <v>45047</v>
      </c>
      <c r="CB33" s="8">
        <v>40565</v>
      </c>
    </row>
    <row r="34" spans="2:80" ht="12.75" x14ac:dyDescent="0.2">
      <c r="B34" s="22">
        <v>44579</v>
      </c>
      <c r="C34" s="26">
        <f t="shared" ca="1" si="0"/>
        <v>0.75782298441037677</v>
      </c>
      <c r="D34" s="29">
        <f t="shared" ca="1" si="19"/>
        <v>89</v>
      </c>
      <c r="F34" s="22">
        <v>44579</v>
      </c>
      <c r="G34" s="26">
        <f t="shared" ca="1" si="1"/>
        <v>0.10428581455683716</v>
      </c>
      <c r="H34" s="29">
        <v>0</v>
      </c>
      <c r="J34" s="22">
        <v>44579</v>
      </c>
      <c r="K34" s="26">
        <f t="shared" ca="1" si="2"/>
        <v>0.84217700263083839</v>
      </c>
      <c r="L34" s="29">
        <v>0</v>
      </c>
      <c r="N34" s="22">
        <v>44579</v>
      </c>
      <c r="O34" s="26">
        <f t="shared" ca="1" si="3"/>
        <v>0.76438671108874667</v>
      </c>
      <c r="P34" s="29">
        <v>0</v>
      </c>
      <c r="R34" s="22">
        <v>44579</v>
      </c>
      <c r="S34" s="26">
        <f t="shared" ca="1" si="4"/>
        <v>0.77015697352334489</v>
      </c>
      <c r="T34" s="29">
        <v>0</v>
      </c>
      <c r="V34" s="22">
        <v>44579</v>
      </c>
      <c r="W34" s="26">
        <f t="shared" ca="1" si="5"/>
        <v>0.77004411522610372</v>
      </c>
      <c r="X34" s="29">
        <v>0</v>
      </c>
      <c r="Z34" s="22">
        <v>44579</v>
      </c>
      <c r="AA34" s="26">
        <f t="shared" ca="1" si="6"/>
        <v>1.5836552952785188E-2</v>
      </c>
      <c r="AB34" s="29">
        <v>0</v>
      </c>
      <c r="AC34"/>
      <c r="AD34" s="25"/>
      <c r="AF34" s="22">
        <v>44579</v>
      </c>
      <c r="AG34" s="26">
        <f t="shared" ca="1" si="7"/>
        <v>0.91557114086677494</v>
      </c>
      <c r="AH34" s="29">
        <v>0</v>
      </c>
      <c r="AJ34" s="22">
        <v>44579</v>
      </c>
      <c r="AK34" s="26">
        <f t="shared" ca="1" si="8"/>
        <v>0.20027898623154272</v>
      </c>
      <c r="AL34" s="29">
        <v>0</v>
      </c>
      <c r="AN34" s="22">
        <v>44579</v>
      </c>
      <c r="AO34" s="26">
        <f t="shared" ca="1" si="9"/>
        <v>0.99384609344218289</v>
      </c>
      <c r="AP34" s="29">
        <v>0</v>
      </c>
      <c r="AR34" s="22">
        <v>44579</v>
      </c>
      <c r="AS34" s="26">
        <f t="shared" ca="1" si="10"/>
        <v>0.9659357665345063</v>
      </c>
      <c r="AT34" s="29">
        <v>0</v>
      </c>
      <c r="AV34" s="22">
        <v>44579</v>
      </c>
      <c r="AW34" s="26">
        <f t="shared" ca="1" si="11"/>
        <v>0.44230131275683093</v>
      </c>
      <c r="AX34" s="29">
        <v>0</v>
      </c>
      <c r="AZ34" s="22">
        <v>44579</v>
      </c>
      <c r="BA34" s="26">
        <f t="shared" ca="1" si="12"/>
        <v>0.34599441424156652</v>
      </c>
      <c r="BB34" s="29">
        <v>0</v>
      </c>
      <c r="BC34"/>
      <c r="BD34" s="25"/>
      <c r="BF34" s="22">
        <v>44579</v>
      </c>
      <c r="BG34" s="26">
        <f t="shared" ca="1" si="13"/>
        <v>0.41428601410539412</v>
      </c>
      <c r="BH34" s="29">
        <v>0</v>
      </c>
      <c r="BJ34" s="22">
        <v>44579</v>
      </c>
      <c r="BK34" s="26">
        <f t="shared" ca="1" si="14"/>
        <v>0.56421240434968845</v>
      </c>
      <c r="BL34" s="29">
        <v>0</v>
      </c>
      <c r="BN34" s="22">
        <v>44579</v>
      </c>
      <c r="BO34" s="26">
        <f t="shared" ca="1" si="15"/>
        <v>0.84759884183641054</v>
      </c>
      <c r="BP34" s="29">
        <v>0</v>
      </c>
      <c r="BR34" s="22">
        <v>44579</v>
      </c>
      <c r="BS34" s="26">
        <f t="shared" ca="1" si="16"/>
        <v>0.97739677832810801</v>
      </c>
      <c r="BT34" s="29">
        <v>0</v>
      </c>
      <c r="BV34" s="22">
        <v>44579</v>
      </c>
      <c r="BW34" s="26">
        <f t="shared" ca="1" si="17"/>
        <v>0.14713747017578793</v>
      </c>
      <c r="BX34" s="29">
        <v>0</v>
      </c>
      <c r="CA34" s="12">
        <f t="shared" si="21"/>
        <v>45078</v>
      </c>
      <c r="CB34" s="8">
        <v>39008</v>
      </c>
    </row>
    <row r="35" spans="2:80" ht="12.75" x14ac:dyDescent="0.2">
      <c r="B35" s="22">
        <v>44580</v>
      </c>
      <c r="C35" s="26">
        <f t="shared" ca="1" si="0"/>
        <v>0.58628830747251226</v>
      </c>
      <c r="D35" s="29">
        <f t="shared" ca="1" si="19"/>
        <v>80</v>
      </c>
      <c r="F35" s="22">
        <v>44580</v>
      </c>
      <c r="G35" s="26">
        <f t="shared" ca="1" si="1"/>
        <v>0.40184868609930935</v>
      </c>
      <c r="H35" s="29">
        <v>0</v>
      </c>
      <c r="J35" s="22">
        <v>44580</v>
      </c>
      <c r="K35" s="26">
        <f t="shared" ca="1" si="2"/>
        <v>0.30286232195771434</v>
      </c>
      <c r="L35" s="29">
        <v>0</v>
      </c>
      <c r="N35" s="22">
        <v>44580</v>
      </c>
      <c r="O35" s="26">
        <f t="shared" ca="1" si="3"/>
        <v>0.46797016107884937</v>
      </c>
      <c r="P35" s="29">
        <v>0</v>
      </c>
      <c r="R35" s="22">
        <v>44580</v>
      </c>
      <c r="S35" s="26">
        <f t="shared" ca="1" si="4"/>
        <v>0.59015975731964443</v>
      </c>
      <c r="T35" s="29">
        <v>0</v>
      </c>
      <c r="V35" s="22">
        <v>44580</v>
      </c>
      <c r="W35" s="26">
        <f t="shared" ca="1" si="5"/>
        <v>0.95671873237600691</v>
      </c>
      <c r="X35" s="29">
        <v>0</v>
      </c>
      <c r="Z35" s="22">
        <v>44580</v>
      </c>
      <c r="AA35" s="26">
        <f t="shared" ca="1" si="6"/>
        <v>0.90215994366096186</v>
      </c>
      <c r="AB35" s="29">
        <v>0</v>
      </c>
      <c r="AC35"/>
      <c r="AD35" s="25"/>
      <c r="AF35" s="22">
        <v>44580</v>
      </c>
      <c r="AG35" s="26">
        <f t="shared" ca="1" si="7"/>
        <v>0.36074371466670119</v>
      </c>
      <c r="AH35" s="29">
        <v>0</v>
      </c>
      <c r="AJ35" s="22">
        <v>44580</v>
      </c>
      <c r="AK35" s="26">
        <f t="shared" ca="1" si="8"/>
        <v>0.51154101185231682</v>
      </c>
      <c r="AL35" s="29">
        <v>0</v>
      </c>
      <c r="AN35" s="22">
        <v>44580</v>
      </c>
      <c r="AO35" s="26">
        <f t="shared" ca="1" si="9"/>
        <v>0.29157303906978049</v>
      </c>
      <c r="AP35" s="29">
        <v>0</v>
      </c>
      <c r="AR35" s="22">
        <v>44580</v>
      </c>
      <c r="AS35" s="26">
        <f t="shared" ca="1" si="10"/>
        <v>0.86527421797070303</v>
      </c>
      <c r="AT35" s="29">
        <v>0</v>
      </c>
      <c r="AV35" s="22">
        <v>44580</v>
      </c>
      <c r="AW35" s="26">
        <f t="shared" ca="1" si="11"/>
        <v>0.56638107775154733</v>
      </c>
      <c r="AX35" s="29">
        <v>0</v>
      </c>
      <c r="AZ35" s="22">
        <v>44580</v>
      </c>
      <c r="BA35" s="26">
        <f t="shared" ca="1" si="12"/>
        <v>0.12647060261452348</v>
      </c>
      <c r="BB35" s="29">
        <v>0</v>
      </c>
      <c r="BC35"/>
      <c r="BD35" s="25"/>
      <c r="BF35" s="22">
        <v>44580</v>
      </c>
      <c r="BG35" s="26">
        <f t="shared" ca="1" si="13"/>
        <v>0.245251637369993</v>
      </c>
      <c r="BH35" s="29">
        <v>0</v>
      </c>
      <c r="BJ35" s="22">
        <v>44580</v>
      </c>
      <c r="BK35" s="26">
        <f t="shared" ca="1" si="14"/>
        <v>5.7077157578589222E-2</v>
      </c>
      <c r="BL35" s="29">
        <v>0</v>
      </c>
      <c r="BN35" s="22">
        <v>44580</v>
      </c>
      <c r="BO35" s="26">
        <f t="shared" ca="1" si="15"/>
        <v>0.70423484392768165</v>
      </c>
      <c r="BP35" s="29">
        <v>0</v>
      </c>
      <c r="BR35" s="22">
        <v>44580</v>
      </c>
      <c r="BS35" s="26">
        <f t="shared" ca="1" si="16"/>
        <v>0.39543055344871691</v>
      </c>
      <c r="BT35" s="29">
        <v>0</v>
      </c>
      <c r="BV35" s="22">
        <v>44580</v>
      </c>
      <c r="BW35" s="26">
        <f t="shared" ca="1" si="17"/>
        <v>0.81425452788485331</v>
      </c>
      <c r="BX35" s="29">
        <v>0</v>
      </c>
      <c r="CA35" s="12">
        <f t="shared" si="21"/>
        <v>45108</v>
      </c>
      <c r="CB35" s="8">
        <v>7775</v>
      </c>
    </row>
    <row r="36" spans="2:80" ht="12.75" x14ac:dyDescent="0.2">
      <c r="B36" s="22">
        <v>44581</v>
      </c>
      <c r="C36" s="26">
        <f t="shared" ca="1" si="0"/>
        <v>0.82005902534815767</v>
      </c>
      <c r="D36" s="29">
        <f t="shared" ca="1" si="19"/>
        <v>94</v>
      </c>
      <c r="F36" s="22">
        <v>44581</v>
      </c>
      <c r="G36" s="26">
        <f t="shared" ca="1" si="1"/>
        <v>0.92821179042685154</v>
      </c>
      <c r="H36" s="29">
        <v>0</v>
      </c>
      <c r="J36" s="22">
        <v>44581</v>
      </c>
      <c r="K36" s="26">
        <f t="shared" ca="1" si="2"/>
        <v>0.97499347888793764</v>
      </c>
      <c r="L36" s="29">
        <v>0</v>
      </c>
      <c r="N36" s="22">
        <v>44581</v>
      </c>
      <c r="O36" s="26">
        <f t="shared" ca="1" si="3"/>
        <v>0.19562641783168289</v>
      </c>
      <c r="P36" s="29">
        <v>0</v>
      </c>
      <c r="R36" s="22">
        <v>44581</v>
      </c>
      <c r="S36" s="26">
        <f t="shared" ca="1" si="4"/>
        <v>0.88272570573172127</v>
      </c>
      <c r="T36" s="29">
        <v>0</v>
      </c>
      <c r="V36" s="22">
        <v>44581</v>
      </c>
      <c r="W36" s="26">
        <f t="shared" ca="1" si="5"/>
        <v>0.27845798288695212</v>
      </c>
      <c r="X36" s="29">
        <v>0</v>
      </c>
      <c r="Z36" s="22">
        <v>44581</v>
      </c>
      <c r="AA36" s="26">
        <f t="shared" ca="1" si="6"/>
        <v>0.93285904049656254</v>
      </c>
      <c r="AB36" s="29">
        <v>0</v>
      </c>
      <c r="AC36"/>
      <c r="AD36" s="25"/>
      <c r="AF36" s="22">
        <v>44581</v>
      </c>
      <c r="AG36" s="26">
        <f t="shared" ca="1" si="7"/>
        <v>0.32674684537693544</v>
      </c>
      <c r="AH36" s="29">
        <v>0</v>
      </c>
      <c r="AJ36" s="22">
        <v>44581</v>
      </c>
      <c r="AK36" s="26">
        <f t="shared" ca="1" si="8"/>
        <v>0.85143085446980371</v>
      </c>
      <c r="AL36" s="29">
        <v>0</v>
      </c>
      <c r="AN36" s="22">
        <v>44581</v>
      </c>
      <c r="AO36" s="26">
        <f t="shared" ca="1" si="9"/>
        <v>7.8279246044092754E-2</v>
      </c>
      <c r="AP36" s="29">
        <v>0</v>
      </c>
      <c r="AR36" s="22">
        <v>44581</v>
      </c>
      <c r="AS36" s="26">
        <f t="shared" ca="1" si="10"/>
        <v>0.8738231526037803</v>
      </c>
      <c r="AT36" s="29">
        <v>0</v>
      </c>
      <c r="AV36" s="22">
        <v>44581</v>
      </c>
      <c r="AW36" s="26">
        <f t="shared" ca="1" si="11"/>
        <v>0.59921684760402183</v>
      </c>
      <c r="AX36" s="29">
        <v>0</v>
      </c>
      <c r="AZ36" s="22">
        <v>44581</v>
      </c>
      <c r="BA36" s="26">
        <f t="shared" ca="1" si="12"/>
        <v>0.24163820389891222</v>
      </c>
      <c r="BB36" s="29">
        <v>0</v>
      </c>
      <c r="BC36"/>
      <c r="BD36" s="25"/>
      <c r="BF36" s="22">
        <v>44581</v>
      </c>
      <c r="BG36" s="26">
        <f t="shared" ca="1" si="13"/>
        <v>0.23344538626875966</v>
      </c>
      <c r="BH36" s="29">
        <v>0</v>
      </c>
      <c r="BJ36" s="22">
        <v>44581</v>
      </c>
      <c r="BK36" s="26">
        <f t="shared" ca="1" si="14"/>
        <v>0.49210416004502155</v>
      </c>
      <c r="BL36" s="29">
        <v>0</v>
      </c>
      <c r="BN36" s="22">
        <v>44581</v>
      </c>
      <c r="BO36" s="26">
        <f t="shared" ca="1" si="15"/>
        <v>0.8370016902951205</v>
      </c>
      <c r="BP36" s="29">
        <v>0</v>
      </c>
      <c r="BR36" s="22">
        <v>44581</v>
      </c>
      <c r="BS36" s="26">
        <f t="shared" ca="1" si="16"/>
        <v>2.2836556344888459E-2</v>
      </c>
      <c r="BT36" s="29">
        <v>0</v>
      </c>
      <c r="BV36" s="22">
        <v>44581</v>
      </c>
      <c r="BW36" s="26">
        <f t="shared" ca="1" si="17"/>
        <v>8.642855641294056E-2</v>
      </c>
      <c r="BX36" s="29">
        <v>0</v>
      </c>
      <c r="CA36" s="12">
        <f t="shared" si="21"/>
        <v>45139</v>
      </c>
      <c r="CB36" s="8">
        <v>5</v>
      </c>
    </row>
    <row r="37" spans="2:80" ht="12.75" x14ac:dyDescent="0.2">
      <c r="B37" s="22">
        <v>44582</v>
      </c>
      <c r="C37" s="26">
        <f t="shared" ca="1" si="0"/>
        <v>0.32037830003447387</v>
      </c>
      <c r="D37" s="29">
        <f t="shared" ca="1" si="19"/>
        <v>66</v>
      </c>
      <c r="F37" s="22">
        <v>44582</v>
      </c>
      <c r="G37" s="26">
        <f t="shared" ca="1" si="1"/>
        <v>0.8646336864572659</v>
      </c>
      <c r="H37" s="29">
        <v>0</v>
      </c>
      <c r="J37" s="22">
        <v>44582</v>
      </c>
      <c r="K37" s="26">
        <f t="shared" ca="1" si="2"/>
        <v>0.14214113012757745</v>
      </c>
      <c r="L37" s="29">
        <v>0</v>
      </c>
      <c r="N37" s="22">
        <v>44582</v>
      </c>
      <c r="O37" s="26">
        <f t="shared" ca="1" si="3"/>
        <v>0.85989266956065635</v>
      </c>
      <c r="P37" s="29">
        <v>0</v>
      </c>
      <c r="R37" s="22">
        <v>44582</v>
      </c>
      <c r="S37" s="26">
        <f t="shared" ca="1" si="4"/>
        <v>0.37372021996264737</v>
      </c>
      <c r="T37" s="29">
        <v>0</v>
      </c>
      <c r="V37" s="22">
        <v>44582</v>
      </c>
      <c r="W37" s="26">
        <f t="shared" ca="1" si="5"/>
        <v>0.26829718644167355</v>
      </c>
      <c r="X37" s="29">
        <v>0</v>
      </c>
      <c r="Z37" s="22">
        <v>44582</v>
      </c>
      <c r="AA37" s="26">
        <f t="shared" ca="1" si="6"/>
        <v>3.4878726674752447E-2</v>
      </c>
      <c r="AB37" s="29">
        <v>0</v>
      </c>
      <c r="AC37"/>
      <c r="AD37" s="25"/>
      <c r="AF37" s="22">
        <v>44582</v>
      </c>
      <c r="AG37" s="26">
        <f t="shared" ca="1" si="7"/>
        <v>0.73109829946794891</v>
      </c>
      <c r="AH37" s="29">
        <v>0</v>
      </c>
      <c r="AJ37" s="22">
        <v>44582</v>
      </c>
      <c r="AK37" s="26">
        <f t="shared" ca="1" si="8"/>
        <v>0.67808851058514164</v>
      </c>
      <c r="AL37" s="29">
        <v>0</v>
      </c>
      <c r="AN37" s="22">
        <v>44582</v>
      </c>
      <c r="AO37" s="26">
        <f t="shared" ca="1" si="9"/>
        <v>0.15664474263673622</v>
      </c>
      <c r="AP37" s="29">
        <v>0</v>
      </c>
      <c r="AR37" s="22">
        <v>44582</v>
      </c>
      <c r="AS37" s="26">
        <f t="shared" ca="1" si="10"/>
        <v>0.15664236591108716</v>
      </c>
      <c r="AT37" s="29">
        <v>0</v>
      </c>
      <c r="AV37" s="22">
        <v>44582</v>
      </c>
      <c r="AW37" s="26">
        <f t="shared" ca="1" si="11"/>
        <v>0.91495968862115407</v>
      </c>
      <c r="AX37" s="29">
        <v>0</v>
      </c>
      <c r="AZ37" s="22">
        <v>44582</v>
      </c>
      <c r="BA37" s="26">
        <f t="shared" ca="1" si="12"/>
        <v>0.84421777258550146</v>
      </c>
      <c r="BB37" s="29">
        <v>0</v>
      </c>
      <c r="BC37"/>
      <c r="BD37" s="25"/>
      <c r="BF37" s="22">
        <v>44582</v>
      </c>
      <c r="BG37" s="26">
        <f t="shared" ca="1" si="13"/>
        <v>0.402577473872612</v>
      </c>
      <c r="BH37" s="29">
        <v>0</v>
      </c>
      <c r="BJ37" s="22">
        <v>44582</v>
      </c>
      <c r="BK37" s="26">
        <f t="shared" ca="1" si="14"/>
        <v>0.91714677169070213</v>
      </c>
      <c r="BL37" s="29">
        <v>0</v>
      </c>
      <c r="BN37" s="22">
        <v>44582</v>
      </c>
      <c r="BO37" s="26">
        <f t="shared" ca="1" si="15"/>
        <v>0.95327604886512962</v>
      </c>
      <c r="BP37" s="29">
        <v>0</v>
      </c>
      <c r="BR37" s="22">
        <v>44582</v>
      </c>
      <c r="BS37" s="26">
        <f t="shared" ca="1" si="16"/>
        <v>0.24595332529631653</v>
      </c>
      <c r="BT37" s="29">
        <v>0</v>
      </c>
      <c r="BV37" s="22">
        <v>44582</v>
      </c>
      <c r="BW37" s="26">
        <f t="shared" ca="1" si="17"/>
        <v>0.69426737805399941</v>
      </c>
      <c r="BX37" s="29">
        <v>0</v>
      </c>
      <c r="CA37" s="12">
        <f t="shared" si="21"/>
        <v>45170</v>
      </c>
      <c r="CB37" s="8">
        <v>38100</v>
      </c>
    </row>
    <row r="38" spans="2:80" ht="12.75" x14ac:dyDescent="0.2">
      <c r="B38" s="22">
        <v>44583</v>
      </c>
      <c r="C38" s="26">
        <f t="shared" ca="1" si="0"/>
        <v>0.4038310720398901</v>
      </c>
      <c r="D38" s="29">
        <f t="shared" ca="1" si="19"/>
        <v>71</v>
      </c>
      <c r="F38" s="22">
        <v>44583</v>
      </c>
      <c r="G38" s="26">
        <f t="shared" ca="1" si="1"/>
        <v>0.27898869256407077</v>
      </c>
      <c r="H38" s="29">
        <v>0</v>
      </c>
      <c r="J38" s="22">
        <v>44583</v>
      </c>
      <c r="K38" s="26">
        <f t="shared" ca="1" si="2"/>
        <v>0.41986408817731247</v>
      </c>
      <c r="L38" s="29">
        <v>0</v>
      </c>
      <c r="N38" s="22">
        <v>44583</v>
      </c>
      <c r="O38" s="26">
        <f t="shared" ca="1" si="3"/>
        <v>0.86588318143314047</v>
      </c>
      <c r="P38" s="29">
        <v>0</v>
      </c>
      <c r="R38" s="22">
        <v>44583</v>
      </c>
      <c r="S38" s="26">
        <f t="shared" ca="1" si="4"/>
        <v>0.48606349858840259</v>
      </c>
      <c r="T38" s="29">
        <v>0</v>
      </c>
      <c r="V38" s="22">
        <v>44583</v>
      </c>
      <c r="W38" s="26">
        <f t="shared" ca="1" si="5"/>
        <v>0.52494843880213238</v>
      </c>
      <c r="X38" s="29">
        <v>0</v>
      </c>
      <c r="Z38" s="22">
        <v>44583</v>
      </c>
      <c r="AA38" s="26">
        <f t="shared" ca="1" si="6"/>
        <v>0.15131381314619863</v>
      </c>
      <c r="AB38" s="29">
        <v>0</v>
      </c>
      <c r="AC38"/>
      <c r="AD38" s="25"/>
      <c r="AF38" s="22">
        <v>44583</v>
      </c>
      <c r="AG38" s="26">
        <f t="shared" ca="1" si="7"/>
        <v>0.65950868464368984</v>
      </c>
      <c r="AH38" s="29">
        <v>0</v>
      </c>
      <c r="AJ38" s="22">
        <v>44583</v>
      </c>
      <c r="AK38" s="26">
        <f t="shared" ca="1" si="8"/>
        <v>0.67358374114162411</v>
      </c>
      <c r="AL38" s="29">
        <v>0</v>
      </c>
      <c r="AN38" s="22">
        <v>44583</v>
      </c>
      <c r="AO38" s="26">
        <f t="shared" ca="1" si="9"/>
        <v>0.974396749634036</v>
      </c>
      <c r="AP38" s="29">
        <v>0</v>
      </c>
      <c r="AR38" s="22">
        <v>44583</v>
      </c>
      <c r="AS38" s="26">
        <f t="shared" ca="1" si="10"/>
        <v>0.46480170707054402</v>
      </c>
      <c r="AT38" s="29">
        <v>0</v>
      </c>
      <c r="AV38" s="22">
        <v>44583</v>
      </c>
      <c r="AW38" s="26">
        <f t="shared" ca="1" si="11"/>
        <v>0.44039597000460229</v>
      </c>
      <c r="AX38" s="29">
        <v>0</v>
      </c>
      <c r="AZ38" s="22">
        <v>44583</v>
      </c>
      <c r="BA38" s="26">
        <f t="shared" ca="1" si="12"/>
        <v>0.27467131968351188</v>
      </c>
      <c r="BB38" s="29">
        <v>0</v>
      </c>
      <c r="BC38"/>
      <c r="BD38" s="25"/>
      <c r="BF38" s="22">
        <v>44583</v>
      </c>
      <c r="BG38" s="26">
        <f t="shared" ca="1" si="13"/>
        <v>0.42918193757541423</v>
      </c>
      <c r="BH38" s="29">
        <v>0</v>
      </c>
      <c r="BJ38" s="22">
        <v>44583</v>
      </c>
      <c r="BK38" s="26">
        <f t="shared" ca="1" si="14"/>
        <v>0.34692983310293501</v>
      </c>
      <c r="BL38" s="29">
        <v>0</v>
      </c>
      <c r="BN38" s="22">
        <v>44583</v>
      </c>
      <c r="BO38" s="26">
        <f t="shared" ca="1" si="15"/>
        <v>0.99945755663372648</v>
      </c>
      <c r="BP38" s="29">
        <v>0</v>
      </c>
      <c r="BR38" s="22">
        <v>44583</v>
      </c>
      <c r="BS38" s="26">
        <f t="shared" ca="1" si="16"/>
        <v>0.38690095621830811</v>
      </c>
      <c r="BT38" s="29">
        <v>0</v>
      </c>
      <c r="BV38" s="22">
        <v>44583</v>
      </c>
      <c r="BW38" s="26">
        <f t="shared" ca="1" si="17"/>
        <v>0.73573132283933829</v>
      </c>
      <c r="BX38" s="29">
        <v>0</v>
      </c>
      <c r="CA38" s="12">
        <f t="shared" si="21"/>
        <v>45200</v>
      </c>
      <c r="CB38" s="8">
        <v>25467</v>
      </c>
    </row>
    <row r="39" spans="2:80" ht="12.75" x14ac:dyDescent="0.2">
      <c r="B39" s="22">
        <v>44584</v>
      </c>
      <c r="C39" s="26">
        <f t="shared" ca="1" si="0"/>
        <v>0.68180067334448247</v>
      </c>
      <c r="D39" s="29">
        <f t="shared" ca="1" si="19"/>
        <v>85</v>
      </c>
      <c r="F39" s="22">
        <v>44584</v>
      </c>
      <c r="G39" s="26">
        <f t="shared" ca="1" si="1"/>
        <v>0.49446133387649571</v>
      </c>
      <c r="H39" s="29">
        <v>0</v>
      </c>
      <c r="J39" s="22">
        <v>44584</v>
      </c>
      <c r="K39" s="26">
        <f t="shared" ca="1" si="2"/>
        <v>3.988767021101236E-2</v>
      </c>
      <c r="L39" s="29">
        <v>0</v>
      </c>
      <c r="N39" s="22">
        <v>44584</v>
      </c>
      <c r="O39" s="26">
        <f t="shared" ca="1" si="3"/>
        <v>0.28370925469244146</v>
      </c>
      <c r="P39" s="29">
        <v>0</v>
      </c>
      <c r="R39" s="22">
        <v>44584</v>
      </c>
      <c r="S39" s="26">
        <f t="shared" ca="1" si="4"/>
        <v>7.5422999773723909E-2</v>
      </c>
      <c r="T39" s="29">
        <v>0</v>
      </c>
      <c r="V39" s="22">
        <v>44584</v>
      </c>
      <c r="W39" s="26">
        <f t="shared" ca="1" si="5"/>
        <v>0.81143024706677702</v>
      </c>
      <c r="X39" s="29">
        <v>0</v>
      </c>
      <c r="Z39" s="22">
        <v>44584</v>
      </c>
      <c r="AA39" s="26">
        <f t="shared" ca="1" si="6"/>
        <v>0.44971737084798191</v>
      </c>
      <c r="AB39" s="29">
        <v>0</v>
      </c>
      <c r="AC39"/>
      <c r="AD39" s="25"/>
      <c r="AF39" s="22">
        <v>44584</v>
      </c>
      <c r="AG39" s="26">
        <f t="shared" ca="1" si="7"/>
        <v>0.33728897425179527</v>
      </c>
      <c r="AH39" s="29">
        <v>0</v>
      </c>
      <c r="AJ39" s="22">
        <v>44584</v>
      </c>
      <c r="AK39" s="26">
        <f t="shared" ca="1" si="8"/>
        <v>0.34768366852020693</v>
      </c>
      <c r="AL39" s="29">
        <v>0</v>
      </c>
      <c r="AN39" s="22">
        <v>44584</v>
      </c>
      <c r="AO39" s="26">
        <f t="shared" ca="1" si="9"/>
        <v>0.10727854197869724</v>
      </c>
      <c r="AP39" s="29">
        <v>0</v>
      </c>
      <c r="AR39" s="22">
        <v>44584</v>
      </c>
      <c r="AS39" s="26">
        <f t="shared" ca="1" si="10"/>
        <v>0.79598162039979103</v>
      </c>
      <c r="AT39" s="29">
        <v>0</v>
      </c>
      <c r="AV39" s="22">
        <v>44584</v>
      </c>
      <c r="AW39" s="26">
        <f t="shared" ca="1" si="11"/>
        <v>4.4328187890428028E-2</v>
      </c>
      <c r="AX39" s="29">
        <v>0</v>
      </c>
      <c r="AZ39" s="22">
        <v>44584</v>
      </c>
      <c r="BA39" s="26">
        <f t="shared" ca="1" si="12"/>
        <v>8.2384276291094238E-2</v>
      </c>
      <c r="BB39" s="29">
        <v>0</v>
      </c>
      <c r="BC39"/>
      <c r="BD39" s="25"/>
      <c r="BF39" s="22">
        <v>44584</v>
      </c>
      <c r="BG39" s="26">
        <f t="shared" ca="1" si="13"/>
        <v>0.90572607884376433</v>
      </c>
      <c r="BH39" s="29">
        <v>0</v>
      </c>
      <c r="BJ39" s="22">
        <v>44584</v>
      </c>
      <c r="BK39" s="26">
        <f t="shared" ca="1" si="14"/>
        <v>0.82654414850252345</v>
      </c>
      <c r="BL39" s="29">
        <v>0</v>
      </c>
      <c r="BN39" s="22">
        <v>44584</v>
      </c>
      <c r="BO39" s="26">
        <f t="shared" ca="1" si="15"/>
        <v>0.22897731250539055</v>
      </c>
      <c r="BP39" s="29">
        <v>0</v>
      </c>
      <c r="BR39" s="22">
        <v>44584</v>
      </c>
      <c r="BS39" s="26">
        <f t="shared" ca="1" si="16"/>
        <v>0.29123094095507285</v>
      </c>
      <c r="BT39" s="29">
        <v>0</v>
      </c>
      <c r="BV39" s="22">
        <v>44584</v>
      </c>
      <c r="BW39" s="26">
        <f t="shared" ca="1" si="17"/>
        <v>0.42814555841822133</v>
      </c>
      <c r="BX39" s="29">
        <v>0</v>
      </c>
      <c r="CA39" s="12">
        <f t="shared" si="21"/>
        <v>45231</v>
      </c>
      <c r="CB39" s="8">
        <v>34831</v>
      </c>
    </row>
    <row r="40" spans="2:80" ht="12.75" x14ac:dyDescent="0.2">
      <c r="B40" s="22">
        <v>44585</v>
      </c>
      <c r="C40" s="26">
        <f t="shared" ca="1" si="0"/>
        <v>0.88777907384267185</v>
      </c>
      <c r="D40" s="29">
        <f t="shared" ca="1" si="19"/>
        <v>100</v>
      </c>
      <c r="F40" s="22">
        <v>44585</v>
      </c>
      <c r="G40" s="26">
        <f t="shared" ca="1" si="1"/>
        <v>0.47583272897609818</v>
      </c>
      <c r="H40" s="29">
        <v>0</v>
      </c>
      <c r="J40" s="22">
        <v>44585</v>
      </c>
      <c r="K40" s="26">
        <f t="shared" ca="1" si="2"/>
        <v>0.3141685888075183</v>
      </c>
      <c r="L40" s="29">
        <v>0</v>
      </c>
      <c r="N40" s="22">
        <v>44585</v>
      </c>
      <c r="O40" s="26">
        <f t="shared" ca="1" si="3"/>
        <v>0.7790149654548989</v>
      </c>
      <c r="P40" s="29">
        <v>0</v>
      </c>
      <c r="R40" s="22">
        <v>44585</v>
      </c>
      <c r="S40" s="26">
        <f t="shared" ca="1" si="4"/>
        <v>7.2912339936428427E-2</v>
      </c>
      <c r="T40" s="29">
        <v>0</v>
      </c>
      <c r="V40" s="22">
        <v>44585</v>
      </c>
      <c r="W40" s="26">
        <f t="shared" ca="1" si="5"/>
        <v>0.84439813918612894</v>
      </c>
      <c r="X40" s="29">
        <v>0</v>
      </c>
      <c r="Z40" s="22">
        <v>44585</v>
      </c>
      <c r="AA40" s="26">
        <f t="shared" ca="1" si="6"/>
        <v>0.15121454917439836</v>
      </c>
      <c r="AB40" s="29">
        <v>0</v>
      </c>
      <c r="AC40"/>
      <c r="AD40" s="25"/>
      <c r="AF40" s="22">
        <v>44585</v>
      </c>
      <c r="AG40" s="26">
        <f t="shared" ca="1" si="7"/>
        <v>0.74996783411093926</v>
      </c>
      <c r="AH40" s="29">
        <v>0</v>
      </c>
      <c r="AJ40" s="22">
        <v>44585</v>
      </c>
      <c r="AK40" s="26">
        <f t="shared" ca="1" si="8"/>
        <v>0.94009903018455265</v>
      </c>
      <c r="AL40" s="29">
        <v>0</v>
      </c>
      <c r="AN40" s="22">
        <v>44585</v>
      </c>
      <c r="AO40" s="26">
        <f t="shared" ca="1" si="9"/>
        <v>2.4238166742393763E-2</v>
      </c>
      <c r="AP40" s="29">
        <v>0</v>
      </c>
      <c r="AR40" s="22">
        <v>44585</v>
      </c>
      <c r="AS40" s="26">
        <f t="shared" ca="1" si="10"/>
        <v>0.90238204472552808</v>
      </c>
      <c r="AT40" s="29">
        <v>0</v>
      </c>
      <c r="AV40" s="22">
        <v>44585</v>
      </c>
      <c r="AW40" s="26">
        <f t="shared" ca="1" si="11"/>
        <v>0.53056353480016871</v>
      </c>
      <c r="AX40" s="29">
        <v>0</v>
      </c>
      <c r="AZ40" s="22">
        <v>44585</v>
      </c>
      <c r="BA40" s="26">
        <f t="shared" ca="1" si="12"/>
        <v>0.20088532543586735</v>
      </c>
      <c r="BB40" s="29">
        <v>0</v>
      </c>
      <c r="BC40"/>
      <c r="BD40" s="25"/>
      <c r="BF40" s="22">
        <v>44585</v>
      </c>
      <c r="BG40" s="26">
        <f t="shared" ca="1" si="13"/>
        <v>0.62837298255629703</v>
      </c>
      <c r="BH40" s="29">
        <v>0</v>
      </c>
      <c r="BJ40" s="22">
        <v>44585</v>
      </c>
      <c r="BK40" s="26">
        <f t="shared" ca="1" si="14"/>
        <v>0.34053388807361085</v>
      </c>
      <c r="BL40" s="29">
        <v>0</v>
      </c>
      <c r="BN40" s="22">
        <v>44585</v>
      </c>
      <c r="BO40" s="26">
        <f t="shared" ca="1" si="15"/>
        <v>0.95276799546971769</v>
      </c>
      <c r="BP40" s="29">
        <v>0</v>
      </c>
      <c r="BR40" s="22">
        <v>44585</v>
      </c>
      <c r="BS40" s="26">
        <f t="shared" ca="1" si="16"/>
        <v>0.55161585689088644</v>
      </c>
      <c r="BT40" s="29">
        <v>0</v>
      </c>
      <c r="BV40" s="22">
        <v>44585</v>
      </c>
      <c r="BW40" s="26">
        <f t="shared" ca="1" si="17"/>
        <v>0.54849751783039791</v>
      </c>
      <c r="BX40" s="29">
        <v>0</v>
      </c>
      <c r="CA40" s="12">
        <f t="shared" si="21"/>
        <v>45261</v>
      </c>
      <c r="CB40" s="8">
        <v>22580</v>
      </c>
    </row>
    <row r="41" spans="2:80" ht="12.75" x14ac:dyDescent="0.2">
      <c r="B41" s="22">
        <v>44586</v>
      </c>
      <c r="C41" s="26">
        <f t="shared" ca="1" si="0"/>
        <v>0.33824338377025476</v>
      </c>
      <c r="D41" s="29">
        <f t="shared" ca="1" si="19"/>
        <v>67</v>
      </c>
      <c r="F41" s="22">
        <v>44586</v>
      </c>
      <c r="G41" s="26">
        <f t="shared" ca="1" si="1"/>
        <v>0.82888890986797581</v>
      </c>
      <c r="H41" s="29">
        <v>0</v>
      </c>
      <c r="J41" s="22">
        <v>44586</v>
      </c>
      <c r="K41" s="26">
        <f t="shared" ca="1" si="2"/>
        <v>0.43500954738295883</v>
      </c>
      <c r="L41" s="29">
        <v>0</v>
      </c>
      <c r="N41" s="22">
        <v>44586</v>
      </c>
      <c r="O41" s="26">
        <f t="shared" ca="1" si="3"/>
        <v>0.67800005102817096</v>
      </c>
      <c r="P41" s="29">
        <v>0</v>
      </c>
      <c r="R41" s="22">
        <v>44586</v>
      </c>
      <c r="S41" s="26">
        <f t="shared" ca="1" si="4"/>
        <v>0.56240865158758035</v>
      </c>
      <c r="T41" s="29">
        <v>0</v>
      </c>
      <c r="V41" s="22">
        <v>44586</v>
      </c>
      <c r="W41" s="26">
        <f t="shared" ca="1" si="5"/>
        <v>0.10907271289444087</v>
      </c>
      <c r="X41" s="29">
        <v>0</v>
      </c>
      <c r="Z41" s="22">
        <v>44586</v>
      </c>
      <c r="AA41" s="26">
        <f t="shared" ca="1" si="6"/>
        <v>0.36369373459489995</v>
      </c>
      <c r="AB41" s="29">
        <v>0</v>
      </c>
      <c r="AC41"/>
      <c r="AD41" s="25"/>
      <c r="AF41" s="22">
        <v>44586</v>
      </c>
      <c r="AG41" s="26">
        <f t="shared" ca="1" si="7"/>
        <v>0.52168013952123293</v>
      </c>
      <c r="AH41" s="29">
        <v>0</v>
      </c>
      <c r="AJ41" s="22">
        <v>44586</v>
      </c>
      <c r="AK41" s="26">
        <f t="shared" ca="1" si="8"/>
        <v>0.3588918693695976</v>
      </c>
      <c r="AL41" s="29">
        <v>0</v>
      </c>
      <c r="AN41" s="22">
        <v>44586</v>
      </c>
      <c r="AO41" s="26">
        <f t="shared" ca="1" si="9"/>
        <v>0.73032954954390039</v>
      </c>
      <c r="AP41" s="29">
        <v>0</v>
      </c>
      <c r="AR41" s="22">
        <v>44586</v>
      </c>
      <c r="AS41" s="26">
        <f t="shared" ca="1" si="10"/>
        <v>0.3991735103237517</v>
      </c>
      <c r="AT41" s="29">
        <v>0</v>
      </c>
      <c r="AV41" s="22">
        <v>44586</v>
      </c>
      <c r="AW41" s="26">
        <f t="shared" ca="1" si="11"/>
        <v>4.3303542034281661E-2</v>
      </c>
      <c r="AX41" s="29">
        <v>0</v>
      </c>
      <c r="AZ41" s="22">
        <v>44586</v>
      </c>
      <c r="BA41" s="26">
        <f t="shared" ca="1" si="12"/>
        <v>0.83419502251646271</v>
      </c>
      <c r="BB41" s="29">
        <v>0</v>
      </c>
      <c r="BC41"/>
      <c r="BD41" s="25"/>
      <c r="BF41" s="22">
        <v>44586</v>
      </c>
      <c r="BG41" s="26">
        <f t="shared" ca="1" si="13"/>
        <v>0.91737117140501989</v>
      </c>
      <c r="BH41" s="29">
        <v>0</v>
      </c>
      <c r="BJ41" s="22">
        <v>44586</v>
      </c>
      <c r="BK41" s="26">
        <f t="shared" ca="1" si="14"/>
        <v>0.93047504151295113</v>
      </c>
      <c r="BL41" s="29">
        <v>0</v>
      </c>
      <c r="BN41" s="22">
        <v>44586</v>
      </c>
      <c r="BO41" s="26">
        <f t="shared" ca="1" si="15"/>
        <v>0.61898918287098614</v>
      </c>
      <c r="BP41" s="29">
        <v>0</v>
      </c>
      <c r="BR41" s="22">
        <v>44586</v>
      </c>
      <c r="BS41" s="26">
        <f t="shared" ca="1" si="16"/>
        <v>4.4024368385284007E-2</v>
      </c>
      <c r="BT41" s="29">
        <v>0</v>
      </c>
      <c r="BV41" s="22">
        <v>44586</v>
      </c>
      <c r="BW41" s="26">
        <f t="shared" ca="1" si="17"/>
        <v>3.9091757402136884E-2</v>
      </c>
      <c r="BX41" s="29">
        <v>0</v>
      </c>
      <c r="CA41" s="12">
        <f t="shared" si="21"/>
        <v>45292</v>
      </c>
      <c r="CB41" s="8">
        <v>42631</v>
      </c>
    </row>
    <row r="42" spans="2:80" ht="12.75" x14ac:dyDescent="0.2">
      <c r="B42" s="22">
        <v>44587</v>
      </c>
      <c r="C42" s="26">
        <f t="shared" ca="1" si="0"/>
        <v>0.61126219632278977</v>
      </c>
      <c r="D42" s="29">
        <f t="shared" ca="1" si="19"/>
        <v>81</v>
      </c>
      <c r="F42" s="22">
        <v>44587</v>
      </c>
      <c r="G42" s="26">
        <f t="shared" ca="1" si="1"/>
        <v>0.49604697933908271</v>
      </c>
      <c r="H42" s="29">
        <v>0</v>
      </c>
      <c r="J42" s="22">
        <v>44587</v>
      </c>
      <c r="K42" s="26">
        <f t="shared" ca="1" si="2"/>
        <v>0.74387060153880213</v>
      </c>
      <c r="L42" s="29">
        <v>0</v>
      </c>
      <c r="N42" s="22">
        <v>44587</v>
      </c>
      <c r="O42" s="26">
        <f t="shared" ca="1" si="3"/>
        <v>0.94350125066457724</v>
      </c>
      <c r="P42" s="29">
        <v>0</v>
      </c>
      <c r="R42" s="22">
        <v>44587</v>
      </c>
      <c r="S42" s="26">
        <f t="shared" ca="1" si="4"/>
        <v>0.88499614264860693</v>
      </c>
      <c r="T42" s="29">
        <v>0</v>
      </c>
      <c r="V42" s="22">
        <v>44587</v>
      </c>
      <c r="W42" s="26">
        <f t="shared" ca="1" si="5"/>
        <v>0.98252588962019705</v>
      </c>
      <c r="X42" s="29">
        <v>0</v>
      </c>
      <c r="Z42" s="22">
        <v>44587</v>
      </c>
      <c r="AA42" s="26">
        <f t="shared" ca="1" si="6"/>
        <v>0.78755196454472987</v>
      </c>
      <c r="AB42" s="29">
        <v>0</v>
      </c>
      <c r="AC42"/>
      <c r="AD42" s="25"/>
      <c r="AF42" s="22">
        <v>44587</v>
      </c>
      <c r="AG42" s="26">
        <f t="shared" ca="1" si="7"/>
        <v>0.17471517584973084</v>
      </c>
      <c r="AH42" s="29">
        <v>0</v>
      </c>
      <c r="AJ42" s="22">
        <v>44587</v>
      </c>
      <c r="AK42" s="26">
        <f t="shared" ca="1" si="8"/>
        <v>0.79261139023532989</v>
      </c>
      <c r="AL42" s="29">
        <v>0</v>
      </c>
      <c r="AN42" s="22">
        <v>44587</v>
      </c>
      <c r="AO42" s="26">
        <f t="shared" ca="1" si="9"/>
        <v>0.7318125001628486</v>
      </c>
      <c r="AP42" s="29">
        <v>0</v>
      </c>
      <c r="AR42" s="22">
        <v>44587</v>
      </c>
      <c r="AS42" s="26">
        <f t="shared" ca="1" si="10"/>
        <v>0.11735891669851772</v>
      </c>
      <c r="AT42" s="29">
        <v>0</v>
      </c>
      <c r="AV42" s="22">
        <v>44587</v>
      </c>
      <c r="AW42" s="26">
        <f t="shared" ca="1" si="11"/>
        <v>0.92903311733447513</v>
      </c>
      <c r="AX42" s="29">
        <v>0</v>
      </c>
      <c r="AZ42" s="22">
        <v>44587</v>
      </c>
      <c r="BA42" s="26">
        <f t="shared" ca="1" si="12"/>
        <v>0.33910408981251794</v>
      </c>
      <c r="BB42" s="29">
        <v>0</v>
      </c>
      <c r="BC42"/>
      <c r="BD42" s="25"/>
      <c r="BF42" s="22">
        <v>44587</v>
      </c>
      <c r="BG42" s="26">
        <f t="shared" ca="1" si="13"/>
        <v>0.19050422799508471</v>
      </c>
      <c r="BH42" s="29">
        <v>0</v>
      </c>
      <c r="BJ42" s="22">
        <v>44587</v>
      </c>
      <c r="BK42" s="26">
        <f t="shared" ca="1" si="14"/>
        <v>0.89294492594492469</v>
      </c>
      <c r="BL42" s="29">
        <v>0</v>
      </c>
      <c r="BN42" s="22">
        <v>44587</v>
      </c>
      <c r="BO42" s="26">
        <f t="shared" ca="1" si="15"/>
        <v>0.37274555994931158</v>
      </c>
      <c r="BP42" s="29">
        <v>0</v>
      </c>
      <c r="BR42" s="22">
        <v>44587</v>
      </c>
      <c r="BS42" s="26">
        <f t="shared" ca="1" si="16"/>
        <v>0.78993072537221531</v>
      </c>
      <c r="BT42" s="29">
        <v>0</v>
      </c>
      <c r="BV42" s="22">
        <v>44587</v>
      </c>
      <c r="BW42" s="26">
        <f t="shared" ca="1" si="17"/>
        <v>0.71505597152735956</v>
      </c>
      <c r="BX42" s="29">
        <v>0</v>
      </c>
      <c r="CA42" s="12">
        <f t="shared" si="21"/>
        <v>45323</v>
      </c>
      <c r="CB42" s="8">
        <v>32096</v>
      </c>
    </row>
    <row r="43" spans="2:80" ht="12.75" x14ac:dyDescent="0.2">
      <c r="B43" s="22">
        <v>44588</v>
      </c>
      <c r="C43" s="26">
        <f t="shared" ca="1" si="0"/>
        <v>0.90327141300286418</v>
      </c>
      <c r="D43" s="29">
        <f t="shared" ca="1" si="19"/>
        <v>102</v>
      </c>
      <c r="F43" s="22">
        <v>44588</v>
      </c>
      <c r="G43" s="26">
        <f t="shared" ca="1" si="1"/>
        <v>0.87988812377751602</v>
      </c>
      <c r="H43" s="29">
        <v>0</v>
      </c>
      <c r="J43" s="22">
        <v>44588</v>
      </c>
      <c r="K43" s="26">
        <f t="shared" ca="1" si="2"/>
        <v>0.71564956514140299</v>
      </c>
      <c r="L43" s="29">
        <v>0</v>
      </c>
      <c r="N43" s="22">
        <v>44588</v>
      </c>
      <c r="O43" s="26">
        <f t="shared" ca="1" si="3"/>
        <v>0.666263069390994</v>
      </c>
      <c r="P43" s="29">
        <v>0</v>
      </c>
      <c r="R43" s="22">
        <v>44588</v>
      </c>
      <c r="S43" s="26">
        <f t="shared" ca="1" si="4"/>
        <v>0.52295178241559137</v>
      </c>
      <c r="T43" s="29">
        <v>0</v>
      </c>
      <c r="V43" s="22">
        <v>44588</v>
      </c>
      <c r="W43" s="26">
        <f t="shared" ca="1" si="5"/>
        <v>0.41563110739296694</v>
      </c>
      <c r="X43" s="29">
        <v>0</v>
      </c>
      <c r="Z43" s="22">
        <v>44588</v>
      </c>
      <c r="AA43" s="26">
        <f t="shared" ca="1" si="6"/>
        <v>0.53665570565118781</v>
      </c>
      <c r="AB43" s="29">
        <v>0</v>
      </c>
      <c r="AC43"/>
      <c r="AD43" s="25"/>
      <c r="AF43" s="22">
        <v>44588</v>
      </c>
      <c r="AG43" s="26">
        <f t="shared" ca="1" si="7"/>
        <v>0.48270173352601387</v>
      </c>
      <c r="AH43" s="29">
        <v>0</v>
      </c>
      <c r="AJ43" s="22">
        <v>44588</v>
      </c>
      <c r="AK43" s="26">
        <f t="shared" ca="1" si="8"/>
        <v>0.76759195997024754</v>
      </c>
      <c r="AL43" s="29">
        <v>0</v>
      </c>
      <c r="AN43" s="22">
        <v>44588</v>
      </c>
      <c r="AO43" s="26">
        <f t="shared" ca="1" si="9"/>
        <v>0.5353925698635964</v>
      </c>
      <c r="AP43" s="29">
        <v>0</v>
      </c>
      <c r="AR43" s="22">
        <v>44588</v>
      </c>
      <c r="AS43" s="26">
        <f t="shared" ca="1" si="10"/>
        <v>0.18457475526750922</v>
      </c>
      <c r="AT43" s="29">
        <v>0</v>
      </c>
      <c r="AV43" s="22">
        <v>44588</v>
      </c>
      <c r="AW43" s="26">
        <f t="shared" ca="1" si="11"/>
        <v>0.14438790406812585</v>
      </c>
      <c r="AX43" s="29">
        <v>0</v>
      </c>
      <c r="AZ43" s="22">
        <v>44588</v>
      </c>
      <c r="BA43" s="26">
        <f t="shared" ca="1" si="12"/>
        <v>0.88938873314736511</v>
      </c>
      <c r="BB43" s="29">
        <v>0</v>
      </c>
      <c r="BC43"/>
      <c r="BD43" s="25"/>
      <c r="BF43" s="22">
        <v>44588</v>
      </c>
      <c r="BG43" s="26">
        <f t="shared" ca="1" si="13"/>
        <v>0.37679096174220061</v>
      </c>
      <c r="BH43" s="29">
        <v>0</v>
      </c>
      <c r="BJ43" s="22">
        <v>44588</v>
      </c>
      <c r="BK43" s="26">
        <f t="shared" ca="1" si="14"/>
        <v>0.44651641871285797</v>
      </c>
      <c r="BL43" s="29">
        <v>0</v>
      </c>
      <c r="BN43" s="22">
        <v>44588</v>
      </c>
      <c r="BO43" s="26">
        <f t="shared" ca="1" si="15"/>
        <v>0.96148873444565508</v>
      </c>
      <c r="BP43" s="29">
        <v>0</v>
      </c>
      <c r="BR43" s="22">
        <v>44588</v>
      </c>
      <c r="BS43" s="26">
        <f t="shared" ca="1" si="16"/>
        <v>0.10729396152113102</v>
      </c>
      <c r="BT43" s="29">
        <v>0</v>
      </c>
      <c r="BV43" s="22">
        <v>44588</v>
      </c>
      <c r="BW43" s="26">
        <f t="shared" ca="1" si="17"/>
        <v>0.19699044358692375</v>
      </c>
      <c r="BX43" s="29">
        <v>0</v>
      </c>
      <c r="CA43" s="12">
        <f t="shared" si="21"/>
        <v>45352</v>
      </c>
      <c r="CB43" s="8">
        <v>56030</v>
      </c>
    </row>
    <row r="44" spans="2:80" ht="12.75" x14ac:dyDescent="0.2">
      <c r="B44" s="22">
        <v>44589</v>
      </c>
      <c r="C44" s="26">
        <f t="shared" ca="1" si="0"/>
        <v>0.98269344238436684</v>
      </c>
      <c r="D44" s="29">
        <f t="shared" ca="1" si="19"/>
        <v>118</v>
      </c>
      <c r="F44" s="22">
        <v>44589</v>
      </c>
      <c r="G44" s="26">
        <f t="shared" ca="1" si="1"/>
        <v>0.25360434095472328</v>
      </c>
      <c r="H44" s="29">
        <v>0</v>
      </c>
      <c r="J44" s="22">
        <v>44589</v>
      </c>
      <c r="K44" s="26">
        <f t="shared" ca="1" si="2"/>
        <v>0.68931465579932183</v>
      </c>
      <c r="L44" s="29">
        <v>0</v>
      </c>
      <c r="N44" s="22">
        <v>44589</v>
      </c>
      <c r="O44" s="26">
        <f t="shared" ca="1" si="3"/>
        <v>0.31216390201400912</v>
      </c>
      <c r="P44" s="29">
        <v>0</v>
      </c>
      <c r="R44" s="22">
        <v>44589</v>
      </c>
      <c r="S44" s="26">
        <f t="shared" ca="1" si="4"/>
        <v>0.53722247721082073</v>
      </c>
      <c r="T44" s="29">
        <v>0</v>
      </c>
      <c r="V44" s="22">
        <v>44589</v>
      </c>
      <c r="W44" s="26">
        <f t="shared" ca="1" si="5"/>
        <v>0.62605458992090635</v>
      </c>
      <c r="X44" s="29">
        <v>0</v>
      </c>
      <c r="Z44" s="22">
        <v>44589</v>
      </c>
      <c r="AA44" s="26">
        <f t="shared" ca="1" si="6"/>
        <v>2.9108142874649023E-2</v>
      </c>
      <c r="AB44" s="29">
        <v>0</v>
      </c>
      <c r="AC44"/>
      <c r="AD44" s="25"/>
      <c r="AF44" s="22">
        <v>44589</v>
      </c>
      <c r="AG44" s="26">
        <f t="shared" ca="1" si="7"/>
        <v>0.26412483738765069</v>
      </c>
      <c r="AH44" s="29">
        <v>0</v>
      </c>
      <c r="AJ44" s="22">
        <v>44589</v>
      </c>
      <c r="AK44" s="26">
        <f t="shared" ca="1" si="8"/>
        <v>0.51028560697360947</v>
      </c>
      <c r="AL44" s="29">
        <v>0</v>
      </c>
      <c r="AN44" s="22">
        <v>44589</v>
      </c>
      <c r="AO44" s="26">
        <f t="shared" ca="1" si="9"/>
        <v>0.33157740842425343</v>
      </c>
      <c r="AP44" s="29">
        <v>0</v>
      </c>
      <c r="AR44" s="22">
        <v>44589</v>
      </c>
      <c r="AS44" s="26">
        <f t="shared" ca="1" si="10"/>
        <v>0.43996210800993063</v>
      </c>
      <c r="AT44" s="29">
        <v>0</v>
      </c>
      <c r="AV44" s="22">
        <v>44589</v>
      </c>
      <c r="AW44" s="26">
        <f t="shared" ca="1" si="11"/>
        <v>0.91509861685156446</v>
      </c>
      <c r="AX44" s="29">
        <v>0</v>
      </c>
      <c r="AZ44" s="22">
        <v>44589</v>
      </c>
      <c r="BA44" s="26">
        <f t="shared" ca="1" si="12"/>
        <v>0.85577106008850867</v>
      </c>
      <c r="BB44" s="29">
        <v>0</v>
      </c>
      <c r="BC44"/>
      <c r="BD44" s="25"/>
      <c r="BF44" s="22">
        <v>44589</v>
      </c>
      <c r="BG44" s="26">
        <f t="shared" ca="1" si="13"/>
        <v>0.6025503203114565</v>
      </c>
      <c r="BH44" s="29">
        <v>0</v>
      </c>
      <c r="BJ44" s="22">
        <v>44589</v>
      </c>
      <c r="BK44" s="26">
        <f t="shared" ca="1" si="14"/>
        <v>0.6132573912526661</v>
      </c>
      <c r="BL44" s="29">
        <v>0</v>
      </c>
      <c r="BN44" s="22">
        <v>44589</v>
      </c>
      <c r="BO44" s="26">
        <f t="shared" ca="1" si="15"/>
        <v>0.50153800178622476</v>
      </c>
      <c r="BP44" s="29">
        <v>0</v>
      </c>
      <c r="BR44" s="22">
        <v>44589</v>
      </c>
      <c r="BS44" s="26">
        <f t="shared" ca="1" si="16"/>
        <v>0.2193077636179559</v>
      </c>
      <c r="BT44" s="29">
        <v>0</v>
      </c>
      <c r="BV44" s="22">
        <v>44589</v>
      </c>
      <c r="BW44" s="26">
        <f t="shared" ca="1" si="17"/>
        <v>0.20495570697799437</v>
      </c>
      <c r="BX44" s="29">
        <v>0</v>
      </c>
      <c r="CA44" s="12">
        <f t="shared" si="21"/>
        <v>45383</v>
      </c>
      <c r="CB44" s="8">
        <v>37726</v>
      </c>
    </row>
    <row r="45" spans="2:80" ht="12.75" x14ac:dyDescent="0.2">
      <c r="B45" s="22">
        <v>44590</v>
      </c>
      <c r="C45" s="26">
        <f t="shared" ca="1" si="0"/>
        <v>0.78886609902937666</v>
      </c>
      <c r="D45" s="29">
        <f t="shared" ca="1" si="19"/>
        <v>92</v>
      </c>
      <c r="F45" s="22">
        <v>44590</v>
      </c>
      <c r="G45" s="26">
        <f t="shared" ca="1" si="1"/>
        <v>2.0409353428986532E-2</v>
      </c>
      <c r="H45" s="29">
        <v>0</v>
      </c>
      <c r="J45" s="22">
        <v>44590</v>
      </c>
      <c r="K45" s="26">
        <f t="shared" ca="1" si="2"/>
        <v>0.44991194257878364</v>
      </c>
      <c r="L45" s="29">
        <v>0</v>
      </c>
      <c r="N45" s="22">
        <v>44590</v>
      </c>
      <c r="O45" s="26">
        <f t="shared" ca="1" si="3"/>
        <v>0.31750178256158845</v>
      </c>
      <c r="P45" s="29">
        <v>0</v>
      </c>
      <c r="R45" s="22">
        <v>44590</v>
      </c>
      <c r="S45" s="26">
        <f t="shared" ca="1" si="4"/>
        <v>0.49422494243322723</v>
      </c>
      <c r="T45" s="29">
        <v>0</v>
      </c>
      <c r="V45" s="22">
        <v>44590</v>
      </c>
      <c r="W45" s="26">
        <f t="shared" ca="1" si="5"/>
        <v>0.43646744116580249</v>
      </c>
      <c r="X45" s="29">
        <v>0</v>
      </c>
      <c r="Z45" s="22">
        <v>44590</v>
      </c>
      <c r="AA45" s="26">
        <f t="shared" ca="1" si="6"/>
        <v>0.246649841989805</v>
      </c>
      <c r="AB45" s="29">
        <v>0</v>
      </c>
      <c r="AC45"/>
      <c r="AD45" s="25"/>
      <c r="AF45" s="22">
        <v>44590</v>
      </c>
      <c r="AG45" s="26">
        <f t="shared" ca="1" si="7"/>
        <v>0.32673692694810053</v>
      </c>
      <c r="AH45" s="29">
        <v>0</v>
      </c>
      <c r="AJ45" s="22">
        <v>44590</v>
      </c>
      <c r="AK45" s="26">
        <f t="shared" ca="1" si="8"/>
        <v>0.54196980654937787</v>
      </c>
      <c r="AL45" s="29">
        <v>0</v>
      </c>
      <c r="AN45" s="22">
        <v>44590</v>
      </c>
      <c r="AO45" s="26">
        <f t="shared" ca="1" si="9"/>
        <v>0.54553607824633898</v>
      </c>
      <c r="AP45" s="29">
        <v>0</v>
      </c>
      <c r="AR45" s="22">
        <v>44590</v>
      </c>
      <c r="AS45" s="26">
        <f t="shared" ca="1" si="10"/>
        <v>0.50715324763400982</v>
      </c>
      <c r="AT45" s="29">
        <v>0</v>
      </c>
      <c r="AV45" s="22">
        <v>44590</v>
      </c>
      <c r="AW45" s="26">
        <f t="shared" ca="1" si="11"/>
        <v>0.63701690826333623</v>
      </c>
      <c r="AX45" s="29">
        <v>0</v>
      </c>
      <c r="AZ45" s="22">
        <v>44590</v>
      </c>
      <c r="BA45" s="26">
        <f t="shared" ca="1" si="12"/>
        <v>1.1959844833318467E-2</v>
      </c>
      <c r="BB45" s="29">
        <v>0</v>
      </c>
      <c r="BC45"/>
      <c r="BD45" s="25"/>
      <c r="BF45" s="22">
        <v>44590</v>
      </c>
      <c r="BG45" s="26">
        <f t="shared" ca="1" si="13"/>
        <v>0.48612295829317476</v>
      </c>
      <c r="BH45" s="29">
        <v>0</v>
      </c>
      <c r="BJ45" s="22">
        <v>44590</v>
      </c>
      <c r="BK45" s="26">
        <f t="shared" ca="1" si="14"/>
        <v>4.9252133923061714E-2</v>
      </c>
      <c r="BL45" s="29">
        <v>0</v>
      </c>
      <c r="BN45" s="22">
        <v>44590</v>
      </c>
      <c r="BO45" s="26">
        <f t="shared" ca="1" si="15"/>
        <v>0.48095605789840812</v>
      </c>
      <c r="BP45" s="29">
        <v>0</v>
      </c>
      <c r="BR45" s="22">
        <v>44590</v>
      </c>
      <c r="BS45" s="26">
        <f t="shared" ca="1" si="16"/>
        <v>0.82297648123231748</v>
      </c>
      <c r="BT45" s="29">
        <v>0</v>
      </c>
      <c r="BV45" s="22">
        <v>44590</v>
      </c>
      <c r="BW45" s="26">
        <f t="shared" ca="1" si="17"/>
        <v>0.96273787527453814</v>
      </c>
      <c r="BX45" s="29">
        <v>0</v>
      </c>
      <c r="CA45" s="12">
        <f t="shared" si="21"/>
        <v>45413</v>
      </c>
      <c r="CB45" s="8">
        <v>55813</v>
      </c>
    </row>
    <row r="46" spans="2:80" ht="12.75" x14ac:dyDescent="0.2">
      <c r="B46" s="22">
        <v>44591</v>
      </c>
      <c r="C46" s="26">
        <f t="shared" ca="1" si="0"/>
        <v>0.25433072633696874</v>
      </c>
      <c r="D46" s="29">
        <f t="shared" ca="1" si="19"/>
        <v>62</v>
      </c>
      <c r="F46" s="22">
        <v>44591</v>
      </c>
      <c r="G46" s="26">
        <f t="shared" ca="1" si="1"/>
        <v>7.9318462195502759E-2</v>
      </c>
      <c r="H46" s="29">
        <v>0</v>
      </c>
      <c r="J46" s="22">
        <v>44591</v>
      </c>
      <c r="K46" s="26">
        <f t="shared" ca="1" si="2"/>
        <v>0.96526030308476052</v>
      </c>
      <c r="L46" s="29">
        <v>0</v>
      </c>
      <c r="N46" s="22">
        <v>44591</v>
      </c>
      <c r="O46" s="26">
        <f t="shared" ca="1" si="3"/>
        <v>0.29789148348743066</v>
      </c>
      <c r="P46" s="29">
        <v>0</v>
      </c>
      <c r="R46" s="22">
        <v>44591</v>
      </c>
      <c r="S46" s="26">
        <f t="shared" ca="1" si="4"/>
        <v>0.24911900748838789</v>
      </c>
      <c r="T46" s="29">
        <v>0</v>
      </c>
      <c r="V46" s="22">
        <v>44591</v>
      </c>
      <c r="W46" s="26">
        <f t="shared" ca="1" si="5"/>
        <v>0.22747992492604108</v>
      </c>
      <c r="X46" s="29">
        <v>0</v>
      </c>
      <c r="Z46" s="22">
        <v>44591</v>
      </c>
      <c r="AA46" s="26">
        <f t="shared" ca="1" si="6"/>
        <v>0.27649124159880478</v>
      </c>
      <c r="AB46" s="29">
        <v>0</v>
      </c>
      <c r="AC46"/>
      <c r="AD46" s="25"/>
      <c r="AF46" s="22">
        <v>44591</v>
      </c>
      <c r="AG46" s="26">
        <f t="shared" ca="1" si="7"/>
        <v>0.61198251761563627</v>
      </c>
      <c r="AH46" s="29">
        <v>0</v>
      </c>
      <c r="AJ46" s="22">
        <v>44591</v>
      </c>
      <c r="AK46" s="26">
        <f t="shared" ca="1" si="8"/>
        <v>0.11080744520499142</v>
      </c>
      <c r="AL46" s="29">
        <v>0</v>
      </c>
      <c r="AN46" s="22">
        <v>44591</v>
      </c>
      <c r="AO46" s="26">
        <f t="shared" ca="1" si="9"/>
        <v>0.86153408217197147</v>
      </c>
      <c r="AP46" s="29">
        <v>0</v>
      </c>
      <c r="AR46" s="22">
        <v>44591</v>
      </c>
      <c r="AS46" s="26">
        <f t="shared" ca="1" si="10"/>
        <v>0.40516482199404713</v>
      </c>
      <c r="AT46" s="29">
        <v>0</v>
      </c>
      <c r="AV46" s="22">
        <v>44591</v>
      </c>
      <c r="AW46" s="26">
        <f t="shared" ca="1" si="11"/>
        <v>0.99867442184698685</v>
      </c>
      <c r="AX46" s="29">
        <v>0</v>
      </c>
      <c r="AZ46" s="22">
        <v>44591</v>
      </c>
      <c r="BA46" s="26">
        <f t="shared" ca="1" si="12"/>
        <v>0.26493770501382097</v>
      </c>
      <c r="BB46" s="29">
        <v>0</v>
      </c>
      <c r="BC46"/>
      <c r="BD46" s="25"/>
      <c r="BF46" s="22">
        <v>44591</v>
      </c>
      <c r="BG46" s="26">
        <f t="shared" ca="1" si="13"/>
        <v>0.77245819072827782</v>
      </c>
      <c r="BH46" s="29">
        <v>0</v>
      </c>
      <c r="BJ46" s="22">
        <v>44591</v>
      </c>
      <c r="BK46" s="26">
        <f t="shared" ca="1" si="14"/>
        <v>5.4615693243920238E-2</v>
      </c>
      <c r="BL46" s="29">
        <v>0</v>
      </c>
      <c r="BN46" s="22">
        <v>44591</v>
      </c>
      <c r="BO46" s="26">
        <f t="shared" ca="1" si="15"/>
        <v>0.22063195138507918</v>
      </c>
      <c r="BP46" s="29">
        <v>0</v>
      </c>
      <c r="BR46" s="22">
        <v>44591</v>
      </c>
      <c r="BS46" s="26">
        <f t="shared" ca="1" si="16"/>
        <v>0.99460131665922358</v>
      </c>
      <c r="BT46" s="29">
        <v>0</v>
      </c>
      <c r="BV46" s="22">
        <v>44591</v>
      </c>
      <c r="BW46" s="26">
        <f t="shared" ca="1" si="17"/>
        <v>0.54766550900448785</v>
      </c>
      <c r="BX46" s="29">
        <v>0</v>
      </c>
      <c r="CA46" s="12">
        <f t="shared" si="21"/>
        <v>45444</v>
      </c>
      <c r="CB46" s="8">
        <v>53474</v>
      </c>
    </row>
    <row r="47" spans="2:80" ht="12.75" x14ac:dyDescent="0.2">
      <c r="B47" s="22">
        <v>44592</v>
      </c>
      <c r="C47" s="26">
        <f t="shared" ca="1" si="0"/>
        <v>0.76892874120666499</v>
      </c>
      <c r="D47" s="29">
        <f t="shared" ca="1" si="19"/>
        <v>90</v>
      </c>
      <c r="E47">
        <v>2159</v>
      </c>
      <c r="F47" s="22">
        <v>44592</v>
      </c>
      <c r="G47" s="26">
        <f t="shared" ca="1" si="1"/>
        <v>0.95735070573433834</v>
      </c>
      <c r="H47" s="29">
        <v>0</v>
      </c>
      <c r="I47">
        <v>0</v>
      </c>
      <c r="J47" s="22">
        <v>44592</v>
      </c>
      <c r="K47" s="26">
        <f t="shared" ca="1" si="2"/>
        <v>0.60079199587881083</v>
      </c>
      <c r="L47" s="29">
        <v>0</v>
      </c>
      <c r="M47">
        <v>0</v>
      </c>
      <c r="N47" s="22">
        <v>44592</v>
      </c>
      <c r="O47" s="26">
        <f t="shared" ca="1" si="3"/>
        <v>0.57038266198768395</v>
      </c>
      <c r="P47" s="29">
        <v>0</v>
      </c>
      <c r="Q47">
        <v>0</v>
      </c>
      <c r="R47" s="22">
        <v>44592</v>
      </c>
      <c r="S47" s="26">
        <f t="shared" ca="1" si="4"/>
        <v>0.52455145556047034</v>
      </c>
      <c r="T47" s="29">
        <v>0</v>
      </c>
      <c r="U47">
        <v>0</v>
      </c>
      <c r="V47" s="22">
        <v>44592</v>
      </c>
      <c r="W47" s="26">
        <f t="shared" ca="1" si="5"/>
        <v>0.18368992204179335</v>
      </c>
      <c r="X47" s="29">
        <v>0</v>
      </c>
      <c r="Y47">
        <v>0</v>
      </c>
      <c r="Z47" s="22">
        <v>44592</v>
      </c>
      <c r="AA47" s="26">
        <f t="shared" ca="1" si="6"/>
        <v>0.51682488238295632</v>
      </c>
      <c r="AB47" s="29">
        <v>0</v>
      </c>
      <c r="AC47">
        <v>0</v>
      </c>
      <c r="AD47" s="25"/>
      <c r="AF47" s="22">
        <v>44592</v>
      </c>
      <c r="AG47" s="26">
        <f t="shared" ca="1" si="7"/>
        <v>0.86753367417154326</v>
      </c>
      <c r="AH47" s="29">
        <v>0</v>
      </c>
      <c r="AI47">
        <v>0</v>
      </c>
      <c r="AJ47" s="22">
        <v>44592</v>
      </c>
      <c r="AK47" s="26">
        <f t="shared" ca="1" si="8"/>
        <v>0.85185964362661371</v>
      </c>
      <c r="AL47" s="29">
        <v>0</v>
      </c>
      <c r="AM47">
        <v>0</v>
      </c>
      <c r="AN47" s="22">
        <v>44592</v>
      </c>
      <c r="AO47" s="26">
        <f t="shared" ca="1" si="9"/>
        <v>0.39730461924886185</v>
      </c>
      <c r="AP47" s="29">
        <v>0</v>
      </c>
      <c r="AQ47">
        <v>0</v>
      </c>
      <c r="AR47" s="22">
        <v>44592</v>
      </c>
      <c r="AS47" s="26">
        <f t="shared" ca="1" si="10"/>
        <v>0.52761107739340318</v>
      </c>
      <c r="AT47" s="29">
        <v>0</v>
      </c>
      <c r="AU47">
        <v>0</v>
      </c>
      <c r="AV47" s="22">
        <v>44592</v>
      </c>
      <c r="AW47" s="26">
        <f t="shared" ca="1" si="11"/>
        <v>0.82621537286063074</v>
      </c>
      <c r="AX47" s="29">
        <v>0</v>
      </c>
      <c r="AY47">
        <v>0</v>
      </c>
      <c r="AZ47" s="22">
        <v>44592</v>
      </c>
      <c r="BA47" s="26">
        <f t="shared" ca="1" si="12"/>
        <v>0.5701152584091741</v>
      </c>
      <c r="BB47" s="29">
        <v>0</v>
      </c>
      <c r="BC47">
        <v>0</v>
      </c>
      <c r="BD47" s="25"/>
      <c r="BF47" s="22">
        <v>44592</v>
      </c>
      <c r="BG47" s="26">
        <f t="shared" ca="1" si="13"/>
        <v>0.38326377052042349</v>
      </c>
      <c r="BH47" s="29">
        <v>0</v>
      </c>
      <c r="BI47">
        <v>0</v>
      </c>
      <c r="BJ47" s="22">
        <v>44592</v>
      </c>
      <c r="BK47" s="26">
        <f t="shared" ca="1" si="14"/>
        <v>0.23398817533664518</v>
      </c>
      <c r="BL47" s="29">
        <v>0</v>
      </c>
      <c r="BM47">
        <v>0</v>
      </c>
      <c r="BN47" s="22">
        <v>44592</v>
      </c>
      <c r="BO47" s="26">
        <f t="shared" ca="1" si="15"/>
        <v>0.13679565241390956</v>
      </c>
      <c r="BP47" s="29">
        <v>0</v>
      </c>
      <c r="BQ47">
        <v>0</v>
      </c>
      <c r="BR47" s="22">
        <v>44592</v>
      </c>
      <c r="BS47" s="26">
        <f t="shared" ca="1" si="16"/>
        <v>5.8940061910583763E-2</v>
      </c>
      <c r="BT47" s="29">
        <v>0</v>
      </c>
      <c r="BU47">
        <v>0</v>
      </c>
      <c r="BV47" s="22">
        <v>44592</v>
      </c>
      <c r="BW47" s="26">
        <f t="shared" ca="1" si="17"/>
        <v>0.37160600648071729</v>
      </c>
      <c r="BX47" s="29">
        <v>0</v>
      </c>
      <c r="BY47">
        <v>0</v>
      </c>
      <c r="CA47" s="12">
        <f t="shared" si="21"/>
        <v>45474</v>
      </c>
      <c r="CB47" s="8">
        <v>9258</v>
      </c>
    </row>
    <row r="48" spans="2:80" ht="12.75" x14ac:dyDescent="0.2">
      <c r="B48" s="22">
        <v>44593</v>
      </c>
      <c r="C48" s="26">
        <f t="shared" ca="1" si="0"/>
        <v>0.1181738661086007</v>
      </c>
      <c r="D48" s="37">
        <f ca="1">ROUNDUP(_xlfn.NORM.INV(C47,C$10,C$12),0)</f>
        <v>90</v>
      </c>
      <c r="F48" s="22">
        <v>44593</v>
      </c>
      <c r="G48" s="26">
        <f t="shared" ca="1" si="1"/>
        <v>0.62069040747839288</v>
      </c>
      <c r="H48" s="29">
        <v>0</v>
      </c>
      <c r="J48" s="22">
        <v>44593</v>
      </c>
      <c r="K48" s="26">
        <f t="shared" ca="1" si="2"/>
        <v>4.4862597455844311E-2</v>
      </c>
      <c r="L48" s="29">
        <v>0</v>
      </c>
      <c r="N48" s="22">
        <v>44593</v>
      </c>
      <c r="O48" s="26">
        <f t="shared" ca="1" si="3"/>
        <v>0.15821839405087035</v>
      </c>
      <c r="P48" s="29">
        <v>0</v>
      </c>
      <c r="R48" s="22">
        <v>44593</v>
      </c>
      <c r="S48" s="26">
        <f t="shared" ca="1" si="4"/>
        <v>0.30601864974877913</v>
      </c>
      <c r="T48" s="29">
        <v>0</v>
      </c>
      <c r="V48" s="22">
        <v>44593</v>
      </c>
      <c r="W48" s="26">
        <f t="shared" ca="1" si="5"/>
        <v>0.19122302569600724</v>
      </c>
      <c r="X48" s="29">
        <v>0</v>
      </c>
      <c r="Z48" s="22">
        <v>44593</v>
      </c>
      <c r="AA48" s="26">
        <f t="shared" ca="1" si="6"/>
        <v>0.96360521301829805</v>
      </c>
      <c r="AB48" s="29">
        <v>0</v>
      </c>
      <c r="AC48"/>
      <c r="AD48" s="25"/>
      <c r="AF48" s="22">
        <v>44593</v>
      </c>
      <c r="AG48" s="26">
        <f t="shared" ca="1" si="7"/>
        <v>0.21626627510092244</v>
      </c>
      <c r="AH48" s="29">
        <v>0</v>
      </c>
      <c r="AJ48" s="22">
        <v>44593</v>
      </c>
      <c r="AK48" s="26">
        <f t="shared" ca="1" si="8"/>
        <v>0.71214563817146603</v>
      </c>
      <c r="AL48" s="29">
        <v>0</v>
      </c>
      <c r="AN48" s="22">
        <v>44593</v>
      </c>
      <c r="AO48" s="26">
        <f t="shared" ca="1" si="9"/>
        <v>0.81156252698319908</v>
      </c>
      <c r="AP48" s="29">
        <v>0</v>
      </c>
      <c r="AR48" s="22">
        <v>44593</v>
      </c>
      <c r="AS48" s="26">
        <f t="shared" ca="1" si="10"/>
        <v>0.31640783286934637</v>
      </c>
      <c r="AT48" s="29">
        <v>0</v>
      </c>
      <c r="AV48" s="22">
        <v>44593</v>
      </c>
      <c r="AW48" s="26">
        <f t="shared" ca="1" si="11"/>
        <v>0.89274297796198643</v>
      </c>
      <c r="AX48" s="29">
        <v>0</v>
      </c>
      <c r="AZ48" s="22">
        <v>44593</v>
      </c>
      <c r="BA48" s="26">
        <f t="shared" ca="1" si="12"/>
        <v>0.48401883561016568</v>
      </c>
      <c r="BB48" s="29">
        <v>0</v>
      </c>
      <c r="BC48"/>
      <c r="BD48" s="25"/>
      <c r="BF48" s="22">
        <v>44593</v>
      </c>
      <c r="BG48" s="26">
        <f t="shared" ca="1" si="13"/>
        <v>0.83422156485250598</v>
      </c>
      <c r="BH48" s="29">
        <v>0</v>
      </c>
      <c r="BJ48" s="22">
        <v>44593</v>
      </c>
      <c r="BK48" s="26">
        <f t="shared" ca="1" si="14"/>
        <v>0.66423863406349704</v>
      </c>
      <c r="BL48" s="29">
        <v>0</v>
      </c>
      <c r="BN48" s="22">
        <v>44593</v>
      </c>
      <c r="BO48" s="26">
        <f t="shared" ca="1" si="15"/>
        <v>0.66629061126468636</v>
      </c>
      <c r="BP48" s="29">
        <v>0</v>
      </c>
      <c r="BR48" s="22">
        <v>44593</v>
      </c>
      <c r="BS48" s="26">
        <f t="shared" ca="1" si="16"/>
        <v>0.15589227662628613</v>
      </c>
      <c r="BT48" s="29">
        <v>0</v>
      </c>
      <c r="BV48" s="22">
        <v>44593</v>
      </c>
      <c r="BW48" s="26">
        <f t="shared" ca="1" si="17"/>
        <v>0.52872352824526747</v>
      </c>
      <c r="BX48" s="29">
        <v>0</v>
      </c>
      <c r="CA48" s="12">
        <f t="shared" si="21"/>
        <v>45505</v>
      </c>
      <c r="CB48" s="8">
        <v>1716</v>
      </c>
    </row>
    <row r="49" spans="2:80" ht="12.75" x14ac:dyDescent="0.2">
      <c r="B49" s="22">
        <v>44594</v>
      </c>
      <c r="C49" s="26">
        <f t="shared" ca="1" si="0"/>
        <v>6.7712297087003215E-2</v>
      </c>
      <c r="D49" s="29">
        <f t="shared" ca="1" si="19"/>
        <v>46</v>
      </c>
      <c r="F49" s="22">
        <v>44594</v>
      </c>
      <c r="G49" s="26">
        <f t="shared" ca="1" si="1"/>
        <v>0.73806469500754091</v>
      </c>
      <c r="H49" s="29">
        <v>0</v>
      </c>
      <c r="J49" s="22">
        <v>44594</v>
      </c>
      <c r="K49" s="26">
        <f t="shared" ca="1" si="2"/>
        <v>0.97764194473828647</v>
      </c>
      <c r="L49" s="29">
        <v>0</v>
      </c>
      <c r="N49" s="22">
        <v>44594</v>
      </c>
      <c r="O49" s="26">
        <f t="shared" ca="1" si="3"/>
        <v>0.11000198170135134</v>
      </c>
      <c r="P49" s="29">
        <v>0</v>
      </c>
      <c r="R49" s="22">
        <v>44594</v>
      </c>
      <c r="S49" s="26">
        <f t="shared" ca="1" si="4"/>
        <v>0.13976794800538972</v>
      </c>
      <c r="T49" s="29">
        <v>0</v>
      </c>
      <c r="V49" s="22">
        <v>44594</v>
      </c>
      <c r="W49" s="26">
        <f t="shared" ca="1" si="5"/>
        <v>0.49732912592022172</v>
      </c>
      <c r="X49" s="29">
        <v>0</v>
      </c>
      <c r="Z49" s="22">
        <v>44594</v>
      </c>
      <c r="AA49" s="26">
        <f t="shared" ca="1" si="6"/>
        <v>8.3629992091350025E-2</v>
      </c>
      <c r="AB49" s="29">
        <v>0</v>
      </c>
      <c r="AC49"/>
      <c r="AD49" s="25"/>
      <c r="AF49" s="22">
        <v>44594</v>
      </c>
      <c r="AG49" s="26">
        <f t="shared" ca="1" si="7"/>
        <v>0.76049533104772216</v>
      </c>
      <c r="AH49" s="29">
        <v>0</v>
      </c>
      <c r="AJ49" s="22">
        <v>44594</v>
      </c>
      <c r="AK49" s="26">
        <f t="shared" ca="1" si="8"/>
        <v>7.8289866476283665E-2</v>
      </c>
      <c r="AL49" s="29">
        <v>0</v>
      </c>
      <c r="AN49" s="22">
        <v>44594</v>
      </c>
      <c r="AO49" s="26">
        <f t="shared" ca="1" si="9"/>
        <v>0.37085101255191621</v>
      </c>
      <c r="AP49" s="29">
        <v>0</v>
      </c>
      <c r="AR49" s="22">
        <v>44594</v>
      </c>
      <c r="AS49" s="26">
        <f t="shared" ca="1" si="10"/>
        <v>0.49317857121792696</v>
      </c>
      <c r="AT49" s="29">
        <v>0</v>
      </c>
      <c r="AV49" s="22">
        <v>44594</v>
      </c>
      <c r="AW49" s="26">
        <f t="shared" ca="1" si="11"/>
        <v>0.19153063153562644</v>
      </c>
      <c r="AX49" s="29">
        <v>0</v>
      </c>
      <c r="AZ49" s="22">
        <v>44594</v>
      </c>
      <c r="BA49" s="26">
        <f t="shared" ca="1" si="12"/>
        <v>0.3304601875911648</v>
      </c>
      <c r="BB49" s="29">
        <v>0</v>
      </c>
      <c r="BC49"/>
      <c r="BD49" s="25"/>
      <c r="BF49" s="22">
        <v>44594</v>
      </c>
      <c r="BG49" s="26">
        <f t="shared" ca="1" si="13"/>
        <v>0.40277830791365021</v>
      </c>
      <c r="BH49" s="29">
        <v>0</v>
      </c>
      <c r="BJ49" s="22">
        <v>44594</v>
      </c>
      <c r="BK49" s="26">
        <f t="shared" ca="1" si="14"/>
        <v>0.86816092512862386</v>
      </c>
      <c r="BL49" s="29">
        <v>0</v>
      </c>
      <c r="BN49" s="22">
        <v>44594</v>
      </c>
      <c r="BO49" s="26">
        <f t="shared" ca="1" si="15"/>
        <v>0.70618760619865739</v>
      </c>
      <c r="BP49" s="29">
        <v>0</v>
      </c>
      <c r="BR49" s="22">
        <v>44594</v>
      </c>
      <c r="BS49" s="26">
        <f t="shared" ca="1" si="16"/>
        <v>0.82555750038238906</v>
      </c>
      <c r="BT49" s="29">
        <v>0</v>
      </c>
      <c r="BV49" s="22">
        <v>44594</v>
      </c>
      <c r="BW49" s="26">
        <f t="shared" ca="1" si="17"/>
        <v>0.25823767605333448</v>
      </c>
      <c r="BX49" s="29">
        <v>0</v>
      </c>
      <c r="CA49" s="12">
        <f t="shared" si="21"/>
        <v>45536</v>
      </c>
      <c r="CB49" s="8">
        <v>53870</v>
      </c>
    </row>
    <row r="50" spans="2:80" ht="12.75" x14ac:dyDescent="0.2">
      <c r="B50" s="22">
        <v>44595</v>
      </c>
      <c r="C50" s="26">
        <f t="shared" ca="1" si="0"/>
        <v>0.52764699026832562</v>
      </c>
      <c r="D50" s="29">
        <f t="shared" ca="1" si="19"/>
        <v>77</v>
      </c>
      <c r="F50" s="22">
        <v>44595</v>
      </c>
      <c r="G50" s="26">
        <f t="shared" ca="1" si="1"/>
        <v>0.28556528145428361</v>
      </c>
      <c r="H50" s="29">
        <v>0</v>
      </c>
      <c r="J50" s="22">
        <v>44595</v>
      </c>
      <c r="K50" s="26">
        <f t="shared" ca="1" si="2"/>
        <v>0.8936513371225866</v>
      </c>
      <c r="L50" s="29">
        <v>0</v>
      </c>
      <c r="N50" s="22">
        <v>44595</v>
      </c>
      <c r="O50" s="26">
        <f t="shared" ca="1" si="3"/>
        <v>0.63797924715176868</v>
      </c>
      <c r="P50" s="29">
        <v>0</v>
      </c>
      <c r="R50" s="22">
        <v>44595</v>
      </c>
      <c r="S50" s="26">
        <f t="shared" ca="1" si="4"/>
        <v>0.7242925713446714</v>
      </c>
      <c r="T50" s="29">
        <v>0</v>
      </c>
      <c r="V50" s="22">
        <v>44595</v>
      </c>
      <c r="W50" s="26">
        <f t="shared" ca="1" si="5"/>
        <v>0.16378412650377916</v>
      </c>
      <c r="X50" s="29">
        <v>0</v>
      </c>
      <c r="Z50" s="22">
        <v>44595</v>
      </c>
      <c r="AA50" s="26">
        <f t="shared" ca="1" si="6"/>
        <v>0.14408363205048058</v>
      </c>
      <c r="AB50" s="29">
        <v>0</v>
      </c>
      <c r="AC50"/>
      <c r="AD50" s="25"/>
      <c r="AF50" s="22">
        <v>44595</v>
      </c>
      <c r="AG50" s="26">
        <f t="shared" ca="1" si="7"/>
        <v>0.37945728263864131</v>
      </c>
      <c r="AH50" s="29">
        <v>0</v>
      </c>
      <c r="AJ50" s="22">
        <v>44595</v>
      </c>
      <c r="AK50" s="26">
        <f t="shared" ca="1" si="8"/>
        <v>0.6841317071252816</v>
      </c>
      <c r="AL50" s="29">
        <v>0</v>
      </c>
      <c r="AN50" s="22">
        <v>44595</v>
      </c>
      <c r="AO50" s="26">
        <f t="shared" ca="1" si="9"/>
        <v>2.1572566994900177E-2</v>
      </c>
      <c r="AP50" s="29">
        <v>0</v>
      </c>
      <c r="AR50" s="22">
        <v>44595</v>
      </c>
      <c r="AS50" s="26">
        <f t="shared" ca="1" si="10"/>
        <v>0.74315393981471722</v>
      </c>
      <c r="AT50" s="29">
        <v>0</v>
      </c>
      <c r="AV50" s="22">
        <v>44595</v>
      </c>
      <c r="AW50" s="26">
        <f t="shared" ca="1" si="11"/>
        <v>0.46933440052650166</v>
      </c>
      <c r="AX50" s="29">
        <v>0</v>
      </c>
      <c r="AZ50" s="22">
        <v>44595</v>
      </c>
      <c r="BA50" s="26">
        <f t="shared" ca="1" si="12"/>
        <v>0.15509436971960333</v>
      </c>
      <c r="BB50" s="29">
        <v>0</v>
      </c>
      <c r="BC50"/>
      <c r="BD50" s="25"/>
      <c r="BF50" s="22">
        <v>44595</v>
      </c>
      <c r="BG50" s="26">
        <f t="shared" ca="1" si="13"/>
        <v>0.82743658445968127</v>
      </c>
      <c r="BH50" s="29">
        <v>0</v>
      </c>
      <c r="BJ50" s="22">
        <v>44595</v>
      </c>
      <c r="BK50" s="26">
        <f t="shared" ca="1" si="14"/>
        <v>0.42978286205286487</v>
      </c>
      <c r="BL50" s="29">
        <v>0</v>
      </c>
      <c r="BN50" s="22">
        <v>44595</v>
      </c>
      <c r="BO50" s="26">
        <f t="shared" ca="1" si="15"/>
        <v>0.56440482616108067</v>
      </c>
      <c r="BP50" s="29">
        <v>0</v>
      </c>
      <c r="BR50" s="22">
        <v>44595</v>
      </c>
      <c r="BS50" s="26">
        <f t="shared" ca="1" si="16"/>
        <v>0.61143014684265806</v>
      </c>
      <c r="BT50" s="29">
        <v>0</v>
      </c>
      <c r="BV50" s="22">
        <v>44595</v>
      </c>
      <c r="BW50" s="26">
        <f t="shared" ca="1" si="17"/>
        <v>0.44112767291280408</v>
      </c>
      <c r="BX50" s="29">
        <v>0</v>
      </c>
      <c r="CA50" s="12">
        <f t="shared" si="21"/>
        <v>45566</v>
      </c>
      <c r="CB50" s="8">
        <v>39048</v>
      </c>
    </row>
    <row r="51" spans="2:80" ht="12.75" x14ac:dyDescent="0.2">
      <c r="B51" s="22">
        <v>44596</v>
      </c>
      <c r="C51" s="26">
        <f t="shared" ca="1" si="0"/>
        <v>0.58525639167679222</v>
      </c>
      <c r="D51" s="29">
        <f t="shared" ca="1" si="19"/>
        <v>80</v>
      </c>
      <c r="F51" s="22">
        <v>44596</v>
      </c>
      <c r="G51" s="26">
        <f t="shared" ca="1" si="1"/>
        <v>0.48320669413218509</v>
      </c>
      <c r="H51" s="29">
        <v>0</v>
      </c>
      <c r="J51" s="22">
        <v>44596</v>
      </c>
      <c r="K51" s="26">
        <f t="shared" ca="1" si="2"/>
        <v>0.7627849064740756</v>
      </c>
      <c r="L51" s="29">
        <v>0</v>
      </c>
      <c r="N51" s="22">
        <v>44596</v>
      </c>
      <c r="O51" s="26">
        <f t="shared" ca="1" si="3"/>
        <v>0.12523585192927822</v>
      </c>
      <c r="P51" s="29">
        <v>0</v>
      </c>
      <c r="R51" s="22">
        <v>44596</v>
      </c>
      <c r="S51" s="26">
        <f t="shared" ca="1" si="4"/>
        <v>0.66334749456289388</v>
      </c>
      <c r="T51" s="29">
        <v>0</v>
      </c>
      <c r="V51" s="22">
        <v>44596</v>
      </c>
      <c r="W51" s="26">
        <f t="shared" ca="1" si="5"/>
        <v>0.72092773459685322</v>
      </c>
      <c r="X51" s="29">
        <v>0</v>
      </c>
      <c r="Z51" s="22">
        <v>44596</v>
      </c>
      <c r="AA51" s="26">
        <f t="shared" ca="1" si="6"/>
        <v>0.21368259581514204</v>
      </c>
      <c r="AB51" s="29">
        <v>0</v>
      </c>
      <c r="AC51"/>
      <c r="AD51" s="25"/>
      <c r="AF51" s="22">
        <v>44596</v>
      </c>
      <c r="AG51" s="26">
        <f t="shared" ca="1" si="7"/>
        <v>0.20717974191725341</v>
      </c>
      <c r="AH51" s="29">
        <v>0</v>
      </c>
      <c r="AJ51" s="22">
        <v>44596</v>
      </c>
      <c r="AK51" s="26">
        <f t="shared" ca="1" si="8"/>
        <v>0.77631549652500453</v>
      </c>
      <c r="AL51" s="29">
        <v>0</v>
      </c>
      <c r="AN51" s="22">
        <v>44596</v>
      </c>
      <c r="AO51" s="26">
        <f t="shared" ca="1" si="9"/>
        <v>0.41438793091292159</v>
      </c>
      <c r="AP51" s="29">
        <v>0</v>
      </c>
      <c r="AR51" s="22">
        <v>44596</v>
      </c>
      <c r="AS51" s="26">
        <f t="shared" ca="1" si="10"/>
        <v>0.48837419371975355</v>
      </c>
      <c r="AT51" s="29">
        <v>0</v>
      </c>
      <c r="AV51" s="22">
        <v>44596</v>
      </c>
      <c r="AW51" s="26">
        <f t="shared" ca="1" si="11"/>
        <v>0.92844292503776749</v>
      </c>
      <c r="AX51" s="29">
        <v>0</v>
      </c>
      <c r="AZ51" s="22">
        <v>44596</v>
      </c>
      <c r="BA51" s="26">
        <f t="shared" ca="1" si="12"/>
        <v>0.42828711551086651</v>
      </c>
      <c r="BB51" s="29">
        <v>0</v>
      </c>
      <c r="BC51"/>
      <c r="BD51" s="25"/>
      <c r="BF51" s="22">
        <v>44596</v>
      </c>
      <c r="BG51" s="26">
        <f t="shared" ca="1" si="13"/>
        <v>0.12465919895415534</v>
      </c>
      <c r="BH51" s="29">
        <v>0</v>
      </c>
      <c r="BJ51" s="22">
        <v>44596</v>
      </c>
      <c r="BK51" s="26">
        <f t="shared" ca="1" si="14"/>
        <v>0.78274242913412517</v>
      </c>
      <c r="BL51" s="29">
        <v>0</v>
      </c>
      <c r="BN51" s="22">
        <v>44596</v>
      </c>
      <c r="BO51" s="26">
        <f t="shared" ca="1" si="15"/>
        <v>0.39465812293944191</v>
      </c>
      <c r="BP51" s="29">
        <v>0</v>
      </c>
      <c r="BR51" s="22">
        <v>44596</v>
      </c>
      <c r="BS51" s="26">
        <f t="shared" ca="1" si="16"/>
        <v>0.63621478246252572</v>
      </c>
      <c r="BT51" s="29">
        <v>0</v>
      </c>
      <c r="BV51" s="22">
        <v>44596</v>
      </c>
      <c r="BW51" s="26">
        <f t="shared" ca="1" si="17"/>
        <v>0.39778466715262717</v>
      </c>
      <c r="BX51" s="29">
        <v>0</v>
      </c>
      <c r="CA51" s="12">
        <f t="shared" si="21"/>
        <v>45597</v>
      </c>
      <c r="CB51" s="8">
        <v>53421</v>
      </c>
    </row>
    <row r="52" spans="2:80" ht="12.75" x14ac:dyDescent="0.2">
      <c r="B52" s="22">
        <v>44597</v>
      </c>
      <c r="C52" s="26">
        <f t="shared" ca="1" si="0"/>
        <v>0.66567238470780477</v>
      </c>
      <c r="D52" s="29">
        <f t="shared" ca="1" si="19"/>
        <v>84</v>
      </c>
      <c r="F52" s="22">
        <v>44597</v>
      </c>
      <c r="G52" s="26">
        <f t="shared" ca="1" si="1"/>
        <v>0.56271819399102763</v>
      </c>
      <c r="H52" s="29">
        <v>0</v>
      </c>
      <c r="J52" s="22">
        <v>44597</v>
      </c>
      <c r="K52" s="26">
        <f t="shared" ca="1" si="2"/>
        <v>0.53833998260351024</v>
      </c>
      <c r="L52" s="29">
        <v>0</v>
      </c>
      <c r="N52" s="22">
        <v>44597</v>
      </c>
      <c r="O52" s="26">
        <f t="shared" ca="1" si="3"/>
        <v>0.11142436430808844</v>
      </c>
      <c r="P52" s="29">
        <v>0</v>
      </c>
      <c r="R52" s="22">
        <v>44597</v>
      </c>
      <c r="S52" s="26">
        <f t="shared" ca="1" si="4"/>
        <v>0.83683960278733061</v>
      </c>
      <c r="T52" s="29">
        <v>0</v>
      </c>
      <c r="V52" s="22">
        <v>44597</v>
      </c>
      <c r="W52" s="26">
        <f t="shared" ca="1" si="5"/>
        <v>0.88954757281452135</v>
      </c>
      <c r="X52" s="29">
        <v>0</v>
      </c>
      <c r="Z52" s="22">
        <v>44597</v>
      </c>
      <c r="AA52" s="26">
        <f t="shared" ca="1" si="6"/>
        <v>0.58724442867499216</v>
      </c>
      <c r="AB52" s="29">
        <v>0</v>
      </c>
      <c r="AC52"/>
      <c r="AD52" s="25"/>
      <c r="AF52" s="22">
        <v>44597</v>
      </c>
      <c r="AG52" s="26">
        <f t="shared" ca="1" si="7"/>
        <v>0.39541815460571383</v>
      </c>
      <c r="AH52" s="29">
        <v>0</v>
      </c>
      <c r="AJ52" s="22">
        <v>44597</v>
      </c>
      <c r="AK52" s="26">
        <f t="shared" ca="1" si="8"/>
        <v>0.50409729666523628</v>
      </c>
      <c r="AL52" s="29">
        <v>0</v>
      </c>
      <c r="AN52" s="22">
        <v>44597</v>
      </c>
      <c r="AO52" s="26">
        <f t="shared" ca="1" si="9"/>
        <v>0.87724519306947324</v>
      </c>
      <c r="AP52" s="29">
        <v>0</v>
      </c>
      <c r="AR52" s="22">
        <v>44597</v>
      </c>
      <c r="AS52" s="26">
        <f t="shared" ca="1" si="10"/>
        <v>0.47679291817211933</v>
      </c>
      <c r="AT52" s="29">
        <v>0</v>
      </c>
      <c r="AV52" s="22">
        <v>44597</v>
      </c>
      <c r="AW52" s="26">
        <f t="shared" ca="1" si="11"/>
        <v>0.22911094097153828</v>
      </c>
      <c r="AX52" s="29">
        <v>0</v>
      </c>
      <c r="AZ52" s="22">
        <v>44597</v>
      </c>
      <c r="BA52" s="26">
        <f t="shared" ca="1" si="12"/>
        <v>0.96573994123832996</v>
      </c>
      <c r="BB52" s="29">
        <v>0</v>
      </c>
      <c r="BC52"/>
      <c r="BD52" s="25"/>
      <c r="BF52" s="22">
        <v>44597</v>
      </c>
      <c r="BG52" s="26">
        <f t="shared" ca="1" si="13"/>
        <v>0.42425388376389772</v>
      </c>
      <c r="BH52" s="29">
        <v>0</v>
      </c>
      <c r="BJ52" s="22">
        <v>44597</v>
      </c>
      <c r="BK52" s="26">
        <f t="shared" ca="1" si="14"/>
        <v>0.19040806436531421</v>
      </c>
      <c r="BL52" s="29">
        <v>0</v>
      </c>
      <c r="BN52" s="22">
        <v>44597</v>
      </c>
      <c r="BO52" s="26">
        <f t="shared" ca="1" si="15"/>
        <v>0.68136329597986889</v>
      </c>
      <c r="BP52" s="29">
        <v>0</v>
      </c>
      <c r="BR52" s="22">
        <v>44597</v>
      </c>
      <c r="BS52" s="26">
        <f t="shared" ca="1" si="16"/>
        <v>0.52198901808159492</v>
      </c>
      <c r="BT52" s="29">
        <v>0</v>
      </c>
      <c r="BV52" s="22">
        <v>44597</v>
      </c>
      <c r="BW52" s="26">
        <f t="shared" ca="1" si="17"/>
        <v>0.47336624594320831</v>
      </c>
      <c r="BX52" s="29">
        <v>0</v>
      </c>
      <c r="CA52" s="12">
        <f t="shared" si="21"/>
        <v>45627</v>
      </c>
      <c r="CB52" s="8">
        <v>29645</v>
      </c>
    </row>
    <row r="53" spans="2:80" ht="12.75" x14ac:dyDescent="0.2">
      <c r="B53" s="22">
        <v>44598</v>
      </c>
      <c r="C53" s="26">
        <f t="shared" ca="1" si="0"/>
        <v>0.30438446846432266</v>
      </c>
      <c r="D53" s="29">
        <v>0</v>
      </c>
      <c r="F53" s="22">
        <v>44598</v>
      </c>
      <c r="G53" s="26">
        <f t="shared" ca="1" si="1"/>
        <v>0.9270498553133415</v>
      </c>
      <c r="H53" s="29">
        <v>0</v>
      </c>
      <c r="J53" s="22">
        <v>44598</v>
      </c>
      <c r="K53" s="26">
        <f t="shared" ca="1" si="2"/>
        <v>9.0019817623486653E-2</v>
      </c>
      <c r="L53" s="29">
        <v>0</v>
      </c>
      <c r="N53" s="22">
        <v>44598</v>
      </c>
      <c r="O53" s="26">
        <f t="shared" ca="1" si="3"/>
        <v>7.3082022572927174E-2</v>
      </c>
      <c r="P53" s="29">
        <v>0</v>
      </c>
      <c r="R53" s="22">
        <v>44598</v>
      </c>
      <c r="S53" s="26">
        <f t="shared" ca="1" si="4"/>
        <v>0.10341882516220846</v>
      </c>
      <c r="T53" s="29">
        <v>0</v>
      </c>
      <c r="V53" s="22">
        <v>44598</v>
      </c>
      <c r="W53" s="26">
        <f t="shared" ca="1" si="5"/>
        <v>0.7492728191485416</v>
      </c>
      <c r="X53" s="29">
        <v>0</v>
      </c>
      <c r="Z53" s="22">
        <v>44598</v>
      </c>
      <c r="AA53" s="26">
        <f t="shared" ca="1" si="6"/>
        <v>0.53172954430223585</v>
      </c>
      <c r="AB53" s="29">
        <v>0</v>
      </c>
      <c r="AC53"/>
      <c r="AD53" s="25"/>
      <c r="AF53" s="22">
        <v>44598</v>
      </c>
      <c r="AG53" s="26">
        <f t="shared" ca="1" si="7"/>
        <v>0.76643109077736271</v>
      </c>
      <c r="AH53" s="29">
        <v>0</v>
      </c>
      <c r="AJ53" s="22">
        <v>44598</v>
      </c>
      <c r="AK53" s="26">
        <f t="shared" ca="1" si="8"/>
        <v>0.83448926196828543</v>
      </c>
      <c r="AL53" s="29">
        <v>0</v>
      </c>
      <c r="AN53" s="22">
        <v>44598</v>
      </c>
      <c r="AO53" s="26">
        <f t="shared" ca="1" si="9"/>
        <v>0.50560938102366204</v>
      </c>
      <c r="AP53" s="29">
        <v>0</v>
      </c>
      <c r="AR53" s="22">
        <v>44598</v>
      </c>
      <c r="AS53" s="26">
        <f t="shared" ca="1" si="10"/>
        <v>0.24609639917881554</v>
      </c>
      <c r="AT53" s="29">
        <v>0</v>
      </c>
      <c r="AV53" s="22">
        <v>44598</v>
      </c>
      <c r="AW53" s="26">
        <f t="shared" ca="1" si="11"/>
        <v>0.81450898245103431</v>
      </c>
      <c r="AX53" s="29">
        <v>0</v>
      </c>
      <c r="AZ53" s="22">
        <v>44598</v>
      </c>
      <c r="BA53" s="26">
        <f t="shared" ca="1" si="12"/>
        <v>2.686586864898477E-2</v>
      </c>
      <c r="BB53" s="29">
        <v>0</v>
      </c>
      <c r="BC53"/>
      <c r="BD53" s="25"/>
      <c r="BF53" s="22">
        <v>44598</v>
      </c>
      <c r="BG53" s="26">
        <f t="shared" ca="1" si="13"/>
        <v>0.78677010353228194</v>
      </c>
      <c r="BH53" s="29">
        <v>0</v>
      </c>
      <c r="BJ53" s="22">
        <v>44598</v>
      </c>
      <c r="BK53" s="26">
        <f t="shared" ca="1" si="14"/>
        <v>0.45339691834059204</v>
      </c>
      <c r="BL53" s="29">
        <v>0</v>
      </c>
      <c r="BN53" s="22">
        <v>44598</v>
      </c>
      <c r="BO53" s="26">
        <f t="shared" ca="1" si="15"/>
        <v>0.62422237396429359</v>
      </c>
      <c r="BP53" s="29">
        <v>0</v>
      </c>
      <c r="BR53" s="22">
        <v>44598</v>
      </c>
      <c r="BS53" s="26">
        <f t="shared" ca="1" si="16"/>
        <v>0.63558968474789235</v>
      </c>
      <c r="BT53" s="29">
        <v>0</v>
      </c>
      <c r="BV53" s="22">
        <v>44598</v>
      </c>
      <c r="BW53" s="26">
        <f t="shared" ca="1" si="17"/>
        <v>0.55269786563897561</v>
      </c>
      <c r="BX53" s="29">
        <v>0</v>
      </c>
      <c r="CA53" s="12"/>
      <c r="CB53" s="8"/>
    </row>
    <row r="54" spans="2:80" ht="12.75" x14ac:dyDescent="0.2">
      <c r="B54" s="22">
        <v>44599</v>
      </c>
      <c r="C54" s="26">
        <f t="shared" ca="1" si="0"/>
        <v>0.7144775317848957</v>
      </c>
      <c r="D54" s="29">
        <v>0</v>
      </c>
      <c r="F54" s="22">
        <v>44599</v>
      </c>
      <c r="G54" s="26">
        <f t="shared" ca="1" si="1"/>
        <v>8.1040572093512786E-2</v>
      </c>
      <c r="H54" s="29">
        <v>0</v>
      </c>
      <c r="J54" s="22">
        <v>44599</v>
      </c>
      <c r="K54" s="26">
        <f t="shared" ca="1" si="2"/>
        <v>0.49244040144984125</v>
      </c>
      <c r="L54" s="29">
        <v>0</v>
      </c>
      <c r="N54" s="22">
        <v>44599</v>
      </c>
      <c r="O54" s="26">
        <f t="shared" ca="1" si="3"/>
        <v>0.48987395032689651</v>
      </c>
      <c r="P54" s="29">
        <v>0</v>
      </c>
      <c r="R54" s="22">
        <v>44599</v>
      </c>
      <c r="S54" s="26">
        <f t="shared" ca="1" si="4"/>
        <v>0.53127935788651315</v>
      </c>
      <c r="T54" s="29">
        <v>0</v>
      </c>
      <c r="V54" s="22">
        <v>44599</v>
      </c>
      <c r="W54" s="26">
        <f t="shared" ca="1" si="5"/>
        <v>0.85494660960532765</v>
      </c>
      <c r="X54" s="29">
        <v>0</v>
      </c>
      <c r="Z54" s="22">
        <v>44599</v>
      </c>
      <c r="AA54" s="26">
        <f t="shared" ca="1" si="6"/>
        <v>0.92434324528879053</v>
      </c>
      <c r="AB54" s="29">
        <v>0</v>
      </c>
      <c r="AC54"/>
      <c r="AD54" s="25"/>
      <c r="AF54" s="22">
        <v>44599</v>
      </c>
      <c r="AG54" s="26">
        <f t="shared" ca="1" si="7"/>
        <v>0.89631475728912302</v>
      </c>
      <c r="AH54" s="29">
        <v>0</v>
      </c>
      <c r="AJ54" s="22">
        <v>44599</v>
      </c>
      <c r="AK54" s="26">
        <f t="shared" ca="1" si="8"/>
        <v>0.48638754562945641</v>
      </c>
      <c r="AL54" s="29">
        <v>0</v>
      </c>
      <c r="AN54" s="22">
        <v>44599</v>
      </c>
      <c r="AO54" s="26">
        <f t="shared" ca="1" si="9"/>
        <v>0.99386685581054446</v>
      </c>
      <c r="AP54" s="29">
        <v>0</v>
      </c>
      <c r="AR54" s="22">
        <v>44599</v>
      </c>
      <c r="AS54" s="26">
        <f t="shared" ca="1" si="10"/>
        <v>0.80055976923458294</v>
      </c>
      <c r="AT54" s="29">
        <v>0</v>
      </c>
      <c r="AV54" s="22">
        <v>44599</v>
      </c>
      <c r="AW54" s="26">
        <f t="shared" ca="1" si="11"/>
        <v>0.32238443467901856</v>
      </c>
      <c r="AX54" s="29">
        <v>0</v>
      </c>
      <c r="AZ54" s="22">
        <v>44599</v>
      </c>
      <c r="BA54" s="26">
        <f t="shared" ca="1" si="12"/>
        <v>0.23145205749713593</v>
      </c>
      <c r="BB54" s="29">
        <v>0</v>
      </c>
      <c r="BC54"/>
      <c r="BD54" s="25"/>
      <c r="BF54" s="22">
        <v>44599</v>
      </c>
      <c r="BG54" s="26">
        <f t="shared" ca="1" si="13"/>
        <v>0.3442155282240813</v>
      </c>
      <c r="BH54" s="29">
        <v>0</v>
      </c>
      <c r="BJ54" s="22">
        <v>44599</v>
      </c>
      <c r="BK54" s="26">
        <f t="shared" ca="1" si="14"/>
        <v>0.3663113534986866</v>
      </c>
      <c r="BL54" s="29">
        <v>0</v>
      </c>
      <c r="BN54" s="22">
        <v>44599</v>
      </c>
      <c r="BO54" s="26">
        <f t="shared" ca="1" si="15"/>
        <v>0.76912885619050564</v>
      </c>
      <c r="BP54" s="29">
        <v>0</v>
      </c>
      <c r="BR54" s="22">
        <v>44599</v>
      </c>
      <c r="BS54" s="26">
        <f t="shared" ca="1" si="16"/>
        <v>0.39497956365965714</v>
      </c>
      <c r="BT54" s="29">
        <v>0</v>
      </c>
      <c r="BV54" s="22">
        <v>44599</v>
      </c>
      <c r="BW54" s="26">
        <f t="shared" ca="1" si="17"/>
        <v>0.97032737783242384</v>
      </c>
      <c r="BX54" s="29">
        <v>0</v>
      </c>
      <c r="CA54" s="36"/>
      <c r="CB54" s="36"/>
    </row>
    <row r="55" spans="2:80" ht="12.75" x14ac:dyDescent="0.2">
      <c r="B55" s="22">
        <v>44600</v>
      </c>
      <c r="C55" s="26">
        <f t="shared" ca="1" si="0"/>
        <v>0.1890133817139189</v>
      </c>
      <c r="D55" s="29">
        <v>0</v>
      </c>
      <c r="F55" s="22">
        <v>44600</v>
      </c>
      <c r="G55" s="26">
        <f t="shared" ca="1" si="1"/>
        <v>0.11577538428647938</v>
      </c>
      <c r="H55" s="29">
        <v>0</v>
      </c>
      <c r="J55" s="22">
        <v>44600</v>
      </c>
      <c r="K55" s="26">
        <f t="shared" ca="1" si="2"/>
        <v>0.2271069278576987</v>
      </c>
      <c r="L55" s="29">
        <v>0</v>
      </c>
      <c r="N55" s="22">
        <v>44600</v>
      </c>
      <c r="O55" s="26">
        <f t="shared" ca="1" si="3"/>
        <v>0.10621546573140228</v>
      </c>
      <c r="P55" s="29">
        <v>0</v>
      </c>
      <c r="R55" s="22">
        <v>44600</v>
      </c>
      <c r="S55" s="26">
        <f t="shared" ca="1" si="4"/>
        <v>0.41579142361583066</v>
      </c>
      <c r="T55" s="29">
        <v>0</v>
      </c>
      <c r="V55" s="22">
        <v>44600</v>
      </c>
      <c r="W55" s="26">
        <f t="shared" ca="1" si="5"/>
        <v>0.93103142911480807</v>
      </c>
      <c r="X55" s="29">
        <v>0</v>
      </c>
      <c r="Z55" s="22">
        <v>44600</v>
      </c>
      <c r="AA55" s="26">
        <f t="shared" ca="1" si="6"/>
        <v>0.61665197997185761</v>
      </c>
      <c r="AB55" s="29">
        <v>0</v>
      </c>
      <c r="AC55"/>
      <c r="AD55" s="25"/>
      <c r="AF55" s="22">
        <v>44600</v>
      </c>
      <c r="AG55" s="26">
        <f t="shared" ca="1" si="7"/>
        <v>0.69020607372570497</v>
      </c>
      <c r="AH55" s="29">
        <v>0</v>
      </c>
      <c r="AJ55" s="22">
        <v>44600</v>
      </c>
      <c r="AK55" s="26">
        <f t="shared" ca="1" si="8"/>
        <v>0.23241037718095436</v>
      </c>
      <c r="AL55" s="29">
        <v>0</v>
      </c>
      <c r="AN55" s="22">
        <v>44600</v>
      </c>
      <c r="AO55" s="26">
        <f t="shared" ca="1" si="9"/>
        <v>0.61429255087844647</v>
      </c>
      <c r="AP55" s="29">
        <v>0</v>
      </c>
      <c r="AR55" s="22">
        <v>44600</v>
      </c>
      <c r="AS55" s="26">
        <f t="shared" ca="1" si="10"/>
        <v>0.73254954906990777</v>
      </c>
      <c r="AT55" s="29">
        <v>0</v>
      </c>
      <c r="AV55" s="22">
        <v>44600</v>
      </c>
      <c r="AW55" s="26">
        <f t="shared" ca="1" si="11"/>
        <v>0.18015113185202003</v>
      </c>
      <c r="AX55" s="29">
        <v>0</v>
      </c>
      <c r="AZ55" s="22">
        <v>44600</v>
      </c>
      <c r="BA55" s="26">
        <f t="shared" ca="1" si="12"/>
        <v>0.26172598246120138</v>
      </c>
      <c r="BB55" s="29">
        <v>0</v>
      </c>
      <c r="BC55"/>
      <c r="BD55" s="25"/>
      <c r="BF55" s="22">
        <v>44600</v>
      </c>
      <c r="BG55" s="26">
        <f t="shared" ca="1" si="13"/>
        <v>0.29356691322042161</v>
      </c>
      <c r="BH55" s="29">
        <v>0</v>
      </c>
      <c r="BJ55" s="22">
        <v>44600</v>
      </c>
      <c r="BK55" s="26">
        <f t="shared" ca="1" si="14"/>
        <v>0.74668354582806784</v>
      </c>
      <c r="BL55" s="29">
        <v>0</v>
      </c>
      <c r="BN55" s="22">
        <v>44600</v>
      </c>
      <c r="BO55" s="26">
        <f t="shared" ca="1" si="15"/>
        <v>0.8431814230002348</v>
      </c>
      <c r="BP55" s="29">
        <v>0</v>
      </c>
      <c r="BR55" s="22">
        <v>44600</v>
      </c>
      <c r="BS55" s="26">
        <f t="shared" ca="1" si="16"/>
        <v>0.48050196798989631</v>
      </c>
      <c r="BT55" s="29">
        <v>0</v>
      </c>
      <c r="BV55" s="22">
        <v>44600</v>
      </c>
      <c r="BW55" s="26">
        <f t="shared" ca="1" si="17"/>
        <v>0.33485169892966626</v>
      </c>
      <c r="BX55" s="29">
        <v>0</v>
      </c>
      <c r="CA55" s="36"/>
      <c r="CB55" s="36"/>
    </row>
    <row r="56" spans="2:80" ht="12.75" x14ac:dyDescent="0.2">
      <c r="B56" s="22">
        <v>44601</v>
      </c>
      <c r="C56" s="26">
        <f t="shared" ca="1" si="0"/>
        <v>0.13521734106391969</v>
      </c>
      <c r="D56" s="29">
        <v>0</v>
      </c>
      <c r="F56" s="22">
        <v>44601</v>
      </c>
      <c r="G56" s="26">
        <f t="shared" ca="1" si="1"/>
        <v>0.9562067784575996</v>
      </c>
      <c r="H56" s="29">
        <v>0</v>
      </c>
      <c r="J56" s="22">
        <v>44601</v>
      </c>
      <c r="K56" s="26">
        <f t="shared" ca="1" si="2"/>
        <v>0.38857911005688062</v>
      </c>
      <c r="L56" s="29">
        <v>0</v>
      </c>
      <c r="N56" s="22">
        <v>44601</v>
      </c>
      <c r="O56" s="26">
        <f t="shared" ca="1" si="3"/>
        <v>0.20143204018862781</v>
      </c>
      <c r="P56" s="29">
        <v>0</v>
      </c>
      <c r="R56" s="22">
        <v>44601</v>
      </c>
      <c r="S56" s="26">
        <f t="shared" ca="1" si="4"/>
        <v>0.92349267755816711</v>
      </c>
      <c r="T56" s="29">
        <v>0</v>
      </c>
      <c r="V56" s="22">
        <v>44601</v>
      </c>
      <c r="W56" s="26">
        <f t="shared" ca="1" si="5"/>
        <v>0.40951222834402179</v>
      </c>
      <c r="X56" s="29">
        <v>0</v>
      </c>
      <c r="Z56" s="22">
        <v>44601</v>
      </c>
      <c r="AA56" s="26">
        <f t="shared" ca="1" si="6"/>
        <v>0.6762918356932992</v>
      </c>
      <c r="AB56" s="29">
        <v>0</v>
      </c>
      <c r="AC56"/>
      <c r="AD56" s="25"/>
      <c r="AF56" s="22">
        <v>44601</v>
      </c>
      <c r="AG56" s="26">
        <f t="shared" ca="1" si="7"/>
        <v>0.77498075572111258</v>
      </c>
      <c r="AH56" s="29">
        <v>0</v>
      </c>
      <c r="AJ56" s="22">
        <v>44601</v>
      </c>
      <c r="AK56" s="26">
        <f t="shared" ca="1" si="8"/>
        <v>0.40692890214655486</v>
      </c>
      <c r="AL56" s="29">
        <v>0</v>
      </c>
      <c r="AN56" s="22">
        <v>44601</v>
      </c>
      <c r="AO56" s="26">
        <f t="shared" ca="1" si="9"/>
        <v>9.0351849814910068E-2</v>
      </c>
      <c r="AP56" s="29">
        <v>0</v>
      </c>
      <c r="AR56" s="22">
        <v>44601</v>
      </c>
      <c r="AS56" s="26">
        <f t="shared" ca="1" si="10"/>
        <v>0.41046804270439918</v>
      </c>
      <c r="AT56" s="29">
        <v>0</v>
      </c>
      <c r="AV56" s="22">
        <v>44601</v>
      </c>
      <c r="AW56" s="26">
        <f t="shared" ca="1" si="11"/>
        <v>0.88194591657125854</v>
      </c>
      <c r="AX56" s="29">
        <v>0</v>
      </c>
      <c r="AZ56" s="22">
        <v>44601</v>
      </c>
      <c r="BA56" s="26">
        <f t="shared" ca="1" si="12"/>
        <v>0.17443391891097215</v>
      </c>
      <c r="BB56" s="29">
        <v>0</v>
      </c>
      <c r="BC56"/>
      <c r="BD56" s="25"/>
      <c r="BF56" s="22">
        <v>44601</v>
      </c>
      <c r="BG56" s="26">
        <f t="shared" ca="1" si="13"/>
        <v>0.2976742923673994</v>
      </c>
      <c r="BH56" s="29">
        <v>0</v>
      </c>
      <c r="BJ56" s="22">
        <v>44601</v>
      </c>
      <c r="BK56" s="26">
        <f t="shared" ca="1" si="14"/>
        <v>0.5319117856012413</v>
      </c>
      <c r="BL56" s="29">
        <v>0</v>
      </c>
      <c r="BN56" s="22">
        <v>44601</v>
      </c>
      <c r="BO56" s="26">
        <f t="shared" ca="1" si="15"/>
        <v>0.33495846840182919</v>
      </c>
      <c r="BP56" s="29">
        <v>0</v>
      </c>
      <c r="BR56" s="22">
        <v>44601</v>
      </c>
      <c r="BS56" s="26">
        <f t="shared" ca="1" si="16"/>
        <v>0.10670243190348305</v>
      </c>
      <c r="BT56" s="29">
        <v>0</v>
      </c>
      <c r="BV56" s="22">
        <v>44601</v>
      </c>
      <c r="BW56" s="26">
        <f t="shared" ca="1" si="17"/>
        <v>3.4049635717944171E-2</v>
      </c>
      <c r="BX56" s="29">
        <v>0</v>
      </c>
      <c r="CA56" s="36"/>
      <c r="CB56" s="36"/>
    </row>
    <row r="57" spans="2:80" ht="12.75" x14ac:dyDescent="0.2">
      <c r="B57" s="22">
        <v>44602</v>
      </c>
      <c r="C57" s="26">
        <f t="shared" ca="1" si="0"/>
        <v>0.89417126747405273</v>
      </c>
      <c r="D57" s="29">
        <v>0</v>
      </c>
      <c r="F57" s="22">
        <v>44602</v>
      </c>
      <c r="G57" s="26">
        <f t="shared" ca="1" si="1"/>
        <v>0.39934544228888158</v>
      </c>
      <c r="H57" s="29">
        <v>0</v>
      </c>
      <c r="J57" s="22">
        <v>44602</v>
      </c>
      <c r="K57" s="26">
        <f t="shared" ca="1" si="2"/>
        <v>0.99485318376238763</v>
      </c>
      <c r="L57" s="29">
        <v>0</v>
      </c>
      <c r="N57" s="22">
        <v>44602</v>
      </c>
      <c r="O57" s="26">
        <f t="shared" ca="1" si="3"/>
        <v>0.75431146145546335</v>
      </c>
      <c r="P57" s="29">
        <v>0</v>
      </c>
      <c r="R57" s="22">
        <v>44602</v>
      </c>
      <c r="S57" s="26">
        <f t="shared" ca="1" si="4"/>
        <v>5.3839995827063558E-2</v>
      </c>
      <c r="T57" s="29">
        <v>0</v>
      </c>
      <c r="V57" s="22">
        <v>44602</v>
      </c>
      <c r="W57" s="26">
        <f t="shared" ca="1" si="5"/>
        <v>0.14205071786397172</v>
      </c>
      <c r="X57" s="29">
        <v>0</v>
      </c>
      <c r="Z57" s="22">
        <v>44602</v>
      </c>
      <c r="AA57" s="26">
        <f t="shared" ca="1" si="6"/>
        <v>4.6557676532324566E-2</v>
      </c>
      <c r="AB57" s="29">
        <v>0</v>
      </c>
      <c r="AC57"/>
      <c r="AD57" s="25"/>
      <c r="AF57" s="22">
        <v>44602</v>
      </c>
      <c r="AG57" s="26">
        <f t="shared" ca="1" si="7"/>
        <v>0.780374384564955</v>
      </c>
      <c r="AH57" s="29">
        <v>0</v>
      </c>
      <c r="AJ57" s="22">
        <v>44602</v>
      </c>
      <c r="AK57" s="26">
        <f t="shared" ca="1" si="8"/>
        <v>0.16267726291526785</v>
      </c>
      <c r="AL57" s="29">
        <v>0</v>
      </c>
      <c r="AN57" s="22">
        <v>44602</v>
      </c>
      <c r="AO57" s="26">
        <f t="shared" ca="1" si="9"/>
        <v>0.17678069277155872</v>
      </c>
      <c r="AP57" s="29">
        <v>0</v>
      </c>
      <c r="AR57" s="22">
        <v>44602</v>
      </c>
      <c r="AS57" s="26">
        <f t="shared" ca="1" si="10"/>
        <v>4.7251354588520034E-2</v>
      </c>
      <c r="AT57" s="29">
        <v>0</v>
      </c>
      <c r="AV57" s="22">
        <v>44602</v>
      </c>
      <c r="AW57" s="26">
        <f t="shared" ca="1" si="11"/>
        <v>0.5467802062213355</v>
      </c>
      <c r="AX57" s="29">
        <v>0</v>
      </c>
      <c r="AZ57" s="22">
        <v>44602</v>
      </c>
      <c r="BA57" s="26">
        <f t="shared" ca="1" si="12"/>
        <v>7.948948890684171E-2</v>
      </c>
      <c r="BB57" s="29">
        <v>0</v>
      </c>
      <c r="BC57"/>
      <c r="BD57" s="25"/>
      <c r="BF57" s="22">
        <v>44602</v>
      </c>
      <c r="BG57" s="26">
        <f t="shared" ca="1" si="13"/>
        <v>0.47882460817278694</v>
      </c>
      <c r="BH57" s="29">
        <v>0</v>
      </c>
      <c r="BJ57" s="22">
        <v>44602</v>
      </c>
      <c r="BK57" s="26">
        <f t="shared" ca="1" si="14"/>
        <v>0.48151408841305854</v>
      </c>
      <c r="BL57" s="29">
        <v>0</v>
      </c>
      <c r="BN57" s="22">
        <v>44602</v>
      </c>
      <c r="BO57" s="26">
        <f t="shared" ca="1" si="15"/>
        <v>0.28810467445942711</v>
      </c>
      <c r="BP57" s="29">
        <v>0</v>
      </c>
      <c r="BR57" s="22">
        <v>44602</v>
      </c>
      <c r="BS57" s="26">
        <f t="shared" ca="1" si="16"/>
        <v>0.63011914845857664</v>
      </c>
      <c r="BT57" s="29">
        <v>0</v>
      </c>
      <c r="BV57" s="22">
        <v>44602</v>
      </c>
      <c r="BW57" s="26">
        <f t="shared" ca="1" si="17"/>
        <v>0.4475825289881763</v>
      </c>
      <c r="BX57" s="29">
        <v>0</v>
      </c>
      <c r="CA57" s="38"/>
    </row>
    <row r="58" spans="2:80" ht="12.75" x14ac:dyDescent="0.2">
      <c r="B58" s="22">
        <v>44603</v>
      </c>
      <c r="C58" s="26">
        <f t="shared" ca="1" si="0"/>
        <v>0.56621153802193325</v>
      </c>
      <c r="D58" s="29">
        <v>0</v>
      </c>
      <c r="F58" s="22">
        <v>44603</v>
      </c>
      <c r="G58" s="26">
        <f t="shared" ca="1" si="1"/>
        <v>0.84194721347274071</v>
      </c>
      <c r="H58" s="29">
        <v>0</v>
      </c>
      <c r="J58" s="22">
        <v>44603</v>
      </c>
      <c r="K58" s="26">
        <f t="shared" ca="1" si="2"/>
        <v>0.66862583498574368</v>
      </c>
      <c r="L58" s="29">
        <v>0</v>
      </c>
      <c r="N58" s="22">
        <v>44603</v>
      </c>
      <c r="O58" s="26">
        <f t="shared" ca="1" si="3"/>
        <v>0.81910440860616984</v>
      </c>
      <c r="P58" s="29">
        <v>0</v>
      </c>
      <c r="R58" s="22">
        <v>44603</v>
      </c>
      <c r="S58" s="26">
        <f t="shared" ca="1" si="4"/>
        <v>0.52498140651213709</v>
      </c>
      <c r="T58" s="29">
        <v>0</v>
      </c>
      <c r="V58" s="22">
        <v>44603</v>
      </c>
      <c r="W58" s="26">
        <f t="shared" ca="1" si="5"/>
        <v>0.65679511589889439</v>
      </c>
      <c r="X58" s="29">
        <v>0</v>
      </c>
      <c r="Z58" s="22">
        <v>44603</v>
      </c>
      <c r="AA58" s="26">
        <f t="shared" ca="1" si="6"/>
        <v>0.73335172187785669</v>
      </c>
      <c r="AB58" s="29">
        <v>0</v>
      </c>
      <c r="AC58"/>
      <c r="AD58" s="25"/>
      <c r="AF58" s="22">
        <v>44603</v>
      </c>
      <c r="AG58" s="26">
        <f t="shared" ca="1" si="7"/>
        <v>0.79694099683655428</v>
      </c>
      <c r="AH58" s="29">
        <v>0</v>
      </c>
      <c r="AJ58" s="22">
        <v>44603</v>
      </c>
      <c r="AK58" s="26">
        <f t="shared" ca="1" si="8"/>
        <v>0.18973231613391472</v>
      </c>
      <c r="AL58" s="29">
        <v>0</v>
      </c>
      <c r="AN58" s="22">
        <v>44603</v>
      </c>
      <c r="AO58" s="26">
        <f t="shared" ca="1" si="9"/>
        <v>0.86285804053179938</v>
      </c>
      <c r="AP58" s="29">
        <v>0</v>
      </c>
      <c r="AR58" s="22">
        <v>44603</v>
      </c>
      <c r="AS58" s="26">
        <f t="shared" ca="1" si="10"/>
        <v>0.55909101934800876</v>
      </c>
      <c r="AT58" s="29">
        <v>0</v>
      </c>
      <c r="AV58" s="22">
        <v>44603</v>
      </c>
      <c r="AW58" s="26">
        <f t="shared" ca="1" si="11"/>
        <v>0.1330955757748139</v>
      </c>
      <c r="AX58" s="29">
        <v>0</v>
      </c>
      <c r="AZ58" s="22">
        <v>44603</v>
      </c>
      <c r="BA58" s="26">
        <f t="shared" ca="1" si="12"/>
        <v>0.72054719291007885</v>
      </c>
      <c r="BB58" s="29">
        <v>0</v>
      </c>
      <c r="BC58"/>
      <c r="BD58" s="25"/>
      <c r="BF58" s="22">
        <v>44603</v>
      </c>
      <c r="BG58" s="26">
        <f t="shared" ca="1" si="13"/>
        <v>0.35807911310564999</v>
      </c>
      <c r="BH58" s="29">
        <v>0</v>
      </c>
      <c r="BJ58" s="22">
        <v>44603</v>
      </c>
      <c r="BK58" s="26">
        <f t="shared" ca="1" si="14"/>
        <v>0.22750151495185833</v>
      </c>
      <c r="BL58" s="29">
        <v>0</v>
      </c>
      <c r="BN58" s="22">
        <v>44603</v>
      </c>
      <c r="BO58" s="26">
        <f t="shared" ca="1" si="15"/>
        <v>0.49616585494333387</v>
      </c>
      <c r="BP58" s="29">
        <v>0</v>
      </c>
      <c r="BR58" s="22">
        <v>44603</v>
      </c>
      <c r="BS58" s="26">
        <f t="shared" ca="1" si="16"/>
        <v>0.13630921700959664</v>
      </c>
      <c r="BT58" s="29">
        <v>0</v>
      </c>
      <c r="BV58" s="22">
        <v>44603</v>
      </c>
      <c r="BW58" s="26">
        <f t="shared" ca="1" si="17"/>
        <v>0.85290374918922007</v>
      </c>
      <c r="BX58" s="29">
        <v>0</v>
      </c>
      <c r="CA58" s="38"/>
    </row>
    <row r="59" spans="2:80" ht="12.75" x14ac:dyDescent="0.2">
      <c r="B59" s="22">
        <v>44604</v>
      </c>
      <c r="C59" s="26">
        <f t="shared" ca="1" si="0"/>
        <v>0.38010802163890156</v>
      </c>
      <c r="D59" s="29">
        <v>0</v>
      </c>
      <c r="F59" s="22">
        <v>44604</v>
      </c>
      <c r="G59" s="26">
        <f t="shared" ca="1" si="1"/>
        <v>0.88139264950902085</v>
      </c>
      <c r="H59" s="29">
        <v>0</v>
      </c>
      <c r="J59" s="22">
        <v>44604</v>
      </c>
      <c r="K59" s="26">
        <f t="shared" ca="1" si="2"/>
        <v>0.5011713895562846</v>
      </c>
      <c r="L59" s="29">
        <v>0</v>
      </c>
      <c r="N59" s="22">
        <v>44604</v>
      </c>
      <c r="O59" s="26">
        <f t="shared" ca="1" si="3"/>
        <v>0.83174560239899664</v>
      </c>
      <c r="P59" s="29">
        <v>0</v>
      </c>
      <c r="R59" s="22">
        <v>44604</v>
      </c>
      <c r="S59" s="26">
        <f t="shared" ca="1" si="4"/>
        <v>9.929462339003825E-3</v>
      </c>
      <c r="T59" s="29">
        <v>0</v>
      </c>
      <c r="V59" s="22">
        <v>44604</v>
      </c>
      <c r="W59" s="26">
        <f t="shared" ca="1" si="5"/>
        <v>0.53772239781931619</v>
      </c>
      <c r="X59" s="29">
        <v>0</v>
      </c>
      <c r="Z59" s="22">
        <v>44604</v>
      </c>
      <c r="AA59" s="26">
        <f t="shared" ca="1" si="6"/>
        <v>0.62932397396609951</v>
      </c>
      <c r="AB59" s="29">
        <v>0</v>
      </c>
      <c r="AC59"/>
      <c r="AD59" s="25"/>
      <c r="AF59" s="22">
        <v>44604</v>
      </c>
      <c r="AG59" s="26">
        <f t="shared" ca="1" si="7"/>
        <v>8.9412028367743202E-2</v>
      </c>
      <c r="AH59" s="29">
        <v>0</v>
      </c>
      <c r="AJ59" s="22">
        <v>44604</v>
      </c>
      <c r="AK59" s="26">
        <f t="shared" ca="1" si="8"/>
        <v>0.77415623380153664</v>
      </c>
      <c r="AL59" s="29">
        <v>0</v>
      </c>
      <c r="AN59" s="22">
        <v>44604</v>
      </c>
      <c r="AO59" s="26">
        <f t="shared" ca="1" si="9"/>
        <v>0.82182739633094382</v>
      </c>
      <c r="AP59" s="29">
        <v>0</v>
      </c>
      <c r="AR59" s="22">
        <v>44604</v>
      </c>
      <c r="AS59" s="26">
        <f t="shared" ca="1" si="10"/>
        <v>0.7981810850807799</v>
      </c>
      <c r="AT59" s="29">
        <v>0</v>
      </c>
      <c r="AV59" s="22">
        <v>44604</v>
      </c>
      <c r="AW59" s="26">
        <f t="shared" ca="1" si="11"/>
        <v>0.85288284319437024</v>
      </c>
      <c r="AX59" s="29">
        <v>0</v>
      </c>
      <c r="AZ59" s="22">
        <v>44604</v>
      </c>
      <c r="BA59" s="26">
        <f t="shared" ca="1" si="12"/>
        <v>0.69775039324180554</v>
      </c>
      <c r="BB59" s="29">
        <v>0</v>
      </c>
      <c r="BC59"/>
      <c r="BD59" s="25"/>
      <c r="BF59" s="22">
        <v>44604</v>
      </c>
      <c r="BG59" s="26">
        <f t="shared" ca="1" si="13"/>
        <v>0.94565999248913435</v>
      </c>
      <c r="BH59" s="29">
        <v>0</v>
      </c>
      <c r="BJ59" s="22">
        <v>44604</v>
      </c>
      <c r="BK59" s="26">
        <f t="shared" ca="1" si="14"/>
        <v>0.57636609645967318</v>
      </c>
      <c r="BL59" s="29">
        <v>0</v>
      </c>
      <c r="BN59" s="22">
        <v>44604</v>
      </c>
      <c r="BO59" s="26">
        <f t="shared" ca="1" si="15"/>
        <v>0.19376124930796068</v>
      </c>
      <c r="BP59" s="29">
        <v>0</v>
      </c>
      <c r="BR59" s="22">
        <v>44604</v>
      </c>
      <c r="BS59" s="26">
        <f t="shared" ca="1" si="16"/>
        <v>0.89119047503912319</v>
      </c>
      <c r="BT59" s="29">
        <v>0</v>
      </c>
      <c r="BV59" s="22">
        <v>44604</v>
      </c>
      <c r="BW59" s="26">
        <f t="shared" ca="1" si="17"/>
        <v>0.36363154297899936</v>
      </c>
      <c r="BX59" s="29">
        <v>0</v>
      </c>
      <c r="CA59" s="38"/>
    </row>
    <row r="60" spans="2:80" ht="12.75" x14ac:dyDescent="0.2">
      <c r="B60" s="22">
        <v>44605</v>
      </c>
      <c r="C60" s="26">
        <f t="shared" ca="1" si="0"/>
        <v>0.6738400457881385</v>
      </c>
      <c r="D60" s="29">
        <v>0</v>
      </c>
      <c r="F60" s="22">
        <v>44605</v>
      </c>
      <c r="G60" s="26">
        <f t="shared" ca="1" si="1"/>
        <v>0.82044754072521575</v>
      </c>
      <c r="H60" s="29">
        <v>0</v>
      </c>
      <c r="J60" s="22">
        <v>44605</v>
      </c>
      <c r="K60" s="26">
        <f t="shared" ca="1" si="2"/>
        <v>0.40298382183791626</v>
      </c>
      <c r="L60" s="29">
        <v>0</v>
      </c>
      <c r="N60" s="22">
        <v>44605</v>
      </c>
      <c r="O60" s="26">
        <f t="shared" ca="1" si="3"/>
        <v>0.93726398925196708</v>
      </c>
      <c r="P60" s="29">
        <v>0</v>
      </c>
      <c r="R60" s="22">
        <v>44605</v>
      </c>
      <c r="S60" s="26">
        <f t="shared" ca="1" si="4"/>
        <v>0.52766482295634476</v>
      </c>
      <c r="T60" s="29">
        <v>0</v>
      </c>
      <c r="V60" s="22">
        <v>44605</v>
      </c>
      <c r="W60" s="26">
        <f t="shared" ca="1" si="5"/>
        <v>0.35378904359228125</v>
      </c>
      <c r="X60" s="29">
        <v>0</v>
      </c>
      <c r="Z60" s="22">
        <v>44605</v>
      </c>
      <c r="AA60" s="26">
        <f t="shared" ca="1" si="6"/>
        <v>0.5577728921284566</v>
      </c>
      <c r="AB60" s="29">
        <v>0</v>
      </c>
      <c r="AC60"/>
      <c r="AD60" s="25"/>
      <c r="AF60" s="22">
        <v>44605</v>
      </c>
      <c r="AG60" s="26">
        <f t="shared" ca="1" si="7"/>
        <v>6.0613056848080826E-2</v>
      </c>
      <c r="AH60" s="29">
        <v>0</v>
      </c>
      <c r="AJ60" s="22">
        <v>44605</v>
      </c>
      <c r="AK60" s="26">
        <f t="shared" ca="1" si="8"/>
        <v>0.95084579104407219</v>
      </c>
      <c r="AL60" s="29">
        <v>0</v>
      </c>
      <c r="AN60" s="22">
        <v>44605</v>
      </c>
      <c r="AO60" s="26">
        <f t="shared" ca="1" si="9"/>
        <v>0.85058492691436538</v>
      </c>
      <c r="AP60" s="29">
        <v>0</v>
      </c>
      <c r="AR60" s="22">
        <v>44605</v>
      </c>
      <c r="AS60" s="26">
        <f t="shared" ca="1" si="10"/>
        <v>0.36394698823525706</v>
      </c>
      <c r="AT60" s="29">
        <v>0</v>
      </c>
      <c r="AV60" s="22">
        <v>44605</v>
      </c>
      <c r="AW60" s="26">
        <f t="shared" ca="1" si="11"/>
        <v>0.81360642474919587</v>
      </c>
      <c r="AX60" s="29">
        <v>0</v>
      </c>
      <c r="AZ60" s="22">
        <v>44605</v>
      </c>
      <c r="BA60" s="26">
        <f t="shared" ca="1" si="12"/>
        <v>0.41188146082254562</v>
      </c>
      <c r="BB60" s="29">
        <v>0</v>
      </c>
      <c r="BC60"/>
      <c r="BD60" s="25"/>
      <c r="BF60" s="22">
        <v>44605</v>
      </c>
      <c r="BG60" s="26">
        <f t="shared" ca="1" si="13"/>
        <v>0.77812167101647889</v>
      </c>
      <c r="BH60" s="29">
        <v>0</v>
      </c>
      <c r="BJ60" s="22">
        <v>44605</v>
      </c>
      <c r="BK60" s="26">
        <f t="shared" ca="1" si="14"/>
        <v>7.2505833300636646E-2</v>
      </c>
      <c r="BL60" s="29">
        <v>0</v>
      </c>
      <c r="BN60" s="22">
        <v>44605</v>
      </c>
      <c r="BO60" s="26">
        <f t="shared" ca="1" si="15"/>
        <v>0.49875490187853833</v>
      </c>
      <c r="BP60" s="29">
        <v>0</v>
      </c>
      <c r="BR60" s="22">
        <v>44605</v>
      </c>
      <c r="BS60" s="26">
        <f t="shared" ca="1" si="16"/>
        <v>0.16531254423080799</v>
      </c>
      <c r="BT60" s="29">
        <v>0</v>
      </c>
      <c r="BV60" s="22">
        <v>44605</v>
      </c>
      <c r="BW60" s="26">
        <f t="shared" ca="1" si="17"/>
        <v>0.55186049525659475</v>
      </c>
      <c r="BX60" s="29">
        <v>0</v>
      </c>
    </row>
    <row r="61" spans="2:80" ht="12.75" x14ac:dyDescent="0.2">
      <c r="B61" s="22">
        <v>44606</v>
      </c>
      <c r="C61" s="26">
        <f t="shared" ca="1" si="0"/>
        <v>0.68031676914827321</v>
      </c>
      <c r="D61" s="29">
        <v>0</v>
      </c>
      <c r="F61" s="22">
        <v>44606</v>
      </c>
      <c r="G61" s="26">
        <f t="shared" ca="1" si="1"/>
        <v>6.7253782341442747E-2</v>
      </c>
      <c r="H61" s="29">
        <v>0</v>
      </c>
      <c r="J61" s="22">
        <v>44606</v>
      </c>
      <c r="K61" s="26">
        <f t="shared" ca="1" si="2"/>
        <v>0.71041793923595586</v>
      </c>
      <c r="L61" s="29">
        <v>0</v>
      </c>
      <c r="N61" s="22">
        <v>44606</v>
      </c>
      <c r="O61" s="26">
        <f t="shared" ca="1" si="3"/>
        <v>8.0216544350774965E-2</v>
      </c>
      <c r="P61" s="29">
        <v>0</v>
      </c>
      <c r="R61" s="22">
        <v>44606</v>
      </c>
      <c r="S61" s="26">
        <f t="shared" ca="1" si="4"/>
        <v>0.57413470153770041</v>
      </c>
      <c r="T61" s="29">
        <v>0</v>
      </c>
      <c r="V61" s="22">
        <v>44606</v>
      </c>
      <c r="W61" s="26">
        <f t="shared" ca="1" si="5"/>
        <v>0.70588407158837674</v>
      </c>
      <c r="X61" s="29">
        <v>0</v>
      </c>
      <c r="Z61" s="22">
        <v>44606</v>
      </c>
      <c r="AA61" s="26">
        <f t="shared" ca="1" si="6"/>
        <v>0.94440047301048369</v>
      </c>
      <c r="AB61" s="29">
        <v>0</v>
      </c>
      <c r="AC61"/>
      <c r="AD61" s="25"/>
      <c r="AF61" s="22">
        <v>44606</v>
      </c>
      <c r="AG61" s="26">
        <f t="shared" ca="1" si="7"/>
        <v>0.23612085739659416</v>
      </c>
      <c r="AH61" s="29">
        <v>0</v>
      </c>
      <c r="AJ61" s="22">
        <v>44606</v>
      </c>
      <c r="AK61" s="26">
        <f t="shared" ca="1" si="8"/>
        <v>0.13321184967583022</v>
      </c>
      <c r="AL61" s="29">
        <v>0</v>
      </c>
      <c r="AN61" s="22">
        <v>44606</v>
      </c>
      <c r="AO61" s="26">
        <f t="shared" ca="1" si="9"/>
        <v>0.78214125576736393</v>
      </c>
      <c r="AP61" s="29">
        <v>0</v>
      </c>
      <c r="AR61" s="22">
        <v>44606</v>
      </c>
      <c r="AS61" s="26">
        <f t="shared" ca="1" si="10"/>
        <v>0.49099889275308684</v>
      </c>
      <c r="AT61" s="29">
        <v>0</v>
      </c>
      <c r="AV61" s="22">
        <v>44606</v>
      </c>
      <c r="AW61" s="26">
        <f t="shared" ca="1" si="11"/>
        <v>0.70875867059414699</v>
      </c>
      <c r="AX61" s="29">
        <v>0</v>
      </c>
      <c r="AZ61" s="22">
        <v>44606</v>
      </c>
      <c r="BA61" s="26">
        <f t="shared" ca="1" si="12"/>
        <v>0.21347630755582858</v>
      </c>
      <c r="BB61" s="29">
        <v>0</v>
      </c>
      <c r="BC61"/>
      <c r="BD61" s="25"/>
      <c r="BF61" s="22">
        <v>44606</v>
      </c>
      <c r="BG61" s="26">
        <f t="shared" ca="1" si="13"/>
        <v>3.0277780044213887E-2</v>
      </c>
      <c r="BH61" s="29">
        <v>0</v>
      </c>
      <c r="BJ61" s="22">
        <v>44606</v>
      </c>
      <c r="BK61" s="26">
        <f t="shared" ca="1" si="14"/>
        <v>0.79617159657375125</v>
      </c>
      <c r="BL61" s="29">
        <v>0</v>
      </c>
      <c r="BN61" s="22">
        <v>44606</v>
      </c>
      <c r="BO61" s="26">
        <f t="shared" ca="1" si="15"/>
        <v>0.95593071975414656</v>
      </c>
      <c r="BP61" s="29">
        <v>0</v>
      </c>
      <c r="BR61" s="22">
        <v>44606</v>
      </c>
      <c r="BS61" s="26">
        <f t="shared" ca="1" si="16"/>
        <v>0.82091427895669145</v>
      </c>
      <c r="BT61" s="29">
        <v>0</v>
      </c>
      <c r="BV61" s="22">
        <v>44606</v>
      </c>
      <c r="BW61" s="26">
        <f t="shared" ca="1" si="17"/>
        <v>0.92945807019251159</v>
      </c>
      <c r="BX61" s="29">
        <v>0</v>
      </c>
    </row>
    <row r="62" spans="2:80" ht="12.75" x14ac:dyDescent="0.2">
      <c r="B62" s="22">
        <v>44607</v>
      </c>
      <c r="C62" s="26">
        <f t="shared" ca="1" si="0"/>
        <v>0.92911343111611666</v>
      </c>
      <c r="D62" s="29">
        <f t="shared" ca="1" si="19"/>
        <v>105</v>
      </c>
      <c r="F62" s="22">
        <v>44607</v>
      </c>
      <c r="G62" s="26">
        <f t="shared" ca="1" si="1"/>
        <v>0.49479184645386287</v>
      </c>
      <c r="H62" s="29">
        <v>0</v>
      </c>
      <c r="J62" s="22">
        <v>44607</v>
      </c>
      <c r="K62" s="26">
        <f t="shared" ca="1" si="2"/>
        <v>0.15884698122088325</v>
      </c>
      <c r="L62" s="29">
        <v>0</v>
      </c>
      <c r="N62" s="22">
        <v>44607</v>
      </c>
      <c r="O62" s="26">
        <f t="shared" ca="1" si="3"/>
        <v>0.69856673309643003</v>
      </c>
      <c r="P62" s="29">
        <v>0</v>
      </c>
      <c r="R62" s="22">
        <v>44607</v>
      </c>
      <c r="S62" s="26">
        <f t="shared" ca="1" si="4"/>
        <v>0.47343986753266032</v>
      </c>
      <c r="T62" s="29">
        <v>0</v>
      </c>
      <c r="V62" s="22">
        <v>44607</v>
      </c>
      <c r="W62" s="26">
        <f t="shared" ca="1" si="5"/>
        <v>0.76755174713894925</v>
      </c>
      <c r="X62" s="29">
        <v>0</v>
      </c>
      <c r="Z62" s="22">
        <v>44607</v>
      </c>
      <c r="AA62" s="26">
        <f t="shared" ca="1" si="6"/>
        <v>0.94274626923866967</v>
      </c>
      <c r="AB62" s="29">
        <v>0</v>
      </c>
      <c r="AC62"/>
      <c r="AD62" s="25"/>
      <c r="AF62" s="22">
        <v>44607</v>
      </c>
      <c r="AG62" s="26">
        <f t="shared" ca="1" si="7"/>
        <v>0.65075405212259663</v>
      </c>
      <c r="AH62" s="29">
        <v>0</v>
      </c>
      <c r="AJ62" s="22">
        <v>44607</v>
      </c>
      <c r="AK62" s="26">
        <f t="shared" ca="1" si="8"/>
        <v>0.39542871220297515</v>
      </c>
      <c r="AL62" s="29">
        <v>0</v>
      </c>
      <c r="AN62" s="22">
        <v>44607</v>
      </c>
      <c r="AO62" s="26">
        <f t="shared" ca="1" si="9"/>
        <v>0.6713316964940409</v>
      </c>
      <c r="AP62" s="29">
        <v>0</v>
      </c>
      <c r="AR62" s="22">
        <v>44607</v>
      </c>
      <c r="AS62" s="26">
        <f t="shared" ca="1" si="10"/>
        <v>0.2101609002363144</v>
      </c>
      <c r="AT62" s="29">
        <v>0</v>
      </c>
      <c r="AV62" s="22">
        <v>44607</v>
      </c>
      <c r="AW62" s="26">
        <f t="shared" ca="1" si="11"/>
        <v>0.50978030220551951</v>
      </c>
      <c r="AX62" s="29">
        <v>0</v>
      </c>
      <c r="AZ62" s="22">
        <v>44607</v>
      </c>
      <c r="BA62" s="26">
        <f t="shared" ca="1" si="12"/>
        <v>0.54794655239166257</v>
      </c>
      <c r="BB62" s="29">
        <v>0</v>
      </c>
      <c r="BC62"/>
      <c r="BD62" s="25"/>
      <c r="BF62" s="22">
        <v>44607</v>
      </c>
      <c r="BG62" s="26">
        <f t="shared" ca="1" si="13"/>
        <v>0.33803751793645409</v>
      </c>
      <c r="BH62" s="29">
        <v>0</v>
      </c>
      <c r="BJ62" s="22">
        <v>44607</v>
      </c>
      <c r="BK62" s="26">
        <f t="shared" ca="1" si="14"/>
        <v>0.91391206345089693</v>
      </c>
      <c r="BL62" s="29">
        <v>0</v>
      </c>
      <c r="BN62" s="22">
        <v>44607</v>
      </c>
      <c r="BO62" s="26">
        <f t="shared" ca="1" si="15"/>
        <v>0.74023296611632461</v>
      </c>
      <c r="BP62" s="29">
        <v>0</v>
      </c>
      <c r="BR62" s="22">
        <v>44607</v>
      </c>
      <c r="BS62" s="26">
        <f t="shared" ca="1" si="16"/>
        <v>0.21133275561482245</v>
      </c>
      <c r="BT62" s="29">
        <v>0</v>
      </c>
      <c r="BV62" s="22">
        <v>44607</v>
      </c>
      <c r="BW62" s="26">
        <f t="shared" ca="1" si="17"/>
        <v>0.55530888441893966</v>
      </c>
      <c r="BX62" s="29">
        <v>0</v>
      </c>
    </row>
    <row r="63" spans="2:80" ht="12.75" x14ac:dyDescent="0.2">
      <c r="B63" s="22">
        <v>44608</v>
      </c>
      <c r="C63" s="26">
        <f t="shared" ca="1" si="0"/>
        <v>0.40794693466049825</v>
      </c>
      <c r="D63" s="29">
        <f t="shared" ca="1" si="19"/>
        <v>71</v>
      </c>
      <c r="F63" s="22">
        <v>44608</v>
      </c>
      <c r="G63" s="26">
        <f t="shared" ca="1" si="1"/>
        <v>2.0445228126426351E-2</v>
      </c>
      <c r="H63" s="29">
        <v>0</v>
      </c>
      <c r="J63" s="22">
        <v>44608</v>
      </c>
      <c r="K63" s="26">
        <f t="shared" ca="1" si="2"/>
        <v>0.70595420567765754</v>
      </c>
      <c r="L63" s="29">
        <v>0</v>
      </c>
      <c r="N63" s="22">
        <v>44608</v>
      </c>
      <c r="O63" s="26">
        <f t="shared" ca="1" si="3"/>
        <v>0.21478297082942777</v>
      </c>
      <c r="P63" s="29">
        <v>0</v>
      </c>
      <c r="R63" s="22">
        <v>44608</v>
      </c>
      <c r="S63" s="26">
        <f t="shared" ca="1" si="4"/>
        <v>0.13626571244416386</v>
      </c>
      <c r="T63" s="29">
        <v>0</v>
      </c>
      <c r="V63" s="22">
        <v>44608</v>
      </c>
      <c r="W63" s="26">
        <f t="shared" ca="1" si="5"/>
        <v>0.50468519089751329</v>
      </c>
      <c r="X63" s="29">
        <v>0</v>
      </c>
      <c r="Z63" s="22">
        <v>44608</v>
      </c>
      <c r="AA63" s="26">
        <f t="shared" ca="1" si="6"/>
        <v>0.26261083864906631</v>
      </c>
      <c r="AB63" s="29">
        <v>0</v>
      </c>
      <c r="AC63"/>
      <c r="AD63" s="25"/>
      <c r="AF63" s="22">
        <v>44608</v>
      </c>
      <c r="AG63" s="26">
        <f t="shared" ca="1" si="7"/>
        <v>0.77529448240433529</v>
      </c>
      <c r="AH63" s="29">
        <v>0</v>
      </c>
      <c r="AJ63" s="22">
        <v>44608</v>
      </c>
      <c r="AK63" s="26">
        <f t="shared" ca="1" si="8"/>
        <v>0.63598738866089188</v>
      </c>
      <c r="AL63" s="29">
        <v>0</v>
      </c>
      <c r="AN63" s="22">
        <v>44608</v>
      </c>
      <c r="AO63" s="26">
        <f t="shared" ca="1" si="9"/>
        <v>0.18566407652672334</v>
      </c>
      <c r="AP63" s="29">
        <v>0</v>
      </c>
      <c r="AR63" s="22">
        <v>44608</v>
      </c>
      <c r="AS63" s="26">
        <f t="shared" ca="1" si="10"/>
        <v>0.51717281760664169</v>
      </c>
      <c r="AT63" s="29">
        <v>0</v>
      </c>
      <c r="AV63" s="22">
        <v>44608</v>
      </c>
      <c r="AW63" s="26">
        <f t="shared" ca="1" si="11"/>
        <v>0.66908493823854065</v>
      </c>
      <c r="AX63" s="29">
        <v>0</v>
      </c>
      <c r="AZ63" s="22">
        <v>44608</v>
      </c>
      <c r="BA63" s="26">
        <f t="shared" ca="1" si="12"/>
        <v>0.75146361204593271</v>
      </c>
      <c r="BB63" s="29">
        <v>0</v>
      </c>
      <c r="BC63"/>
      <c r="BD63" s="25"/>
      <c r="BF63" s="22">
        <v>44608</v>
      </c>
      <c r="BG63" s="26">
        <f t="shared" ca="1" si="13"/>
        <v>0.87217187105893856</v>
      </c>
      <c r="BH63" s="29">
        <v>0</v>
      </c>
      <c r="BJ63" s="22">
        <v>44608</v>
      </c>
      <c r="BK63" s="26">
        <f t="shared" ca="1" si="14"/>
        <v>0.102236099118023</v>
      </c>
      <c r="BL63" s="29">
        <v>0</v>
      </c>
      <c r="BN63" s="22">
        <v>44608</v>
      </c>
      <c r="BO63" s="26">
        <f t="shared" ca="1" si="15"/>
        <v>0.83993304300332594</v>
      </c>
      <c r="BP63" s="29">
        <v>0</v>
      </c>
      <c r="BR63" s="22">
        <v>44608</v>
      </c>
      <c r="BS63" s="26">
        <f t="shared" ca="1" si="16"/>
        <v>0.88782835840072338</v>
      </c>
      <c r="BT63" s="29">
        <v>0</v>
      </c>
      <c r="BV63" s="22">
        <v>44608</v>
      </c>
      <c r="BW63" s="26">
        <f t="shared" ca="1" si="17"/>
        <v>0.82590617436646818</v>
      </c>
      <c r="BX63" s="29">
        <v>0</v>
      </c>
    </row>
    <row r="64" spans="2:80" ht="12.75" x14ac:dyDescent="0.2">
      <c r="B64" s="22">
        <v>44609</v>
      </c>
      <c r="C64" s="26">
        <f t="shared" ca="1" si="0"/>
        <v>0.8504082268230847</v>
      </c>
      <c r="D64" s="29">
        <f t="shared" ca="1" si="19"/>
        <v>96</v>
      </c>
      <c r="F64" s="22">
        <v>44609</v>
      </c>
      <c r="G64" s="26">
        <f t="shared" ca="1" si="1"/>
        <v>0.32337109716820645</v>
      </c>
      <c r="H64" s="29">
        <v>0</v>
      </c>
      <c r="J64" s="22">
        <v>44609</v>
      </c>
      <c r="K64" s="26">
        <f t="shared" ca="1" si="2"/>
        <v>0.996149117839914</v>
      </c>
      <c r="L64" s="29">
        <v>0</v>
      </c>
      <c r="N64" s="22">
        <v>44609</v>
      </c>
      <c r="O64" s="26">
        <f t="shared" ca="1" si="3"/>
        <v>0.97898034448057558</v>
      </c>
      <c r="P64" s="29">
        <v>0</v>
      </c>
      <c r="R64" s="22">
        <v>44609</v>
      </c>
      <c r="S64" s="26">
        <f t="shared" ca="1" si="4"/>
        <v>0.28806995288657089</v>
      </c>
      <c r="T64" s="29">
        <v>0</v>
      </c>
      <c r="V64" s="22">
        <v>44609</v>
      </c>
      <c r="W64" s="26">
        <f t="shared" ca="1" si="5"/>
        <v>0.75265689505081002</v>
      </c>
      <c r="X64" s="29">
        <v>0</v>
      </c>
      <c r="Z64" s="22">
        <v>44609</v>
      </c>
      <c r="AA64" s="26">
        <f t="shared" ca="1" si="6"/>
        <v>0.48060245093689924</v>
      </c>
      <c r="AB64" s="29">
        <v>0</v>
      </c>
      <c r="AC64"/>
      <c r="AD64" s="25"/>
      <c r="AF64" s="22">
        <v>44609</v>
      </c>
      <c r="AG64" s="26">
        <f t="shared" ca="1" si="7"/>
        <v>0.29654246110049731</v>
      </c>
      <c r="AH64" s="29">
        <v>0</v>
      </c>
      <c r="AJ64" s="22">
        <v>44609</v>
      </c>
      <c r="AK64" s="26">
        <f t="shared" ca="1" si="8"/>
        <v>0.29652063687385155</v>
      </c>
      <c r="AL64" s="29">
        <v>0</v>
      </c>
      <c r="AN64" s="22">
        <v>44609</v>
      </c>
      <c r="AO64" s="26">
        <f t="shared" ca="1" si="9"/>
        <v>0.99296940829048885</v>
      </c>
      <c r="AP64" s="29">
        <v>0</v>
      </c>
      <c r="AR64" s="22">
        <v>44609</v>
      </c>
      <c r="AS64" s="26">
        <f t="shared" ca="1" si="10"/>
        <v>0.39722120187257537</v>
      </c>
      <c r="AT64" s="29">
        <v>0</v>
      </c>
      <c r="AV64" s="22">
        <v>44609</v>
      </c>
      <c r="AW64" s="26">
        <f t="shared" ca="1" si="11"/>
        <v>0.36649240156653284</v>
      </c>
      <c r="AX64" s="29">
        <v>0</v>
      </c>
      <c r="AZ64" s="22">
        <v>44609</v>
      </c>
      <c r="BA64" s="26">
        <f t="shared" ca="1" si="12"/>
        <v>0.50082006609514906</v>
      </c>
      <c r="BB64" s="29">
        <v>0</v>
      </c>
      <c r="BC64"/>
      <c r="BD64" s="25"/>
      <c r="BF64" s="22">
        <v>44609</v>
      </c>
      <c r="BG64" s="26">
        <f t="shared" ca="1" si="13"/>
        <v>0.65491693202368806</v>
      </c>
      <c r="BH64" s="29">
        <v>0</v>
      </c>
      <c r="BJ64" s="22">
        <v>44609</v>
      </c>
      <c r="BK64" s="26">
        <f t="shared" ca="1" si="14"/>
        <v>0.42185539251754134</v>
      </c>
      <c r="BL64" s="29">
        <v>0</v>
      </c>
      <c r="BN64" s="22">
        <v>44609</v>
      </c>
      <c r="BO64" s="26">
        <f t="shared" ca="1" si="15"/>
        <v>0.49482444808864445</v>
      </c>
      <c r="BP64" s="29">
        <v>0</v>
      </c>
      <c r="BR64" s="22">
        <v>44609</v>
      </c>
      <c r="BS64" s="26">
        <f t="shared" ca="1" si="16"/>
        <v>0.67514868279293871</v>
      </c>
      <c r="BT64" s="29">
        <v>0</v>
      </c>
      <c r="BV64" s="22">
        <v>44609</v>
      </c>
      <c r="BW64" s="26">
        <f t="shared" ca="1" si="17"/>
        <v>1.7404155637163798E-2</v>
      </c>
      <c r="BX64" s="29">
        <v>0</v>
      </c>
    </row>
    <row r="65" spans="2:77" ht="12.75" x14ac:dyDescent="0.2">
      <c r="B65" s="22">
        <v>44610</v>
      </c>
      <c r="C65" s="26">
        <f t="shared" ca="1" si="0"/>
        <v>0.79833542991970541</v>
      </c>
      <c r="D65" s="29">
        <f t="shared" ca="1" si="19"/>
        <v>92</v>
      </c>
      <c r="F65" s="22">
        <v>44610</v>
      </c>
      <c r="G65" s="26">
        <f t="shared" ca="1" si="1"/>
        <v>7.005867061008797E-2</v>
      </c>
      <c r="H65" s="29">
        <v>0</v>
      </c>
      <c r="J65" s="22">
        <v>44610</v>
      </c>
      <c r="K65" s="26">
        <f t="shared" ca="1" si="2"/>
        <v>0.10629543136302178</v>
      </c>
      <c r="L65" s="29">
        <v>0</v>
      </c>
      <c r="N65" s="22">
        <v>44610</v>
      </c>
      <c r="O65" s="26">
        <f t="shared" ca="1" si="3"/>
        <v>0.91780804978561725</v>
      </c>
      <c r="P65" s="29">
        <v>0</v>
      </c>
      <c r="R65" s="22">
        <v>44610</v>
      </c>
      <c r="S65" s="26">
        <f t="shared" ca="1" si="4"/>
        <v>0.34558150175728497</v>
      </c>
      <c r="T65" s="29">
        <v>0</v>
      </c>
      <c r="V65" s="22">
        <v>44610</v>
      </c>
      <c r="W65" s="26">
        <f t="shared" ca="1" si="5"/>
        <v>0.84355088714477489</v>
      </c>
      <c r="X65" s="29">
        <v>0</v>
      </c>
      <c r="Z65" s="22">
        <v>44610</v>
      </c>
      <c r="AA65" s="26">
        <f t="shared" ca="1" si="6"/>
        <v>0.3454362464537053</v>
      </c>
      <c r="AB65" s="29">
        <v>0</v>
      </c>
      <c r="AC65"/>
      <c r="AD65" s="25"/>
      <c r="AF65" s="22">
        <v>44610</v>
      </c>
      <c r="AG65" s="26">
        <f t="shared" ca="1" si="7"/>
        <v>0.98701273144800783</v>
      </c>
      <c r="AH65" s="29">
        <v>0</v>
      </c>
      <c r="AJ65" s="22">
        <v>44610</v>
      </c>
      <c r="AK65" s="26">
        <f t="shared" ca="1" si="8"/>
        <v>0.94710917927634231</v>
      </c>
      <c r="AL65" s="29">
        <v>0</v>
      </c>
      <c r="AN65" s="22">
        <v>44610</v>
      </c>
      <c r="AO65" s="26">
        <f t="shared" ca="1" si="9"/>
        <v>0.38570999012491458</v>
      </c>
      <c r="AP65" s="29">
        <v>0</v>
      </c>
      <c r="AR65" s="22">
        <v>44610</v>
      </c>
      <c r="AS65" s="26">
        <f t="shared" ca="1" si="10"/>
        <v>0.1331349041895683</v>
      </c>
      <c r="AT65" s="29">
        <v>0</v>
      </c>
      <c r="AV65" s="22">
        <v>44610</v>
      </c>
      <c r="AW65" s="26">
        <f t="shared" ca="1" si="11"/>
        <v>8.3793985204421162E-2</v>
      </c>
      <c r="AX65" s="29">
        <v>0</v>
      </c>
      <c r="AZ65" s="22">
        <v>44610</v>
      </c>
      <c r="BA65" s="26">
        <f t="shared" ca="1" si="12"/>
        <v>4.3343994590650969E-2</v>
      </c>
      <c r="BB65" s="29">
        <v>0</v>
      </c>
      <c r="BC65"/>
      <c r="BD65" s="25"/>
      <c r="BF65" s="22">
        <v>44610</v>
      </c>
      <c r="BG65" s="26">
        <f t="shared" ca="1" si="13"/>
        <v>0.84794839986869563</v>
      </c>
      <c r="BH65" s="29">
        <v>0</v>
      </c>
      <c r="BJ65" s="22">
        <v>44610</v>
      </c>
      <c r="BK65" s="26">
        <f t="shared" ca="1" si="14"/>
        <v>0.92385658648886149</v>
      </c>
      <c r="BL65" s="29">
        <v>0</v>
      </c>
      <c r="BN65" s="22">
        <v>44610</v>
      </c>
      <c r="BO65" s="26">
        <f t="shared" ca="1" si="15"/>
        <v>0.87749875674435718</v>
      </c>
      <c r="BP65" s="29">
        <v>0</v>
      </c>
      <c r="BR65" s="22">
        <v>44610</v>
      </c>
      <c r="BS65" s="26">
        <f t="shared" ca="1" si="16"/>
        <v>0.52084316442358736</v>
      </c>
      <c r="BT65" s="29">
        <v>0</v>
      </c>
      <c r="BV65" s="22">
        <v>44610</v>
      </c>
      <c r="BW65" s="26">
        <f t="shared" ca="1" si="17"/>
        <v>0.86019063857889433</v>
      </c>
      <c r="BX65" s="29">
        <v>0</v>
      </c>
    </row>
    <row r="66" spans="2:77" ht="12.75" x14ac:dyDescent="0.2">
      <c r="B66" s="22">
        <v>44611</v>
      </c>
      <c r="C66" s="26">
        <f t="shared" ca="1" si="0"/>
        <v>0.58779259029630959</v>
      </c>
      <c r="D66" s="29">
        <f t="shared" ca="1" si="19"/>
        <v>80</v>
      </c>
      <c r="F66" s="22">
        <v>44611</v>
      </c>
      <c r="G66" s="26">
        <f t="shared" ca="1" si="1"/>
        <v>0.61517444407223221</v>
      </c>
      <c r="H66" s="29">
        <v>0</v>
      </c>
      <c r="J66" s="22">
        <v>44611</v>
      </c>
      <c r="K66" s="26">
        <f t="shared" ca="1" si="2"/>
        <v>0.82306706858599499</v>
      </c>
      <c r="L66" s="29">
        <v>0</v>
      </c>
      <c r="N66" s="22">
        <v>44611</v>
      </c>
      <c r="O66" s="26">
        <f t="shared" ca="1" si="3"/>
        <v>0.59234758848679414</v>
      </c>
      <c r="P66" s="29">
        <v>0</v>
      </c>
      <c r="R66" s="22">
        <v>44611</v>
      </c>
      <c r="S66" s="26">
        <f t="shared" ca="1" si="4"/>
        <v>0.84927942136753554</v>
      </c>
      <c r="T66" s="29">
        <v>0</v>
      </c>
      <c r="V66" s="22">
        <v>44611</v>
      </c>
      <c r="W66" s="26">
        <f t="shared" ca="1" si="5"/>
        <v>0.47068388227220981</v>
      </c>
      <c r="X66" s="29">
        <v>0</v>
      </c>
      <c r="Z66" s="22">
        <v>44611</v>
      </c>
      <c r="AA66" s="26">
        <f t="shared" ca="1" si="6"/>
        <v>7.1377872554334365E-2</v>
      </c>
      <c r="AB66" s="29">
        <v>0</v>
      </c>
      <c r="AC66"/>
      <c r="AD66" s="25"/>
      <c r="AF66" s="22">
        <v>44611</v>
      </c>
      <c r="AG66" s="26">
        <f t="shared" ca="1" si="7"/>
        <v>0.29617294291477336</v>
      </c>
      <c r="AH66" s="29">
        <v>0</v>
      </c>
      <c r="AJ66" s="22">
        <v>44611</v>
      </c>
      <c r="AK66" s="26">
        <f t="shared" ca="1" si="8"/>
        <v>2.1384288803558693E-3</v>
      </c>
      <c r="AL66" s="29">
        <v>0</v>
      </c>
      <c r="AN66" s="22">
        <v>44611</v>
      </c>
      <c r="AO66" s="26">
        <f t="shared" ca="1" si="9"/>
        <v>0.89352216061322121</v>
      </c>
      <c r="AP66" s="29">
        <v>0</v>
      </c>
      <c r="AR66" s="22">
        <v>44611</v>
      </c>
      <c r="AS66" s="26">
        <f t="shared" ca="1" si="10"/>
        <v>0.84872591598553848</v>
      </c>
      <c r="AT66" s="29">
        <v>0</v>
      </c>
      <c r="AV66" s="22">
        <v>44611</v>
      </c>
      <c r="AW66" s="26">
        <f t="shared" ca="1" si="11"/>
        <v>0.12181985406117946</v>
      </c>
      <c r="AX66" s="29">
        <v>0</v>
      </c>
      <c r="AZ66" s="22">
        <v>44611</v>
      </c>
      <c r="BA66" s="26">
        <f t="shared" ca="1" si="12"/>
        <v>0.25045670132695463</v>
      </c>
      <c r="BB66" s="29">
        <v>0</v>
      </c>
      <c r="BC66"/>
      <c r="BD66" s="25"/>
      <c r="BF66" s="22">
        <v>44611</v>
      </c>
      <c r="BG66" s="26">
        <f t="shared" ca="1" si="13"/>
        <v>0.23786789420088394</v>
      </c>
      <c r="BH66" s="29">
        <v>0</v>
      </c>
      <c r="BJ66" s="22">
        <v>44611</v>
      </c>
      <c r="BK66" s="26">
        <f t="shared" ca="1" si="14"/>
        <v>0.17153697888532138</v>
      </c>
      <c r="BL66" s="29">
        <v>0</v>
      </c>
      <c r="BN66" s="22">
        <v>44611</v>
      </c>
      <c r="BO66" s="26">
        <f t="shared" ca="1" si="15"/>
        <v>0.81603725993411613</v>
      </c>
      <c r="BP66" s="29">
        <v>0</v>
      </c>
      <c r="BR66" s="22">
        <v>44611</v>
      </c>
      <c r="BS66" s="26">
        <f t="shared" ca="1" si="16"/>
        <v>0.13451631371042105</v>
      </c>
      <c r="BT66" s="29">
        <v>0</v>
      </c>
      <c r="BV66" s="22">
        <v>44611</v>
      </c>
      <c r="BW66" s="26">
        <f t="shared" ca="1" si="17"/>
        <v>0.48031392251230376</v>
      </c>
      <c r="BX66" s="29">
        <v>0</v>
      </c>
    </row>
    <row r="67" spans="2:77" ht="12.75" x14ac:dyDescent="0.2">
      <c r="B67" s="22">
        <v>44612</v>
      </c>
      <c r="C67" s="26">
        <f t="shared" ca="1" si="0"/>
        <v>0.14189525635767974</v>
      </c>
      <c r="D67" s="29">
        <f t="shared" ca="1" si="19"/>
        <v>54</v>
      </c>
      <c r="F67" s="22">
        <v>44612</v>
      </c>
      <c r="G67" s="26">
        <f t="shared" ca="1" si="1"/>
        <v>5.7451677974909354E-2</v>
      </c>
      <c r="H67" s="29">
        <v>0</v>
      </c>
      <c r="J67" s="22">
        <v>44612</v>
      </c>
      <c r="K67" s="26">
        <f t="shared" ca="1" si="2"/>
        <v>0.26031070416891888</v>
      </c>
      <c r="L67" s="29">
        <v>0</v>
      </c>
      <c r="N67" s="22">
        <v>44612</v>
      </c>
      <c r="O67" s="26">
        <f t="shared" ca="1" si="3"/>
        <v>0.54814960467271667</v>
      </c>
      <c r="P67" s="29">
        <v>0</v>
      </c>
      <c r="R67" s="22">
        <v>44612</v>
      </c>
      <c r="S67" s="26">
        <f t="shared" ca="1" si="4"/>
        <v>0.48048860211840694</v>
      </c>
      <c r="T67" s="29">
        <v>0</v>
      </c>
      <c r="V67" s="22">
        <v>44612</v>
      </c>
      <c r="W67" s="26">
        <f t="shared" ca="1" si="5"/>
        <v>0.96728086286220805</v>
      </c>
      <c r="X67" s="29">
        <v>0</v>
      </c>
      <c r="Z67" s="22">
        <v>44612</v>
      </c>
      <c r="AA67" s="26">
        <f t="shared" ca="1" si="6"/>
        <v>2.3726500548655327E-2</v>
      </c>
      <c r="AB67" s="29">
        <v>0</v>
      </c>
      <c r="AC67"/>
      <c r="AD67" s="25"/>
      <c r="AF67" s="22">
        <v>44612</v>
      </c>
      <c r="AG67" s="26">
        <f t="shared" ca="1" si="7"/>
        <v>0.11911022750453992</v>
      </c>
      <c r="AH67" s="29">
        <v>0</v>
      </c>
      <c r="AJ67" s="22">
        <v>44612</v>
      </c>
      <c r="AK67" s="26">
        <f t="shared" ca="1" si="8"/>
        <v>0.24579580601070417</v>
      </c>
      <c r="AL67" s="29">
        <v>0</v>
      </c>
      <c r="AN67" s="22">
        <v>44612</v>
      </c>
      <c r="AO67" s="26">
        <f t="shared" ca="1" si="9"/>
        <v>0.48246190388558097</v>
      </c>
      <c r="AP67" s="29">
        <v>0</v>
      </c>
      <c r="AR67" s="22">
        <v>44612</v>
      </c>
      <c r="AS67" s="26">
        <f t="shared" ca="1" si="10"/>
        <v>1.3241582156331422E-4</v>
      </c>
      <c r="AT67" s="29">
        <v>0</v>
      </c>
      <c r="AV67" s="22">
        <v>44612</v>
      </c>
      <c r="AW67" s="26">
        <f t="shared" ca="1" si="11"/>
        <v>0.67145679017138848</v>
      </c>
      <c r="AX67" s="29">
        <v>0</v>
      </c>
      <c r="AZ67" s="22">
        <v>44612</v>
      </c>
      <c r="BA67" s="26">
        <f t="shared" ca="1" si="12"/>
        <v>0.14142551054001307</v>
      </c>
      <c r="BB67" s="29">
        <v>0</v>
      </c>
      <c r="BC67"/>
      <c r="BD67" s="25"/>
      <c r="BF67" s="22">
        <v>44612</v>
      </c>
      <c r="BG67" s="26">
        <f t="shared" ca="1" si="13"/>
        <v>0.70636188198496719</v>
      </c>
      <c r="BH67" s="29">
        <v>0</v>
      </c>
      <c r="BJ67" s="22">
        <v>44612</v>
      </c>
      <c r="BK67" s="26">
        <f t="shared" ca="1" si="14"/>
        <v>0.67325299022162122</v>
      </c>
      <c r="BL67" s="29">
        <v>0</v>
      </c>
      <c r="BN67" s="22">
        <v>44612</v>
      </c>
      <c r="BO67" s="26">
        <f t="shared" ca="1" si="15"/>
        <v>0.86567175504164162</v>
      </c>
      <c r="BP67" s="29">
        <v>0</v>
      </c>
      <c r="BR67" s="22">
        <v>44612</v>
      </c>
      <c r="BS67" s="26">
        <f t="shared" ca="1" si="16"/>
        <v>0.58862184432752607</v>
      </c>
      <c r="BT67" s="29">
        <v>0</v>
      </c>
      <c r="BV67" s="22">
        <v>44612</v>
      </c>
      <c r="BW67" s="26">
        <f t="shared" ca="1" si="17"/>
        <v>0.75627475530933808</v>
      </c>
      <c r="BX67" s="29">
        <v>0</v>
      </c>
    </row>
    <row r="68" spans="2:77" ht="12.75" x14ac:dyDescent="0.2">
      <c r="B68" s="22">
        <v>44613</v>
      </c>
      <c r="C68" s="26">
        <f t="shared" ca="1" si="0"/>
        <v>7.4108968586565904E-2</v>
      </c>
      <c r="D68" s="29">
        <f t="shared" ca="1" si="19"/>
        <v>47</v>
      </c>
      <c r="F68" s="22">
        <v>44613</v>
      </c>
      <c r="G68" s="26">
        <f t="shared" ca="1" si="1"/>
        <v>0.72168083791995208</v>
      </c>
      <c r="H68" s="29">
        <v>0</v>
      </c>
      <c r="J68" s="22">
        <v>44613</v>
      </c>
      <c r="K68" s="26">
        <f t="shared" ca="1" si="2"/>
        <v>0.79891606317888753</v>
      </c>
      <c r="L68" s="29">
        <v>0</v>
      </c>
      <c r="N68" s="22">
        <v>44613</v>
      </c>
      <c r="O68" s="26">
        <f t="shared" ca="1" si="3"/>
        <v>0.93979217131082926</v>
      </c>
      <c r="P68" s="29">
        <v>0</v>
      </c>
      <c r="R68" s="22">
        <v>44613</v>
      </c>
      <c r="S68" s="26">
        <f t="shared" ca="1" si="4"/>
        <v>0.95999373671129018</v>
      </c>
      <c r="T68" s="29">
        <v>0</v>
      </c>
      <c r="V68" s="22">
        <v>44613</v>
      </c>
      <c r="W68" s="26">
        <f t="shared" ca="1" si="5"/>
        <v>0.66885718548278694</v>
      </c>
      <c r="X68" s="29">
        <v>0</v>
      </c>
      <c r="Z68" s="22">
        <v>44613</v>
      </c>
      <c r="AA68" s="26">
        <f t="shared" ca="1" si="6"/>
        <v>0.30630435788664778</v>
      </c>
      <c r="AB68" s="29">
        <v>0</v>
      </c>
      <c r="AC68"/>
      <c r="AD68" s="25"/>
      <c r="AF68" s="22">
        <v>44613</v>
      </c>
      <c r="AG68" s="26">
        <f t="shared" ca="1" si="7"/>
        <v>0.34665114512855366</v>
      </c>
      <c r="AH68" s="29">
        <v>0</v>
      </c>
      <c r="AJ68" s="22">
        <v>44613</v>
      </c>
      <c r="AK68" s="26">
        <f t="shared" ca="1" si="8"/>
        <v>0.78274085205561184</v>
      </c>
      <c r="AL68" s="29">
        <v>0</v>
      </c>
      <c r="AN68" s="22">
        <v>44613</v>
      </c>
      <c r="AO68" s="26">
        <f t="shared" ca="1" si="9"/>
        <v>0.30488165374902987</v>
      </c>
      <c r="AP68" s="29">
        <v>0</v>
      </c>
      <c r="AR68" s="22">
        <v>44613</v>
      </c>
      <c r="AS68" s="26">
        <f t="shared" ca="1" si="10"/>
        <v>0.88206265161718111</v>
      </c>
      <c r="AT68" s="29">
        <v>0</v>
      </c>
      <c r="AV68" s="22">
        <v>44613</v>
      </c>
      <c r="AW68" s="26">
        <f t="shared" ca="1" si="11"/>
        <v>0.50654651545729168</v>
      </c>
      <c r="AX68" s="29">
        <v>0</v>
      </c>
      <c r="AZ68" s="22">
        <v>44613</v>
      </c>
      <c r="BA68" s="26">
        <f t="shared" ca="1" si="12"/>
        <v>0.30146169099064213</v>
      </c>
      <c r="BB68" s="29">
        <v>0</v>
      </c>
      <c r="BC68"/>
      <c r="BD68" s="25"/>
      <c r="BF68" s="22">
        <v>44613</v>
      </c>
      <c r="BG68" s="26">
        <f t="shared" ca="1" si="13"/>
        <v>3.604028845120566E-2</v>
      </c>
      <c r="BH68" s="29">
        <v>0</v>
      </c>
      <c r="BJ68" s="22">
        <v>44613</v>
      </c>
      <c r="BK68" s="26">
        <f t="shared" ca="1" si="14"/>
        <v>0.78486726791425254</v>
      </c>
      <c r="BL68" s="29">
        <v>0</v>
      </c>
      <c r="BN68" s="22">
        <v>44613</v>
      </c>
      <c r="BO68" s="26">
        <f t="shared" ca="1" si="15"/>
        <v>0.76736600999491578</v>
      </c>
      <c r="BP68" s="29">
        <v>0</v>
      </c>
      <c r="BR68" s="22">
        <v>44613</v>
      </c>
      <c r="BS68" s="26">
        <f t="shared" ca="1" si="16"/>
        <v>0.93696542973059249</v>
      </c>
      <c r="BT68" s="29">
        <v>0</v>
      </c>
      <c r="BV68" s="22">
        <v>44613</v>
      </c>
      <c r="BW68" s="26">
        <f t="shared" ca="1" si="17"/>
        <v>0.42308067732314691</v>
      </c>
      <c r="BX68" s="29">
        <v>0</v>
      </c>
    </row>
    <row r="69" spans="2:77" ht="12.75" x14ac:dyDescent="0.2">
      <c r="B69" s="22">
        <v>44614</v>
      </c>
      <c r="C69" s="26">
        <f t="shared" ca="1" si="0"/>
        <v>0.42684452049179322</v>
      </c>
      <c r="D69" s="29">
        <f t="shared" ca="1" si="19"/>
        <v>72</v>
      </c>
      <c r="F69" s="22">
        <v>44614</v>
      </c>
      <c r="G69" s="26">
        <f t="shared" ca="1" si="1"/>
        <v>0.27712747585861464</v>
      </c>
      <c r="H69" s="29">
        <v>0</v>
      </c>
      <c r="J69" s="22">
        <v>44614</v>
      </c>
      <c r="K69" s="26">
        <f t="shared" ca="1" si="2"/>
        <v>0.58106485213889814</v>
      </c>
      <c r="L69" s="29">
        <v>0</v>
      </c>
      <c r="N69" s="22">
        <v>44614</v>
      </c>
      <c r="O69" s="26">
        <f t="shared" ca="1" si="3"/>
        <v>3.3604960509969972E-2</v>
      </c>
      <c r="P69" s="29">
        <v>0</v>
      </c>
      <c r="R69" s="22">
        <v>44614</v>
      </c>
      <c r="S69" s="26">
        <f t="shared" ca="1" si="4"/>
        <v>0.95102292901739882</v>
      </c>
      <c r="T69" s="29">
        <v>0</v>
      </c>
      <c r="V69" s="22">
        <v>44614</v>
      </c>
      <c r="W69" s="26">
        <f t="shared" ca="1" si="5"/>
        <v>0.49579319355314122</v>
      </c>
      <c r="X69" s="29">
        <v>0</v>
      </c>
      <c r="Z69" s="22">
        <v>44614</v>
      </c>
      <c r="AA69" s="26">
        <f t="shared" ca="1" si="6"/>
        <v>0.45786305349399847</v>
      </c>
      <c r="AB69" s="29">
        <v>0</v>
      </c>
      <c r="AC69"/>
      <c r="AD69" s="25"/>
      <c r="AF69" s="22">
        <v>44614</v>
      </c>
      <c r="AG69" s="26">
        <f t="shared" ca="1" si="7"/>
        <v>4.0714382821318895E-2</v>
      </c>
      <c r="AH69" s="29">
        <v>0</v>
      </c>
      <c r="AJ69" s="22">
        <v>44614</v>
      </c>
      <c r="AK69" s="26">
        <f t="shared" ca="1" si="8"/>
        <v>0.92296417746853621</v>
      </c>
      <c r="AL69" s="29">
        <v>0</v>
      </c>
      <c r="AN69" s="22">
        <v>44614</v>
      </c>
      <c r="AO69" s="26">
        <f t="shared" ca="1" si="9"/>
        <v>0.5752639167782545</v>
      </c>
      <c r="AP69" s="29">
        <v>0</v>
      </c>
      <c r="AR69" s="22">
        <v>44614</v>
      </c>
      <c r="AS69" s="26">
        <f t="shared" ca="1" si="10"/>
        <v>0.16629368034189429</v>
      </c>
      <c r="AT69" s="29">
        <v>0</v>
      </c>
      <c r="AV69" s="22">
        <v>44614</v>
      </c>
      <c r="AW69" s="26">
        <f t="shared" ca="1" si="11"/>
        <v>0.2075884048451152</v>
      </c>
      <c r="AX69" s="29">
        <v>0</v>
      </c>
      <c r="AZ69" s="22">
        <v>44614</v>
      </c>
      <c r="BA69" s="26">
        <f t="shared" ca="1" si="12"/>
        <v>0.19009060352600382</v>
      </c>
      <c r="BB69" s="29">
        <v>0</v>
      </c>
      <c r="BC69"/>
      <c r="BD69" s="25"/>
      <c r="BF69" s="22">
        <v>44614</v>
      </c>
      <c r="BG69" s="26">
        <f t="shared" ca="1" si="13"/>
        <v>0.90561877185023132</v>
      </c>
      <c r="BH69" s="29">
        <v>0</v>
      </c>
      <c r="BJ69" s="22">
        <v>44614</v>
      </c>
      <c r="BK69" s="26">
        <f t="shared" ca="1" si="14"/>
        <v>0.28711466800792906</v>
      </c>
      <c r="BL69" s="29">
        <v>0</v>
      </c>
      <c r="BN69" s="22">
        <v>44614</v>
      </c>
      <c r="BO69" s="26">
        <f t="shared" ca="1" si="15"/>
        <v>0.37887250891368074</v>
      </c>
      <c r="BP69" s="29">
        <v>0</v>
      </c>
      <c r="BR69" s="22">
        <v>44614</v>
      </c>
      <c r="BS69" s="26">
        <f t="shared" ca="1" si="16"/>
        <v>0.86339250950065227</v>
      </c>
      <c r="BT69" s="29">
        <v>0</v>
      </c>
      <c r="BV69" s="22">
        <v>44614</v>
      </c>
      <c r="BW69" s="26">
        <f t="shared" ca="1" si="17"/>
        <v>0.32853458865371432</v>
      </c>
      <c r="BX69" s="29">
        <v>0</v>
      </c>
    </row>
    <row r="70" spans="2:77" ht="12.75" x14ac:dyDescent="0.2">
      <c r="B70" s="22">
        <v>44615</v>
      </c>
      <c r="C70" s="26">
        <f t="shared" ca="1" si="0"/>
        <v>0.24886673748931609</v>
      </c>
      <c r="D70" s="29">
        <f t="shared" ca="1" si="19"/>
        <v>62</v>
      </c>
      <c r="F70" s="22">
        <v>44615</v>
      </c>
      <c r="G70" s="26">
        <f t="shared" ca="1" si="1"/>
        <v>0.66382076750599039</v>
      </c>
      <c r="H70" s="29">
        <v>0</v>
      </c>
      <c r="J70" s="22">
        <v>44615</v>
      </c>
      <c r="K70" s="26">
        <f t="shared" ca="1" si="2"/>
        <v>0.95823821267331766</v>
      </c>
      <c r="L70" s="29">
        <v>0</v>
      </c>
      <c r="N70" s="22">
        <v>44615</v>
      </c>
      <c r="O70" s="26">
        <f t="shared" ca="1" si="3"/>
        <v>0.52714903104011857</v>
      </c>
      <c r="P70" s="29">
        <v>0</v>
      </c>
      <c r="R70" s="22">
        <v>44615</v>
      </c>
      <c r="S70" s="26">
        <f t="shared" ca="1" si="4"/>
        <v>0.63667197561301536</v>
      </c>
      <c r="T70" s="29">
        <v>0</v>
      </c>
      <c r="V70" s="22">
        <v>44615</v>
      </c>
      <c r="W70" s="26">
        <f t="shared" ca="1" si="5"/>
        <v>0.60362292127244532</v>
      </c>
      <c r="X70" s="29">
        <v>0</v>
      </c>
      <c r="Z70" s="22">
        <v>44615</v>
      </c>
      <c r="AA70" s="26">
        <f t="shared" ca="1" si="6"/>
        <v>0.97910680361145663</v>
      </c>
      <c r="AB70" s="29">
        <v>0</v>
      </c>
      <c r="AC70"/>
      <c r="AD70" s="25"/>
      <c r="AF70" s="22">
        <v>44615</v>
      </c>
      <c r="AG70" s="26">
        <f t="shared" ca="1" si="7"/>
        <v>0.91811359343868137</v>
      </c>
      <c r="AH70" s="29">
        <v>0</v>
      </c>
      <c r="AJ70" s="22">
        <v>44615</v>
      </c>
      <c r="AK70" s="26">
        <f t="shared" ca="1" si="8"/>
        <v>0.30186485842880084</v>
      </c>
      <c r="AL70" s="29">
        <v>0</v>
      </c>
      <c r="AN70" s="22">
        <v>44615</v>
      </c>
      <c r="AO70" s="26">
        <f t="shared" ca="1" si="9"/>
        <v>0.29672199533463939</v>
      </c>
      <c r="AP70" s="29">
        <v>0</v>
      </c>
      <c r="AR70" s="22">
        <v>44615</v>
      </c>
      <c r="AS70" s="26">
        <f t="shared" ca="1" si="10"/>
        <v>0.29837448837935321</v>
      </c>
      <c r="AT70" s="29">
        <v>0</v>
      </c>
      <c r="AV70" s="22">
        <v>44615</v>
      </c>
      <c r="AW70" s="26">
        <f t="shared" ca="1" si="11"/>
        <v>0.41704319984041349</v>
      </c>
      <c r="AX70" s="29">
        <v>0</v>
      </c>
      <c r="AZ70" s="22">
        <v>44615</v>
      </c>
      <c r="BA70" s="26">
        <f t="shared" ca="1" si="12"/>
        <v>1.658974497462673E-2</v>
      </c>
      <c r="BB70" s="29">
        <v>0</v>
      </c>
      <c r="BC70"/>
      <c r="BD70" s="25"/>
      <c r="BF70" s="22">
        <v>44615</v>
      </c>
      <c r="BG70" s="26">
        <f t="shared" ca="1" si="13"/>
        <v>0.70545978501123108</v>
      </c>
      <c r="BH70" s="29">
        <v>0</v>
      </c>
      <c r="BJ70" s="22">
        <v>44615</v>
      </c>
      <c r="BK70" s="26">
        <f t="shared" ca="1" si="14"/>
        <v>0.50665113872801093</v>
      </c>
      <c r="BL70" s="29">
        <v>0</v>
      </c>
      <c r="BN70" s="22">
        <v>44615</v>
      </c>
      <c r="BO70" s="26">
        <f t="shared" ca="1" si="15"/>
        <v>0.80160931695140736</v>
      </c>
      <c r="BP70" s="29">
        <v>0</v>
      </c>
      <c r="BR70" s="22">
        <v>44615</v>
      </c>
      <c r="BS70" s="26">
        <f t="shared" ca="1" si="16"/>
        <v>0.97840930222573974</v>
      </c>
      <c r="BT70" s="29">
        <v>0</v>
      </c>
      <c r="BV70" s="22">
        <v>44615</v>
      </c>
      <c r="BW70" s="26">
        <f t="shared" ca="1" si="17"/>
        <v>0.38702201615530973</v>
      </c>
      <c r="BX70" s="29">
        <v>0</v>
      </c>
    </row>
    <row r="71" spans="2:77" ht="12.75" x14ac:dyDescent="0.2">
      <c r="B71" s="22">
        <v>44616</v>
      </c>
      <c r="C71" s="26">
        <f t="shared" ca="1" si="0"/>
        <v>0.94702852531256443</v>
      </c>
      <c r="D71" s="29">
        <f t="shared" ca="1" si="19"/>
        <v>108</v>
      </c>
      <c r="F71" s="22">
        <v>44616</v>
      </c>
      <c r="G71" s="26">
        <f t="shared" ca="1" si="1"/>
        <v>0.324370488076273</v>
      </c>
      <c r="H71" s="29">
        <v>0</v>
      </c>
      <c r="J71" s="22">
        <v>44616</v>
      </c>
      <c r="K71" s="26">
        <f t="shared" ca="1" si="2"/>
        <v>0.78965227400976246</v>
      </c>
      <c r="L71" s="29">
        <v>0</v>
      </c>
      <c r="N71" s="22">
        <v>44616</v>
      </c>
      <c r="O71" s="26">
        <f t="shared" ca="1" si="3"/>
        <v>0.71604968756348031</v>
      </c>
      <c r="P71" s="29">
        <v>0</v>
      </c>
      <c r="R71" s="22">
        <v>44616</v>
      </c>
      <c r="S71" s="26">
        <f t="shared" ca="1" si="4"/>
        <v>0.20289096405243057</v>
      </c>
      <c r="T71" s="29">
        <v>0</v>
      </c>
      <c r="V71" s="22">
        <v>44616</v>
      </c>
      <c r="W71" s="26">
        <f t="shared" ca="1" si="5"/>
        <v>0.34654207162109829</v>
      </c>
      <c r="X71" s="29">
        <v>0</v>
      </c>
      <c r="Z71" s="22">
        <v>44616</v>
      </c>
      <c r="AA71" s="26">
        <f t="shared" ca="1" si="6"/>
        <v>0.91402944459867619</v>
      </c>
      <c r="AB71" s="29">
        <v>0</v>
      </c>
      <c r="AC71"/>
      <c r="AD71" s="25"/>
      <c r="AF71" s="22">
        <v>44616</v>
      </c>
      <c r="AG71" s="26">
        <f t="shared" ca="1" si="7"/>
        <v>0.31877463765238079</v>
      </c>
      <c r="AH71" s="29">
        <v>0</v>
      </c>
      <c r="AJ71" s="22">
        <v>44616</v>
      </c>
      <c r="AK71" s="26">
        <f t="shared" ca="1" si="8"/>
        <v>0.30987049689098722</v>
      </c>
      <c r="AL71" s="29">
        <v>0</v>
      </c>
      <c r="AN71" s="22">
        <v>44616</v>
      </c>
      <c r="AO71" s="26">
        <f t="shared" ca="1" si="9"/>
        <v>0.58564894389975397</v>
      </c>
      <c r="AP71" s="29">
        <v>0</v>
      </c>
      <c r="AR71" s="22">
        <v>44616</v>
      </c>
      <c r="AS71" s="26">
        <f t="shared" ca="1" si="10"/>
        <v>0.99068577813494452</v>
      </c>
      <c r="AT71" s="29">
        <v>0</v>
      </c>
      <c r="AV71" s="22">
        <v>44616</v>
      </c>
      <c r="AW71" s="26">
        <f t="shared" ca="1" si="11"/>
        <v>3.1298314154874274E-2</v>
      </c>
      <c r="AX71" s="29">
        <v>0</v>
      </c>
      <c r="AZ71" s="22">
        <v>44616</v>
      </c>
      <c r="BA71" s="26">
        <f t="shared" ca="1" si="12"/>
        <v>0.13294405360040074</v>
      </c>
      <c r="BB71" s="29">
        <v>0</v>
      </c>
      <c r="BC71"/>
      <c r="BD71" s="25"/>
      <c r="BF71" s="22">
        <v>44616</v>
      </c>
      <c r="BG71" s="26">
        <f t="shared" ca="1" si="13"/>
        <v>0.59201580621645111</v>
      </c>
      <c r="BH71" s="29">
        <v>0</v>
      </c>
      <c r="BJ71" s="22">
        <v>44616</v>
      </c>
      <c r="BK71" s="26">
        <f t="shared" ca="1" si="14"/>
        <v>0.48073793793063302</v>
      </c>
      <c r="BL71" s="29">
        <v>0</v>
      </c>
      <c r="BN71" s="22">
        <v>44616</v>
      </c>
      <c r="BO71" s="26">
        <f t="shared" ca="1" si="15"/>
        <v>0.75942831708775749</v>
      </c>
      <c r="BP71" s="29">
        <v>0</v>
      </c>
      <c r="BR71" s="22">
        <v>44616</v>
      </c>
      <c r="BS71" s="26">
        <f t="shared" ca="1" si="16"/>
        <v>0.87192608649481029</v>
      </c>
      <c r="BT71" s="29">
        <v>0</v>
      </c>
      <c r="BV71" s="22">
        <v>44616</v>
      </c>
      <c r="BW71" s="26">
        <f t="shared" ca="1" si="17"/>
        <v>0.52778279452543364</v>
      </c>
      <c r="BX71" s="29">
        <v>0</v>
      </c>
    </row>
    <row r="72" spans="2:77" ht="12.75" x14ac:dyDescent="0.2">
      <c r="B72" s="22">
        <v>44617</v>
      </c>
      <c r="C72" s="26">
        <f t="shared" ca="1" si="0"/>
        <v>3.5728415951004733E-2</v>
      </c>
      <c r="D72" s="29">
        <f t="shared" ca="1" si="19"/>
        <v>39</v>
      </c>
      <c r="F72" s="22">
        <v>44617</v>
      </c>
      <c r="G72" s="26">
        <f t="shared" ca="1" si="1"/>
        <v>0.58031310321830987</v>
      </c>
      <c r="H72" s="29">
        <v>0</v>
      </c>
      <c r="J72" s="22">
        <v>44617</v>
      </c>
      <c r="K72" s="26">
        <f t="shared" ca="1" si="2"/>
        <v>0.87266940854712616</v>
      </c>
      <c r="L72" s="29">
        <v>0</v>
      </c>
      <c r="N72" s="22">
        <v>44617</v>
      </c>
      <c r="O72" s="26">
        <f t="shared" ca="1" si="3"/>
        <v>0.96087302115856021</v>
      </c>
      <c r="P72" s="29">
        <v>0</v>
      </c>
      <c r="R72" s="22">
        <v>44617</v>
      </c>
      <c r="S72" s="26">
        <f t="shared" ca="1" si="4"/>
        <v>0.82876822395949368</v>
      </c>
      <c r="T72" s="29">
        <v>0</v>
      </c>
      <c r="V72" s="22">
        <v>44617</v>
      </c>
      <c r="W72" s="26">
        <f t="shared" ca="1" si="5"/>
        <v>0.50066424322170577</v>
      </c>
      <c r="X72" s="29">
        <v>0</v>
      </c>
      <c r="Z72" s="22">
        <v>44617</v>
      </c>
      <c r="AA72" s="26">
        <f t="shared" ca="1" si="6"/>
        <v>0.50851221172739469</v>
      </c>
      <c r="AB72" s="29">
        <v>0</v>
      </c>
      <c r="AC72"/>
      <c r="AD72" s="25"/>
      <c r="AF72" s="22">
        <v>44617</v>
      </c>
      <c r="AG72" s="26">
        <f t="shared" ca="1" si="7"/>
        <v>0.57399476419798934</v>
      </c>
      <c r="AH72" s="29">
        <v>0</v>
      </c>
      <c r="AJ72" s="22">
        <v>44617</v>
      </c>
      <c r="AK72" s="26">
        <f t="shared" ca="1" si="8"/>
        <v>0.40545193349741382</v>
      </c>
      <c r="AL72" s="29">
        <v>0</v>
      </c>
      <c r="AN72" s="22">
        <v>44617</v>
      </c>
      <c r="AO72" s="26">
        <f t="shared" ca="1" si="9"/>
        <v>0.85503062513084127</v>
      </c>
      <c r="AP72" s="29">
        <v>0</v>
      </c>
      <c r="AR72" s="22">
        <v>44617</v>
      </c>
      <c r="AS72" s="26">
        <f t="shared" ca="1" si="10"/>
        <v>0.1492529364770987</v>
      </c>
      <c r="AT72" s="29">
        <v>0</v>
      </c>
      <c r="AV72" s="22">
        <v>44617</v>
      </c>
      <c r="AW72" s="26">
        <f t="shared" ca="1" si="11"/>
        <v>0.8920736790988032</v>
      </c>
      <c r="AX72" s="29">
        <v>0</v>
      </c>
      <c r="AZ72" s="22">
        <v>44617</v>
      </c>
      <c r="BA72" s="26">
        <f t="shared" ca="1" si="12"/>
        <v>4.6116344589438252E-2</v>
      </c>
      <c r="BB72" s="29">
        <v>0</v>
      </c>
      <c r="BC72"/>
      <c r="BD72" s="25"/>
      <c r="BF72" s="22">
        <v>44617</v>
      </c>
      <c r="BG72" s="26">
        <f t="shared" ca="1" si="13"/>
        <v>7.8275713809941361E-2</v>
      </c>
      <c r="BH72" s="29">
        <v>0</v>
      </c>
      <c r="BJ72" s="22">
        <v>44617</v>
      </c>
      <c r="BK72" s="26">
        <f t="shared" ca="1" si="14"/>
        <v>0.98704786807221756</v>
      </c>
      <c r="BL72" s="29">
        <v>0</v>
      </c>
      <c r="BN72" s="22">
        <v>44617</v>
      </c>
      <c r="BO72" s="26">
        <f t="shared" ca="1" si="15"/>
        <v>0.29728712660577994</v>
      </c>
      <c r="BP72" s="29">
        <v>0</v>
      </c>
      <c r="BR72" s="22">
        <v>44617</v>
      </c>
      <c r="BS72" s="26">
        <f t="shared" ca="1" si="16"/>
        <v>0.7334708260552989</v>
      </c>
      <c r="BT72" s="29">
        <v>0</v>
      </c>
      <c r="BV72" s="22">
        <v>44617</v>
      </c>
      <c r="BW72" s="26">
        <f t="shared" ca="1" si="17"/>
        <v>0.29903143515178221</v>
      </c>
      <c r="BX72" s="29">
        <v>0</v>
      </c>
    </row>
    <row r="73" spans="2:77" ht="12.75" x14ac:dyDescent="0.2">
      <c r="B73" s="22">
        <v>44618</v>
      </c>
      <c r="C73" s="26">
        <f t="shared" ca="1" si="0"/>
        <v>0.37362940130415079</v>
      </c>
      <c r="D73" s="29">
        <f t="shared" ca="1" si="19"/>
        <v>69</v>
      </c>
      <c r="F73" s="22">
        <v>44618</v>
      </c>
      <c r="G73" s="26">
        <f t="shared" ca="1" si="1"/>
        <v>8.8811764254697056E-2</v>
      </c>
      <c r="H73" s="29">
        <v>0</v>
      </c>
      <c r="J73" s="22">
        <v>44618</v>
      </c>
      <c r="K73" s="26">
        <f t="shared" ca="1" si="2"/>
        <v>7.8486056033634233E-2</v>
      </c>
      <c r="L73" s="29">
        <v>0</v>
      </c>
      <c r="N73" s="22">
        <v>44618</v>
      </c>
      <c r="O73" s="26">
        <f t="shared" ca="1" si="3"/>
        <v>0.58521482343329367</v>
      </c>
      <c r="P73" s="29">
        <v>0</v>
      </c>
      <c r="R73" s="22">
        <v>44618</v>
      </c>
      <c r="S73" s="26">
        <f t="shared" ca="1" si="4"/>
        <v>0.36620541292760744</v>
      </c>
      <c r="T73" s="29">
        <v>0</v>
      </c>
      <c r="V73" s="22">
        <v>44618</v>
      </c>
      <c r="W73" s="26">
        <f t="shared" ca="1" si="5"/>
        <v>0.16820391666614287</v>
      </c>
      <c r="X73" s="29">
        <v>0</v>
      </c>
      <c r="Z73" s="22">
        <v>44618</v>
      </c>
      <c r="AA73" s="26">
        <f t="shared" ca="1" si="6"/>
        <v>0.77262453537177755</v>
      </c>
      <c r="AB73" s="29">
        <v>0</v>
      </c>
      <c r="AC73"/>
      <c r="AD73" s="25"/>
      <c r="AF73" s="22">
        <v>44618</v>
      </c>
      <c r="AG73" s="26">
        <f t="shared" ca="1" si="7"/>
        <v>0.43394327090701812</v>
      </c>
      <c r="AH73" s="29">
        <v>0</v>
      </c>
      <c r="AJ73" s="22">
        <v>44618</v>
      </c>
      <c r="AK73" s="26">
        <f t="shared" ca="1" si="8"/>
        <v>0.99366898371547041</v>
      </c>
      <c r="AL73" s="29">
        <v>0</v>
      </c>
      <c r="AN73" s="22">
        <v>44618</v>
      </c>
      <c r="AO73" s="26">
        <f t="shared" ca="1" si="9"/>
        <v>0.98010034110890287</v>
      </c>
      <c r="AP73" s="29">
        <v>0</v>
      </c>
      <c r="AR73" s="22">
        <v>44618</v>
      </c>
      <c r="AS73" s="26">
        <f t="shared" ca="1" si="10"/>
        <v>6.9700162009344147E-2</v>
      </c>
      <c r="AT73" s="29">
        <v>0</v>
      </c>
      <c r="AV73" s="22">
        <v>44618</v>
      </c>
      <c r="AW73" s="26">
        <f t="shared" ca="1" si="11"/>
        <v>0.3498046901467915</v>
      </c>
      <c r="AX73" s="29">
        <v>0</v>
      </c>
      <c r="AZ73" s="22">
        <v>44618</v>
      </c>
      <c r="BA73" s="26">
        <f t="shared" ca="1" si="12"/>
        <v>0.14556488154947622</v>
      </c>
      <c r="BB73" s="29">
        <v>0</v>
      </c>
      <c r="BC73"/>
      <c r="BD73" s="25"/>
      <c r="BF73" s="22">
        <v>44618</v>
      </c>
      <c r="BG73" s="26">
        <f t="shared" ca="1" si="13"/>
        <v>0.60237595591301363</v>
      </c>
      <c r="BH73" s="29">
        <v>0</v>
      </c>
      <c r="BJ73" s="22">
        <v>44618</v>
      </c>
      <c r="BK73" s="26">
        <f t="shared" ca="1" si="14"/>
        <v>0.2995860290502762</v>
      </c>
      <c r="BL73" s="29">
        <v>0</v>
      </c>
      <c r="BN73" s="22">
        <v>44618</v>
      </c>
      <c r="BO73" s="26">
        <f t="shared" ca="1" si="15"/>
        <v>0.28844132561033586</v>
      </c>
      <c r="BP73" s="29">
        <v>0</v>
      </c>
      <c r="BR73" s="22">
        <v>44618</v>
      </c>
      <c r="BS73" s="26">
        <f t="shared" ca="1" si="16"/>
        <v>0.22199818625577916</v>
      </c>
      <c r="BT73" s="29">
        <v>0</v>
      </c>
      <c r="BV73" s="22">
        <v>44618</v>
      </c>
      <c r="BW73" s="26">
        <f t="shared" ca="1" si="17"/>
        <v>0.5968729195405752</v>
      </c>
      <c r="BX73" s="29">
        <v>0</v>
      </c>
    </row>
    <row r="74" spans="2:77" ht="12.75" x14ac:dyDescent="0.2">
      <c r="B74" s="22">
        <v>44619</v>
      </c>
      <c r="C74" s="26">
        <f t="shared" ca="1" si="0"/>
        <v>0.88056069454143837</v>
      </c>
      <c r="D74" s="29">
        <f t="shared" ca="1" si="19"/>
        <v>99</v>
      </c>
      <c r="F74" s="22">
        <v>44619</v>
      </c>
      <c r="G74" s="26">
        <f t="shared" ca="1" si="1"/>
        <v>0.52058355366976261</v>
      </c>
      <c r="H74" s="29">
        <v>0</v>
      </c>
      <c r="J74" s="22">
        <v>44619</v>
      </c>
      <c r="K74" s="26">
        <f t="shared" ca="1" si="2"/>
        <v>0.73397806576051794</v>
      </c>
      <c r="L74" s="29">
        <v>0</v>
      </c>
      <c r="N74" s="22">
        <v>44619</v>
      </c>
      <c r="O74" s="26">
        <f t="shared" ca="1" si="3"/>
        <v>0.40948372035644409</v>
      </c>
      <c r="P74" s="29">
        <v>0</v>
      </c>
      <c r="R74" s="22">
        <v>44619</v>
      </c>
      <c r="S74" s="26">
        <f t="shared" ca="1" si="4"/>
        <v>6.5082910754475143E-2</v>
      </c>
      <c r="T74" s="29">
        <v>0</v>
      </c>
      <c r="V74" s="22">
        <v>44619</v>
      </c>
      <c r="W74" s="26">
        <f t="shared" ca="1" si="5"/>
        <v>0.59548693202821412</v>
      </c>
      <c r="X74" s="29">
        <v>0</v>
      </c>
      <c r="Z74" s="22">
        <v>44619</v>
      </c>
      <c r="AA74" s="26">
        <f t="shared" ca="1" si="6"/>
        <v>0.73478051520493814</v>
      </c>
      <c r="AB74" s="29">
        <v>0</v>
      </c>
      <c r="AC74"/>
      <c r="AD74" s="25"/>
      <c r="AF74" s="22">
        <v>44619</v>
      </c>
      <c r="AG74" s="26">
        <f t="shared" ca="1" si="7"/>
        <v>0.6135110316532979</v>
      </c>
      <c r="AH74" s="29">
        <v>0</v>
      </c>
      <c r="AJ74" s="22">
        <v>44619</v>
      </c>
      <c r="AK74" s="26">
        <f t="shared" ca="1" si="8"/>
        <v>5.8496437746783481E-2</v>
      </c>
      <c r="AL74" s="29">
        <v>0</v>
      </c>
      <c r="AN74" s="22">
        <v>44619</v>
      </c>
      <c r="AO74" s="26">
        <f t="shared" ca="1" si="9"/>
        <v>0.19471359117738996</v>
      </c>
      <c r="AP74" s="29">
        <v>0</v>
      </c>
      <c r="AR74" s="22">
        <v>44619</v>
      </c>
      <c r="AS74" s="26">
        <f t="shared" ca="1" si="10"/>
        <v>0.89732936210002789</v>
      </c>
      <c r="AT74" s="29">
        <v>0</v>
      </c>
      <c r="AV74" s="22">
        <v>44619</v>
      </c>
      <c r="AW74" s="26">
        <f t="shared" ca="1" si="11"/>
        <v>0.89647078341260578</v>
      </c>
      <c r="AX74" s="29">
        <v>0</v>
      </c>
      <c r="AZ74" s="22">
        <v>44619</v>
      </c>
      <c r="BA74" s="26">
        <f t="shared" ca="1" si="12"/>
        <v>0.62204966994733468</v>
      </c>
      <c r="BB74" s="29">
        <v>0</v>
      </c>
      <c r="BC74"/>
      <c r="BD74" s="25"/>
      <c r="BF74" s="22">
        <v>44619</v>
      </c>
      <c r="BG74" s="26">
        <f t="shared" ca="1" si="13"/>
        <v>0.13060929354662665</v>
      </c>
      <c r="BH74" s="29">
        <v>0</v>
      </c>
      <c r="BJ74" s="22">
        <v>44619</v>
      </c>
      <c r="BK74" s="26">
        <f t="shared" ca="1" si="14"/>
        <v>0.2557141980223594</v>
      </c>
      <c r="BL74" s="29">
        <v>0</v>
      </c>
      <c r="BN74" s="22">
        <v>44619</v>
      </c>
      <c r="BO74" s="26">
        <f t="shared" ca="1" si="15"/>
        <v>0.35416240848775327</v>
      </c>
      <c r="BP74" s="29">
        <v>0</v>
      </c>
      <c r="BR74" s="22">
        <v>44619</v>
      </c>
      <c r="BS74" s="26">
        <f t="shared" ca="1" si="16"/>
        <v>8.0434152875257348E-2</v>
      </c>
      <c r="BT74" s="29">
        <v>0</v>
      </c>
      <c r="BV74" s="22">
        <v>44619</v>
      </c>
      <c r="BW74" s="26">
        <f t="shared" ca="1" si="17"/>
        <v>0.33513334904553083</v>
      </c>
      <c r="BX74" s="29">
        <v>0</v>
      </c>
    </row>
    <row r="75" spans="2:77" ht="12.75" x14ac:dyDescent="0.2">
      <c r="B75" s="22">
        <v>44620</v>
      </c>
      <c r="C75" s="26">
        <f t="shared" ca="1" si="0"/>
        <v>0.99498976475236012</v>
      </c>
      <c r="D75" s="29">
        <f t="shared" ca="1" si="19"/>
        <v>127</v>
      </c>
      <c r="E75">
        <v>1540</v>
      </c>
      <c r="F75" s="22">
        <v>44620</v>
      </c>
      <c r="G75" s="26">
        <f t="shared" ca="1" si="1"/>
        <v>0.77268225619617747</v>
      </c>
      <c r="H75" s="29">
        <v>0</v>
      </c>
      <c r="I75">
        <v>0</v>
      </c>
      <c r="J75" s="22">
        <v>44620</v>
      </c>
      <c r="K75" s="26">
        <f t="shared" ca="1" si="2"/>
        <v>0.67182666926886891</v>
      </c>
      <c r="L75" s="29">
        <v>0</v>
      </c>
      <c r="M75">
        <v>0</v>
      </c>
      <c r="N75" s="22">
        <v>44620</v>
      </c>
      <c r="O75" s="26">
        <f t="shared" ca="1" si="3"/>
        <v>0.68391653482141512</v>
      </c>
      <c r="P75" s="29">
        <v>0</v>
      </c>
      <c r="Q75">
        <v>0</v>
      </c>
      <c r="R75" s="22">
        <v>44620</v>
      </c>
      <c r="S75" s="26">
        <f t="shared" ca="1" si="4"/>
        <v>7.0382003727516018E-3</v>
      </c>
      <c r="T75" s="29">
        <v>0</v>
      </c>
      <c r="U75">
        <v>0</v>
      </c>
      <c r="V75" s="22">
        <v>44620</v>
      </c>
      <c r="W75" s="26">
        <f t="shared" ca="1" si="5"/>
        <v>0.5605197301455408</v>
      </c>
      <c r="X75" s="29">
        <v>0</v>
      </c>
      <c r="Y75">
        <v>0</v>
      </c>
      <c r="Z75" s="22">
        <v>44620</v>
      </c>
      <c r="AA75" s="26">
        <f t="shared" ca="1" si="6"/>
        <v>0.421136226825365</v>
      </c>
      <c r="AB75" s="29">
        <v>0</v>
      </c>
      <c r="AC75">
        <v>0</v>
      </c>
      <c r="AD75" s="25"/>
      <c r="AF75" s="22">
        <v>44620</v>
      </c>
      <c r="AG75" s="26">
        <f t="shared" ca="1" si="7"/>
        <v>0.13603821321504905</v>
      </c>
      <c r="AH75" s="29">
        <v>0</v>
      </c>
      <c r="AI75">
        <v>0</v>
      </c>
      <c r="AJ75" s="22">
        <v>44620</v>
      </c>
      <c r="AK75" s="26">
        <f t="shared" ca="1" si="8"/>
        <v>9.4448383443511252E-2</v>
      </c>
      <c r="AL75" s="29">
        <v>0</v>
      </c>
      <c r="AM75">
        <v>0</v>
      </c>
      <c r="AN75" s="22">
        <v>44620</v>
      </c>
      <c r="AO75" s="26">
        <f t="shared" ca="1" si="9"/>
        <v>0.77887267973187602</v>
      </c>
      <c r="AP75" s="29">
        <v>0</v>
      </c>
      <c r="AQ75">
        <v>0</v>
      </c>
      <c r="AR75" s="22">
        <v>44620</v>
      </c>
      <c r="AS75" s="26">
        <f t="shared" ca="1" si="10"/>
        <v>0.68864871964553853</v>
      </c>
      <c r="AT75" s="29">
        <v>0</v>
      </c>
      <c r="AU75">
        <v>0</v>
      </c>
      <c r="AV75" s="22">
        <v>44620</v>
      </c>
      <c r="AW75" s="26">
        <f t="shared" ca="1" si="11"/>
        <v>0.2149173133948048</v>
      </c>
      <c r="AX75" s="29">
        <v>0</v>
      </c>
      <c r="AY75">
        <v>0</v>
      </c>
      <c r="AZ75" s="22">
        <v>44620</v>
      </c>
      <c r="BA75" s="26">
        <f t="shared" ca="1" si="12"/>
        <v>0.74877232717086084</v>
      </c>
      <c r="BB75" s="29">
        <v>0</v>
      </c>
      <c r="BC75">
        <v>0</v>
      </c>
      <c r="BD75" s="25"/>
      <c r="BF75" s="22">
        <v>44620</v>
      </c>
      <c r="BG75" s="26">
        <f t="shared" ca="1" si="13"/>
        <v>0.64237614488686923</v>
      </c>
      <c r="BH75" s="29">
        <v>0</v>
      </c>
      <c r="BI75">
        <v>0</v>
      </c>
      <c r="BJ75" s="22">
        <v>44620</v>
      </c>
      <c r="BK75" s="26">
        <f t="shared" ca="1" si="14"/>
        <v>0.61523361936146781</v>
      </c>
      <c r="BL75" s="29">
        <v>0</v>
      </c>
      <c r="BM75">
        <v>0</v>
      </c>
      <c r="BN75" s="22">
        <v>44620</v>
      </c>
      <c r="BO75" s="26">
        <f t="shared" ca="1" si="15"/>
        <v>0.41550484643617958</v>
      </c>
      <c r="BP75" s="29">
        <v>0</v>
      </c>
      <c r="BQ75">
        <v>0</v>
      </c>
      <c r="BR75" s="22">
        <v>44620</v>
      </c>
      <c r="BS75" s="26">
        <f t="shared" ca="1" si="16"/>
        <v>0.48480995231677104</v>
      </c>
      <c r="BT75" s="29">
        <v>0</v>
      </c>
      <c r="BU75">
        <v>0</v>
      </c>
      <c r="BV75" s="22">
        <v>44620</v>
      </c>
      <c r="BW75" s="26">
        <f t="shared" ca="1" si="17"/>
        <v>0.53220617888581845</v>
      </c>
      <c r="BX75" s="29">
        <v>0</v>
      </c>
      <c r="BY75">
        <v>0</v>
      </c>
    </row>
    <row r="76" spans="2:77" ht="12.75" x14ac:dyDescent="0.2">
      <c r="B76" s="22">
        <v>44621</v>
      </c>
      <c r="C76" s="26">
        <f t="shared" ca="1" si="0"/>
        <v>0.10213543257067226</v>
      </c>
      <c r="D76" s="29">
        <f ca="1">ROUNDUP(_xlfn.NORM.INV(C75,C$10,C$12),0)</f>
        <v>127</v>
      </c>
      <c r="F76" s="22">
        <v>44621</v>
      </c>
      <c r="G76" s="26">
        <f t="shared" ca="1" si="1"/>
        <v>0.30915512729646377</v>
      </c>
      <c r="H76" s="29">
        <v>0</v>
      </c>
      <c r="J76" s="22">
        <v>44621</v>
      </c>
      <c r="K76" s="26">
        <f t="shared" ca="1" si="2"/>
        <v>0.22261978343953925</v>
      </c>
      <c r="L76" s="29">
        <v>0</v>
      </c>
      <c r="N76" s="22">
        <v>44621</v>
      </c>
      <c r="O76" s="26">
        <f t="shared" ca="1" si="3"/>
        <v>7.216997133912284E-2</v>
      </c>
      <c r="P76" s="29">
        <v>0</v>
      </c>
      <c r="R76" s="22">
        <v>44621</v>
      </c>
      <c r="S76" s="26">
        <f t="shared" ca="1" si="4"/>
        <v>0.11088592225242588</v>
      </c>
      <c r="T76" s="29">
        <v>0</v>
      </c>
      <c r="V76" s="22">
        <v>44621</v>
      </c>
      <c r="W76" s="26">
        <f t="shared" ca="1" si="5"/>
        <v>0.44706854653453088</v>
      </c>
      <c r="X76" s="29">
        <v>0</v>
      </c>
      <c r="Z76" s="22">
        <v>44621</v>
      </c>
      <c r="AA76" s="26">
        <f t="shared" ca="1" si="6"/>
        <v>0.81408873692516814</v>
      </c>
      <c r="AB76" s="29">
        <v>0</v>
      </c>
      <c r="AC76"/>
      <c r="AD76" s="25"/>
      <c r="AF76" s="22">
        <v>44621</v>
      </c>
      <c r="AG76" s="26">
        <f t="shared" ca="1" si="7"/>
        <v>0.21906902458189048</v>
      </c>
      <c r="AH76" s="29">
        <v>0</v>
      </c>
      <c r="AJ76" s="22">
        <v>44621</v>
      </c>
      <c r="AK76" s="26">
        <f t="shared" ca="1" si="8"/>
        <v>0.51914571553283295</v>
      </c>
      <c r="AL76" s="29">
        <v>0</v>
      </c>
      <c r="AN76" s="22">
        <v>44621</v>
      </c>
      <c r="AO76" s="26">
        <f t="shared" ca="1" si="9"/>
        <v>0.86278208923892674</v>
      </c>
      <c r="AP76" s="29">
        <v>0</v>
      </c>
      <c r="AR76" s="22">
        <v>44621</v>
      </c>
      <c r="AS76" s="26">
        <f t="shared" ca="1" si="10"/>
        <v>0.93881880244403715</v>
      </c>
      <c r="AT76" s="29">
        <v>0</v>
      </c>
      <c r="AV76" s="22">
        <v>44621</v>
      </c>
      <c r="AW76" s="26">
        <f t="shared" ca="1" si="11"/>
        <v>0.23543915470028176</v>
      </c>
      <c r="AX76" s="29">
        <v>0</v>
      </c>
      <c r="AZ76" s="22">
        <v>44621</v>
      </c>
      <c r="BA76" s="26">
        <f t="shared" ca="1" si="12"/>
        <v>0.35875390963482467</v>
      </c>
      <c r="BB76" s="29">
        <v>0</v>
      </c>
      <c r="BC76"/>
      <c r="BD76" s="25"/>
      <c r="BF76" s="22">
        <v>44621</v>
      </c>
      <c r="BG76" s="26">
        <f t="shared" ca="1" si="13"/>
        <v>0.19469852417052702</v>
      </c>
      <c r="BH76" s="29">
        <v>0</v>
      </c>
      <c r="BJ76" s="22">
        <v>44621</v>
      </c>
      <c r="BK76" s="26">
        <f t="shared" ca="1" si="14"/>
        <v>0.89126431211799662</v>
      </c>
      <c r="BL76" s="29">
        <v>0</v>
      </c>
      <c r="BN76" s="22">
        <v>44621</v>
      </c>
      <c r="BO76" s="26">
        <f t="shared" ca="1" si="15"/>
        <v>5.725853395124314E-2</v>
      </c>
      <c r="BP76" s="29">
        <v>0</v>
      </c>
      <c r="BR76" s="22">
        <v>44621</v>
      </c>
      <c r="BS76" s="26">
        <f t="shared" ca="1" si="16"/>
        <v>0.46528975616513046</v>
      </c>
      <c r="BT76" s="29">
        <v>0</v>
      </c>
      <c r="BV76" s="22">
        <v>44621</v>
      </c>
      <c r="BW76" s="26">
        <f t="shared" ca="1" si="17"/>
        <v>0.96835552795583346</v>
      </c>
      <c r="BX76" s="29">
        <v>0</v>
      </c>
    </row>
    <row r="77" spans="2:77" ht="12.75" x14ac:dyDescent="0.2">
      <c r="B77" s="22">
        <v>44622</v>
      </c>
      <c r="C77" s="26">
        <f t="shared" ca="1" si="0"/>
        <v>0.24038528649759328</v>
      </c>
      <c r="D77" s="29">
        <f t="shared" ca="1" si="19"/>
        <v>61</v>
      </c>
      <c r="F77" s="22">
        <v>44622</v>
      </c>
      <c r="G77" s="26">
        <f t="shared" ca="1" si="1"/>
        <v>0.74160556221859764</v>
      </c>
      <c r="H77" s="29">
        <v>0</v>
      </c>
      <c r="J77" s="22">
        <v>44622</v>
      </c>
      <c r="K77" s="26">
        <f t="shared" ca="1" si="2"/>
        <v>0.62608842657580621</v>
      </c>
      <c r="L77" s="29">
        <v>0</v>
      </c>
      <c r="N77" s="22">
        <v>44622</v>
      </c>
      <c r="O77" s="26">
        <f t="shared" ca="1" si="3"/>
        <v>0.57092736830435697</v>
      </c>
      <c r="P77" s="29">
        <v>0</v>
      </c>
      <c r="R77" s="22">
        <v>44622</v>
      </c>
      <c r="S77" s="26">
        <f t="shared" ca="1" si="4"/>
        <v>3.3945237525420557E-2</v>
      </c>
      <c r="T77" s="29">
        <v>0</v>
      </c>
      <c r="V77" s="22">
        <v>44622</v>
      </c>
      <c r="W77" s="26">
        <f t="shared" ca="1" si="5"/>
        <v>0.41208568748258156</v>
      </c>
      <c r="X77" s="29">
        <v>0</v>
      </c>
      <c r="Z77" s="22">
        <v>44622</v>
      </c>
      <c r="AA77" s="26">
        <f t="shared" ca="1" si="6"/>
        <v>0.63551618544812993</v>
      </c>
      <c r="AB77" s="29">
        <v>0</v>
      </c>
      <c r="AC77"/>
      <c r="AD77" s="25"/>
      <c r="AF77" s="22">
        <v>44622</v>
      </c>
      <c r="AG77" s="26">
        <f t="shared" ca="1" si="7"/>
        <v>0.32352852840717816</v>
      </c>
      <c r="AH77" s="29">
        <v>0</v>
      </c>
      <c r="AJ77" s="22">
        <v>44622</v>
      </c>
      <c r="AK77" s="26">
        <f t="shared" ca="1" si="8"/>
        <v>0.40996668806408598</v>
      </c>
      <c r="AL77" s="29">
        <v>0</v>
      </c>
      <c r="AN77" s="22">
        <v>44622</v>
      </c>
      <c r="AO77" s="26">
        <f t="shared" ca="1" si="9"/>
        <v>0.19259710402437424</v>
      </c>
      <c r="AP77" s="29">
        <v>0</v>
      </c>
      <c r="AR77" s="22">
        <v>44622</v>
      </c>
      <c r="AS77" s="26">
        <f t="shared" ca="1" si="10"/>
        <v>0.20570431265280908</v>
      </c>
      <c r="AT77" s="29">
        <v>0</v>
      </c>
      <c r="AV77" s="22">
        <v>44622</v>
      </c>
      <c r="AW77" s="26">
        <f t="shared" ca="1" si="11"/>
        <v>0.13546781454941992</v>
      </c>
      <c r="AX77" s="29">
        <v>0</v>
      </c>
      <c r="AZ77" s="22">
        <v>44622</v>
      </c>
      <c r="BA77" s="26">
        <f t="shared" ca="1" si="12"/>
        <v>0.49247352620110374</v>
      </c>
      <c r="BB77" s="29">
        <v>0</v>
      </c>
      <c r="BC77"/>
      <c r="BD77" s="25"/>
      <c r="BF77" s="22">
        <v>44622</v>
      </c>
      <c r="BG77" s="26">
        <f t="shared" ca="1" si="13"/>
        <v>0.1214171999324638</v>
      </c>
      <c r="BH77" s="29">
        <v>0</v>
      </c>
      <c r="BJ77" s="22">
        <v>44622</v>
      </c>
      <c r="BK77" s="26">
        <f t="shared" ca="1" si="14"/>
        <v>5.0448436613018899E-2</v>
      </c>
      <c r="BL77" s="29">
        <v>0</v>
      </c>
      <c r="BN77" s="22">
        <v>44622</v>
      </c>
      <c r="BO77" s="26">
        <f t="shared" ca="1" si="15"/>
        <v>0.48181528037835109</v>
      </c>
      <c r="BP77" s="29">
        <v>0</v>
      </c>
      <c r="BR77" s="22">
        <v>44622</v>
      </c>
      <c r="BS77" s="26">
        <f t="shared" ca="1" si="16"/>
        <v>1.1369537242123529E-2</v>
      </c>
      <c r="BT77" s="29">
        <v>0</v>
      </c>
      <c r="BV77" s="22">
        <v>44622</v>
      </c>
      <c r="BW77" s="26">
        <f t="shared" ca="1" si="17"/>
        <v>0.26843401030557157</v>
      </c>
      <c r="BX77" s="29">
        <v>0</v>
      </c>
    </row>
    <row r="78" spans="2:77" ht="12.75" x14ac:dyDescent="0.2">
      <c r="B78" s="22">
        <v>44623</v>
      </c>
      <c r="C78" s="26">
        <f t="shared" ca="1" si="0"/>
        <v>0.46957049381100324</v>
      </c>
      <c r="D78" s="29">
        <f t="shared" ca="1" si="19"/>
        <v>74</v>
      </c>
      <c r="F78" s="22">
        <v>44623</v>
      </c>
      <c r="G78" s="26">
        <f t="shared" ca="1" si="1"/>
        <v>0.65656147893268435</v>
      </c>
      <c r="H78" s="29">
        <v>0</v>
      </c>
      <c r="J78" s="22">
        <v>44623</v>
      </c>
      <c r="K78" s="26">
        <f t="shared" ca="1" si="2"/>
        <v>0.84772124843491392</v>
      </c>
      <c r="L78" s="29">
        <v>0</v>
      </c>
      <c r="N78" s="22">
        <v>44623</v>
      </c>
      <c r="O78" s="26">
        <f t="shared" ca="1" si="3"/>
        <v>0.77347570707169533</v>
      </c>
      <c r="P78" s="29">
        <v>0</v>
      </c>
      <c r="R78" s="22">
        <v>44623</v>
      </c>
      <c r="S78" s="26">
        <f t="shared" ca="1" si="4"/>
        <v>0.58231594854830382</v>
      </c>
      <c r="T78" s="29">
        <v>0</v>
      </c>
      <c r="V78" s="22">
        <v>44623</v>
      </c>
      <c r="W78" s="26">
        <f t="shared" ca="1" si="5"/>
        <v>0.88837570427074308</v>
      </c>
      <c r="X78" s="29">
        <v>0</v>
      </c>
      <c r="Z78" s="22">
        <v>44623</v>
      </c>
      <c r="AA78" s="26">
        <f t="shared" ca="1" si="6"/>
        <v>0.70237056704094958</v>
      </c>
      <c r="AB78" s="29">
        <v>0</v>
      </c>
      <c r="AC78"/>
      <c r="AD78" s="25"/>
      <c r="AF78" s="22">
        <v>44623</v>
      </c>
      <c r="AG78" s="26">
        <f t="shared" ca="1" si="7"/>
        <v>0.95408317334600645</v>
      </c>
      <c r="AH78" s="29">
        <v>0</v>
      </c>
      <c r="AJ78" s="22">
        <v>44623</v>
      </c>
      <c r="AK78" s="26">
        <f t="shared" ca="1" si="8"/>
        <v>0.87630455217501591</v>
      </c>
      <c r="AL78" s="29">
        <v>0</v>
      </c>
      <c r="AN78" s="22">
        <v>44623</v>
      </c>
      <c r="AO78" s="26">
        <f t="shared" ca="1" si="9"/>
        <v>0.51824974993901873</v>
      </c>
      <c r="AP78" s="29">
        <v>0</v>
      </c>
      <c r="AR78" s="22">
        <v>44623</v>
      </c>
      <c r="AS78" s="26">
        <f t="shared" ca="1" si="10"/>
        <v>0.2109514637479466</v>
      </c>
      <c r="AT78" s="29">
        <v>0</v>
      </c>
      <c r="AV78" s="22">
        <v>44623</v>
      </c>
      <c r="AW78" s="26">
        <f t="shared" ca="1" si="11"/>
        <v>0.35514942242926817</v>
      </c>
      <c r="AX78" s="29">
        <v>0</v>
      </c>
      <c r="AZ78" s="22">
        <v>44623</v>
      </c>
      <c r="BA78" s="26">
        <f t="shared" ca="1" si="12"/>
        <v>0.63897856459653313</v>
      </c>
      <c r="BB78" s="29">
        <v>0</v>
      </c>
      <c r="BC78"/>
      <c r="BD78" s="25"/>
      <c r="BF78" s="22">
        <v>44623</v>
      </c>
      <c r="BG78" s="26">
        <f t="shared" ca="1" si="13"/>
        <v>0.54460119883210578</v>
      </c>
      <c r="BH78" s="29">
        <v>0</v>
      </c>
      <c r="BJ78" s="22">
        <v>44623</v>
      </c>
      <c r="BK78" s="26">
        <f t="shared" ca="1" si="14"/>
        <v>0.63524177085558731</v>
      </c>
      <c r="BL78" s="29">
        <v>0</v>
      </c>
      <c r="BN78" s="22">
        <v>44623</v>
      </c>
      <c r="BO78" s="26">
        <f t="shared" ca="1" si="15"/>
        <v>0.37603110690130337</v>
      </c>
      <c r="BP78" s="29">
        <v>0</v>
      </c>
      <c r="BR78" s="22">
        <v>44623</v>
      </c>
      <c r="BS78" s="26">
        <f t="shared" ca="1" si="16"/>
        <v>0.69021946219348174</v>
      </c>
      <c r="BT78" s="29">
        <v>0</v>
      </c>
      <c r="BV78" s="22">
        <v>44623</v>
      </c>
      <c r="BW78" s="26">
        <f t="shared" ca="1" si="17"/>
        <v>0.38482647092786026</v>
      </c>
      <c r="BX78" s="29">
        <v>0</v>
      </c>
    </row>
    <row r="79" spans="2:77" ht="12.75" x14ac:dyDescent="0.2">
      <c r="B79" s="22">
        <v>44624</v>
      </c>
      <c r="C79" s="26">
        <f t="shared" ca="1" si="0"/>
        <v>0.94443698820353095</v>
      </c>
      <c r="D79" s="29">
        <f t="shared" ca="1" si="19"/>
        <v>107</v>
      </c>
      <c r="F79" s="22">
        <v>44624</v>
      </c>
      <c r="G79" s="26">
        <f t="shared" ca="1" si="1"/>
        <v>0.48065547015273802</v>
      </c>
      <c r="H79" s="29">
        <v>0</v>
      </c>
      <c r="J79" s="22">
        <v>44624</v>
      </c>
      <c r="K79" s="26">
        <f t="shared" ca="1" si="2"/>
        <v>0.34984517458212938</v>
      </c>
      <c r="L79" s="29">
        <v>0</v>
      </c>
      <c r="N79" s="22">
        <v>44624</v>
      </c>
      <c r="O79" s="26">
        <f t="shared" ca="1" si="3"/>
        <v>0.76495085039363564</v>
      </c>
      <c r="P79" s="29">
        <v>0</v>
      </c>
      <c r="R79" s="22">
        <v>44624</v>
      </c>
      <c r="S79" s="26">
        <f t="shared" ca="1" si="4"/>
        <v>0.83379042027137373</v>
      </c>
      <c r="T79" s="29">
        <v>0</v>
      </c>
      <c r="V79" s="22">
        <v>44624</v>
      </c>
      <c r="W79" s="26">
        <f t="shared" ca="1" si="5"/>
        <v>0.36282224418305631</v>
      </c>
      <c r="X79" s="29">
        <v>0</v>
      </c>
      <c r="Z79" s="22">
        <v>44624</v>
      </c>
      <c r="AA79" s="26">
        <f t="shared" ca="1" si="6"/>
        <v>0.25270307376232126</v>
      </c>
      <c r="AB79" s="29">
        <v>0</v>
      </c>
      <c r="AC79"/>
      <c r="AD79" s="25"/>
      <c r="AF79" s="22">
        <v>44624</v>
      </c>
      <c r="AG79" s="26">
        <f t="shared" ca="1" si="7"/>
        <v>3.5535954799635894E-3</v>
      </c>
      <c r="AH79" s="29">
        <v>0</v>
      </c>
      <c r="AJ79" s="22">
        <v>44624</v>
      </c>
      <c r="AK79" s="26">
        <f t="shared" ca="1" si="8"/>
        <v>0.97928098820878928</v>
      </c>
      <c r="AL79" s="29">
        <v>0</v>
      </c>
      <c r="AN79" s="22">
        <v>44624</v>
      </c>
      <c r="AO79" s="26">
        <f t="shared" ca="1" si="9"/>
        <v>0.62335314030324851</v>
      </c>
      <c r="AP79" s="29">
        <v>0</v>
      </c>
      <c r="AR79" s="22">
        <v>44624</v>
      </c>
      <c r="AS79" s="26">
        <f t="shared" ca="1" si="10"/>
        <v>0.9825820214112212</v>
      </c>
      <c r="AT79" s="29">
        <v>0</v>
      </c>
      <c r="AV79" s="22">
        <v>44624</v>
      </c>
      <c r="AW79" s="26">
        <f t="shared" ca="1" si="11"/>
        <v>0.26117225775358499</v>
      </c>
      <c r="AX79" s="29">
        <v>0</v>
      </c>
      <c r="AZ79" s="22">
        <v>44624</v>
      </c>
      <c r="BA79" s="26">
        <f t="shared" ca="1" si="12"/>
        <v>0.12440116974514459</v>
      </c>
      <c r="BB79" s="29">
        <v>0</v>
      </c>
      <c r="BC79"/>
      <c r="BD79" s="25"/>
      <c r="BF79" s="22">
        <v>44624</v>
      </c>
      <c r="BG79" s="26">
        <f t="shared" ca="1" si="13"/>
        <v>9.7286966711342626E-2</v>
      </c>
      <c r="BH79" s="29">
        <v>0</v>
      </c>
      <c r="BJ79" s="22">
        <v>44624</v>
      </c>
      <c r="BK79" s="26">
        <f t="shared" ca="1" si="14"/>
        <v>0.40989343332494066</v>
      </c>
      <c r="BL79" s="29">
        <v>0</v>
      </c>
      <c r="BN79" s="22">
        <v>44624</v>
      </c>
      <c r="BO79" s="26">
        <f t="shared" ca="1" si="15"/>
        <v>0.43200786771605582</v>
      </c>
      <c r="BP79" s="29">
        <v>0</v>
      </c>
      <c r="BR79" s="22">
        <v>44624</v>
      </c>
      <c r="BS79" s="26">
        <f t="shared" ca="1" si="16"/>
        <v>0.63178192699156854</v>
      </c>
      <c r="BT79" s="29">
        <v>0</v>
      </c>
      <c r="BV79" s="22">
        <v>44624</v>
      </c>
      <c r="BW79" s="26">
        <f t="shared" ca="1" si="17"/>
        <v>0.43982698153410604</v>
      </c>
      <c r="BX79" s="29">
        <v>0</v>
      </c>
    </row>
    <row r="80" spans="2:77" ht="12.75" x14ac:dyDescent="0.2">
      <c r="B80" s="22">
        <v>44625</v>
      </c>
      <c r="C80" s="26">
        <f t="shared" ca="1" si="0"/>
        <v>9.2567662141522788E-2</v>
      </c>
      <c r="D80" s="29">
        <f t="shared" ca="1" si="19"/>
        <v>49</v>
      </c>
      <c r="F80" s="22">
        <v>44625</v>
      </c>
      <c r="G80" s="26">
        <f t="shared" ca="1" si="1"/>
        <v>0.71891346307040227</v>
      </c>
      <c r="H80" s="29">
        <v>0</v>
      </c>
      <c r="J80" s="22">
        <v>44625</v>
      </c>
      <c r="K80" s="26">
        <f t="shared" ca="1" si="2"/>
        <v>0.75011901978849183</v>
      </c>
      <c r="L80" s="29">
        <v>0</v>
      </c>
      <c r="N80" s="22">
        <v>44625</v>
      </c>
      <c r="O80" s="26">
        <f t="shared" ca="1" si="3"/>
        <v>0.14960938677619906</v>
      </c>
      <c r="P80" s="29">
        <v>0</v>
      </c>
      <c r="R80" s="22">
        <v>44625</v>
      </c>
      <c r="S80" s="26">
        <f t="shared" ca="1" si="4"/>
        <v>4.0768320373193445E-3</v>
      </c>
      <c r="T80" s="29">
        <v>0</v>
      </c>
      <c r="V80" s="22">
        <v>44625</v>
      </c>
      <c r="W80" s="26">
        <f t="shared" ca="1" si="5"/>
        <v>0.12993007725913897</v>
      </c>
      <c r="X80" s="29">
        <v>0</v>
      </c>
      <c r="Z80" s="22">
        <v>44625</v>
      </c>
      <c r="AA80" s="26">
        <f t="shared" ca="1" si="6"/>
        <v>0.62692173351056701</v>
      </c>
      <c r="AB80" s="29">
        <v>0</v>
      </c>
      <c r="AC80"/>
      <c r="AD80" s="25"/>
      <c r="AF80" s="22">
        <v>44625</v>
      </c>
      <c r="AG80" s="26">
        <f t="shared" ca="1" si="7"/>
        <v>0.96364239285370301</v>
      </c>
      <c r="AH80" s="29">
        <v>0</v>
      </c>
      <c r="AJ80" s="22">
        <v>44625</v>
      </c>
      <c r="AK80" s="26">
        <f t="shared" ca="1" si="8"/>
        <v>0.85050228123836646</v>
      </c>
      <c r="AL80" s="29">
        <v>0</v>
      </c>
      <c r="AN80" s="22">
        <v>44625</v>
      </c>
      <c r="AO80" s="26">
        <f t="shared" ca="1" si="9"/>
        <v>0.74811467303641199</v>
      </c>
      <c r="AP80" s="29">
        <v>0</v>
      </c>
      <c r="AR80" s="22">
        <v>44625</v>
      </c>
      <c r="AS80" s="26">
        <f t="shared" ca="1" si="10"/>
        <v>0.86646600414587405</v>
      </c>
      <c r="AT80" s="29">
        <v>0</v>
      </c>
      <c r="AV80" s="22">
        <v>44625</v>
      </c>
      <c r="AW80" s="26">
        <f t="shared" ca="1" si="11"/>
        <v>0.49013113937355679</v>
      </c>
      <c r="AX80" s="29">
        <v>0</v>
      </c>
      <c r="AZ80" s="22">
        <v>44625</v>
      </c>
      <c r="BA80" s="26">
        <f t="shared" ca="1" si="12"/>
        <v>0.82053560897027944</v>
      </c>
      <c r="BB80" s="29">
        <v>0</v>
      </c>
      <c r="BC80"/>
      <c r="BD80" s="25"/>
      <c r="BF80" s="22">
        <v>44625</v>
      </c>
      <c r="BG80" s="26">
        <f t="shared" ca="1" si="13"/>
        <v>0.1547561093926646</v>
      </c>
      <c r="BH80" s="29">
        <v>0</v>
      </c>
      <c r="BJ80" s="22">
        <v>44625</v>
      </c>
      <c r="BK80" s="26">
        <f t="shared" ca="1" si="14"/>
        <v>0.11304039113599074</v>
      </c>
      <c r="BL80" s="29">
        <v>0</v>
      </c>
      <c r="BN80" s="22">
        <v>44625</v>
      </c>
      <c r="BO80" s="26">
        <f t="shared" ca="1" si="15"/>
        <v>0.73961239742979146</v>
      </c>
      <c r="BP80" s="29">
        <v>0</v>
      </c>
      <c r="BR80" s="22">
        <v>44625</v>
      </c>
      <c r="BS80" s="26">
        <f t="shared" ca="1" si="16"/>
        <v>0.4613899370285468</v>
      </c>
      <c r="BT80" s="29">
        <v>0</v>
      </c>
      <c r="BV80" s="22">
        <v>44625</v>
      </c>
      <c r="BW80" s="26">
        <f t="shared" ca="1" si="17"/>
        <v>9.0454524282376991E-2</v>
      </c>
      <c r="BX80" s="29">
        <v>0</v>
      </c>
    </row>
    <row r="81" spans="2:76" ht="12.75" x14ac:dyDescent="0.2">
      <c r="B81" s="22">
        <v>44626</v>
      </c>
      <c r="C81" s="26">
        <f t="shared" ca="1" si="0"/>
        <v>0.40920652237302313</v>
      </c>
      <c r="D81" s="29">
        <f t="shared" ca="1" si="19"/>
        <v>71</v>
      </c>
      <c r="F81" s="22">
        <v>44626</v>
      </c>
      <c r="G81" s="26">
        <f t="shared" ca="1" si="1"/>
        <v>0.66073040111700387</v>
      </c>
      <c r="H81" s="29">
        <v>0</v>
      </c>
      <c r="J81" s="22">
        <v>44626</v>
      </c>
      <c r="K81" s="26">
        <f t="shared" ca="1" si="2"/>
        <v>0.52886983291231793</v>
      </c>
      <c r="L81" s="29">
        <v>0</v>
      </c>
      <c r="N81" s="22">
        <v>44626</v>
      </c>
      <c r="O81" s="26">
        <f t="shared" ca="1" si="3"/>
        <v>0.77869564869449293</v>
      </c>
      <c r="P81" s="29">
        <v>0</v>
      </c>
      <c r="R81" s="22">
        <v>44626</v>
      </c>
      <c r="S81" s="26">
        <f t="shared" ca="1" si="4"/>
        <v>0.96297173639942812</v>
      </c>
      <c r="T81" s="29">
        <v>0</v>
      </c>
      <c r="V81" s="22">
        <v>44626</v>
      </c>
      <c r="W81" s="26">
        <f t="shared" ca="1" si="5"/>
        <v>9.8587561358462694E-2</v>
      </c>
      <c r="X81" s="29">
        <v>0</v>
      </c>
      <c r="Z81" s="22">
        <v>44626</v>
      </c>
      <c r="AA81" s="26">
        <f t="shared" ca="1" si="6"/>
        <v>0.46396382544240466</v>
      </c>
      <c r="AB81" s="29">
        <v>0</v>
      </c>
      <c r="AC81"/>
      <c r="AD81" s="25"/>
      <c r="AF81" s="22">
        <v>44626</v>
      </c>
      <c r="AG81" s="26">
        <f t="shared" ca="1" si="7"/>
        <v>0.47853460993126962</v>
      </c>
      <c r="AH81" s="29">
        <v>0</v>
      </c>
      <c r="AJ81" s="22">
        <v>44626</v>
      </c>
      <c r="AK81" s="26">
        <f t="shared" ca="1" si="8"/>
        <v>0.72053426184473091</v>
      </c>
      <c r="AL81" s="29">
        <v>0</v>
      </c>
      <c r="AN81" s="22">
        <v>44626</v>
      </c>
      <c r="AO81" s="26">
        <f t="shared" ca="1" si="9"/>
        <v>0.15799570918820216</v>
      </c>
      <c r="AP81" s="29">
        <v>0</v>
      </c>
      <c r="AR81" s="22">
        <v>44626</v>
      </c>
      <c r="AS81" s="26">
        <f t="shared" ca="1" si="10"/>
        <v>0.55592560959839421</v>
      </c>
      <c r="AT81" s="29">
        <v>0</v>
      </c>
      <c r="AV81" s="22">
        <v>44626</v>
      </c>
      <c r="AW81" s="26">
        <f t="shared" ca="1" si="11"/>
        <v>0.67220263671469749</v>
      </c>
      <c r="AX81" s="29">
        <v>0</v>
      </c>
      <c r="AZ81" s="22">
        <v>44626</v>
      </c>
      <c r="BA81" s="26">
        <f t="shared" ca="1" si="12"/>
        <v>0.92142282029466349</v>
      </c>
      <c r="BB81" s="29">
        <v>0</v>
      </c>
      <c r="BC81"/>
      <c r="BD81" s="25"/>
      <c r="BF81" s="22">
        <v>44626</v>
      </c>
      <c r="BG81" s="26">
        <f t="shared" ca="1" si="13"/>
        <v>0.51325629803170192</v>
      </c>
      <c r="BH81" s="29">
        <v>0</v>
      </c>
      <c r="BJ81" s="22">
        <v>44626</v>
      </c>
      <c r="BK81" s="26">
        <f t="shared" ca="1" si="14"/>
        <v>0.80955979826774371</v>
      </c>
      <c r="BL81" s="29">
        <v>0</v>
      </c>
      <c r="BN81" s="22">
        <v>44626</v>
      </c>
      <c r="BO81" s="26">
        <f t="shared" ca="1" si="15"/>
        <v>0.98588118468372277</v>
      </c>
      <c r="BP81" s="29">
        <v>0</v>
      </c>
      <c r="BR81" s="22">
        <v>44626</v>
      </c>
      <c r="BS81" s="26">
        <f t="shared" ca="1" si="16"/>
        <v>0.35131441052544099</v>
      </c>
      <c r="BT81" s="29">
        <v>0</v>
      </c>
      <c r="BV81" s="22">
        <v>44626</v>
      </c>
      <c r="BW81" s="26">
        <f t="shared" ca="1" si="17"/>
        <v>0.54615107967049037</v>
      </c>
      <c r="BX81" s="29">
        <v>0</v>
      </c>
    </row>
    <row r="82" spans="2:76" ht="12.75" x14ac:dyDescent="0.2">
      <c r="B82" s="22">
        <v>44627</v>
      </c>
      <c r="C82" s="26">
        <f t="shared" ca="1" si="0"/>
        <v>0.45598385628273563</v>
      </c>
      <c r="D82" s="29">
        <f t="shared" ref="D82:D145" ca="1" si="22">ROUNDUP(_xlfn.NORM.INV(C82,C$10,C$12),0)</f>
        <v>73</v>
      </c>
      <c r="F82" s="22">
        <v>44627</v>
      </c>
      <c r="G82" s="26">
        <f t="shared" ca="1" si="1"/>
        <v>3.9836188335233169E-2</v>
      </c>
      <c r="H82" s="29">
        <v>0</v>
      </c>
      <c r="J82" s="22">
        <v>44627</v>
      </c>
      <c r="K82" s="26">
        <f t="shared" ca="1" si="2"/>
        <v>0.35950448587849682</v>
      </c>
      <c r="L82" s="29">
        <v>0</v>
      </c>
      <c r="N82" s="22">
        <v>44627</v>
      </c>
      <c r="O82" s="26">
        <f t="shared" ca="1" si="3"/>
        <v>0.5903621644328978</v>
      </c>
      <c r="P82" s="29">
        <v>0</v>
      </c>
      <c r="R82" s="22">
        <v>44627</v>
      </c>
      <c r="S82" s="26">
        <f t="shared" ca="1" si="4"/>
        <v>0.88743210144543294</v>
      </c>
      <c r="T82" s="29">
        <v>0</v>
      </c>
      <c r="V82" s="22">
        <v>44627</v>
      </c>
      <c r="W82" s="26">
        <f t="shared" ca="1" si="5"/>
        <v>0.71664106137773542</v>
      </c>
      <c r="X82" s="29">
        <v>0</v>
      </c>
      <c r="Z82" s="22">
        <v>44627</v>
      </c>
      <c r="AA82" s="26">
        <f t="shared" ca="1" si="6"/>
        <v>0.15980893854697542</v>
      </c>
      <c r="AB82" s="29">
        <v>0</v>
      </c>
      <c r="AC82"/>
      <c r="AD82" s="25"/>
      <c r="AF82" s="22">
        <v>44627</v>
      </c>
      <c r="AG82" s="26">
        <f t="shared" ca="1" si="7"/>
        <v>0.92525224384334437</v>
      </c>
      <c r="AH82" s="29">
        <v>0</v>
      </c>
      <c r="AJ82" s="22">
        <v>44627</v>
      </c>
      <c r="AK82" s="26">
        <f t="shared" ca="1" si="8"/>
        <v>0.57601686470162183</v>
      </c>
      <c r="AL82" s="29">
        <v>0</v>
      </c>
      <c r="AN82" s="22">
        <v>44627</v>
      </c>
      <c r="AO82" s="26">
        <f t="shared" ca="1" si="9"/>
        <v>0.45892238093337889</v>
      </c>
      <c r="AP82" s="29">
        <v>0</v>
      </c>
      <c r="AR82" s="22">
        <v>44627</v>
      </c>
      <c r="AS82" s="26">
        <f t="shared" ca="1" si="10"/>
        <v>0.558278281623663</v>
      </c>
      <c r="AT82" s="29">
        <v>0</v>
      </c>
      <c r="AV82" s="22">
        <v>44627</v>
      </c>
      <c r="AW82" s="26">
        <f t="shared" ca="1" si="11"/>
        <v>0.21597092222218428</v>
      </c>
      <c r="AX82" s="29">
        <v>0</v>
      </c>
      <c r="AZ82" s="22">
        <v>44627</v>
      </c>
      <c r="BA82" s="26">
        <f t="shared" ca="1" si="12"/>
        <v>0.69645721877310651</v>
      </c>
      <c r="BB82" s="29">
        <v>0</v>
      </c>
      <c r="BC82"/>
      <c r="BD82" s="25"/>
      <c r="BF82" s="22">
        <v>44627</v>
      </c>
      <c r="BG82" s="26">
        <f t="shared" ca="1" si="13"/>
        <v>0.81268617749896388</v>
      </c>
      <c r="BH82" s="29">
        <v>0</v>
      </c>
      <c r="BJ82" s="22">
        <v>44627</v>
      </c>
      <c r="BK82" s="26">
        <f t="shared" ca="1" si="14"/>
        <v>0.64126470790046053</v>
      </c>
      <c r="BL82" s="29">
        <v>0</v>
      </c>
      <c r="BN82" s="22">
        <v>44627</v>
      </c>
      <c r="BO82" s="26">
        <f t="shared" ca="1" si="15"/>
        <v>0.48452523631855526</v>
      </c>
      <c r="BP82" s="29">
        <v>0</v>
      </c>
      <c r="BR82" s="22">
        <v>44627</v>
      </c>
      <c r="BS82" s="26">
        <f t="shared" ca="1" si="16"/>
        <v>0.40162651933382132</v>
      </c>
      <c r="BT82" s="29">
        <v>0</v>
      </c>
      <c r="BV82" s="22">
        <v>44627</v>
      </c>
      <c r="BW82" s="26">
        <f t="shared" ca="1" si="17"/>
        <v>0.73558852133153962</v>
      </c>
      <c r="BX82" s="29">
        <v>0</v>
      </c>
    </row>
    <row r="83" spans="2:76" ht="12.75" x14ac:dyDescent="0.2">
      <c r="B83" s="22">
        <v>44628</v>
      </c>
      <c r="C83" s="26">
        <f t="shared" ca="1" si="0"/>
        <v>0.54565440305214818</v>
      </c>
      <c r="D83" s="29">
        <f t="shared" ca="1" si="22"/>
        <v>78</v>
      </c>
      <c r="F83" s="22">
        <v>44628</v>
      </c>
      <c r="G83" s="26">
        <f t="shared" ca="1" si="1"/>
        <v>0.95125966402200335</v>
      </c>
      <c r="H83" s="29">
        <v>0</v>
      </c>
      <c r="J83" s="22">
        <v>44628</v>
      </c>
      <c r="K83" s="26">
        <f t="shared" ca="1" si="2"/>
        <v>0.4398421830878354</v>
      </c>
      <c r="L83" s="29">
        <v>0</v>
      </c>
      <c r="N83" s="22">
        <v>44628</v>
      </c>
      <c r="O83" s="26">
        <f t="shared" ca="1" si="3"/>
        <v>0.26823922835303815</v>
      </c>
      <c r="P83" s="29">
        <v>0</v>
      </c>
      <c r="R83" s="22">
        <v>44628</v>
      </c>
      <c r="S83" s="26">
        <f t="shared" ca="1" si="4"/>
        <v>0.67571936319719572</v>
      </c>
      <c r="T83" s="29">
        <v>0</v>
      </c>
      <c r="V83" s="22">
        <v>44628</v>
      </c>
      <c r="W83" s="26">
        <f t="shared" ca="1" si="5"/>
        <v>0.60366186797506016</v>
      </c>
      <c r="X83" s="29">
        <v>0</v>
      </c>
      <c r="Z83" s="22">
        <v>44628</v>
      </c>
      <c r="AA83" s="26">
        <f t="shared" ca="1" si="6"/>
        <v>0.89418775984405452</v>
      </c>
      <c r="AB83" s="29">
        <v>0</v>
      </c>
      <c r="AC83"/>
      <c r="AD83" s="25"/>
      <c r="AF83" s="22">
        <v>44628</v>
      </c>
      <c r="AG83" s="26">
        <f t="shared" ca="1" si="7"/>
        <v>0.68919118586133377</v>
      </c>
      <c r="AH83" s="29">
        <v>0</v>
      </c>
      <c r="AJ83" s="22">
        <v>44628</v>
      </c>
      <c r="AK83" s="26">
        <f t="shared" ca="1" si="8"/>
        <v>0.58267940079510816</v>
      </c>
      <c r="AL83" s="29">
        <v>0</v>
      </c>
      <c r="AN83" s="22">
        <v>44628</v>
      </c>
      <c r="AO83" s="26">
        <f t="shared" ca="1" si="9"/>
        <v>3.9337602585840736E-2</v>
      </c>
      <c r="AP83" s="29">
        <v>0</v>
      </c>
      <c r="AR83" s="22">
        <v>44628</v>
      </c>
      <c r="AS83" s="26">
        <f t="shared" ca="1" si="10"/>
        <v>0.20177844606278006</v>
      </c>
      <c r="AT83" s="29">
        <v>0</v>
      </c>
      <c r="AV83" s="22">
        <v>44628</v>
      </c>
      <c r="AW83" s="26">
        <f t="shared" ca="1" si="11"/>
        <v>2.2413888426151107E-2</v>
      </c>
      <c r="AX83" s="29">
        <v>0</v>
      </c>
      <c r="AZ83" s="22">
        <v>44628</v>
      </c>
      <c r="BA83" s="26">
        <f t="shared" ca="1" si="12"/>
        <v>2.7113853545328359E-2</v>
      </c>
      <c r="BB83" s="29">
        <v>0</v>
      </c>
      <c r="BC83"/>
      <c r="BD83" s="25"/>
      <c r="BF83" s="22">
        <v>44628</v>
      </c>
      <c r="BG83" s="26">
        <f t="shared" ca="1" si="13"/>
        <v>0.82285319578092198</v>
      </c>
      <c r="BH83" s="29">
        <v>0</v>
      </c>
      <c r="BJ83" s="22">
        <v>44628</v>
      </c>
      <c r="BK83" s="26">
        <f t="shared" ca="1" si="14"/>
        <v>0.37751664513866678</v>
      </c>
      <c r="BL83" s="29">
        <v>0</v>
      </c>
      <c r="BN83" s="22">
        <v>44628</v>
      </c>
      <c r="BO83" s="26">
        <f t="shared" ca="1" si="15"/>
        <v>0.93527605301768857</v>
      </c>
      <c r="BP83" s="29">
        <v>0</v>
      </c>
      <c r="BR83" s="22">
        <v>44628</v>
      </c>
      <c r="BS83" s="26">
        <f t="shared" ca="1" si="16"/>
        <v>0.24678524619635933</v>
      </c>
      <c r="BT83" s="29">
        <v>0</v>
      </c>
      <c r="BV83" s="22">
        <v>44628</v>
      </c>
      <c r="BW83" s="26">
        <f t="shared" ca="1" si="17"/>
        <v>2.1763937296903846E-2</v>
      </c>
      <c r="BX83" s="29">
        <v>0</v>
      </c>
    </row>
    <row r="84" spans="2:76" ht="12.75" x14ac:dyDescent="0.2">
      <c r="B84" s="22">
        <v>44629</v>
      </c>
      <c r="C84" s="26">
        <f t="shared" ca="1" si="0"/>
        <v>0.62957921812369999</v>
      </c>
      <c r="D84" s="29">
        <f t="shared" ca="1" si="22"/>
        <v>82</v>
      </c>
      <c r="F84" s="22">
        <v>44629</v>
      </c>
      <c r="G84" s="26">
        <f t="shared" ca="1" si="1"/>
        <v>0.20867582954414077</v>
      </c>
      <c r="H84" s="29">
        <v>0</v>
      </c>
      <c r="J84" s="22">
        <v>44629</v>
      </c>
      <c r="K84" s="26">
        <f t="shared" ca="1" si="2"/>
        <v>0.55749920283699128</v>
      </c>
      <c r="L84" s="29">
        <v>0</v>
      </c>
      <c r="N84" s="22">
        <v>44629</v>
      </c>
      <c r="O84" s="26">
        <f t="shared" ca="1" si="3"/>
        <v>0.55946184023515455</v>
      </c>
      <c r="P84" s="29">
        <v>0</v>
      </c>
      <c r="R84" s="22">
        <v>44629</v>
      </c>
      <c r="S84" s="26">
        <f t="shared" ca="1" si="4"/>
        <v>0.35004069187179787</v>
      </c>
      <c r="T84" s="29">
        <v>0</v>
      </c>
      <c r="V84" s="22">
        <v>44629</v>
      </c>
      <c r="W84" s="26">
        <f t="shared" ca="1" si="5"/>
        <v>0.96647844457151011</v>
      </c>
      <c r="X84" s="29">
        <v>0</v>
      </c>
      <c r="Z84" s="22">
        <v>44629</v>
      </c>
      <c r="AA84" s="26">
        <f t="shared" ca="1" si="6"/>
        <v>0.46096166979149178</v>
      </c>
      <c r="AB84" s="29">
        <v>0</v>
      </c>
      <c r="AC84"/>
      <c r="AD84" s="25"/>
      <c r="AF84" s="22">
        <v>44629</v>
      </c>
      <c r="AG84" s="26">
        <f t="shared" ca="1" si="7"/>
        <v>0.76692482975421816</v>
      </c>
      <c r="AH84" s="29">
        <v>0</v>
      </c>
      <c r="AJ84" s="22">
        <v>44629</v>
      </c>
      <c r="AK84" s="26">
        <f t="shared" ca="1" si="8"/>
        <v>0.74606604710946567</v>
      </c>
      <c r="AL84" s="29">
        <v>0</v>
      </c>
      <c r="AN84" s="22">
        <v>44629</v>
      </c>
      <c r="AO84" s="26">
        <f t="shared" ca="1" si="9"/>
        <v>0.96490090015049101</v>
      </c>
      <c r="AP84" s="29">
        <v>0</v>
      </c>
      <c r="AR84" s="22">
        <v>44629</v>
      </c>
      <c r="AS84" s="26">
        <f t="shared" ca="1" si="10"/>
        <v>0.95698435872177323</v>
      </c>
      <c r="AT84" s="29">
        <v>0</v>
      </c>
      <c r="AV84" s="22">
        <v>44629</v>
      </c>
      <c r="AW84" s="26">
        <f t="shared" ca="1" si="11"/>
        <v>0.39450208554443633</v>
      </c>
      <c r="AX84" s="29">
        <v>0</v>
      </c>
      <c r="AZ84" s="22">
        <v>44629</v>
      </c>
      <c r="BA84" s="26">
        <f t="shared" ca="1" si="12"/>
        <v>0.60430650213999781</v>
      </c>
      <c r="BB84" s="29">
        <v>0</v>
      </c>
      <c r="BC84"/>
      <c r="BD84" s="25"/>
      <c r="BF84" s="22">
        <v>44629</v>
      </c>
      <c r="BG84" s="26">
        <f t="shared" ca="1" si="13"/>
        <v>0.93862244218541768</v>
      </c>
      <c r="BH84" s="29">
        <v>0</v>
      </c>
      <c r="BJ84" s="22">
        <v>44629</v>
      </c>
      <c r="BK84" s="26">
        <f t="shared" ca="1" si="14"/>
        <v>2.0620297242429197E-2</v>
      </c>
      <c r="BL84" s="29">
        <v>0</v>
      </c>
      <c r="BN84" s="22">
        <v>44629</v>
      </c>
      <c r="BO84" s="26">
        <f t="shared" ca="1" si="15"/>
        <v>0.61231747800930969</v>
      </c>
      <c r="BP84" s="29">
        <v>0</v>
      </c>
      <c r="BR84" s="22">
        <v>44629</v>
      </c>
      <c r="BS84" s="26">
        <f t="shared" ca="1" si="16"/>
        <v>0.12551818821344274</v>
      </c>
      <c r="BT84" s="29">
        <v>0</v>
      </c>
      <c r="BV84" s="22">
        <v>44629</v>
      </c>
      <c r="BW84" s="26">
        <f t="shared" ca="1" si="17"/>
        <v>0.95286409796544369</v>
      </c>
      <c r="BX84" s="29">
        <v>0</v>
      </c>
    </row>
    <row r="85" spans="2:76" ht="12.75" x14ac:dyDescent="0.2">
      <c r="B85" s="22">
        <v>44630</v>
      </c>
      <c r="C85" s="26">
        <f t="shared" ca="1" si="0"/>
        <v>8.2831225344669246E-2</v>
      </c>
      <c r="D85" s="29">
        <f t="shared" ca="1" si="22"/>
        <v>48</v>
      </c>
      <c r="F85" s="22">
        <v>44630</v>
      </c>
      <c r="G85" s="26">
        <f t="shared" ca="1" si="1"/>
        <v>0.20442708853275127</v>
      </c>
      <c r="H85" s="29">
        <v>0</v>
      </c>
      <c r="J85" s="22">
        <v>44630</v>
      </c>
      <c r="K85" s="26">
        <f t="shared" ca="1" si="2"/>
        <v>0.59385820643521048</v>
      </c>
      <c r="L85" s="29">
        <v>0</v>
      </c>
      <c r="N85" s="22">
        <v>44630</v>
      </c>
      <c r="O85" s="26">
        <f t="shared" ca="1" si="3"/>
        <v>0.85117316220175376</v>
      </c>
      <c r="P85" s="29">
        <v>0</v>
      </c>
      <c r="R85" s="22">
        <v>44630</v>
      </c>
      <c r="S85" s="26">
        <f t="shared" ca="1" si="4"/>
        <v>0.40966858874940715</v>
      </c>
      <c r="T85" s="29">
        <v>0</v>
      </c>
      <c r="V85" s="22">
        <v>44630</v>
      </c>
      <c r="W85" s="26">
        <f t="shared" ca="1" si="5"/>
        <v>0.79113627184718582</v>
      </c>
      <c r="X85" s="29">
        <v>0</v>
      </c>
      <c r="Z85" s="22">
        <v>44630</v>
      </c>
      <c r="AA85" s="26">
        <f t="shared" ca="1" si="6"/>
        <v>0.17671465771283801</v>
      </c>
      <c r="AB85" s="29">
        <v>0</v>
      </c>
      <c r="AC85"/>
      <c r="AD85" s="25"/>
      <c r="AF85" s="22">
        <v>44630</v>
      </c>
      <c r="AG85" s="26">
        <f t="shared" ca="1" si="7"/>
        <v>0.40097611496416519</v>
      </c>
      <c r="AH85" s="29">
        <v>0</v>
      </c>
      <c r="AJ85" s="22">
        <v>44630</v>
      </c>
      <c r="AK85" s="26">
        <f t="shared" ca="1" si="8"/>
        <v>0.40322625305325144</v>
      </c>
      <c r="AL85" s="29">
        <v>0</v>
      </c>
      <c r="AN85" s="22">
        <v>44630</v>
      </c>
      <c r="AO85" s="26">
        <f t="shared" ca="1" si="9"/>
        <v>0.42680386427175199</v>
      </c>
      <c r="AP85" s="29">
        <v>0</v>
      </c>
      <c r="AR85" s="22">
        <v>44630</v>
      </c>
      <c r="AS85" s="26">
        <f t="shared" ca="1" si="10"/>
        <v>0.3686485246649287</v>
      </c>
      <c r="AT85" s="29">
        <v>0</v>
      </c>
      <c r="AV85" s="22">
        <v>44630</v>
      </c>
      <c r="AW85" s="26">
        <f t="shared" ca="1" si="11"/>
        <v>0.12301840526952601</v>
      </c>
      <c r="AX85" s="29">
        <v>0</v>
      </c>
      <c r="AZ85" s="22">
        <v>44630</v>
      </c>
      <c r="BA85" s="26">
        <f t="shared" ca="1" si="12"/>
        <v>0.67998893132048721</v>
      </c>
      <c r="BB85" s="29">
        <v>0</v>
      </c>
      <c r="BC85"/>
      <c r="BD85" s="25"/>
      <c r="BF85" s="22">
        <v>44630</v>
      </c>
      <c r="BG85" s="26">
        <f t="shared" ca="1" si="13"/>
        <v>0.3913456292486156</v>
      </c>
      <c r="BH85" s="29">
        <v>0</v>
      </c>
      <c r="BJ85" s="22">
        <v>44630</v>
      </c>
      <c r="BK85" s="26">
        <f t="shared" ca="1" si="14"/>
        <v>0.9843241095634333</v>
      </c>
      <c r="BL85" s="29">
        <v>0</v>
      </c>
      <c r="BN85" s="22">
        <v>44630</v>
      </c>
      <c r="BO85" s="26">
        <f t="shared" ca="1" si="15"/>
        <v>0.40107789266844707</v>
      </c>
      <c r="BP85" s="29">
        <v>0</v>
      </c>
      <c r="BR85" s="22">
        <v>44630</v>
      </c>
      <c r="BS85" s="26">
        <f t="shared" ca="1" si="16"/>
        <v>0.14075215545591035</v>
      </c>
      <c r="BT85" s="29">
        <v>0</v>
      </c>
      <c r="BV85" s="22">
        <v>44630</v>
      </c>
      <c r="BW85" s="26">
        <f t="shared" ca="1" si="17"/>
        <v>0.22993405749472506</v>
      </c>
      <c r="BX85" s="29">
        <v>0</v>
      </c>
    </row>
    <row r="86" spans="2:76" ht="12.75" x14ac:dyDescent="0.2">
      <c r="B86" s="22">
        <v>44631</v>
      </c>
      <c r="C86" s="26">
        <f t="shared" ca="1" si="0"/>
        <v>0.86200487418681582</v>
      </c>
      <c r="D86" s="29">
        <f t="shared" ca="1" si="22"/>
        <v>97</v>
      </c>
      <c r="F86" s="22">
        <v>44631</v>
      </c>
      <c r="G86" s="26">
        <f t="shared" ca="1" si="1"/>
        <v>0.62429230091785692</v>
      </c>
      <c r="H86" s="29">
        <v>0</v>
      </c>
      <c r="J86" s="22">
        <v>44631</v>
      </c>
      <c r="K86" s="26">
        <f t="shared" ca="1" si="2"/>
        <v>3.3025429490029845E-2</v>
      </c>
      <c r="L86" s="29">
        <v>0</v>
      </c>
      <c r="N86" s="22">
        <v>44631</v>
      </c>
      <c r="O86" s="26">
        <f t="shared" ca="1" si="3"/>
        <v>0.42456005718187895</v>
      </c>
      <c r="P86" s="29">
        <v>0</v>
      </c>
      <c r="R86" s="22">
        <v>44631</v>
      </c>
      <c r="S86" s="26">
        <f t="shared" ca="1" si="4"/>
        <v>0.57057272733373554</v>
      </c>
      <c r="T86" s="29">
        <v>0</v>
      </c>
      <c r="V86" s="22">
        <v>44631</v>
      </c>
      <c r="W86" s="26">
        <f t="shared" ca="1" si="5"/>
        <v>0.89172347695785703</v>
      </c>
      <c r="X86" s="29">
        <v>0</v>
      </c>
      <c r="Z86" s="22">
        <v>44631</v>
      </c>
      <c r="AA86" s="26">
        <f t="shared" ca="1" si="6"/>
        <v>0.97982662956112088</v>
      </c>
      <c r="AB86" s="29">
        <v>0</v>
      </c>
      <c r="AC86"/>
      <c r="AD86" s="25"/>
      <c r="AF86" s="22">
        <v>44631</v>
      </c>
      <c r="AG86" s="26">
        <f t="shared" ca="1" si="7"/>
        <v>0.41818067124868363</v>
      </c>
      <c r="AH86" s="29">
        <v>0</v>
      </c>
      <c r="AJ86" s="22">
        <v>44631</v>
      </c>
      <c r="AK86" s="26">
        <f t="shared" ca="1" si="8"/>
        <v>2.6439414511545745E-2</v>
      </c>
      <c r="AL86" s="29">
        <v>0</v>
      </c>
      <c r="AN86" s="22">
        <v>44631</v>
      </c>
      <c r="AO86" s="26">
        <f t="shared" ca="1" si="9"/>
        <v>0.41446842463397182</v>
      </c>
      <c r="AP86" s="29">
        <v>0</v>
      </c>
      <c r="AR86" s="22">
        <v>44631</v>
      </c>
      <c r="AS86" s="26">
        <f t="shared" ca="1" si="10"/>
        <v>0.73439976242513028</v>
      </c>
      <c r="AT86" s="29">
        <v>0</v>
      </c>
      <c r="AV86" s="22">
        <v>44631</v>
      </c>
      <c r="AW86" s="26">
        <f t="shared" ca="1" si="11"/>
        <v>0.6515667077112085</v>
      </c>
      <c r="AX86" s="29">
        <v>0</v>
      </c>
      <c r="AZ86" s="22">
        <v>44631</v>
      </c>
      <c r="BA86" s="26">
        <f t="shared" ca="1" si="12"/>
        <v>0.59275243388814736</v>
      </c>
      <c r="BB86" s="29">
        <v>0</v>
      </c>
      <c r="BC86"/>
      <c r="BD86" s="25"/>
      <c r="BF86" s="22">
        <v>44631</v>
      </c>
      <c r="BG86" s="26">
        <f t="shared" ca="1" si="13"/>
        <v>0.8989974913541916</v>
      </c>
      <c r="BH86" s="29">
        <v>0</v>
      </c>
      <c r="BJ86" s="22">
        <v>44631</v>
      </c>
      <c r="BK86" s="26">
        <f t="shared" ca="1" si="14"/>
        <v>0.73888656551070309</v>
      </c>
      <c r="BL86" s="29">
        <v>0</v>
      </c>
      <c r="BN86" s="22">
        <v>44631</v>
      </c>
      <c r="BO86" s="26">
        <f t="shared" ca="1" si="15"/>
        <v>0.37781527329283926</v>
      </c>
      <c r="BP86" s="29">
        <v>0</v>
      </c>
      <c r="BR86" s="22">
        <v>44631</v>
      </c>
      <c r="BS86" s="26">
        <f t="shared" ca="1" si="16"/>
        <v>0.28070430808711921</v>
      </c>
      <c r="BT86" s="29">
        <v>0</v>
      </c>
      <c r="BV86" s="22">
        <v>44631</v>
      </c>
      <c r="BW86" s="26">
        <f t="shared" ca="1" si="17"/>
        <v>1.8224921796510807E-2</v>
      </c>
      <c r="BX86" s="29">
        <v>0</v>
      </c>
    </row>
    <row r="87" spans="2:76" ht="12.75" x14ac:dyDescent="0.2">
      <c r="B87" s="22">
        <v>44632</v>
      </c>
      <c r="C87" s="26">
        <f t="shared" ca="1" si="0"/>
        <v>1.0574082784670757E-2</v>
      </c>
      <c r="D87" s="29">
        <f t="shared" ca="1" si="22"/>
        <v>29</v>
      </c>
      <c r="F87" s="22">
        <v>44632</v>
      </c>
      <c r="G87" s="26">
        <f t="shared" ca="1" si="1"/>
        <v>0.41994191694584693</v>
      </c>
      <c r="H87" s="29">
        <v>0</v>
      </c>
      <c r="J87" s="22">
        <v>44632</v>
      </c>
      <c r="K87" s="26">
        <f t="shared" ca="1" si="2"/>
        <v>0.88270985280418535</v>
      </c>
      <c r="L87" s="29">
        <v>0</v>
      </c>
      <c r="N87" s="22">
        <v>44632</v>
      </c>
      <c r="O87" s="26">
        <f t="shared" ca="1" si="3"/>
        <v>0.67010104068455734</v>
      </c>
      <c r="P87" s="29">
        <v>0</v>
      </c>
      <c r="R87" s="22">
        <v>44632</v>
      </c>
      <c r="S87" s="26">
        <f t="shared" ca="1" si="4"/>
        <v>0.27313723033353798</v>
      </c>
      <c r="T87" s="29">
        <v>0</v>
      </c>
      <c r="V87" s="22">
        <v>44632</v>
      </c>
      <c r="W87" s="26">
        <f t="shared" ca="1" si="5"/>
        <v>0.37463632246745349</v>
      </c>
      <c r="X87" s="29">
        <v>0</v>
      </c>
      <c r="Z87" s="22">
        <v>44632</v>
      </c>
      <c r="AA87" s="26">
        <f t="shared" ca="1" si="6"/>
        <v>0.40602386791297429</v>
      </c>
      <c r="AB87" s="29">
        <v>0</v>
      </c>
      <c r="AC87"/>
      <c r="AD87" s="25"/>
      <c r="AF87" s="22">
        <v>44632</v>
      </c>
      <c r="AG87" s="26">
        <f t="shared" ca="1" si="7"/>
        <v>0.81713057842644121</v>
      </c>
      <c r="AH87" s="29">
        <v>0</v>
      </c>
      <c r="AJ87" s="22">
        <v>44632</v>
      </c>
      <c r="AK87" s="26">
        <f t="shared" ca="1" si="8"/>
        <v>3.5643124012362692E-2</v>
      </c>
      <c r="AL87" s="29">
        <v>0</v>
      </c>
      <c r="AN87" s="22">
        <v>44632</v>
      </c>
      <c r="AO87" s="26">
        <f t="shared" ca="1" si="9"/>
        <v>0.82957980922909114</v>
      </c>
      <c r="AP87" s="29">
        <v>0</v>
      </c>
      <c r="AR87" s="22">
        <v>44632</v>
      </c>
      <c r="AS87" s="26">
        <f t="shared" ca="1" si="10"/>
        <v>0.31277517493622276</v>
      </c>
      <c r="AT87" s="29">
        <v>0</v>
      </c>
      <c r="AV87" s="22">
        <v>44632</v>
      </c>
      <c r="AW87" s="26">
        <f t="shared" ca="1" si="11"/>
        <v>0.28664287220424389</v>
      </c>
      <c r="AX87" s="29">
        <v>0</v>
      </c>
      <c r="AZ87" s="22">
        <v>44632</v>
      </c>
      <c r="BA87" s="26">
        <f t="shared" ca="1" si="12"/>
        <v>0.53963630418401221</v>
      </c>
      <c r="BB87" s="29">
        <v>0</v>
      </c>
      <c r="BC87"/>
      <c r="BD87" s="25"/>
      <c r="BF87" s="22">
        <v>44632</v>
      </c>
      <c r="BG87" s="26">
        <f t="shared" ca="1" si="13"/>
        <v>0.71687813187658278</v>
      </c>
      <c r="BH87" s="29">
        <v>0</v>
      </c>
      <c r="BJ87" s="22">
        <v>44632</v>
      </c>
      <c r="BK87" s="26">
        <f t="shared" ca="1" si="14"/>
        <v>0.19262483560864951</v>
      </c>
      <c r="BL87" s="29">
        <v>0</v>
      </c>
      <c r="BN87" s="22">
        <v>44632</v>
      </c>
      <c r="BO87" s="26">
        <f t="shared" ca="1" si="15"/>
        <v>0.66819324727296747</v>
      </c>
      <c r="BP87" s="29">
        <v>0</v>
      </c>
      <c r="BR87" s="22">
        <v>44632</v>
      </c>
      <c r="BS87" s="26">
        <f t="shared" ca="1" si="16"/>
        <v>0.28904858801611066</v>
      </c>
      <c r="BT87" s="29">
        <v>0</v>
      </c>
      <c r="BV87" s="22">
        <v>44632</v>
      </c>
      <c r="BW87" s="26">
        <f t="shared" ca="1" si="17"/>
        <v>0.87726948723281661</v>
      </c>
      <c r="BX87" s="29">
        <v>0</v>
      </c>
    </row>
    <row r="88" spans="2:76" ht="12.75" x14ac:dyDescent="0.2">
      <c r="B88" s="22">
        <v>44633</v>
      </c>
      <c r="C88" s="26">
        <f t="shared" ca="1" si="0"/>
        <v>0.96510326350172959</v>
      </c>
      <c r="D88" s="29">
        <f t="shared" ca="1" si="22"/>
        <v>112</v>
      </c>
      <c r="F88" s="22">
        <v>44633</v>
      </c>
      <c r="G88" s="26">
        <f t="shared" ca="1" si="1"/>
        <v>4.0334803863239732E-2</v>
      </c>
      <c r="H88" s="29">
        <v>0</v>
      </c>
      <c r="J88" s="22">
        <v>44633</v>
      </c>
      <c r="K88" s="26">
        <f t="shared" ca="1" si="2"/>
        <v>0.99444705983699588</v>
      </c>
      <c r="L88" s="29">
        <v>0</v>
      </c>
      <c r="N88" s="22">
        <v>44633</v>
      </c>
      <c r="O88" s="26">
        <f t="shared" ca="1" si="3"/>
        <v>0.94397881542925688</v>
      </c>
      <c r="P88" s="29">
        <v>0</v>
      </c>
      <c r="R88" s="22">
        <v>44633</v>
      </c>
      <c r="S88" s="26">
        <f t="shared" ca="1" si="4"/>
        <v>0.17782704801021854</v>
      </c>
      <c r="T88" s="29">
        <v>0</v>
      </c>
      <c r="V88" s="22">
        <v>44633</v>
      </c>
      <c r="W88" s="26">
        <f t="shared" ca="1" si="5"/>
        <v>0.84078013953948849</v>
      </c>
      <c r="X88" s="29">
        <v>0</v>
      </c>
      <c r="Z88" s="22">
        <v>44633</v>
      </c>
      <c r="AA88" s="26">
        <f t="shared" ca="1" si="6"/>
        <v>8.9325031160836232E-3</v>
      </c>
      <c r="AB88" s="29">
        <v>0</v>
      </c>
      <c r="AC88"/>
      <c r="AD88" s="25"/>
      <c r="AF88" s="22">
        <v>44633</v>
      </c>
      <c r="AG88" s="26">
        <f t="shared" ca="1" si="7"/>
        <v>0.37461859332563874</v>
      </c>
      <c r="AH88" s="29">
        <v>0</v>
      </c>
      <c r="AJ88" s="22">
        <v>44633</v>
      </c>
      <c r="AK88" s="26">
        <f t="shared" ca="1" si="8"/>
        <v>0.5892430342324888</v>
      </c>
      <c r="AL88" s="29">
        <v>0</v>
      </c>
      <c r="AN88" s="22">
        <v>44633</v>
      </c>
      <c r="AO88" s="26">
        <f t="shared" ca="1" si="9"/>
        <v>0.64965373676586391</v>
      </c>
      <c r="AP88" s="29">
        <v>0</v>
      </c>
      <c r="AR88" s="22">
        <v>44633</v>
      </c>
      <c r="AS88" s="26">
        <f t="shared" ca="1" si="10"/>
        <v>0.85210587228352086</v>
      </c>
      <c r="AT88" s="29">
        <v>0</v>
      </c>
      <c r="AV88" s="22">
        <v>44633</v>
      </c>
      <c r="AW88" s="26">
        <f t="shared" ca="1" si="11"/>
        <v>0.68957526443551065</v>
      </c>
      <c r="AX88" s="29">
        <v>0</v>
      </c>
      <c r="AZ88" s="22">
        <v>44633</v>
      </c>
      <c r="BA88" s="26">
        <f t="shared" ca="1" si="12"/>
        <v>5.0727529145980443E-2</v>
      </c>
      <c r="BB88" s="29">
        <v>0</v>
      </c>
      <c r="BC88"/>
      <c r="BD88" s="25"/>
      <c r="BF88" s="22">
        <v>44633</v>
      </c>
      <c r="BG88" s="26">
        <f t="shared" ca="1" si="13"/>
        <v>0.95140465105384009</v>
      </c>
      <c r="BH88" s="29">
        <v>0</v>
      </c>
      <c r="BJ88" s="22">
        <v>44633</v>
      </c>
      <c r="BK88" s="26">
        <f t="shared" ca="1" si="14"/>
        <v>0.8784402862738645</v>
      </c>
      <c r="BL88" s="29">
        <v>0</v>
      </c>
      <c r="BN88" s="22">
        <v>44633</v>
      </c>
      <c r="BO88" s="26">
        <f t="shared" ca="1" si="15"/>
        <v>0.295529262169683</v>
      </c>
      <c r="BP88" s="29">
        <v>0</v>
      </c>
      <c r="BR88" s="22">
        <v>44633</v>
      </c>
      <c r="BS88" s="26">
        <f t="shared" ca="1" si="16"/>
        <v>0.76609591939194999</v>
      </c>
      <c r="BT88" s="29">
        <v>0</v>
      </c>
      <c r="BV88" s="22">
        <v>44633</v>
      </c>
      <c r="BW88" s="26">
        <f t="shared" ca="1" si="17"/>
        <v>0.19511866436822756</v>
      </c>
      <c r="BX88" s="29">
        <v>0</v>
      </c>
    </row>
    <row r="89" spans="2:76" ht="12.75" x14ac:dyDescent="0.2">
      <c r="B89" s="22">
        <v>44634</v>
      </c>
      <c r="C89" s="26">
        <f t="shared" ca="1" si="0"/>
        <v>0.98604344716550885</v>
      </c>
      <c r="D89" s="29">
        <f t="shared" ca="1" si="22"/>
        <v>119</v>
      </c>
      <c r="F89" s="22">
        <v>44634</v>
      </c>
      <c r="G89" s="26">
        <f t="shared" ca="1" si="1"/>
        <v>0.278301321232164</v>
      </c>
      <c r="H89" s="29">
        <v>0</v>
      </c>
      <c r="J89" s="22">
        <v>44634</v>
      </c>
      <c r="K89" s="26">
        <f t="shared" ca="1" si="2"/>
        <v>0.78040380360663564</v>
      </c>
      <c r="L89" s="29">
        <v>0</v>
      </c>
      <c r="N89" s="22">
        <v>44634</v>
      </c>
      <c r="O89" s="26">
        <f t="shared" ca="1" si="3"/>
        <v>0.68571022731506315</v>
      </c>
      <c r="P89" s="29">
        <v>0</v>
      </c>
      <c r="R89" s="22">
        <v>44634</v>
      </c>
      <c r="S89" s="26">
        <f t="shared" ca="1" si="4"/>
        <v>7.8231740806313677E-2</v>
      </c>
      <c r="T89" s="29">
        <v>0</v>
      </c>
      <c r="V89" s="22">
        <v>44634</v>
      </c>
      <c r="W89" s="26">
        <f t="shared" ca="1" si="5"/>
        <v>0.58725588913520754</v>
      </c>
      <c r="X89" s="29">
        <v>0</v>
      </c>
      <c r="Z89" s="22">
        <v>44634</v>
      </c>
      <c r="AA89" s="26">
        <f t="shared" ca="1" si="6"/>
        <v>0.28517041482539396</v>
      </c>
      <c r="AB89" s="29">
        <v>0</v>
      </c>
      <c r="AC89"/>
      <c r="AD89" s="25"/>
      <c r="AF89" s="22">
        <v>44634</v>
      </c>
      <c r="AG89" s="26">
        <f t="shared" ca="1" si="7"/>
        <v>0.19076661529637029</v>
      </c>
      <c r="AH89" s="29">
        <v>0</v>
      </c>
      <c r="AJ89" s="22">
        <v>44634</v>
      </c>
      <c r="AK89" s="26">
        <f t="shared" ca="1" si="8"/>
        <v>1.5152882537398105E-3</v>
      </c>
      <c r="AL89" s="29">
        <v>0</v>
      </c>
      <c r="AN89" s="22">
        <v>44634</v>
      </c>
      <c r="AO89" s="26">
        <f t="shared" ca="1" si="9"/>
        <v>0.52037242626994451</v>
      </c>
      <c r="AP89" s="29">
        <v>0</v>
      </c>
      <c r="AR89" s="22">
        <v>44634</v>
      </c>
      <c r="AS89" s="26">
        <f t="shared" ca="1" si="10"/>
        <v>0.92362918960895823</v>
      </c>
      <c r="AT89" s="29">
        <v>0</v>
      </c>
      <c r="AV89" s="22">
        <v>44634</v>
      </c>
      <c r="AW89" s="26">
        <f t="shared" ca="1" si="11"/>
        <v>0.11280417498734829</v>
      </c>
      <c r="AX89" s="29">
        <v>0</v>
      </c>
      <c r="AZ89" s="22">
        <v>44634</v>
      </c>
      <c r="BA89" s="26">
        <f t="shared" ca="1" si="12"/>
        <v>0.26191908434750288</v>
      </c>
      <c r="BB89" s="29">
        <v>0</v>
      </c>
      <c r="BC89"/>
      <c r="BD89" s="25"/>
      <c r="BF89" s="22">
        <v>44634</v>
      </c>
      <c r="BG89" s="26">
        <f t="shared" ca="1" si="13"/>
        <v>0.33547684904864883</v>
      </c>
      <c r="BH89" s="29">
        <v>0</v>
      </c>
      <c r="BJ89" s="22">
        <v>44634</v>
      </c>
      <c r="BK89" s="26">
        <f t="shared" ca="1" si="14"/>
        <v>2.8559371009017065E-3</v>
      </c>
      <c r="BL89" s="29">
        <v>0</v>
      </c>
      <c r="BN89" s="22">
        <v>44634</v>
      </c>
      <c r="BO89" s="26">
        <f t="shared" ca="1" si="15"/>
        <v>0.54509914098135615</v>
      </c>
      <c r="BP89" s="29">
        <v>0</v>
      </c>
      <c r="BR89" s="22">
        <v>44634</v>
      </c>
      <c r="BS89" s="26">
        <f t="shared" ca="1" si="16"/>
        <v>0.13945100649938325</v>
      </c>
      <c r="BT89" s="29">
        <v>0</v>
      </c>
      <c r="BV89" s="22">
        <v>44634</v>
      </c>
      <c r="BW89" s="26">
        <f t="shared" ca="1" si="17"/>
        <v>0.60336265064400374</v>
      </c>
      <c r="BX89" s="29">
        <v>0</v>
      </c>
    </row>
    <row r="90" spans="2:76" ht="12.75" x14ac:dyDescent="0.2">
      <c r="B90" s="22">
        <v>44635</v>
      </c>
      <c r="C90" s="26">
        <f t="shared" ca="1" si="0"/>
        <v>0.45693968429269516</v>
      </c>
      <c r="D90" s="29">
        <f t="shared" ca="1" si="22"/>
        <v>73</v>
      </c>
      <c r="F90" s="22">
        <v>44635</v>
      </c>
      <c r="G90" s="26">
        <f t="shared" ca="1" si="1"/>
        <v>0.94294942109333058</v>
      </c>
      <c r="H90" s="29">
        <v>0</v>
      </c>
      <c r="J90" s="22">
        <v>44635</v>
      </c>
      <c r="K90" s="26">
        <f t="shared" ca="1" si="2"/>
        <v>0.77429421162032097</v>
      </c>
      <c r="L90" s="29">
        <v>0</v>
      </c>
      <c r="N90" s="22">
        <v>44635</v>
      </c>
      <c r="O90" s="26">
        <f t="shared" ca="1" si="3"/>
        <v>0.22411298166817994</v>
      </c>
      <c r="P90" s="29">
        <v>0</v>
      </c>
      <c r="R90" s="22">
        <v>44635</v>
      </c>
      <c r="S90" s="26">
        <f t="shared" ca="1" si="4"/>
        <v>3.1820796437431187E-2</v>
      </c>
      <c r="T90" s="29">
        <v>0</v>
      </c>
      <c r="V90" s="22">
        <v>44635</v>
      </c>
      <c r="W90" s="26">
        <f t="shared" ca="1" si="5"/>
        <v>0.47520214501258828</v>
      </c>
      <c r="X90" s="29">
        <v>0</v>
      </c>
      <c r="Z90" s="22">
        <v>44635</v>
      </c>
      <c r="AA90" s="26">
        <f t="shared" ca="1" si="6"/>
        <v>0.64944695861362689</v>
      </c>
      <c r="AB90" s="29">
        <v>0</v>
      </c>
      <c r="AC90"/>
      <c r="AD90" s="25"/>
      <c r="AF90" s="22">
        <v>44635</v>
      </c>
      <c r="AG90" s="26">
        <f t="shared" ca="1" si="7"/>
        <v>0.89785960042095803</v>
      </c>
      <c r="AH90" s="29">
        <v>0</v>
      </c>
      <c r="AJ90" s="22">
        <v>44635</v>
      </c>
      <c r="AK90" s="26">
        <f t="shared" ca="1" si="8"/>
        <v>0.58712756966641499</v>
      </c>
      <c r="AL90" s="29">
        <v>0</v>
      </c>
      <c r="AN90" s="22">
        <v>44635</v>
      </c>
      <c r="AO90" s="26">
        <f t="shared" ca="1" si="9"/>
        <v>0.69069414562594911</v>
      </c>
      <c r="AP90" s="29">
        <v>0</v>
      </c>
      <c r="AR90" s="22">
        <v>44635</v>
      </c>
      <c r="AS90" s="26">
        <f t="shared" ca="1" si="10"/>
        <v>5.5337318283759984E-2</v>
      </c>
      <c r="AT90" s="29">
        <v>0</v>
      </c>
      <c r="AV90" s="22">
        <v>44635</v>
      </c>
      <c r="AW90" s="26">
        <f t="shared" ca="1" si="11"/>
        <v>0.67909914803876059</v>
      </c>
      <c r="AX90" s="29">
        <v>0</v>
      </c>
      <c r="AZ90" s="22">
        <v>44635</v>
      </c>
      <c r="BA90" s="26">
        <f t="shared" ca="1" si="12"/>
        <v>0.13215637559899263</v>
      </c>
      <c r="BB90" s="29">
        <v>0</v>
      </c>
      <c r="BC90"/>
      <c r="BD90" s="25"/>
      <c r="BF90" s="22">
        <v>44635</v>
      </c>
      <c r="BG90" s="26">
        <f t="shared" ca="1" si="13"/>
        <v>0.76214626985499079</v>
      </c>
      <c r="BH90" s="29">
        <v>0</v>
      </c>
      <c r="BJ90" s="22">
        <v>44635</v>
      </c>
      <c r="BK90" s="26">
        <f t="shared" ca="1" si="14"/>
        <v>7.0475075456465253E-2</v>
      </c>
      <c r="BL90" s="29">
        <v>0</v>
      </c>
      <c r="BN90" s="22">
        <v>44635</v>
      </c>
      <c r="BO90" s="26">
        <f t="shared" ca="1" si="15"/>
        <v>0.95424884304541591</v>
      </c>
      <c r="BP90" s="29">
        <v>0</v>
      </c>
      <c r="BR90" s="22">
        <v>44635</v>
      </c>
      <c r="BS90" s="26">
        <f t="shared" ca="1" si="16"/>
        <v>0.47661155583459014</v>
      </c>
      <c r="BT90" s="29">
        <v>0</v>
      </c>
      <c r="BV90" s="22">
        <v>44635</v>
      </c>
      <c r="BW90" s="26">
        <f t="shared" ca="1" si="17"/>
        <v>0.20326848402177677</v>
      </c>
      <c r="BX90" s="29">
        <v>0</v>
      </c>
    </row>
    <row r="91" spans="2:76" ht="12.75" x14ac:dyDescent="0.2">
      <c r="B91" s="22">
        <v>44636</v>
      </c>
      <c r="C91" s="26">
        <f t="shared" ca="1" si="0"/>
        <v>0.87696767667203834</v>
      </c>
      <c r="D91" s="29">
        <f t="shared" ca="1" si="22"/>
        <v>99</v>
      </c>
      <c r="F91" s="22">
        <v>44636</v>
      </c>
      <c r="G91" s="26">
        <f t="shared" ca="1" si="1"/>
        <v>0.53548160424630331</v>
      </c>
      <c r="H91" s="29">
        <v>0</v>
      </c>
      <c r="J91" s="22">
        <v>44636</v>
      </c>
      <c r="K91" s="26">
        <f t="shared" ca="1" si="2"/>
        <v>0.98822750601577636</v>
      </c>
      <c r="L91" s="29">
        <v>0</v>
      </c>
      <c r="N91" s="22">
        <v>44636</v>
      </c>
      <c r="O91" s="26">
        <f t="shared" ca="1" si="3"/>
        <v>0.78094389948778342</v>
      </c>
      <c r="P91" s="29">
        <v>0</v>
      </c>
      <c r="R91" s="22">
        <v>44636</v>
      </c>
      <c r="S91" s="26">
        <f t="shared" ca="1" si="4"/>
        <v>0.96861315504174361</v>
      </c>
      <c r="T91" s="29">
        <v>0</v>
      </c>
      <c r="V91" s="22">
        <v>44636</v>
      </c>
      <c r="W91" s="26">
        <f t="shared" ca="1" si="5"/>
        <v>0.19505654348452028</v>
      </c>
      <c r="X91" s="29">
        <v>0</v>
      </c>
      <c r="Z91" s="22">
        <v>44636</v>
      </c>
      <c r="AA91" s="26">
        <f t="shared" ca="1" si="6"/>
        <v>0.3804875996859316</v>
      </c>
      <c r="AB91" s="29">
        <v>0</v>
      </c>
      <c r="AC91"/>
      <c r="AD91" s="25"/>
      <c r="AF91" s="22">
        <v>44636</v>
      </c>
      <c r="AG91" s="26">
        <f t="shared" ca="1" si="7"/>
        <v>0.19715009672832395</v>
      </c>
      <c r="AH91" s="29">
        <v>0</v>
      </c>
      <c r="AJ91" s="22">
        <v>44636</v>
      </c>
      <c r="AK91" s="26">
        <f t="shared" ca="1" si="8"/>
        <v>4.7786549250819599E-2</v>
      </c>
      <c r="AL91" s="29">
        <v>0</v>
      </c>
      <c r="AN91" s="22">
        <v>44636</v>
      </c>
      <c r="AO91" s="26">
        <f t="shared" ca="1" si="9"/>
        <v>0.8927135930222897</v>
      </c>
      <c r="AP91" s="29">
        <v>0</v>
      </c>
      <c r="AR91" s="22">
        <v>44636</v>
      </c>
      <c r="AS91" s="26">
        <f t="shared" ca="1" si="10"/>
        <v>0.89186609529337657</v>
      </c>
      <c r="AT91" s="29">
        <v>0</v>
      </c>
      <c r="AV91" s="22">
        <v>44636</v>
      </c>
      <c r="AW91" s="26">
        <f t="shared" ca="1" si="11"/>
        <v>0.74520396151182378</v>
      </c>
      <c r="AX91" s="29">
        <v>0</v>
      </c>
      <c r="AZ91" s="22">
        <v>44636</v>
      </c>
      <c r="BA91" s="26">
        <f t="shared" ca="1" si="12"/>
        <v>0.15471657701229291</v>
      </c>
      <c r="BB91" s="29">
        <v>0</v>
      </c>
      <c r="BC91"/>
      <c r="BD91" s="25"/>
      <c r="BF91" s="22">
        <v>44636</v>
      </c>
      <c r="BG91" s="26">
        <f t="shared" ca="1" si="13"/>
        <v>0.92225006956548494</v>
      </c>
      <c r="BH91" s="29">
        <v>0</v>
      </c>
      <c r="BJ91" s="22">
        <v>44636</v>
      </c>
      <c r="BK91" s="26">
        <f t="shared" ca="1" si="14"/>
        <v>3.174641489061647E-2</v>
      </c>
      <c r="BL91" s="29">
        <v>0</v>
      </c>
      <c r="BN91" s="22">
        <v>44636</v>
      </c>
      <c r="BO91" s="26">
        <f t="shared" ca="1" si="15"/>
        <v>0.35494830955269507</v>
      </c>
      <c r="BP91" s="29">
        <v>0</v>
      </c>
      <c r="BR91" s="22">
        <v>44636</v>
      </c>
      <c r="BS91" s="26">
        <f t="shared" ca="1" si="16"/>
        <v>0.90972761156918447</v>
      </c>
      <c r="BT91" s="29">
        <v>0</v>
      </c>
      <c r="BV91" s="22">
        <v>44636</v>
      </c>
      <c r="BW91" s="26">
        <f t="shared" ca="1" si="17"/>
        <v>0.27961531320228505</v>
      </c>
      <c r="BX91" s="29">
        <v>0</v>
      </c>
    </row>
    <row r="92" spans="2:76" ht="12.75" x14ac:dyDescent="0.2">
      <c r="B92" s="22">
        <v>44637</v>
      </c>
      <c r="C92" s="26">
        <f t="shared" ca="1" si="0"/>
        <v>0.6331644883605162</v>
      </c>
      <c r="D92" s="29">
        <f t="shared" ca="1" si="22"/>
        <v>82</v>
      </c>
      <c r="F92" s="22">
        <v>44637</v>
      </c>
      <c r="G92" s="26">
        <f t="shared" ca="1" si="1"/>
        <v>0.81297634965602861</v>
      </c>
      <c r="H92" s="29">
        <v>0</v>
      </c>
      <c r="J92" s="22">
        <v>44637</v>
      </c>
      <c r="K92" s="26">
        <f t="shared" ca="1" si="2"/>
        <v>0.55822414819458421</v>
      </c>
      <c r="L92" s="29">
        <v>0</v>
      </c>
      <c r="N92" s="22">
        <v>44637</v>
      </c>
      <c r="O92" s="26">
        <f t="shared" ca="1" si="3"/>
        <v>0.1402355439629458</v>
      </c>
      <c r="P92" s="29">
        <v>0</v>
      </c>
      <c r="R92" s="22">
        <v>44637</v>
      </c>
      <c r="S92" s="26">
        <f t="shared" ca="1" si="4"/>
        <v>0.33484802122809976</v>
      </c>
      <c r="T92" s="29">
        <v>0</v>
      </c>
      <c r="V92" s="22">
        <v>44637</v>
      </c>
      <c r="W92" s="26">
        <f t="shared" ca="1" si="5"/>
        <v>6.9471642395055322E-2</v>
      </c>
      <c r="X92" s="29">
        <v>0</v>
      </c>
      <c r="Z92" s="22">
        <v>44637</v>
      </c>
      <c r="AA92" s="26">
        <f t="shared" ca="1" si="6"/>
        <v>0.22703108690485729</v>
      </c>
      <c r="AB92" s="29">
        <v>0</v>
      </c>
      <c r="AC92"/>
      <c r="AD92" s="25"/>
      <c r="AF92" s="22">
        <v>44637</v>
      </c>
      <c r="AG92" s="26">
        <f t="shared" ca="1" si="7"/>
        <v>0.63593984195385933</v>
      </c>
      <c r="AH92" s="29">
        <v>0</v>
      </c>
      <c r="AJ92" s="22">
        <v>44637</v>
      </c>
      <c r="AK92" s="26">
        <f t="shared" ca="1" si="8"/>
        <v>0.29856942599423641</v>
      </c>
      <c r="AL92" s="29">
        <v>0</v>
      </c>
      <c r="AN92" s="22">
        <v>44637</v>
      </c>
      <c r="AO92" s="26">
        <f t="shared" ca="1" si="9"/>
        <v>0.43595793860223764</v>
      </c>
      <c r="AP92" s="29">
        <v>0</v>
      </c>
      <c r="AR92" s="22">
        <v>44637</v>
      </c>
      <c r="AS92" s="26">
        <f t="shared" ca="1" si="10"/>
        <v>0.3308213595708428</v>
      </c>
      <c r="AT92" s="29">
        <v>0</v>
      </c>
      <c r="AV92" s="22">
        <v>44637</v>
      </c>
      <c r="AW92" s="26">
        <f t="shared" ca="1" si="11"/>
        <v>4.7997877241267584E-2</v>
      </c>
      <c r="AX92" s="29">
        <v>0</v>
      </c>
      <c r="AZ92" s="22">
        <v>44637</v>
      </c>
      <c r="BA92" s="26">
        <f t="shared" ca="1" si="12"/>
        <v>0.96309861566078758</v>
      </c>
      <c r="BB92" s="29">
        <v>0</v>
      </c>
      <c r="BC92"/>
      <c r="BD92" s="25"/>
      <c r="BF92" s="22">
        <v>44637</v>
      </c>
      <c r="BG92" s="26">
        <f t="shared" ca="1" si="13"/>
        <v>0.50973941827933544</v>
      </c>
      <c r="BH92" s="29">
        <v>0</v>
      </c>
      <c r="BJ92" s="22">
        <v>44637</v>
      </c>
      <c r="BK92" s="26">
        <f t="shared" ca="1" si="14"/>
        <v>2.8516546860115954E-2</v>
      </c>
      <c r="BL92" s="29">
        <v>0</v>
      </c>
      <c r="BN92" s="22">
        <v>44637</v>
      </c>
      <c r="BO92" s="26">
        <f t="shared" ca="1" si="15"/>
        <v>0.11976676770998973</v>
      </c>
      <c r="BP92" s="29">
        <v>0</v>
      </c>
      <c r="BR92" s="22">
        <v>44637</v>
      </c>
      <c r="BS92" s="26">
        <f t="shared" ca="1" si="16"/>
        <v>6.7436024217757962E-2</v>
      </c>
      <c r="BT92" s="29">
        <v>0</v>
      </c>
      <c r="BV92" s="22">
        <v>44637</v>
      </c>
      <c r="BW92" s="26">
        <f t="shared" ca="1" si="17"/>
        <v>7.8575320238944979E-3</v>
      </c>
      <c r="BX92" s="29">
        <v>0</v>
      </c>
    </row>
    <row r="93" spans="2:76" ht="12.75" x14ac:dyDescent="0.2">
      <c r="B93" s="22">
        <v>44638</v>
      </c>
      <c r="C93" s="26">
        <f t="shared" ca="1" si="0"/>
        <v>0.32777649753990989</v>
      </c>
      <c r="D93" s="29">
        <f t="shared" ca="1" si="22"/>
        <v>67</v>
      </c>
      <c r="F93" s="22">
        <v>44638</v>
      </c>
      <c r="G93" s="26">
        <f t="shared" ca="1" si="1"/>
        <v>0.89707233146910526</v>
      </c>
      <c r="H93" s="29">
        <v>0</v>
      </c>
      <c r="J93" s="22">
        <v>44638</v>
      </c>
      <c r="K93" s="26">
        <f t="shared" ca="1" si="2"/>
        <v>7.1000222204261831E-2</v>
      </c>
      <c r="L93" s="29">
        <v>0</v>
      </c>
      <c r="N93" s="22">
        <v>44638</v>
      </c>
      <c r="O93" s="26">
        <f t="shared" ca="1" si="3"/>
        <v>0.97538843948505582</v>
      </c>
      <c r="P93" s="29">
        <v>0</v>
      </c>
      <c r="R93" s="22">
        <v>44638</v>
      </c>
      <c r="S93" s="26">
        <f t="shared" ca="1" si="4"/>
        <v>0.79034997213473968</v>
      </c>
      <c r="T93" s="29">
        <v>0</v>
      </c>
      <c r="V93" s="22">
        <v>44638</v>
      </c>
      <c r="W93" s="26">
        <f t="shared" ca="1" si="5"/>
        <v>0.87918388468634079</v>
      </c>
      <c r="X93" s="29">
        <v>0</v>
      </c>
      <c r="Z93" s="22">
        <v>44638</v>
      </c>
      <c r="AA93" s="26">
        <f t="shared" ca="1" si="6"/>
        <v>9.7912735750485869E-2</v>
      </c>
      <c r="AB93" s="29">
        <v>0</v>
      </c>
      <c r="AC93"/>
      <c r="AD93" s="25"/>
      <c r="AF93" s="22">
        <v>44638</v>
      </c>
      <c r="AG93" s="26">
        <f t="shared" ca="1" si="7"/>
        <v>0.63496690361966746</v>
      </c>
      <c r="AH93" s="29">
        <v>0</v>
      </c>
      <c r="AJ93" s="22">
        <v>44638</v>
      </c>
      <c r="AK93" s="26">
        <f t="shared" ca="1" si="8"/>
        <v>0.59795532270646279</v>
      </c>
      <c r="AL93" s="29">
        <v>0</v>
      </c>
      <c r="AN93" s="22">
        <v>44638</v>
      </c>
      <c r="AO93" s="26">
        <f t="shared" ca="1" si="9"/>
        <v>0.35689910907440847</v>
      </c>
      <c r="AP93" s="29">
        <v>0</v>
      </c>
      <c r="AR93" s="22">
        <v>44638</v>
      </c>
      <c r="AS93" s="26">
        <f t="shared" ca="1" si="10"/>
        <v>0.41051783838058764</v>
      </c>
      <c r="AT93" s="29">
        <v>0</v>
      </c>
      <c r="AV93" s="22">
        <v>44638</v>
      </c>
      <c r="AW93" s="26">
        <f t="shared" ca="1" si="11"/>
        <v>9.0846088013476045E-2</v>
      </c>
      <c r="AX93" s="29">
        <v>0</v>
      </c>
      <c r="AZ93" s="22">
        <v>44638</v>
      </c>
      <c r="BA93" s="26">
        <f t="shared" ca="1" si="12"/>
        <v>0.42854173661372419</v>
      </c>
      <c r="BB93" s="29">
        <v>0</v>
      </c>
      <c r="BC93"/>
      <c r="BD93" s="25"/>
      <c r="BF93" s="22">
        <v>44638</v>
      </c>
      <c r="BG93" s="26">
        <f t="shared" ca="1" si="13"/>
        <v>0.12817651370488214</v>
      </c>
      <c r="BH93" s="29">
        <v>0</v>
      </c>
      <c r="BJ93" s="22">
        <v>44638</v>
      </c>
      <c r="BK93" s="26">
        <f t="shared" ca="1" si="14"/>
        <v>0.94433863965890708</v>
      </c>
      <c r="BL93" s="29">
        <v>0</v>
      </c>
      <c r="BN93" s="22">
        <v>44638</v>
      </c>
      <c r="BO93" s="26">
        <f t="shared" ca="1" si="15"/>
        <v>0.81545208003339231</v>
      </c>
      <c r="BP93" s="29">
        <v>0</v>
      </c>
      <c r="BR93" s="22">
        <v>44638</v>
      </c>
      <c r="BS93" s="26">
        <f t="shared" ca="1" si="16"/>
        <v>0.88824737935894271</v>
      </c>
      <c r="BT93" s="29">
        <v>0</v>
      </c>
      <c r="BV93" s="22">
        <v>44638</v>
      </c>
      <c r="BW93" s="26">
        <f t="shared" ca="1" si="17"/>
        <v>0.10550766890127061</v>
      </c>
      <c r="BX93" s="29">
        <v>0</v>
      </c>
    </row>
    <row r="94" spans="2:76" ht="12.75" x14ac:dyDescent="0.2">
      <c r="B94" s="22">
        <v>44639</v>
      </c>
      <c r="C94" s="26">
        <f t="shared" ca="1" si="0"/>
        <v>2.5075588661772175E-2</v>
      </c>
      <c r="D94" s="29">
        <f t="shared" ca="1" si="22"/>
        <v>36</v>
      </c>
      <c r="F94" s="22">
        <v>44639</v>
      </c>
      <c r="G94" s="26">
        <f t="shared" ca="1" si="1"/>
        <v>0.49000969986498966</v>
      </c>
      <c r="H94" s="29">
        <v>0</v>
      </c>
      <c r="J94" s="22">
        <v>44639</v>
      </c>
      <c r="K94" s="26">
        <f t="shared" ca="1" si="2"/>
        <v>0.58246305882451499</v>
      </c>
      <c r="L94" s="29">
        <v>0</v>
      </c>
      <c r="N94" s="22">
        <v>44639</v>
      </c>
      <c r="O94" s="26">
        <f t="shared" ca="1" si="3"/>
        <v>0.56195550343494494</v>
      </c>
      <c r="P94" s="29">
        <v>0</v>
      </c>
      <c r="R94" s="22">
        <v>44639</v>
      </c>
      <c r="S94" s="26">
        <f t="shared" ca="1" si="4"/>
        <v>0.89122867755185475</v>
      </c>
      <c r="T94" s="29">
        <v>0</v>
      </c>
      <c r="V94" s="22">
        <v>44639</v>
      </c>
      <c r="W94" s="26">
        <f t="shared" ca="1" si="5"/>
        <v>0.65571926757892607</v>
      </c>
      <c r="X94" s="29">
        <v>0</v>
      </c>
      <c r="Z94" s="22">
        <v>44639</v>
      </c>
      <c r="AA94" s="26">
        <f t="shared" ca="1" si="6"/>
        <v>0.35338122649084414</v>
      </c>
      <c r="AB94" s="29">
        <v>0</v>
      </c>
      <c r="AC94"/>
      <c r="AD94" s="25"/>
      <c r="AF94" s="22">
        <v>44639</v>
      </c>
      <c r="AG94" s="26">
        <f t="shared" ca="1" si="7"/>
        <v>0.22126088076811223</v>
      </c>
      <c r="AH94" s="29">
        <v>0</v>
      </c>
      <c r="AJ94" s="22">
        <v>44639</v>
      </c>
      <c r="AK94" s="26">
        <f t="shared" ca="1" si="8"/>
        <v>0.89485238288313629</v>
      </c>
      <c r="AL94" s="29">
        <v>0</v>
      </c>
      <c r="AN94" s="22">
        <v>44639</v>
      </c>
      <c r="AO94" s="26">
        <f t="shared" ca="1" si="9"/>
        <v>0.67313075219840734</v>
      </c>
      <c r="AP94" s="29">
        <v>0</v>
      </c>
      <c r="AR94" s="22">
        <v>44639</v>
      </c>
      <c r="AS94" s="26">
        <f t="shared" ca="1" si="10"/>
        <v>0.7353586542487166</v>
      </c>
      <c r="AT94" s="29">
        <v>0</v>
      </c>
      <c r="AV94" s="22">
        <v>44639</v>
      </c>
      <c r="AW94" s="26">
        <f t="shared" ca="1" si="11"/>
        <v>0.9859702358041279</v>
      </c>
      <c r="AX94" s="29">
        <v>0</v>
      </c>
      <c r="AZ94" s="22">
        <v>44639</v>
      </c>
      <c r="BA94" s="26">
        <f t="shared" ca="1" si="12"/>
        <v>0.68631275886679699</v>
      </c>
      <c r="BB94" s="29">
        <v>0</v>
      </c>
      <c r="BC94"/>
      <c r="BD94" s="25"/>
      <c r="BF94" s="22">
        <v>44639</v>
      </c>
      <c r="BG94" s="26">
        <f t="shared" ca="1" si="13"/>
        <v>1.1837028200482047E-3</v>
      </c>
      <c r="BH94" s="29">
        <v>0</v>
      </c>
      <c r="BJ94" s="22">
        <v>44639</v>
      </c>
      <c r="BK94" s="26">
        <f t="shared" ca="1" si="14"/>
        <v>0.36624550286210189</v>
      </c>
      <c r="BL94" s="29">
        <v>0</v>
      </c>
      <c r="BN94" s="22">
        <v>44639</v>
      </c>
      <c r="BO94" s="26">
        <f t="shared" ca="1" si="15"/>
        <v>0.74779604423521295</v>
      </c>
      <c r="BP94" s="29">
        <v>0</v>
      </c>
      <c r="BR94" s="22">
        <v>44639</v>
      </c>
      <c r="BS94" s="26">
        <f t="shared" ca="1" si="16"/>
        <v>0.53621565984905672</v>
      </c>
      <c r="BT94" s="29">
        <v>0</v>
      </c>
      <c r="BV94" s="22">
        <v>44639</v>
      </c>
      <c r="BW94" s="26">
        <f t="shared" ca="1" si="17"/>
        <v>0.10820757543805193</v>
      </c>
      <c r="BX94" s="29">
        <v>0</v>
      </c>
    </row>
    <row r="95" spans="2:76" ht="12.75" x14ac:dyDescent="0.2">
      <c r="B95" s="22">
        <v>44640</v>
      </c>
      <c r="C95" s="26">
        <f t="shared" ca="1" si="0"/>
        <v>0.59283855347625469</v>
      </c>
      <c r="D95" s="29">
        <f t="shared" ca="1" si="22"/>
        <v>80</v>
      </c>
      <c r="F95" s="22">
        <v>44640</v>
      </c>
      <c r="G95" s="26">
        <f t="shared" ca="1" si="1"/>
        <v>0.38520605544582798</v>
      </c>
      <c r="H95" s="29">
        <v>0</v>
      </c>
      <c r="J95" s="22">
        <v>44640</v>
      </c>
      <c r="K95" s="26">
        <f t="shared" ca="1" si="2"/>
        <v>0.8169040481546993</v>
      </c>
      <c r="L95" s="29">
        <v>0</v>
      </c>
      <c r="N95" s="22">
        <v>44640</v>
      </c>
      <c r="O95" s="26">
        <f t="shared" ca="1" si="3"/>
        <v>0.86876896520895941</v>
      </c>
      <c r="P95" s="29">
        <v>0</v>
      </c>
      <c r="R95" s="22">
        <v>44640</v>
      </c>
      <c r="S95" s="26">
        <f t="shared" ca="1" si="4"/>
        <v>0.33814817457041302</v>
      </c>
      <c r="T95" s="29">
        <v>0</v>
      </c>
      <c r="V95" s="22">
        <v>44640</v>
      </c>
      <c r="W95" s="26">
        <f t="shared" ca="1" si="5"/>
        <v>0.5735733884456703</v>
      </c>
      <c r="X95" s="29">
        <v>0</v>
      </c>
      <c r="Z95" s="22">
        <v>44640</v>
      </c>
      <c r="AA95" s="26">
        <f t="shared" ca="1" si="6"/>
        <v>0.94105760712651598</v>
      </c>
      <c r="AB95" s="29">
        <v>0</v>
      </c>
      <c r="AC95"/>
      <c r="AD95" s="25"/>
      <c r="AF95" s="22">
        <v>44640</v>
      </c>
      <c r="AG95" s="26">
        <f t="shared" ca="1" si="7"/>
        <v>1.2831543006810664E-2</v>
      </c>
      <c r="AH95" s="29">
        <v>0</v>
      </c>
      <c r="AJ95" s="22">
        <v>44640</v>
      </c>
      <c r="AK95" s="26">
        <f t="shared" ca="1" si="8"/>
        <v>0.51417787076344568</v>
      </c>
      <c r="AL95" s="29">
        <v>0</v>
      </c>
      <c r="AN95" s="22">
        <v>44640</v>
      </c>
      <c r="AO95" s="26">
        <f t="shared" ca="1" si="9"/>
        <v>0.52477507155573933</v>
      </c>
      <c r="AP95" s="29">
        <v>0</v>
      </c>
      <c r="AR95" s="22">
        <v>44640</v>
      </c>
      <c r="AS95" s="26">
        <f t="shared" ca="1" si="10"/>
        <v>0.84667280592745187</v>
      </c>
      <c r="AT95" s="29">
        <v>0</v>
      </c>
      <c r="AV95" s="22">
        <v>44640</v>
      </c>
      <c r="AW95" s="26">
        <f t="shared" ca="1" si="11"/>
        <v>0.35365106322977846</v>
      </c>
      <c r="AX95" s="29">
        <v>0</v>
      </c>
      <c r="AZ95" s="22">
        <v>44640</v>
      </c>
      <c r="BA95" s="26">
        <f t="shared" ca="1" si="12"/>
        <v>4.9271142934117829E-2</v>
      </c>
      <c r="BB95" s="29">
        <v>0</v>
      </c>
      <c r="BC95"/>
      <c r="BD95" s="25"/>
      <c r="BF95" s="22">
        <v>44640</v>
      </c>
      <c r="BG95" s="26">
        <f t="shared" ca="1" si="13"/>
        <v>0.73681555855561964</v>
      </c>
      <c r="BH95" s="29">
        <v>0</v>
      </c>
      <c r="BJ95" s="22">
        <v>44640</v>
      </c>
      <c r="BK95" s="26">
        <f t="shared" ca="1" si="14"/>
        <v>0.5382203927317234</v>
      </c>
      <c r="BL95" s="29">
        <v>0</v>
      </c>
      <c r="BN95" s="22">
        <v>44640</v>
      </c>
      <c r="BO95" s="26">
        <f t="shared" ca="1" si="15"/>
        <v>0.13496193883129814</v>
      </c>
      <c r="BP95" s="29">
        <v>0</v>
      </c>
      <c r="BR95" s="22">
        <v>44640</v>
      </c>
      <c r="BS95" s="26">
        <f t="shared" ca="1" si="16"/>
        <v>1.1160436755305536E-2</v>
      </c>
      <c r="BT95" s="29">
        <v>0</v>
      </c>
      <c r="BV95" s="22">
        <v>44640</v>
      </c>
      <c r="BW95" s="26">
        <f t="shared" ca="1" si="17"/>
        <v>0.76478495311276651</v>
      </c>
      <c r="BX95" s="29">
        <v>0</v>
      </c>
    </row>
    <row r="96" spans="2:76" ht="12.75" x14ac:dyDescent="0.2">
      <c r="B96" s="22">
        <v>44641</v>
      </c>
      <c r="C96" s="26">
        <f t="shared" ca="1" si="0"/>
        <v>0.91409633362358</v>
      </c>
      <c r="D96" s="29">
        <f t="shared" ca="1" si="22"/>
        <v>103</v>
      </c>
      <c r="F96" s="22">
        <v>44641</v>
      </c>
      <c r="G96" s="26">
        <f t="shared" ca="1" si="1"/>
        <v>0.23064559196639556</v>
      </c>
      <c r="H96" s="29">
        <v>0</v>
      </c>
      <c r="J96" s="22">
        <v>44641</v>
      </c>
      <c r="K96" s="26">
        <f t="shared" ca="1" si="2"/>
        <v>0.86221997274135531</v>
      </c>
      <c r="L96" s="29">
        <v>0</v>
      </c>
      <c r="N96" s="22">
        <v>44641</v>
      </c>
      <c r="O96" s="26">
        <f t="shared" ca="1" si="3"/>
        <v>0.69240691249945796</v>
      </c>
      <c r="P96" s="29">
        <v>0</v>
      </c>
      <c r="R96" s="22">
        <v>44641</v>
      </c>
      <c r="S96" s="26">
        <f t="shared" ca="1" si="4"/>
        <v>0.96578980507454615</v>
      </c>
      <c r="T96" s="29">
        <v>0</v>
      </c>
      <c r="V96" s="22">
        <v>44641</v>
      </c>
      <c r="W96" s="26">
        <f t="shared" ca="1" si="5"/>
        <v>0.15239124334030907</v>
      </c>
      <c r="X96" s="29">
        <v>0</v>
      </c>
      <c r="Z96" s="22">
        <v>44641</v>
      </c>
      <c r="AA96" s="26">
        <f t="shared" ca="1" si="6"/>
        <v>0.58756806890247548</v>
      </c>
      <c r="AB96" s="29">
        <v>0</v>
      </c>
      <c r="AC96"/>
      <c r="AD96" s="25"/>
      <c r="AF96" s="22">
        <v>44641</v>
      </c>
      <c r="AG96" s="26">
        <f t="shared" ca="1" si="7"/>
        <v>0.40229187622808882</v>
      </c>
      <c r="AH96" s="29">
        <v>0</v>
      </c>
      <c r="AJ96" s="22">
        <v>44641</v>
      </c>
      <c r="AK96" s="26">
        <f t="shared" ca="1" si="8"/>
        <v>0.74300169533569271</v>
      </c>
      <c r="AL96" s="29">
        <v>0</v>
      </c>
      <c r="AN96" s="22">
        <v>44641</v>
      </c>
      <c r="AO96" s="26">
        <f t="shared" ca="1" si="9"/>
        <v>0.33814433997647553</v>
      </c>
      <c r="AP96" s="29">
        <v>0</v>
      </c>
      <c r="AR96" s="22">
        <v>44641</v>
      </c>
      <c r="AS96" s="26">
        <f t="shared" ca="1" si="10"/>
        <v>0.13475186751867352</v>
      </c>
      <c r="AT96" s="29">
        <v>0</v>
      </c>
      <c r="AV96" s="22">
        <v>44641</v>
      </c>
      <c r="AW96" s="26">
        <f t="shared" ca="1" si="11"/>
        <v>0.41256344107134113</v>
      </c>
      <c r="AX96" s="29">
        <v>0</v>
      </c>
      <c r="AZ96" s="22">
        <v>44641</v>
      </c>
      <c r="BA96" s="26">
        <f t="shared" ca="1" si="12"/>
        <v>0.55152453067546359</v>
      </c>
      <c r="BB96" s="29">
        <v>0</v>
      </c>
      <c r="BC96"/>
      <c r="BD96" s="25"/>
      <c r="BF96" s="22">
        <v>44641</v>
      </c>
      <c r="BG96" s="26">
        <f t="shared" ca="1" si="13"/>
        <v>0.5329525323512313</v>
      </c>
      <c r="BH96" s="29">
        <v>0</v>
      </c>
      <c r="BJ96" s="22">
        <v>44641</v>
      </c>
      <c r="BK96" s="26">
        <f t="shared" ca="1" si="14"/>
        <v>0.57128747490616394</v>
      </c>
      <c r="BL96" s="29">
        <v>0</v>
      </c>
      <c r="BN96" s="22">
        <v>44641</v>
      </c>
      <c r="BO96" s="26">
        <f t="shared" ca="1" si="15"/>
        <v>0.90975322840574446</v>
      </c>
      <c r="BP96" s="29">
        <v>0</v>
      </c>
      <c r="BR96" s="22">
        <v>44641</v>
      </c>
      <c r="BS96" s="26">
        <f t="shared" ca="1" si="16"/>
        <v>0.34447899743215005</v>
      </c>
      <c r="BT96" s="29">
        <v>0</v>
      </c>
      <c r="BV96" s="22">
        <v>44641</v>
      </c>
      <c r="BW96" s="26">
        <f t="shared" ca="1" si="17"/>
        <v>3.2355954414224675E-2</v>
      </c>
      <c r="BX96" s="29">
        <v>0</v>
      </c>
    </row>
    <row r="97" spans="2:77" ht="12.75" x14ac:dyDescent="0.2">
      <c r="B97" s="22">
        <v>44642</v>
      </c>
      <c r="C97" s="26">
        <f t="shared" ca="1" si="0"/>
        <v>0.26253606992019651</v>
      </c>
      <c r="D97" s="29">
        <f t="shared" ca="1" si="22"/>
        <v>63</v>
      </c>
      <c r="F97" s="22">
        <v>44642</v>
      </c>
      <c r="G97" s="26">
        <f t="shared" ca="1" si="1"/>
        <v>0.26667435031315112</v>
      </c>
      <c r="H97" s="29">
        <v>0</v>
      </c>
      <c r="J97" s="22">
        <v>44642</v>
      </c>
      <c r="K97" s="26">
        <f t="shared" ca="1" si="2"/>
        <v>0.740339440990751</v>
      </c>
      <c r="L97" s="29">
        <v>0</v>
      </c>
      <c r="N97" s="22">
        <v>44642</v>
      </c>
      <c r="O97" s="26">
        <f t="shared" ca="1" si="3"/>
        <v>0.43119902210942285</v>
      </c>
      <c r="P97" s="29">
        <v>0</v>
      </c>
      <c r="R97" s="22">
        <v>44642</v>
      </c>
      <c r="S97" s="26">
        <f t="shared" ca="1" si="4"/>
        <v>0.92767344989900136</v>
      </c>
      <c r="T97" s="29">
        <v>0</v>
      </c>
      <c r="V97" s="22">
        <v>44642</v>
      </c>
      <c r="W97" s="26">
        <f t="shared" ca="1" si="5"/>
        <v>0.26976048118211582</v>
      </c>
      <c r="X97" s="29">
        <v>0</v>
      </c>
      <c r="Z97" s="22">
        <v>44642</v>
      </c>
      <c r="AA97" s="26">
        <f t="shared" ca="1" si="6"/>
        <v>0.30009481424192941</v>
      </c>
      <c r="AB97" s="29">
        <v>0</v>
      </c>
      <c r="AC97"/>
      <c r="AD97" s="25"/>
      <c r="AF97" s="22">
        <v>44642</v>
      </c>
      <c r="AG97" s="26">
        <f t="shared" ca="1" si="7"/>
        <v>0.92489579214495965</v>
      </c>
      <c r="AH97" s="29">
        <v>0</v>
      </c>
      <c r="AJ97" s="22">
        <v>44642</v>
      </c>
      <c r="AK97" s="26">
        <f t="shared" ca="1" si="8"/>
        <v>0.89514674415713635</v>
      </c>
      <c r="AL97" s="29">
        <v>0</v>
      </c>
      <c r="AN97" s="22">
        <v>44642</v>
      </c>
      <c r="AO97" s="26">
        <f t="shared" ca="1" si="9"/>
        <v>0.9537334333788654</v>
      </c>
      <c r="AP97" s="29">
        <v>0</v>
      </c>
      <c r="AR97" s="22">
        <v>44642</v>
      </c>
      <c r="AS97" s="26">
        <f t="shared" ca="1" si="10"/>
        <v>0.63188468234768869</v>
      </c>
      <c r="AT97" s="29">
        <v>0</v>
      </c>
      <c r="AV97" s="22">
        <v>44642</v>
      </c>
      <c r="AW97" s="26">
        <f t="shared" ca="1" si="11"/>
        <v>0.16141377818352887</v>
      </c>
      <c r="AX97" s="29">
        <v>0</v>
      </c>
      <c r="AZ97" s="22">
        <v>44642</v>
      </c>
      <c r="BA97" s="26">
        <f t="shared" ca="1" si="12"/>
        <v>0.42493945309291015</v>
      </c>
      <c r="BB97" s="29">
        <v>0</v>
      </c>
      <c r="BC97"/>
      <c r="BD97" s="25"/>
      <c r="BF97" s="22">
        <v>44642</v>
      </c>
      <c r="BG97" s="26">
        <f t="shared" ca="1" si="13"/>
        <v>0.60340873467607292</v>
      </c>
      <c r="BH97" s="29">
        <v>0</v>
      </c>
      <c r="BJ97" s="22">
        <v>44642</v>
      </c>
      <c r="BK97" s="26">
        <f t="shared" ca="1" si="14"/>
        <v>0.93974196538674271</v>
      </c>
      <c r="BL97" s="29">
        <v>0</v>
      </c>
      <c r="BN97" s="22">
        <v>44642</v>
      </c>
      <c r="BO97" s="26">
        <f t="shared" ca="1" si="15"/>
        <v>0.85904661258803794</v>
      </c>
      <c r="BP97" s="29">
        <v>0</v>
      </c>
      <c r="BR97" s="22">
        <v>44642</v>
      </c>
      <c r="BS97" s="26">
        <f t="shared" ca="1" si="16"/>
        <v>0.68177343852342964</v>
      </c>
      <c r="BT97" s="29">
        <v>0</v>
      </c>
      <c r="BV97" s="22">
        <v>44642</v>
      </c>
      <c r="BW97" s="26">
        <f t="shared" ca="1" si="17"/>
        <v>0.81083767262147055</v>
      </c>
      <c r="BX97" s="29">
        <v>0</v>
      </c>
    </row>
    <row r="98" spans="2:77" ht="12.75" x14ac:dyDescent="0.2">
      <c r="B98" s="22">
        <v>44643</v>
      </c>
      <c r="C98" s="26">
        <f t="shared" ca="1" si="0"/>
        <v>0.69571086600335241</v>
      </c>
      <c r="D98" s="29">
        <f t="shared" ca="1" si="22"/>
        <v>86</v>
      </c>
      <c r="F98" s="22">
        <v>44643</v>
      </c>
      <c r="G98" s="26">
        <f t="shared" ca="1" si="1"/>
        <v>8.7772707891441981E-2</v>
      </c>
      <c r="H98" s="29">
        <v>0</v>
      </c>
      <c r="J98" s="22">
        <v>44643</v>
      </c>
      <c r="K98" s="26">
        <f t="shared" ca="1" si="2"/>
        <v>0.52210358866102857</v>
      </c>
      <c r="L98" s="29">
        <v>0</v>
      </c>
      <c r="N98" s="22">
        <v>44643</v>
      </c>
      <c r="O98" s="26">
        <f t="shared" ca="1" si="3"/>
        <v>0.89070989842048098</v>
      </c>
      <c r="P98" s="29">
        <v>0</v>
      </c>
      <c r="R98" s="22">
        <v>44643</v>
      </c>
      <c r="S98" s="26">
        <f t="shared" ca="1" si="4"/>
        <v>0.8441142011294045</v>
      </c>
      <c r="T98" s="29">
        <v>0</v>
      </c>
      <c r="V98" s="22">
        <v>44643</v>
      </c>
      <c r="W98" s="26">
        <f t="shared" ca="1" si="5"/>
        <v>0.62248339754877269</v>
      </c>
      <c r="X98" s="29">
        <v>0</v>
      </c>
      <c r="Z98" s="22">
        <v>44643</v>
      </c>
      <c r="AA98" s="26">
        <f t="shared" ca="1" si="6"/>
        <v>0.91718363218981791</v>
      </c>
      <c r="AB98" s="29">
        <v>0</v>
      </c>
      <c r="AC98"/>
      <c r="AD98" s="25"/>
      <c r="AF98" s="22">
        <v>44643</v>
      </c>
      <c r="AG98" s="26">
        <f t="shared" ca="1" si="7"/>
        <v>0.84322226472620954</v>
      </c>
      <c r="AH98" s="29">
        <v>0</v>
      </c>
      <c r="AJ98" s="22">
        <v>44643</v>
      </c>
      <c r="AK98" s="26">
        <f t="shared" ca="1" si="8"/>
        <v>0.27763608708843845</v>
      </c>
      <c r="AL98" s="29">
        <v>0</v>
      </c>
      <c r="AN98" s="22">
        <v>44643</v>
      </c>
      <c r="AO98" s="26">
        <f t="shared" ca="1" si="9"/>
        <v>0.20173281837938972</v>
      </c>
      <c r="AP98" s="29">
        <v>0</v>
      </c>
      <c r="AR98" s="22">
        <v>44643</v>
      </c>
      <c r="AS98" s="26">
        <f t="shared" ca="1" si="10"/>
        <v>0.46600169533718139</v>
      </c>
      <c r="AT98" s="29">
        <v>0</v>
      </c>
      <c r="AV98" s="22">
        <v>44643</v>
      </c>
      <c r="AW98" s="26">
        <f t="shared" ca="1" si="11"/>
        <v>0.81333796361864974</v>
      </c>
      <c r="AX98" s="29">
        <v>0</v>
      </c>
      <c r="AZ98" s="22">
        <v>44643</v>
      </c>
      <c r="BA98" s="26">
        <f t="shared" ca="1" si="12"/>
        <v>0.65624373225282939</v>
      </c>
      <c r="BB98" s="29">
        <v>0</v>
      </c>
      <c r="BC98"/>
      <c r="BD98" s="25"/>
      <c r="BF98" s="22">
        <v>44643</v>
      </c>
      <c r="BG98" s="26">
        <f t="shared" ca="1" si="13"/>
        <v>0.65226369373234649</v>
      </c>
      <c r="BH98" s="29">
        <v>0</v>
      </c>
      <c r="BJ98" s="22">
        <v>44643</v>
      </c>
      <c r="BK98" s="26">
        <f t="shared" ca="1" si="14"/>
        <v>0.32876970614520795</v>
      </c>
      <c r="BL98" s="29">
        <v>0</v>
      </c>
      <c r="BN98" s="22">
        <v>44643</v>
      </c>
      <c r="BO98" s="26">
        <f t="shared" ca="1" si="15"/>
        <v>0.12310915879338669</v>
      </c>
      <c r="BP98" s="29">
        <v>0</v>
      </c>
      <c r="BR98" s="22">
        <v>44643</v>
      </c>
      <c r="BS98" s="26">
        <f t="shared" ca="1" si="16"/>
        <v>0.95727774454847614</v>
      </c>
      <c r="BT98" s="29">
        <v>0</v>
      </c>
      <c r="BV98" s="22">
        <v>44643</v>
      </c>
      <c r="BW98" s="26">
        <f t="shared" ca="1" si="17"/>
        <v>0.97195312070717854</v>
      </c>
      <c r="BX98" s="29">
        <v>0</v>
      </c>
    </row>
    <row r="99" spans="2:77" ht="12.75" x14ac:dyDescent="0.2">
      <c r="B99" s="22">
        <v>44644</v>
      </c>
      <c r="C99" s="26">
        <f t="shared" ca="1" si="0"/>
        <v>0.33433715087054339</v>
      </c>
      <c r="D99" s="29">
        <f t="shared" ca="1" si="22"/>
        <v>67</v>
      </c>
      <c r="F99" s="22">
        <v>44644</v>
      </c>
      <c r="G99" s="26">
        <f t="shared" ca="1" si="1"/>
        <v>0.80714851007989241</v>
      </c>
      <c r="H99" s="29">
        <v>0</v>
      </c>
      <c r="J99" s="22">
        <v>44644</v>
      </c>
      <c r="K99" s="26">
        <f t="shared" ca="1" si="2"/>
        <v>0.74496356862804336</v>
      </c>
      <c r="L99" s="29">
        <v>0</v>
      </c>
      <c r="N99" s="22">
        <v>44644</v>
      </c>
      <c r="O99" s="26">
        <f t="shared" ca="1" si="3"/>
        <v>0.95650982682030827</v>
      </c>
      <c r="P99" s="29">
        <v>0</v>
      </c>
      <c r="R99" s="22">
        <v>44644</v>
      </c>
      <c r="S99" s="26">
        <f t="shared" ca="1" si="4"/>
        <v>0.744605091469833</v>
      </c>
      <c r="T99" s="29">
        <v>0</v>
      </c>
      <c r="V99" s="22">
        <v>44644</v>
      </c>
      <c r="W99" s="26">
        <f t="shared" ca="1" si="5"/>
        <v>0.15786862671008517</v>
      </c>
      <c r="X99" s="29">
        <v>0</v>
      </c>
      <c r="Z99" s="22">
        <v>44644</v>
      </c>
      <c r="AA99" s="26">
        <f t="shared" ca="1" si="6"/>
        <v>0.18907199295513744</v>
      </c>
      <c r="AB99" s="29">
        <v>0</v>
      </c>
      <c r="AC99"/>
      <c r="AD99" s="25"/>
      <c r="AF99" s="22">
        <v>44644</v>
      </c>
      <c r="AG99" s="26">
        <f t="shared" ca="1" si="7"/>
        <v>0.28904944122030252</v>
      </c>
      <c r="AH99" s="29">
        <v>0</v>
      </c>
      <c r="AJ99" s="22">
        <v>44644</v>
      </c>
      <c r="AK99" s="26">
        <f t="shared" ca="1" si="8"/>
        <v>0.75887663995984911</v>
      </c>
      <c r="AL99" s="29">
        <v>0</v>
      </c>
      <c r="AN99" s="22">
        <v>44644</v>
      </c>
      <c r="AO99" s="26">
        <f t="shared" ca="1" si="9"/>
        <v>0.63383099519888286</v>
      </c>
      <c r="AP99" s="29">
        <v>0</v>
      </c>
      <c r="AR99" s="22">
        <v>44644</v>
      </c>
      <c r="AS99" s="26">
        <f t="shared" ca="1" si="10"/>
        <v>1.5219902673486496E-2</v>
      </c>
      <c r="AT99" s="29">
        <v>0</v>
      </c>
      <c r="AV99" s="22">
        <v>44644</v>
      </c>
      <c r="AW99" s="26">
        <f t="shared" ca="1" si="11"/>
        <v>0.25092131232640202</v>
      </c>
      <c r="AX99" s="29">
        <v>0</v>
      </c>
      <c r="AZ99" s="22">
        <v>44644</v>
      </c>
      <c r="BA99" s="26">
        <f t="shared" ca="1" si="12"/>
        <v>0.20033014082375655</v>
      </c>
      <c r="BB99" s="29">
        <v>0</v>
      </c>
      <c r="BC99"/>
      <c r="BD99" s="25"/>
      <c r="BF99" s="22">
        <v>44644</v>
      </c>
      <c r="BG99" s="26">
        <f t="shared" ca="1" si="13"/>
        <v>0.35149205814205331</v>
      </c>
      <c r="BH99" s="29">
        <v>0</v>
      </c>
      <c r="BJ99" s="22">
        <v>44644</v>
      </c>
      <c r="BK99" s="26">
        <f t="shared" ca="1" si="14"/>
        <v>0.68384052767413328</v>
      </c>
      <c r="BL99" s="29">
        <v>0</v>
      </c>
      <c r="BN99" s="22">
        <v>44644</v>
      </c>
      <c r="BO99" s="26">
        <f t="shared" ca="1" si="15"/>
        <v>0.17352832597339596</v>
      </c>
      <c r="BP99" s="29">
        <v>0</v>
      </c>
      <c r="BR99" s="22">
        <v>44644</v>
      </c>
      <c r="BS99" s="26">
        <f t="shared" ca="1" si="16"/>
        <v>0.33126028592323586</v>
      </c>
      <c r="BT99" s="29">
        <v>0</v>
      </c>
      <c r="BV99" s="22">
        <v>44644</v>
      </c>
      <c r="BW99" s="26">
        <f t="shared" ca="1" si="17"/>
        <v>0.32265946600349205</v>
      </c>
      <c r="BX99" s="29">
        <v>0</v>
      </c>
    </row>
    <row r="100" spans="2:77" ht="12.75" x14ac:dyDescent="0.2">
      <c r="B100" s="22">
        <v>44645</v>
      </c>
      <c r="C100" s="26">
        <f t="shared" ca="1" si="0"/>
        <v>0.96534060775466646</v>
      </c>
      <c r="D100" s="29">
        <f t="shared" ca="1" si="22"/>
        <v>112</v>
      </c>
      <c r="F100" s="22">
        <v>44645</v>
      </c>
      <c r="G100" s="26">
        <f t="shared" ca="1" si="1"/>
        <v>0.86821523594637795</v>
      </c>
      <c r="H100" s="29">
        <v>0</v>
      </c>
      <c r="J100" s="22">
        <v>44645</v>
      </c>
      <c r="K100" s="26">
        <f t="shared" ca="1" si="2"/>
        <v>0.56779766791635466</v>
      </c>
      <c r="L100" s="29">
        <v>0</v>
      </c>
      <c r="N100" s="22">
        <v>44645</v>
      </c>
      <c r="O100" s="26">
        <f t="shared" ca="1" si="3"/>
        <v>0.61706391999709787</v>
      </c>
      <c r="P100" s="29">
        <v>0</v>
      </c>
      <c r="R100" s="22">
        <v>44645</v>
      </c>
      <c r="S100" s="26">
        <f t="shared" ca="1" si="4"/>
        <v>0.88589773656597692</v>
      </c>
      <c r="T100" s="29">
        <v>0</v>
      </c>
      <c r="V100" s="22">
        <v>44645</v>
      </c>
      <c r="W100" s="26">
        <f t="shared" ca="1" si="5"/>
        <v>0.13916123254262569</v>
      </c>
      <c r="X100" s="29">
        <v>0</v>
      </c>
      <c r="Z100" s="22">
        <v>44645</v>
      </c>
      <c r="AA100" s="26">
        <f t="shared" ca="1" si="6"/>
        <v>1.3081445198571573E-2</v>
      </c>
      <c r="AB100" s="29">
        <v>0</v>
      </c>
      <c r="AC100"/>
      <c r="AD100" s="25"/>
      <c r="AF100" s="22">
        <v>44645</v>
      </c>
      <c r="AG100" s="26">
        <f t="shared" ca="1" si="7"/>
        <v>0.93045575125403457</v>
      </c>
      <c r="AH100" s="29">
        <v>0</v>
      </c>
      <c r="AJ100" s="22">
        <v>44645</v>
      </c>
      <c r="AK100" s="26">
        <f t="shared" ca="1" si="8"/>
        <v>0.41823092688193564</v>
      </c>
      <c r="AL100" s="29">
        <v>0</v>
      </c>
      <c r="AN100" s="22">
        <v>44645</v>
      </c>
      <c r="AO100" s="26">
        <f t="shared" ca="1" si="9"/>
        <v>0.54005291310445902</v>
      </c>
      <c r="AP100" s="29">
        <v>0</v>
      </c>
      <c r="AR100" s="22">
        <v>44645</v>
      </c>
      <c r="AS100" s="26">
        <f t="shared" ca="1" si="10"/>
        <v>6.2164273734521824E-3</v>
      </c>
      <c r="AT100" s="29">
        <v>0</v>
      </c>
      <c r="AV100" s="22">
        <v>44645</v>
      </c>
      <c r="AW100" s="26">
        <f t="shared" ca="1" si="11"/>
        <v>0.6531176568388819</v>
      </c>
      <c r="AX100" s="29">
        <v>0</v>
      </c>
      <c r="AZ100" s="22">
        <v>44645</v>
      </c>
      <c r="BA100" s="26">
        <f t="shared" ca="1" si="12"/>
        <v>0.61110498785558942</v>
      </c>
      <c r="BB100" s="29">
        <v>0</v>
      </c>
      <c r="BC100"/>
      <c r="BD100" s="25"/>
      <c r="BF100" s="22">
        <v>44645</v>
      </c>
      <c r="BG100" s="26">
        <f t="shared" ca="1" si="13"/>
        <v>7.7529314333203425E-3</v>
      </c>
      <c r="BH100" s="29">
        <v>0</v>
      </c>
      <c r="BJ100" s="22">
        <v>44645</v>
      </c>
      <c r="BK100" s="26">
        <f t="shared" ca="1" si="14"/>
        <v>3.5787095505894762E-2</v>
      </c>
      <c r="BL100" s="29">
        <v>0</v>
      </c>
      <c r="BN100" s="22">
        <v>44645</v>
      </c>
      <c r="BO100" s="26">
        <f t="shared" ca="1" si="15"/>
        <v>0.89144537916547673</v>
      </c>
      <c r="BP100" s="29">
        <v>0</v>
      </c>
      <c r="BR100" s="22">
        <v>44645</v>
      </c>
      <c r="BS100" s="26">
        <f t="shared" ca="1" si="16"/>
        <v>0.18233695067245426</v>
      </c>
      <c r="BT100" s="29">
        <v>0</v>
      </c>
      <c r="BV100" s="22">
        <v>44645</v>
      </c>
      <c r="BW100" s="26">
        <f t="shared" ca="1" si="17"/>
        <v>0.28338250100708706</v>
      </c>
      <c r="BX100" s="29">
        <v>0</v>
      </c>
    </row>
    <row r="101" spans="2:77" ht="12.75" x14ac:dyDescent="0.2">
      <c r="B101" s="22">
        <v>44646</v>
      </c>
      <c r="C101" s="26">
        <f t="shared" ca="1" si="0"/>
        <v>0.10088787375014219</v>
      </c>
      <c r="D101" s="29">
        <f t="shared" ca="1" si="22"/>
        <v>50</v>
      </c>
      <c r="F101" s="22">
        <v>44646</v>
      </c>
      <c r="G101" s="26">
        <f t="shared" ca="1" si="1"/>
        <v>0.95659570323636678</v>
      </c>
      <c r="H101" s="29">
        <v>0</v>
      </c>
      <c r="J101" s="22">
        <v>44646</v>
      </c>
      <c r="K101" s="26">
        <f t="shared" ca="1" si="2"/>
        <v>0.97253928133494583</v>
      </c>
      <c r="L101" s="29">
        <v>0</v>
      </c>
      <c r="N101" s="22">
        <v>44646</v>
      </c>
      <c r="O101" s="26">
        <f t="shared" ca="1" si="3"/>
        <v>0.62909407933204087</v>
      </c>
      <c r="P101" s="29">
        <v>0</v>
      </c>
      <c r="R101" s="22">
        <v>44646</v>
      </c>
      <c r="S101" s="26">
        <f t="shared" ca="1" si="4"/>
        <v>0.36923675469886807</v>
      </c>
      <c r="T101" s="29">
        <v>0</v>
      </c>
      <c r="V101" s="22">
        <v>44646</v>
      </c>
      <c r="W101" s="26">
        <f t="shared" ca="1" si="5"/>
        <v>0.46431409966024739</v>
      </c>
      <c r="X101" s="29">
        <v>0</v>
      </c>
      <c r="Z101" s="22">
        <v>44646</v>
      </c>
      <c r="AA101" s="26">
        <f t="shared" ca="1" si="6"/>
        <v>0.87890467329435484</v>
      </c>
      <c r="AB101" s="29">
        <v>0</v>
      </c>
      <c r="AC101"/>
      <c r="AD101" s="25"/>
      <c r="AF101" s="22">
        <v>44646</v>
      </c>
      <c r="AG101" s="26">
        <f t="shared" ca="1" si="7"/>
        <v>0.60484595515744466</v>
      </c>
      <c r="AH101" s="29">
        <v>0</v>
      </c>
      <c r="AJ101" s="22">
        <v>44646</v>
      </c>
      <c r="AK101" s="26">
        <f t="shared" ca="1" si="8"/>
        <v>0.51828909050889715</v>
      </c>
      <c r="AL101" s="29">
        <v>0</v>
      </c>
      <c r="AN101" s="22">
        <v>44646</v>
      </c>
      <c r="AO101" s="26">
        <f t="shared" ca="1" si="9"/>
        <v>3.4263843343113498E-2</v>
      </c>
      <c r="AP101" s="29">
        <v>0</v>
      </c>
      <c r="AR101" s="22">
        <v>44646</v>
      </c>
      <c r="AS101" s="26">
        <f t="shared" ca="1" si="10"/>
        <v>0.9971786617467715</v>
      </c>
      <c r="AT101" s="29">
        <v>0</v>
      </c>
      <c r="AV101" s="22">
        <v>44646</v>
      </c>
      <c r="AW101" s="26">
        <f t="shared" ca="1" si="11"/>
        <v>5.7014839456601352E-2</v>
      </c>
      <c r="AX101" s="29">
        <v>0</v>
      </c>
      <c r="AZ101" s="22">
        <v>44646</v>
      </c>
      <c r="BA101" s="26">
        <f t="shared" ca="1" si="12"/>
        <v>0.80209375134912153</v>
      </c>
      <c r="BB101" s="29">
        <v>0</v>
      </c>
      <c r="BC101"/>
      <c r="BD101" s="25"/>
      <c r="BF101" s="22">
        <v>44646</v>
      </c>
      <c r="BG101" s="26">
        <f t="shared" ca="1" si="13"/>
        <v>1.1382704070723504E-2</v>
      </c>
      <c r="BH101" s="29">
        <v>0</v>
      </c>
      <c r="BJ101" s="22">
        <v>44646</v>
      </c>
      <c r="BK101" s="26">
        <f t="shared" ca="1" si="14"/>
        <v>0.37664270746797834</v>
      </c>
      <c r="BL101" s="29">
        <v>0</v>
      </c>
      <c r="BN101" s="22">
        <v>44646</v>
      </c>
      <c r="BO101" s="26">
        <f t="shared" ca="1" si="15"/>
        <v>0.34773183156841159</v>
      </c>
      <c r="BP101" s="29">
        <v>0</v>
      </c>
      <c r="BR101" s="22">
        <v>44646</v>
      </c>
      <c r="BS101" s="26">
        <f t="shared" ca="1" si="16"/>
        <v>0.71374329113592438</v>
      </c>
      <c r="BT101" s="29">
        <v>0</v>
      </c>
      <c r="BV101" s="22">
        <v>44646</v>
      </c>
      <c r="BW101" s="26">
        <f t="shared" ca="1" si="17"/>
        <v>0.48192407690692085</v>
      </c>
      <c r="BX101" s="29">
        <v>0</v>
      </c>
    </row>
    <row r="102" spans="2:77" ht="12.75" x14ac:dyDescent="0.2">
      <c r="B102" s="22">
        <v>44647</v>
      </c>
      <c r="C102" s="26">
        <f t="shared" ca="1" si="0"/>
        <v>0.50997771085196564</v>
      </c>
      <c r="D102" s="29">
        <f t="shared" ca="1" si="22"/>
        <v>76</v>
      </c>
      <c r="F102" s="22">
        <v>44647</v>
      </c>
      <c r="G102" s="26">
        <f t="shared" ca="1" si="1"/>
        <v>0.24627097072614157</v>
      </c>
      <c r="H102" s="29">
        <v>0</v>
      </c>
      <c r="J102" s="22">
        <v>44647</v>
      </c>
      <c r="K102" s="26">
        <f t="shared" ca="1" si="2"/>
        <v>0.93903482564146012</v>
      </c>
      <c r="L102" s="29">
        <v>0</v>
      </c>
      <c r="N102" s="22">
        <v>44647</v>
      </c>
      <c r="O102" s="26">
        <f t="shared" ca="1" si="3"/>
        <v>8.5921350164318233E-2</v>
      </c>
      <c r="P102" s="29">
        <v>0</v>
      </c>
      <c r="R102" s="22">
        <v>44647</v>
      </c>
      <c r="S102" s="26">
        <f t="shared" ca="1" si="4"/>
        <v>0.38432962864726117</v>
      </c>
      <c r="T102" s="29">
        <v>0</v>
      </c>
      <c r="V102" s="22">
        <v>44647</v>
      </c>
      <c r="W102" s="26">
        <f t="shared" ca="1" si="5"/>
        <v>0.50056044034164737</v>
      </c>
      <c r="X102" s="29">
        <v>0</v>
      </c>
      <c r="Z102" s="22">
        <v>44647</v>
      </c>
      <c r="AA102" s="26">
        <f t="shared" ca="1" si="6"/>
        <v>0.64712274318178331</v>
      </c>
      <c r="AB102" s="29">
        <v>0</v>
      </c>
      <c r="AC102"/>
      <c r="AD102" s="25"/>
      <c r="AF102" s="22">
        <v>44647</v>
      </c>
      <c r="AG102" s="26">
        <f t="shared" ca="1" si="7"/>
        <v>0.95715034789588049</v>
      </c>
      <c r="AH102" s="29">
        <v>0</v>
      </c>
      <c r="AJ102" s="22">
        <v>44647</v>
      </c>
      <c r="AK102" s="26">
        <f t="shared" ca="1" si="8"/>
        <v>0.98004440777779567</v>
      </c>
      <c r="AL102" s="29">
        <v>0</v>
      </c>
      <c r="AN102" s="22">
        <v>44647</v>
      </c>
      <c r="AO102" s="26">
        <f t="shared" ca="1" si="9"/>
        <v>0.87632849977067717</v>
      </c>
      <c r="AP102" s="29">
        <v>0</v>
      </c>
      <c r="AR102" s="22">
        <v>44647</v>
      </c>
      <c r="AS102" s="26">
        <f t="shared" ca="1" si="10"/>
        <v>0.44483238556755023</v>
      </c>
      <c r="AT102" s="29">
        <v>0</v>
      </c>
      <c r="AV102" s="22">
        <v>44647</v>
      </c>
      <c r="AW102" s="26">
        <f t="shared" ca="1" si="11"/>
        <v>0.28599088645155823</v>
      </c>
      <c r="AX102" s="29">
        <v>0</v>
      </c>
      <c r="AZ102" s="22">
        <v>44647</v>
      </c>
      <c r="BA102" s="26">
        <f t="shared" ca="1" si="12"/>
        <v>0.79226331617275947</v>
      </c>
      <c r="BB102" s="29">
        <v>0</v>
      </c>
      <c r="BC102"/>
      <c r="BD102" s="25"/>
      <c r="BF102" s="22">
        <v>44647</v>
      </c>
      <c r="BG102" s="26">
        <f t="shared" ca="1" si="13"/>
        <v>0.95986369533743743</v>
      </c>
      <c r="BH102" s="29">
        <v>0</v>
      </c>
      <c r="BJ102" s="22">
        <v>44647</v>
      </c>
      <c r="BK102" s="26">
        <f t="shared" ca="1" si="14"/>
        <v>0.2181593255807619</v>
      </c>
      <c r="BL102" s="29">
        <v>0</v>
      </c>
      <c r="BN102" s="22">
        <v>44647</v>
      </c>
      <c r="BO102" s="26">
        <f t="shared" ca="1" si="15"/>
        <v>0.60665333198197702</v>
      </c>
      <c r="BP102" s="29">
        <v>0</v>
      </c>
      <c r="BR102" s="22">
        <v>44647</v>
      </c>
      <c r="BS102" s="26">
        <f t="shared" ca="1" si="16"/>
        <v>0.94878861589893038</v>
      </c>
      <c r="BT102" s="29">
        <v>0</v>
      </c>
      <c r="BV102" s="22">
        <v>44647</v>
      </c>
      <c r="BW102" s="26">
        <f t="shared" ca="1" si="17"/>
        <v>0.17882728092262534</v>
      </c>
      <c r="BX102" s="29">
        <v>0</v>
      </c>
    </row>
    <row r="103" spans="2:77" ht="12.75" x14ac:dyDescent="0.2">
      <c r="B103" s="22">
        <v>44648</v>
      </c>
      <c r="C103" s="26">
        <f t="shared" ca="1" si="0"/>
        <v>0.15109927840867055</v>
      </c>
      <c r="D103" s="29">
        <f t="shared" ca="1" si="22"/>
        <v>55</v>
      </c>
      <c r="F103" s="22">
        <v>44648</v>
      </c>
      <c r="G103" s="26">
        <f t="shared" ca="1" si="1"/>
        <v>0.68782653518620263</v>
      </c>
      <c r="H103" s="29">
        <v>0</v>
      </c>
      <c r="J103" s="22">
        <v>44648</v>
      </c>
      <c r="K103" s="26">
        <f t="shared" ca="1" si="2"/>
        <v>0.5103325408473498</v>
      </c>
      <c r="L103" s="29">
        <v>0</v>
      </c>
      <c r="N103" s="22">
        <v>44648</v>
      </c>
      <c r="O103" s="26">
        <f t="shared" ca="1" si="3"/>
        <v>2.2379752459743885E-2</v>
      </c>
      <c r="P103" s="29">
        <v>0</v>
      </c>
      <c r="R103" s="22">
        <v>44648</v>
      </c>
      <c r="S103" s="26">
        <f t="shared" ca="1" si="4"/>
        <v>0.42071213830615362</v>
      </c>
      <c r="T103" s="29">
        <v>0</v>
      </c>
      <c r="V103" s="22">
        <v>44648</v>
      </c>
      <c r="W103" s="26">
        <f t="shared" ca="1" si="5"/>
        <v>0.24881952550140196</v>
      </c>
      <c r="X103" s="29">
        <v>0</v>
      </c>
      <c r="Z103" s="22">
        <v>44648</v>
      </c>
      <c r="AA103" s="26">
        <f t="shared" ca="1" si="6"/>
        <v>0.43618430822331644</v>
      </c>
      <c r="AB103" s="29">
        <v>0</v>
      </c>
      <c r="AC103"/>
      <c r="AD103" s="25"/>
      <c r="AF103" s="22">
        <v>44648</v>
      </c>
      <c r="AG103" s="26">
        <f t="shared" ca="1" si="7"/>
        <v>0.37014413304482974</v>
      </c>
      <c r="AH103" s="29">
        <v>0</v>
      </c>
      <c r="AJ103" s="22">
        <v>44648</v>
      </c>
      <c r="AK103" s="26">
        <f t="shared" ca="1" si="8"/>
        <v>0.90583752018922048</v>
      </c>
      <c r="AL103" s="29">
        <v>0</v>
      </c>
      <c r="AN103" s="22">
        <v>44648</v>
      </c>
      <c r="AO103" s="26">
        <f t="shared" ca="1" si="9"/>
        <v>0.67912139171944619</v>
      </c>
      <c r="AP103" s="29">
        <v>0</v>
      </c>
      <c r="AR103" s="22">
        <v>44648</v>
      </c>
      <c r="AS103" s="26">
        <f t="shared" ca="1" si="10"/>
        <v>0.10822117461695668</v>
      </c>
      <c r="AT103" s="29">
        <v>0</v>
      </c>
      <c r="AV103" s="22">
        <v>44648</v>
      </c>
      <c r="AW103" s="26">
        <f t="shared" ca="1" si="11"/>
        <v>0.24319837092438801</v>
      </c>
      <c r="AX103" s="29">
        <v>0</v>
      </c>
      <c r="AZ103" s="22">
        <v>44648</v>
      </c>
      <c r="BA103" s="26">
        <f t="shared" ca="1" si="12"/>
        <v>0.74098811550780141</v>
      </c>
      <c r="BB103" s="29">
        <v>0</v>
      </c>
      <c r="BC103"/>
      <c r="BD103" s="25"/>
      <c r="BF103" s="22">
        <v>44648</v>
      </c>
      <c r="BG103" s="26">
        <f t="shared" ca="1" si="13"/>
        <v>0.12168073827778036</v>
      </c>
      <c r="BH103" s="29">
        <v>0</v>
      </c>
      <c r="BJ103" s="22">
        <v>44648</v>
      </c>
      <c r="BK103" s="26">
        <f t="shared" ca="1" si="14"/>
        <v>9.1917637720095424E-2</v>
      </c>
      <c r="BL103" s="29">
        <v>0</v>
      </c>
      <c r="BN103" s="22">
        <v>44648</v>
      </c>
      <c r="BO103" s="26">
        <f t="shared" ca="1" si="15"/>
        <v>0.15269567545975005</v>
      </c>
      <c r="BP103" s="29">
        <v>0</v>
      </c>
      <c r="BR103" s="22">
        <v>44648</v>
      </c>
      <c r="BS103" s="26">
        <f t="shared" ca="1" si="16"/>
        <v>0.47048005019128603</v>
      </c>
      <c r="BT103" s="29">
        <v>0</v>
      </c>
      <c r="BV103" s="22">
        <v>44648</v>
      </c>
      <c r="BW103" s="26">
        <f t="shared" ca="1" si="17"/>
        <v>0.34544271284842976</v>
      </c>
      <c r="BX103" s="29">
        <v>0</v>
      </c>
    </row>
    <row r="104" spans="2:77" ht="12.75" x14ac:dyDescent="0.2">
      <c r="B104" s="22">
        <v>44649</v>
      </c>
      <c r="C104" s="26">
        <f t="shared" ca="1" si="0"/>
        <v>0.8006068520095071</v>
      </c>
      <c r="D104" s="29">
        <f t="shared" ca="1" si="22"/>
        <v>92</v>
      </c>
      <c r="F104" s="22">
        <v>44649</v>
      </c>
      <c r="G104" s="26">
        <f t="shared" ca="1" si="1"/>
        <v>0.58635165891702812</v>
      </c>
      <c r="H104" s="29">
        <v>0</v>
      </c>
      <c r="J104" s="22">
        <v>44649</v>
      </c>
      <c r="K104" s="26">
        <f t="shared" ca="1" si="2"/>
        <v>0.58704946308335371</v>
      </c>
      <c r="L104" s="29">
        <v>0</v>
      </c>
      <c r="N104" s="22">
        <v>44649</v>
      </c>
      <c r="O104" s="26">
        <f t="shared" ca="1" si="3"/>
        <v>0.68273961592182675</v>
      </c>
      <c r="P104" s="29">
        <v>0</v>
      </c>
      <c r="R104" s="22">
        <v>44649</v>
      </c>
      <c r="S104" s="26">
        <f t="shared" ca="1" si="4"/>
        <v>0.50661689234998053</v>
      </c>
      <c r="T104" s="29">
        <v>0</v>
      </c>
      <c r="V104" s="22">
        <v>44649</v>
      </c>
      <c r="W104" s="26">
        <f t="shared" ca="1" si="5"/>
        <v>0.34505312469513294</v>
      </c>
      <c r="X104" s="29">
        <v>0</v>
      </c>
      <c r="Z104" s="22">
        <v>44649</v>
      </c>
      <c r="AA104" s="26">
        <f t="shared" ca="1" si="6"/>
        <v>0.86575142748465705</v>
      </c>
      <c r="AB104" s="29">
        <v>0</v>
      </c>
      <c r="AC104"/>
      <c r="AD104" s="25"/>
      <c r="AF104" s="22">
        <v>44649</v>
      </c>
      <c r="AG104" s="26">
        <f t="shared" ca="1" si="7"/>
        <v>0.86959829661596633</v>
      </c>
      <c r="AH104" s="29">
        <v>0</v>
      </c>
      <c r="AJ104" s="22">
        <v>44649</v>
      </c>
      <c r="AK104" s="26">
        <f t="shared" ca="1" si="8"/>
        <v>0.53821054287877179</v>
      </c>
      <c r="AL104" s="29">
        <v>0</v>
      </c>
      <c r="AN104" s="22">
        <v>44649</v>
      </c>
      <c r="AO104" s="26">
        <f t="shared" ca="1" si="9"/>
        <v>0.80425467281878582</v>
      </c>
      <c r="AP104" s="29">
        <v>0</v>
      </c>
      <c r="AR104" s="22">
        <v>44649</v>
      </c>
      <c r="AS104" s="26">
        <f t="shared" ca="1" si="10"/>
        <v>0.58934852661242021</v>
      </c>
      <c r="AT104" s="29">
        <v>0</v>
      </c>
      <c r="AV104" s="22">
        <v>44649</v>
      </c>
      <c r="AW104" s="26">
        <f t="shared" ca="1" si="11"/>
        <v>7.4005149640496648E-2</v>
      </c>
      <c r="AX104" s="29">
        <v>0</v>
      </c>
      <c r="AZ104" s="22">
        <v>44649</v>
      </c>
      <c r="BA104" s="26">
        <f t="shared" ca="1" si="12"/>
        <v>0.21240689067141949</v>
      </c>
      <c r="BB104" s="29">
        <v>0</v>
      </c>
      <c r="BC104"/>
      <c r="BD104" s="25"/>
      <c r="BF104" s="22">
        <v>44649</v>
      </c>
      <c r="BG104" s="26">
        <f t="shared" ca="1" si="13"/>
        <v>0.65222765935184635</v>
      </c>
      <c r="BH104" s="29">
        <v>0</v>
      </c>
      <c r="BJ104" s="22">
        <v>44649</v>
      </c>
      <c r="BK104" s="26">
        <f t="shared" ca="1" si="14"/>
        <v>0.89280779667426913</v>
      </c>
      <c r="BL104" s="29">
        <v>0</v>
      </c>
      <c r="BN104" s="22">
        <v>44649</v>
      </c>
      <c r="BO104" s="26">
        <f t="shared" ca="1" si="15"/>
        <v>0.57027423405627897</v>
      </c>
      <c r="BP104" s="29">
        <v>0</v>
      </c>
      <c r="BR104" s="22">
        <v>44649</v>
      </c>
      <c r="BS104" s="26">
        <f t="shared" ca="1" si="16"/>
        <v>0.42928957779568289</v>
      </c>
      <c r="BT104" s="29">
        <v>0</v>
      </c>
      <c r="BV104" s="22">
        <v>44649</v>
      </c>
      <c r="BW104" s="26">
        <f t="shared" ca="1" si="17"/>
        <v>0.54325694611909858</v>
      </c>
      <c r="BX104" s="29">
        <v>0</v>
      </c>
    </row>
    <row r="105" spans="2:77" ht="12.75" x14ac:dyDescent="0.2">
      <c r="B105" s="22">
        <v>44650</v>
      </c>
      <c r="C105" s="26">
        <f t="shared" ca="1" si="0"/>
        <v>0.19580362219685976</v>
      </c>
      <c r="D105" s="29">
        <f t="shared" ca="1" si="22"/>
        <v>58</v>
      </c>
      <c r="F105" s="22">
        <v>44650</v>
      </c>
      <c r="G105" s="26">
        <f t="shared" ca="1" si="1"/>
        <v>0.70674665656451841</v>
      </c>
      <c r="H105" s="29">
        <v>0</v>
      </c>
      <c r="J105" s="22">
        <v>44650</v>
      </c>
      <c r="K105" s="26">
        <f t="shared" ca="1" si="2"/>
        <v>0.49691144617910277</v>
      </c>
      <c r="L105" s="29">
        <v>0</v>
      </c>
      <c r="N105" s="22">
        <v>44650</v>
      </c>
      <c r="O105" s="26">
        <f t="shared" ca="1" si="3"/>
        <v>0.32589123379629359</v>
      </c>
      <c r="P105" s="29">
        <v>0</v>
      </c>
      <c r="R105" s="22">
        <v>44650</v>
      </c>
      <c r="S105" s="26">
        <f t="shared" ca="1" si="4"/>
        <v>0.71578564992857119</v>
      </c>
      <c r="T105" s="29">
        <v>0</v>
      </c>
      <c r="V105" s="22">
        <v>44650</v>
      </c>
      <c r="W105" s="26">
        <f t="shared" ca="1" si="5"/>
        <v>6.4392887611403826E-2</v>
      </c>
      <c r="X105" s="29">
        <v>0</v>
      </c>
      <c r="Z105" s="22">
        <v>44650</v>
      </c>
      <c r="AA105" s="26">
        <f t="shared" ca="1" si="6"/>
        <v>0.13516060172447431</v>
      </c>
      <c r="AB105" s="29">
        <v>0</v>
      </c>
      <c r="AC105"/>
      <c r="AD105" s="25"/>
      <c r="AF105" s="22">
        <v>44650</v>
      </c>
      <c r="AG105" s="26">
        <f t="shared" ca="1" si="7"/>
        <v>0.70115868395409764</v>
      </c>
      <c r="AH105" s="29">
        <v>0</v>
      </c>
      <c r="AJ105" s="22">
        <v>44650</v>
      </c>
      <c r="AK105" s="26">
        <f t="shared" ca="1" si="8"/>
        <v>0.40537502843160855</v>
      </c>
      <c r="AL105" s="29">
        <v>0</v>
      </c>
      <c r="AN105" s="22">
        <v>44650</v>
      </c>
      <c r="AO105" s="26">
        <f t="shared" ca="1" si="9"/>
        <v>0.19904863946354012</v>
      </c>
      <c r="AP105" s="29">
        <v>0</v>
      </c>
      <c r="AR105" s="22">
        <v>44650</v>
      </c>
      <c r="AS105" s="26">
        <f t="shared" ca="1" si="10"/>
        <v>0.19329170330278556</v>
      </c>
      <c r="AT105" s="29">
        <v>0</v>
      </c>
      <c r="AV105" s="22">
        <v>44650</v>
      </c>
      <c r="AW105" s="26">
        <f t="shared" ca="1" si="11"/>
        <v>0.42863568264697505</v>
      </c>
      <c r="AX105" s="29">
        <v>0</v>
      </c>
      <c r="AZ105" s="22">
        <v>44650</v>
      </c>
      <c r="BA105" s="26">
        <f t="shared" ca="1" si="12"/>
        <v>0.22565637528662041</v>
      </c>
      <c r="BB105" s="29">
        <v>0</v>
      </c>
      <c r="BC105"/>
      <c r="BD105" s="25"/>
      <c r="BF105" s="22">
        <v>44650</v>
      </c>
      <c r="BG105" s="26">
        <f t="shared" ca="1" si="13"/>
        <v>0.62730468512224213</v>
      </c>
      <c r="BH105" s="29">
        <v>0</v>
      </c>
      <c r="BJ105" s="22">
        <v>44650</v>
      </c>
      <c r="BK105" s="26">
        <f t="shared" ca="1" si="14"/>
        <v>0.72813051750454516</v>
      </c>
      <c r="BL105" s="29">
        <v>0</v>
      </c>
      <c r="BN105" s="22">
        <v>44650</v>
      </c>
      <c r="BO105" s="26">
        <f t="shared" ca="1" si="15"/>
        <v>0.48027149944760972</v>
      </c>
      <c r="BP105" s="29">
        <v>0</v>
      </c>
      <c r="BR105" s="22">
        <v>44650</v>
      </c>
      <c r="BS105" s="26">
        <f t="shared" ca="1" si="16"/>
        <v>0.6804380300472006</v>
      </c>
      <c r="BT105" s="29">
        <v>0</v>
      </c>
      <c r="BV105" s="22">
        <v>44650</v>
      </c>
      <c r="BW105" s="26">
        <f t="shared" ca="1" si="17"/>
        <v>0.54945447240418233</v>
      </c>
      <c r="BX105" s="29">
        <v>0</v>
      </c>
    </row>
    <row r="106" spans="2:77" ht="12.75" x14ac:dyDescent="0.2">
      <c r="B106" s="22">
        <v>44651</v>
      </c>
      <c r="C106" s="26">
        <f t="shared" ca="1" si="0"/>
        <v>0.69507210301822719</v>
      </c>
      <c r="D106" s="29">
        <f t="shared" ca="1" si="22"/>
        <v>86</v>
      </c>
      <c r="E106">
        <v>2260</v>
      </c>
      <c r="F106" s="22">
        <v>44651</v>
      </c>
      <c r="G106" s="26">
        <f t="shared" ca="1" si="1"/>
        <v>0.75241754768662805</v>
      </c>
      <c r="H106" s="29">
        <v>0</v>
      </c>
      <c r="I106">
        <v>0</v>
      </c>
      <c r="J106" s="22">
        <v>44651</v>
      </c>
      <c r="K106" s="26">
        <f t="shared" ca="1" si="2"/>
        <v>0.7617106159791821</v>
      </c>
      <c r="L106" s="29">
        <v>0</v>
      </c>
      <c r="M106">
        <v>0</v>
      </c>
      <c r="N106" s="22">
        <v>44651</v>
      </c>
      <c r="O106" s="26">
        <f t="shared" ca="1" si="3"/>
        <v>3.3429923536784645E-2</v>
      </c>
      <c r="P106" s="29">
        <v>0</v>
      </c>
      <c r="Q106">
        <v>0</v>
      </c>
      <c r="R106" s="22">
        <v>44651</v>
      </c>
      <c r="S106" s="26">
        <f t="shared" ca="1" si="4"/>
        <v>0.86836554730436954</v>
      </c>
      <c r="T106" s="29">
        <v>0</v>
      </c>
      <c r="U106">
        <v>0</v>
      </c>
      <c r="V106" s="22">
        <v>44651</v>
      </c>
      <c r="W106" s="26">
        <f t="shared" ca="1" si="5"/>
        <v>0.28764216057911696</v>
      </c>
      <c r="X106" s="29">
        <v>0</v>
      </c>
      <c r="Y106">
        <v>0</v>
      </c>
      <c r="Z106" s="22">
        <v>44651</v>
      </c>
      <c r="AA106" s="26">
        <f t="shared" ca="1" si="6"/>
        <v>0.7301065266117035</v>
      </c>
      <c r="AB106" s="29">
        <v>0</v>
      </c>
      <c r="AC106">
        <v>0</v>
      </c>
      <c r="AD106" s="25"/>
      <c r="AF106" s="22">
        <v>44651</v>
      </c>
      <c r="AG106" s="26">
        <f t="shared" ca="1" si="7"/>
        <v>0.95157877047286055</v>
      </c>
      <c r="AH106" s="29">
        <v>0</v>
      </c>
      <c r="AI106">
        <v>0</v>
      </c>
      <c r="AJ106" s="22">
        <v>44651</v>
      </c>
      <c r="AK106" s="26">
        <f t="shared" ca="1" si="8"/>
        <v>0.64690264523993868</v>
      </c>
      <c r="AL106" s="29">
        <v>0</v>
      </c>
      <c r="AM106">
        <v>0</v>
      </c>
      <c r="AN106" s="22">
        <v>44651</v>
      </c>
      <c r="AO106" s="26">
        <f t="shared" ca="1" si="9"/>
        <v>0.10524368536018402</v>
      </c>
      <c r="AP106" s="29">
        <v>0</v>
      </c>
      <c r="AQ106">
        <v>0</v>
      </c>
      <c r="AR106" s="22">
        <v>44651</v>
      </c>
      <c r="AS106" s="26">
        <f t="shared" ca="1" si="10"/>
        <v>0.78814199216627434</v>
      </c>
      <c r="AT106" s="29">
        <v>0</v>
      </c>
      <c r="AU106">
        <v>0</v>
      </c>
      <c r="AV106" s="22">
        <v>44651</v>
      </c>
      <c r="AW106" s="26">
        <f t="shared" ca="1" si="11"/>
        <v>0.85511398052797449</v>
      </c>
      <c r="AX106" s="29">
        <v>0</v>
      </c>
      <c r="AY106">
        <v>0</v>
      </c>
      <c r="AZ106" s="22">
        <v>44651</v>
      </c>
      <c r="BA106" s="26">
        <f t="shared" ca="1" si="12"/>
        <v>0.92202595556675804</v>
      </c>
      <c r="BB106" s="29">
        <v>0</v>
      </c>
      <c r="BC106">
        <v>0</v>
      </c>
      <c r="BD106" s="25"/>
      <c r="BF106" s="22">
        <v>44651</v>
      </c>
      <c r="BG106" s="26">
        <f t="shared" ca="1" si="13"/>
        <v>0.49298766928542204</v>
      </c>
      <c r="BH106" s="29">
        <v>0</v>
      </c>
      <c r="BI106">
        <v>0</v>
      </c>
      <c r="BJ106" s="22">
        <v>44651</v>
      </c>
      <c r="BK106" s="26">
        <f t="shared" ca="1" si="14"/>
        <v>0.26073335124445296</v>
      </c>
      <c r="BL106" s="29">
        <v>0</v>
      </c>
      <c r="BM106">
        <v>0</v>
      </c>
      <c r="BN106" s="22">
        <v>44651</v>
      </c>
      <c r="BO106" s="26">
        <f t="shared" ca="1" si="15"/>
        <v>0.36472717385790343</v>
      </c>
      <c r="BP106" s="29">
        <v>0</v>
      </c>
      <c r="BQ106">
        <v>0</v>
      </c>
      <c r="BR106" s="22">
        <v>44651</v>
      </c>
      <c r="BS106" s="26">
        <f t="shared" ca="1" si="16"/>
        <v>0.85786763297368152</v>
      </c>
      <c r="BT106" s="29">
        <v>0</v>
      </c>
      <c r="BU106">
        <v>0</v>
      </c>
      <c r="BV106" s="22">
        <v>44651</v>
      </c>
      <c r="BW106" s="26">
        <f t="shared" ca="1" si="17"/>
        <v>0.92517451115377292</v>
      </c>
      <c r="BX106" s="29">
        <v>0</v>
      </c>
      <c r="BY106">
        <v>0</v>
      </c>
    </row>
    <row r="107" spans="2:77" ht="12.75" x14ac:dyDescent="0.2">
      <c r="B107" s="22">
        <v>44652</v>
      </c>
      <c r="C107" s="26">
        <f t="shared" ca="1" si="0"/>
        <v>0.65720007127905078</v>
      </c>
      <c r="D107" s="29">
        <f ca="1">ROUNDUP(_xlfn.NORM.INV(C106,C$10,C$12),0)</f>
        <v>86</v>
      </c>
      <c r="F107" s="22">
        <v>44652</v>
      </c>
      <c r="G107" s="26">
        <f t="shared" ca="1" si="1"/>
        <v>4.4210175963194653E-2</v>
      </c>
      <c r="H107" s="29">
        <v>0</v>
      </c>
      <c r="J107" s="22">
        <v>44652</v>
      </c>
      <c r="K107" s="26">
        <f t="shared" ca="1" si="2"/>
        <v>0.91574016250865464</v>
      </c>
      <c r="L107" s="29">
        <v>0</v>
      </c>
      <c r="N107" s="22">
        <v>44652</v>
      </c>
      <c r="O107" s="26">
        <f t="shared" ca="1" si="3"/>
        <v>0.44159425730506952</v>
      </c>
      <c r="P107" s="29">
        <v>0</v>
      </c>
      <c r="R107" s="22">
        <v>44652</v>
      </c>
      <c r="S107" s="26">
        <f t="shared" ca="1" si="4"/>
        <v>0.10418920891769956</v>
      </c>
      <c r="T107" s="29">
        <v>0</v>
      </c>
      <c r="V107" s="22">
        <v>44652</v>
      </c>
      <c r="W107" s="26">
        <f t="shared" ca="1" si="5"/>
        <v>0.72475459154531419</v>
      </c>
      <c r="X107" s="29">
        <v>0</v>
      </c>
      <c r="Z107" s="22">
        <v>44652</v>
      </c>
      <c r="AA107" s="26">
        <f t="shared" ca="1" si="6"/>
        <v>1.2625398351482686E-2</v>
      </c>
      <c r="AB107" s="29">
        <v>0</v>
      </c>
      <c r="AC107"/>
      <c r="AD107" s="25"/>
      <c r="AF107" s="22">
        <v>44652</v>
      </c>
      <c r="AG107" s="26">
        <f t="shared" ca="1" si="7"/>
        <v>0.48355759870448134</v>
      </c>
      <c r="AH107" s="29">
        <v>0</v>
      </c>
      <c r="AJ107" s="22">
        <v>44652</v>
      </c>
      <c r="AK107" s="26">
        <f t="shared" ca="1" si="8"/>
        <v>0.39993716035447002</v>
      </c>
      <c r="AL107" s="29">
        <v>0</v>
      </c>
      <c r="AN107" s="22">
        <v>44652</v>
      </c>
      <c r="AO107" s="26">
        <f t="shared" ca="1" si="9"/>
        <v>0.20966462278742204</v>
      </c>
      <c r="AP107" s="29">
        <v>0</v>
      </c>
      <c r="AR107" s="22">
        <v>44652</v>
      </c>
      <c r="AS107" s="26">
        <f t="shared" ca="1" si="10"/>
        <v>0.98198777310704843</v>
      </c>
      <c r="AT107" s="29">
        <v>0</v>
      </c>
      <c r="AV107" s="22">
        <v>44652</v>
      </c>
      <c r="AW107" s="26">
        <f t="shared" ca="1" si="11"/>
        <v>0.93996872430236955</v>
      </c>
      <c r="AX107" s="29">
        <v>0</v>
      </c>
      <c r="AZ107" s="22">
        <v>44652</v>
      </c>
      <c r="BA107" s="26">
        <f t="shared" ca="1" si="12"/>
        <v>0.19793844863380106</v>
      </c>
      <c r="BB107" s="29">
        <v>0</v>
      </c>
      <c r="BC107"/>
      <c r="BD107" s="25"/>
      <c r="BF107" s="22">
        <v>44652</v>
      </c>
      <c r="BG107" s="26">
        <f t="shared" ca="1" si="13"/>
        <v>0.31500990127966055</v>
      </c>
      <c r="BH107" s="29">
        <v>0</v>
      </c>
      <c r="BJ107" s="22">
        <v>44652</v>
      </c>
      <c r="BK107" s="26">
        <f t="shared" ca="1" si="14"/>
        <v>0.66159113559121097</v>
      </c>
      <c r="BL107" s="29">
        <v>0</v>
      </c>
      <c r="BN107" s="22">
        <v>44652</v>
      </c>
      <c r="BO107" s="26">
        <f t="shared" ca="1" si="15"/>
        <v>0.21894578021462896</v>
      </c>
      <c r="BP107" s="29">
        <v>0</v>
      </c>
      <c r="BR107" s="22">
        <v>44652</v>
      </c>
      <c r="BS107" s="26">
        <f t="shared" ca="1" si="16"/>
        <v>0.31024877247108584</v>
      </c>
      <c r="BT107" s="29">
        <v>0</v>
      </c>
      <c r="BV107" s="22">
        <v>44652</v>
      </c>
      <c r="BW107" s="26">
        <f t="shared" ca="1" si="17"/>
        <v>0.28895542181184319</v>
      </c>
      <c r="BX107" s="29">
        <v>0</v>
      </c>
    </row>
    <row r="108" spans="2:77" ht="12.75" x14ac:dyDescent="0.2">
      <c r="B108" s="22">
        <v>44653</v>
      </c>
      <c r="C108" s="26">
        <f t="shared" ca="1" si="0"/>
        <v>0.26139308474142342</v>
      </c>
      <c r="D108" s="29">
        <f t="shared" ca="1" si="22"/>
        <v>63</v>
      </c>
      <c r="F108" s="22">
        <v>44653</v>
      </c>
      <c r="G108" s="26">
        <f t="shared" ca="1" si="1"/>
        <v>0.17941836419054469</v>
      </c>
      <c r="H108" s="29">
        <v>0</v>
      </c>
      <c r="J108" s="22">
        <v>44653</v>
      </c>
      <c r="K108" s="26">
        <f t="shared" ca="1" si="2"/>
        <v>0.45858720198506209</v>
      </c>
      <c r="L108" s="29">
        <v>0</v>
      </c>
      <c r="N108" s="22">
        <v>44653</v>
      </c>
      <c r="O108" s="26">
        <f t="shared" ca="1" si="3"/>
        <v>0.92428601682975187</v>
      </c>
      <c r="P108" s="29">
        <v>0</v>
      </c>
      <c r="R108" s="22">
        <v>44653</v>
      </c>
      <c r="S108" s="26">
        <f t="shared" ca="1" si="4"/>
        <v>0.70826187417667763</v>
      </c>
      <c r="T108" s="29">
        <v>0</v>
      </c>
      <c r="V108" s="22">
        <v>44653</v>
      </c>
      <c r="W108" s="26">
        <f t="shared" ca="1" si="5"/>
        <v>0.1687884641303532</v>
      </c>
      <c r="X108" s="29">
        <v>0</v>
      </c>
      <c r="Z108" s="22">
        <v>44653</v>
      </c>
      <c r="AA108" s="26">
        <f t="shared" ca="1" si="6"/>
        <v>0.56309584853595651</v>
      </c>
      <c r="AB108" s="29">
        <v>0</v>
      </c>
      <c r="AC108"/>
      <c r="AD108" s="25"/>
      <c r="AF108" s="22">
        <v>44653</v>
      </c>
      <c r="AG108" s="26">
        <f t="shared" ca="1" si="7"/>
        <v>0.62310999278778945</v>
      </c>
      <c r="AH108" s="29">
        <v>0</v>
      </c>
      <c r="AJ108" s="22">
        <v>44653</v>
      </c>
      <c r="AK108" s="26">
        <f t="shared" ca="1" si="8"/>
        <v>3.7163348477449176E-2</v>
      </c>
      <c r="AL108" s="29">
        <v>0</v>
      </c>
      <c r="AN108" s="22">
        <v>44653</v>
      </c>
      <c r="AO108" s="26">
        <f t="shared" ca="1" si="9"/>
        <v>0.17848081120622683</v>
      </c>
      <c r="AP108" s="29">
        <v>0</v>
      </c>
      <c r="AR108" s="22">
        <v>44653</v>
      </c>
      <c r="AS108" s="26">
        <f t="shared" ca="1" si="10"/>
        <v>0.3718642908271067</v>
      </c>
      <c r="AT108" s="29">
        <v>0</v>
      </c>
      <c r="AV108" s="22">
        <v>44653</v>
      </c>
      <c r="AW108" s="26">
        <f t="shared" ca="1" si="11"/>
        <v>0.92006412190375619</v>
      </c>
      <c r="AX108" s="29">
        <v>0</v>
      </c>
      <c r="AZ108" s="22">
        <v>44653</v>
      </c>
      <c r="BA108" s="26">
        <f t="shared" ca="1" si="12"/>
        <v>0.88444862582674688</v>
      </c>
      <c r="BB108" s="29">
        <v>0</v>
      </c>
      <c r="BC108"/>
      <c r="BD108" s="25"/>
      <c r="BF108" s="22">
        <v>44653</v>
      </c>
      <c r="BG108" s="26">
        <f t="shared" ca="1" si="13"/>
        <v>0.68001649740330483</v>
      </c>
      <c r="BH108" s="29">
        <v>0</v>
      </c>
      <c r="BJ108" s="22">
        <v>44653</v>
      </c>
      <c r="BK108" s="26">
        <f t="shared" ca="1" si="14"/>
        <v>0.86895908497716989</v>
      </c>
      <c r="BL108" s="29">
        <v>0</v>
      </c>
      <c r="BN108" s="22">
        <v>44653</v>
      </c>
      <c r="BO108" s="26">
        <f t="shared" ca="1" si="15"/>
        <v>0.54357595329978192</v>
      </c>
      <c r="BP108" s="29">
        <v>0</v>
      </c>
      <c r="BR108" s="22">
        <v>44653</v>
      </c>
      <c r="BS108" s="26">
        <f t="shared" ca="1" si="16"/>
        <v>0.73105327865786396</v>
      </c>
      <c r="BT108" s="29">
        <v>0</v>
      </c>
      <c r="BV108" s="22">
        <v>44653</v>
      </c>
      <c r="BW108" s="26">
        <f t="shared" ca="1" si="17"/>
        <v>0.2434986299271682</v>
      </c>
      <c r="BX108" s="29">
        <v>0</v>
      </c>
    </row>
    <row r="109" spans="2:77" ht="12.75" x14ac:dyDescent="0.2">
      <c r="B109" s="22">
        <v>44654</v>
      </c>
      <c r="C109" s="26">
        <f t="shared" ca="1" si="0"/>
        <v>0.17627423248645957</v>
      </c>
      <c r="D109" s="29">
        <f t="shared" ca="1" si="22"/>
        <v>57</v>
      </c>
      <c r="F109" s="22">
        <v>44654</v>
      </c>
      <c r="G109" s="26">
        <f t="shared" ca="1" si="1"/>
        <v>2.5968540019997488E-2</v>
      </c>
      <c r="H109" s="29">
        <v>0</v>
      </c>
      <c r="J109" s="22">
        <v>44654</v>
      </c>
      <c r="K109" s="26">
        <f t="shared" ca="1" si="2"/>
        <v>0.80449718168078554</v>
      </c>
      <c r="L109" s="29">
        <v>0</v>
      </c>
      <c r="N109" s="22">
        <v>44654</v>
      </c>
      <c r="O109" s="26">
        <f t="shared" ca="1" si="3"/>
        <v>0.34585213665064851</v>
      </c>
      <c r="P109" s="29">
        <v>0</v>
      </c>
      <c r="R109" s="22">
        <v>44654</v>
      </c>
      <c r="S109" s="26">
        <f t="shared" ca="1" si="4"/>
        <v>0.72980605442491109</v>
      </c>
      <c r="T109" s="29">
        <v>0</v>
      </c>
      <c r="V109" s="22">
        <v>44654</v>
      </c>
      <c r="W109" s="26">
        <f t="shared" ca="1" si="5"/>
        <v>0.43071795787469491</v>
      </c>
      <c r="X109" s="29">
        <v>0</v>
      </c>
      <c r="Z109" s="22">
        <v>44654</v>
      </c>
      <c r="AA109" s="26">
        <f t="shared" ca="1" si="6"/>
        <v>0.79163828771112821</v>
      </c>
      <c r="AB109" s="29">
        <v>0</v>
      </c>
      <c r="AC109"/>
      <c r="AD109" s="25"/>
      <c r="AF109" s="22">
        <v>44654</v>
      </c>
      <c r="AG109" s="26">
        <f t="shared" ca="1" si="7"/>
        <v>0.93018963369038965</v>
      </c>
      <c r="AH109" s="29">
        <v>0</v>
      </c>
      <c r="AJ109" s="22">
        <v>44654</v>
      </c>
      <c r="AK109" s="26">
        <f t="shared" ca="1" si="8"/>
        <v>0.30333237449794015</v>
      </c>
      <c r="AL109" s="29">
        <v>0</v>
      </c>
      <c r="AN109" s="22">
        <v>44654</v>
      </c>
      <c r="AO109" s="26">
        <f t="shared" ca="1" si="9"/>
        <v>0.34408994736311871</v>
      </c>
      <c r="AP109" s="29">
        <v>0</v>
      </c>
      <c r="AR109" s="22">
        <v>44654</v>
      </c>
      <c r="AS109" s="26">
        <f t="shared" ca="1" si="10"/>
        <v>6.2989920634010987E-2</v>
      </c>
      <c r="AT109" s="29">
        <v>0</v>
      </c>
      <c r="AV109" s="22">
        <v>44654</v>
      </c>
      <c r="AW109" s="26">
        <f t="shared" ca="1" si="11"/>
        <v>0.5208060933551526</v>
      </c>
      <c r="AX109" s="29">
        <v>0</v>
      </c>
      <c r="AZ109" s="22">
        <v>44654</v>
      </c>
      <c r="BA109" s="26">
        <f t="shared" ca="1" si="12"/>
        <v>0.19471730307898638</v>
      </c>
      <c r="BB109" s="29">
        <v>0</v>
      </c>
      <c r="BC109"/>
      <c r="BD109" s="25"/>
      <c r="BF109" s="22">
        <v>44654</v>
      </c>
      <c r="BG109" s="26">
        <f t="shared" ca="1" si="13"/>
        <v>0.45122489827666434</v>
      </c>
      <c r="BH109" s="29">
        <v>0</v>
      </c>
      <c r="BJ109" s="22">
        <v>44654</v>
      </c>
      <c r="BK109" s="26">
        <f t="shared" ca="1" si="14"/>
        <v>0.67537735602349702</v>
      </c>
      <c r="BL109" s="29">
        <v>0</v>
      </c>
      <c r="BN109" s="22">
        <v>44654</v>
      </c>
      <c r="BO109" s="26">
        <f t="shared" ca="1" si="15"/>
        <v>0.10373133021749603</v>
      </c>
      <c r="BP109" s="29">
        <v>0</v>
      </c>
      <c r="BR109" s="22">
        <v>44654</v>
      </c>
      <c r="BS109" s="26">
        <f t="shared" ca="1" si="16"/>
        <v>0.67488388190967163</v>
      </c>
      <c r="BT109" s="29">
        <v>0</v>
      </c>
      <c r="BV109" s="22">
        <v>44654</v>
      </c>
      <c r="BW109" s="26">
        <f t="shared" ca="1" si="17"/>
        <v>0.78188679287826046</v>
      </c>
      <c r="BX109" s="29">
        <v>0</v>
      </c>
    </row>
    <row r="110" spans="2:77" ht="12.75" x14ac:dyDescent="0.2">
      <c r="B110" s="22">
        <v>44655</v>
      </c>
      <c r="C110" s="26">
        <f t="shared" ca="1" si="0"/>
        <v>0.36112004425387878</v>
      </c>
      <c r="D110" s="29">
        <f t="shared" ca="1" si="22"/>
        <v>68</v>
      </c>
      <c r="F110" s="22">
        <v>44655</v>
      </c>
      <c r="G110" s="26">
        <f t="shared" ca="1" si="1"/>
        <v>0.74066252604532012</v>
      </c>
      <c r="H110" s="29">
        <v>0</v>
      </c>
      <c r="J110" s="22">
        <v>44655</v>
      </c>
      <c r="K110" s="26">
        <f t="shared" ca="1" si="2"/>
        <v>0.97118152838113503</v>
      </c>
      <c r="L110" s="29">
        <v>0</v>
      </c>
      <c r="N110" s="22">
        <v>44655</v>
      </c>
      <c r="O110" s="26">
        <f t="shared" ca="1" si="3"/>
        <v>0.27977655762316467</v>
      </c>
      <c r="P110" s="29">
        <v>0</v>
      </c>
      <c r="R110" s="22">
        <v>44655</v>
      </c>
      <c r="S110" s="26">
        <f t="shared" ca="1" si="4"/>
        <v>0.14527750109470083</v>
      </c>
      <c r="T110" s="29">
        <v>0</v>
      </c>
      <c r="V110" s="22">
        <v>44655</v>
      </c>
      <c r="W110" s="26">
        <f t="shared" ca="1" si="5"/>
        <v>0.57902789358922413</v>
      </c>
      <c r="X110" s="29">
        <v>0</v>
      </c>
      <c r="Z110" s="22">
        <v>44655</v>
      </c>
      <c r="AA110" s="26">
        <f t="shared" ca="1" si="6"/>
        <v>0.35150138641846673</v>
      </c>
      <c r="AB110" s="29">
        <v>0</v>
      </c>
      <c r="AC110"/>
      <c r="AD110" s="25"/>
      <c r="AF110" s="22">
        <v>44655</v>
      </c>
      <c r="AG110" s="26">
        <f t="shared" ca="1" si="7"/>
        <v>0.86858668473578415</v>
      </c>
      <c r="AH110" s="29">
        <v>0</v>
      </c>
      <c r="AJ110" s="22">
        <v>44655</v>
      </c>
      <c r="AK110" s="26">
        <f t="shared" ca="1" si="8"/>
        <v>0.34614190997366978</v>
      </c>
      <c r="AL110" s="29">
        <v>0</v>
      </c>
      <c r="AN110" s="22">
        <v>44655</v>
      </c>
      <c r="AO110" s="26">
        <f t="shared" ca="1" si="9"/>
        <v>0.89114059195680217</v>
      </c>
      <c r="AP110" s="29">
        <v>0</v>
      </c>
      <c r="AR110" s="22">
        <v>44655</v>
      </c>
      <c r="AS110" s="26">
        <f t="shared" ca="1" si="10"/>
        <v>0.73782140546570008</v>
      </c>
      <c r="AT110" s="29">
        <v>0</v>
      </c>
      <c r="AV110" s="22">
        <v>44655</v>
      </c>
      <c r="AW110" s="26">
        <f t="shared" ca="1" si="11"/>
        <v>0.92723532078087845</v>
      </c>
      <c r="AX110" s="29">
        <v>0</v>
      </c>
      <c r="AZ110" s="22">
        <v>44655</v>
      </c>
      <c r="BA110" s="26">
        <f t="shared" ca="1" si="12"/>
        <v>0.96788660435995799</v>
      </c>
      <c r="BB110" s="29">
        <v>0</v>
      </c>
      <c r="BC110"/>
      <c r="BD110" s="25"/>
      <c r="BF110" s="22">
        <v>44655</v>
      </c>
      <c r="BG110" s="26">
        <f t="shared" ca="1" si="13"/>
        <v>0.66180181046156805</v>
      </c>
      <c r="BH110" s="29">
        <v>0</v>
      </c>
      <c r="BJ110" s="22">
        <v>44655</v>
      </c>
      <c r="BK110" s="26">
        <f t="shared" ca="1" si="14"/>
        <v>0.39767862717970104</v>
      </c>
      <c r="BL110" s="29">
        <v>0</v>
      </c>
      <c r="BN110" s="22">
        <v>44655</v>
      </c>
      <c r="BO110" s="26">
        <f t="shared" ca="1" si="15"/>
        <v>0.79932650957960882</v>
      </c>
      <c r="BP110" s="29">
        <v>0</v>
      </c>
      <c r="BR110" s="22">
        <v>44655</v>
      </c>
      <c r="BS110" s="26">
        <f t="shared" ca="1" si="16"/>
        <v>0.36569305572995292</v>
      </c>
      <c r="BT110" s="29">
        <v>0</v>
      </c>
      <c r="BV110" s="22">
        <v>44655</v>
      </c>
      <c r="BW110" s="26">
        <f t="shared" ca="1" si="17"/>
        <v>0.67283591287064926</v>
      </c>
      <c r="BX110" s="29">
        <v>0</v>
      </c>
    </row>
    <row r="111" spans="2:77" ht="12.75" x14ac:dyDescent="0.2">
      <c r="B111" s="22">
        <v>44656</v>
      </c>
      <c r="C111" s="26">
        <f t="shared" ca="1" si="0"/>
        <v>0.87051965639924611</v>
      </c>
      <c r="D111" s="29">
        <f t="shared" ca="1" si="22"/>
        <v>98</v>
      </c>
      <c r="F111" s="22">
        <v>44656</v>
      </c>
      <c r="G111" s="26">
        <f t="shared" ca="1" si="1"/>
        <v>0.74783824322078163</v>
      </c>
      <c r="H111" s="29">
        <v>0</v>
      </c>
      <c r="J111" s="22">
        <v>44656</v>
      </c>
      <c r="K111" s="26">
        <f t="shared" ca="1" si="2"/>
        <v>0.15696039106613713</v>
      </c>
      <c r="L111" s="29">
        <v>0</v>
      </c>
      <c r="N111" s="22">
        <v>44656</v>
      </c>
      <c r="O111" s="26">
        <f t="shared" ca="1" si="3"/>
        <v>0.69717215998155835</v>
      </c>
      <c r="P111" s="29">
        <v>0</v>
      </c>
      <c r="R111" s="22">
        <v>44656</v>
      </c>
      <c r="S111" s="26">
        <f t="shared" ca="1" si="4"/>
        <v>0.19258503970794738</v>
      </c>
      <c r="T111" s="29">
        <v>0</v>
      </c>
      <c r="V111" s="22">
        <v>44656</v>
      </c>
      <c r="W111" s="26">
        <f t="shared" ca="1" si="5"/>
        <v>0.36152773517539594</v>
      </c>
      <c r="X111" s="29">
        <v>0</v>
      </c>
      <c r="Z111" s="22">
        <v>44656</v>
      </c>
      <c r="AA111" s="26">
        <f t="shared" ca="1" si="6"/>
        <v>0.5979264401887302</v>
      </c>
      <c r="AB111" s="29">
        <v>0</v>
      </c>
      <c r="AC111"/>
      <c r="AD111" s="25"/>
      <c r="AF111" s="22">
        <v>44656</v>
      </c>
      <c r="AG111" s="26">
        <f t="shared" ca="1" si="7"/>
        <v>0.95013404840942628</v>
      </c>
      <c r="AH111" s="29">
        <v>0</v>
      </c>
      <c r="AJ111" s="22">
        <v>44656</v>
      </c>
      <c r="AK111" s="26">
        <f t="shared" ca="1" si="8"/>
        <v>0.17846654964579067</v>
      </c>
      <c r="AL111" s="29">
        <v>0</v>
      </c>
      <c r="AN111" s="22">
        <v>44656</v>
      </c>
      <c r="AO111" s="26">
        <f t="shared" ca="1" si="9"/>
        <v>0.77387291700400263</v>
      </c>
      <c r="AP111" s="29">
        <v>0</v>
      </c>
      <c r="AR111" s="22">
        <v>44656</v>
      </c>
      <c r="AS111" s="26">
        <f t="shared" ca="1" si="10"/>
        <v>0.91084319585441698</v>
      </c>
      <c r="AT111" s="29">
        <v>0</v>
      </c>
      <c r="AV111" s="22">
        <v>44656</v>
      </c>
      <c r="AW111" s="26">
        <f t="shared" ca="1" si="11"/>
        <v>0.75616097984307662</v>
      </c>
      <c r="AX111" s="29">
        <v>0</v>
      </c>
      <c r="AZ111" s="22">
        <v>44656</v>
      </c>
      <c r="BA111" s="26">
        <f t="shared" ca="1" si="12"/>
        <v>9.6187003425419748E-2</v>
      </c>
      <c r="BB111" s="29">
        <v>0</v>
      </c>
      <c r="BC111"/>
      <c r="BD111" s="25"/>
      <c r="BF111" s="22">
        <v>44656</v>
      </c>
      <c r="BG111" s="26">
        <f t="shared" ca="1" si="13"/>
        <v>0.59422235703345061</v>
      </c>
      <c r="BH111" s="29">
        <v>0</v>
      </c>
      <c r="BJ111" s="22">
        <v>44656</v>
      </c>
      <c r="BK111" s="26">
        <f t="shared" ca="1" si="14"/>
        <v>0.83477658263577381</v>
      </c>
      <c r="BL111" s="29">
        <v>0</v>
      </c>
      <c r="BN111" s="22">
        <v>44656</v>
      </c>
      <c r="BO111" s="26">
        <f t="shared" ca="1" si="15"/>
        <v>0.84423758462665011</v>
      </c>
      <c r="BP111" s="29">
        <v>0</v>
      </c>
      <c r="BR111" s="22">
        <v>44656</v>
      </c>
      <c r="BS111" s="26">
        <f t="shared" ca="1" si="16"/>
        <v>0.9561673832048202</v>
      </c>
      <c r="BT111" s="29">
        <v>0</v>
      </c>
      <c r="BV111" s="22">
        <v>44656</v>
      </c>
      <c r="BW111" s="26">
        <f t="shared" ca="1" si="17"/>
        <v>0.8090982293600758</v>
      </c>
      <c r="BX111" s="29">
        <v>0</v>
      </c>
    </row>
    <row r="112" spans="2:77" ht="12.75" x14ac:dyDescent="0.2">
      <c r="B112" s="22">
        <v>44657</v>
      </c>
      <c r="C112" s="26">
        <f t="shared" ca="1" si="0"/>
        <v>4.5318191669106112E-2</v>
      </c>
      <c r="D112" s="29">
        <f t="shared" ca="1" si="22"/>
        <v>42</v>
      </c>
      <c r="F112" s="22">
        <v>44657</v>
      </c>
      <c r="G112" s="26">
        <f t="shared" ca="1" si="1"/>
        <v>0.31184720351826556</v>
      </c>
      <c r="H112" s="29">
        <v>0</v>
      </c>
      <c r="J112" s="22">
        <v>44657</v>
      </c>
      <c r="K112" s="26">
        <f t="shared" ca="1" si="2"/>
        <v>0.93711557361592868</v>
      </c>
      <c r="L112" s="29">
        <v>0</v>
      </c>
      <c r="N112" s="22">
        <v>44657</v>
      </c>
      <c r="O112" s="26">
        <f t="shared" ca="1" si="3"/>
        <v>0.56316475934531363</v>
      </c>
      <c r="P112" s="29">
        <v>0</v>
      </c>
      <c r="R112" s="22">
        <v>44657</v>
      </c>
      <c r="S112" s="26">
        <f t="shared" ca="1" si="4"/>
        <v>0.26220571962109851</v>
      </c>
      <c r="T112" s="29">
        <v>0</v>
      </c>
      <c r="V112" s="22">
        <v>44657</v>
      </c>
      <c r="W112" s="26">
        <f t="shared" ca="1" si="5"/>
        <v>3.2134584008310152E-2</v>
      </c>
      <c r="X112" s="29">
        <v>0</v>
      </c>
      <c r="Z112" s="22">
        <v>44657</v>
      </c>
      <c r="AA112" s="26">
        <f t="shared" ca="1" si="6"/>
        <v>0.10831715337458203</v>
      </c>
      <c r="AB112" s="29">
        <v>0</v>
      </c>
      <c r="AC112"/>
      <c r="AD112" s="25"/>
      <c r="AF112" s="22">
        <v>44657</v>
      </c>
      <c r="AG112" s="26">
        <f t="shared" ca="1" si="7"/>
        <v>0.73026531226059832</v>
      </c>
      <c r="AH112" s="29">
        <v>0</v>
      </c>
      <c r="AJ112" s="22">
        <v>44657</v>
      </c>
      <c r="AK112" s="26">
        <f t="shared" ca="1" si="8"/>
        <v>0.42207778229288184</v>
      </c>
      <c r="AL112" s="29">
        <v>0</v>
      </c>
      <c r="AN112" s="22">
        <v>44657</v>
      </c>
      <c r="AO112" s="26">
        <f t="shared" ca="1" si="9"/>
        <v>7.0076172221581801E-2</v>
      </c>
      <c r="AP112" s="29">
        <v>0</v>
      </c>
      <c r="AR112" s="22">
        <v>44657</v>
      </c>
      <c r="AS112" s="26">
        <f t="shared" ca="1" si="10"/>
        <v>0.34670924616357102</v>
      </c>
      <c r="AT112" s="29">
        <v>0</v>
      </c>
      <c r="AV112" s="22">
        <v>44657</v>
      </c>
      <c r="AW112" s="26">
        <f t="shared" ca="1" si="11"/>
        <v>0.25837686787060232</v>
      </c>
      <c r="AX112" s="29">
        <v>0</v>
      </c>
      <c r="AZ112" s="22">
        <v>44657</v>
      </c>
      <c r="BA112" s="26">
        <f t="shared" ca="1" si="12"/>
        <v>0.35895598320480016</v>
      </c>
      <c r="BB112" s="29">
        <v>0</v>
      </c>
      <c r="BC112"/>
      <c r="BD112" s="25"/>
      <c r="BF112" s="22">
        <v>44657</v>
      </c>
      <c r="BG112" s="26">
        <f t="shared" ca="1" si="13"/>
        <v>0.31133470904392724</v>
      </c>
      <c r="BH112" s="29">
        <v>0</v>
      </c>
      <c r="BJ112" s="22">
        <v>44657</v>
      </c>
      <c r="BK112" s="26">
        <f t="shared" ca="1" si="14"/>
        <v>0.88474939325771851</v>
      </c>
      <c r="BL112" s="29">
        <v>0</v>
      </c>
      <c r="BN112" s="22">
        <v>44657</v>
      </c>
      <c r="BO112" s="26">
        <f t="shared" ca="1" si="15"/>
        <v>0.65076727070679974</v>
      </c>
      <c r="BP112" s="29">
        <v>0</v>
      </c>
      <c r="BR112" s="22">
        <v>44657</v>
      </c>
      <c r="BS112" s="26">
        <f t="shared" ca="1" si="16"/>
        <v>0.28313126564692204</v>
      </c>
      <c r="BT112" s="29">
        <v>0</v>
      </c>
      <c r="BV112" s="22">
        <v>44657</v>
      </c>
      <c r="BW112" s="26">
        <f t="shared" ca="1" si="17"/>
        <v>0.52888510670945466</v>
      </c>
      <c r="BX112" s="29">
        <v>0</v>
      </c>
    </row>
    <row r="113" spans="2:76" ht="12.75" x14ac:dyDescent="0.2">
      <c r="B113" s="22">
        <v>44658</v>
      </c>
      <c r="C113" s="26">
        <f t="shared" ca="1" si="0"/>
        <v>0.67654131787349125</v>
      </c>
      <c r="D113" s="29">
        <f t="shared" ca="1" si="22"/>
        <v>85</v>
      </c>
      <c r="F113" s="22">
        <v>44658</v>
      </c>
      <c r="G113" s="26">
        <f t="shared" ca="1" si="1"/>
        <v>0.21327507236261711</v>
      </c>
      <c r="H113" s="29">
        <v>0</v>
      </c>
      <c r="J113" s="22">
        <v>44658</v>
      </c>
      <c r="K113" s="26">
        <f t="shared" ca="1" si="2"/>
        <v>0.2384926218568888</v>
      </c>
      <c r="L113" s="29">
        <v>0</v>
      </c>
      <c r="N113" s="22">
        <v>44658</v>
      </c>
      <c r="O113" s="26">
        <f t="shared" ca="1" si="3"/>
        <v>0.89135708594991703</v>
      </c>
      <c r="P113" s="29">
        <v>0</v>
      </c>
      <c r="R113" s="22">
        <v>44658</v>
      </c>
      <c r="S113" s="26">
        <f t="shared" ca="1" si="4"/>
        <v>0.97815781643200295</v>
      </c>
      <c r="T113" s="29">
        <v>0</v>
      </c>
      <c r="V113" s="22">
        <v>44658</v>
      </c>
      <c r="W113" s="26">
        <f t="shared" ca="1" si="5"/>
        <v>0.83369576303394666</v>
      </c>
      <c r="X113" s="29">
        <v>0</v>
      </c>
      <c r="Z113" s="22">
        <v>44658</v>
      </c>
      <c r="AA113" s="26">
        <f t="shared" ca="1" si="6"/>
        <v>0.44563101015150941</v>
      </c>
      <c r="AB113" s="29">
        <v>0</v>
      </c>
      <c r="AC113"/>
      <c r="AD113" s="25"/>
      <c r="AF113" s="22">
        <v>44658</v>
      </c>
      <c r="AG113" s="26">
        <f t="shared" ca="1" si="7"/>
        <v>0.28896187379512095</v>
      </c>
      <c r="AH113" s="29">
        <v>0</v>
      </c>
      <c r="AJ113" s="22">
        <v>44658</v>
      </c>
      <c r="AK113" s="26">
        <f t="shared" ca="1" si="8"/>
        <v>0.68195811828311681</v>
      </c>
      <c r="AL113" s="29">
        <v>0</v>
      </c>
      <c r="AN113" s="22">
        <v>44658</v>
      </c>
      <c r="AO113" s="26">
        <f t="shared" ca="1" si="9"/>
        <v>0.15360830931926317</v>
      </c>
      <c r="AP113" s="29">
        <v>0</v>
      </c>
      <c r="AR113" s="22">
        <v>44658</v>
      </c>
      <c r="AS113" s="26">
        <f t="shared" ca="1" si="10"/>
        <v>0.47212122864011408</v>
      </c>
      <c r="AT113" s="29">
        <v>0</v>
      </c>
      <c r="AV113" s="22">
        <v>44658</v>
      </c>
      <c r="AW113" s="26">
        <f t="shared" ca="1" si="11"/>
        <v>0.80410795655284673</v>
      </c>
      <c r="AX113" s="29">
        <v>0</v>
      </c>
      <c r="AZ113" s="22">
        <v>44658</v>
      </c>
      <c r="BA113" s="26">
        <f t="shared" ca="1" si="12"/>
        <v>0.23317728140263905</v>
      </c>
      <c r="BB113" s="29">
        <v>0</v>
      </c>
      <c r="BC113"/>
      <c r="BD113" s="25"/>
      <c r="BF113" s="22">
        <v>44658</v>
      </c>
      <c r="BG113" s="26">
        <f t="shared" ca="1" si="13"/>
        <v>2.5893637322293772E-2</v>
      </c>
      <c r="BH113" s="29">
        <v>0</v>
      </c>
      <c r="BJ113" s="22">
        <v>44658</v>
      </c>
      <c r="BK113" s="26">
        <f t="shared" ca="1" si="14"/>
        <v>0.16306817847598021</v>
      </c>
      <c r="BL113" s="29">
        <v>0</v>
      </c>
      <c r="BN113" s="22">
        <v>44658</v>
      </c>
      <c r="BO113" s="26">
        <f t="shared" ca="1" si="15"/>
        <v>0.91698501259121734</v>
      </c>
      <c r="BP113" s="29">
        <v>0</v>
      </c>
      <c r="BR113" s="22">
        <v>44658</v>
      </c>
      <c r="BS113" s="26">
        <f t="shared" ca="1" si="16"/>
        <v>0.13807786928776089</v>
      </c>
      <c r="BT113" s="29">
        <v>0</v>
      </c>
      <c r="BV113" s="22">
        <v>44658</v>
      </c>
      <c r="BW113" s="26">
        <f t="shared" ca="1" si="17"/>
        <v>5.0263156058007574E-2</v>
      </c>
      <c r="BX113" s="29">
        <v>0</v>
      </c>
    </row>
    <row r="114" spans="2:76" ht="12.75" x14ac:dyDescent="0.2">
      <c r="B114" s="22">
        <v>44659</v>
      </c>
      <c r="C114" s="26">
        <f t="shared" ca="1" si="0"/>
        <v>0.71732762385521243</v>
      </c>
      <c r="D114" s="29">
        <f t="shared" ca="1" si="22"/>
        <v>87</v>
      </c>
      <c r="F114" s="22">
        <v>44659</v>
      </c>
      <c r="G114" s="26">
        <f t="shared" ca="1" si="1"/>
        <v>0.77823669479157931</v>
      </c>
      <c r="H114" s="29">
        <v>0</v>
      </c>
      <c r="J114" s="22">
        <v>44659</v>
      </c>
      <c r="K114" s="26">
        <f t="shared" ca="1" si="2"/>
        <v>8.1836942697228632E-2</v>
      </c>
      <c r="L114" s="29">
        <v>0</v>
      </c>
      <c r="N114" s="22">
        <v>44659</v>
      </c>
      <c r="O114" s="26">
        <f t="shared" ca="1" si="3"/>
        <v>0.10973727213763307</v>
      </c>
      <c r="P114" s="29">
        <v>0</v>
      </c>
      <c r="R114" s="22">
        <v>44659</v>
      </c>
      <c r="S114" s="26">
        <f t="shared" ca="1" si="4"/>
        <v>0.54326155928880204</v>
      </c>
      <c r="T114" s="29">
        <v>0</v>
      </c>
      <c r="V114" s="22">
        <v>44659</v>
      </c>
      <c r="W114" s="26">
        <f t="shared" ca="1" si="5"/>
        <v>0.8979343125776359</v>
      </c>
      <c r="X114" s="29">
        <v>0</v>
      </c>
      <c r="Z114" s="22">
        <v>44659</v>
      </c>
      <c r="AA114" s="26">
        <f t="shared" ca="1" si="6"/>
        <v>0.32461949364037113</v>
      </c>
      <c r="AB114" s="29">
        <v>0</v>
      </c>
      <c r="AC114"/>
      <c r="AD114" s="25"/>
      <c r="AF114" s="22">
        <v>44659</v>
      </c>
      <c r="AG114" s="26">
        <f t="shared" ca="1" si="7"/>
        <v>0.92807166255030737</v>
      </c>
      <c r="AH114" s="29">
        <v>0</v>
      </c>
      <c r="AJ114" s="22">
        <v>44659</v>
      </c>
      <c r="AK114" s="26">
        <f t="shared" ca="1" si="8"/>
        <v>6.8140274316261573E-2</v>
      </c>
      <c r="AL114" s="29">
        <v>0</v>
      </c>
      <c r="AN114" s="22">
        <v>44659</v>
      </c>
      <c r="AO114" s="26">
        <f t="shared" ca="1" si="9"/>
        <v>0.57738361136345762</v>
      </c>
      <c r="AP114" s="29">
        <v>0</v>
      </c>
      <c r="AR114" s="22">
        <v>44659</v>
      </c>
      <c r="AS114" s="26">
        <f t="shared" ca="1" si="10"/>
        <v>0.36742702260241644</v>
      </c>
      <c r="AT114" s="29">
        <v>0</v>
      </c>
      <c r="AV114" s="22">
        <v>44659</v>
      </c>
      <c r="AW114" s="26">
        <f t="shared" ca="1" si="11"/>
        <v>4.050903139843165E-2</v>
      </c>
      <c r="AX114" s="29">
        <v>0</v>
      </c>
      <c r="AZ114" s="22">
        <v>44659</v>
      </c>
      <c r="BA114" s="26">
        <f t="shared" ca="1" si="12"/>
        <v>0.72479181880100618</v>
      </c>
      <c r="BB114" s="29">
        <v>0</v>
      </c>
      <c r="BC114"/>
      <c r="BD114" s="25"/>
      <c r="BF114" s="22">
        <v>44659</v>
      </c>
      <c r="BG114" s="26">
        <f t="shared" ca="1" si="13"/>
        <v>0.66608705673550317</v>
      </c>
      <c r="BH114" s="29">
        <v>0</v>
      </c>
      <c r="BJ114" s="22">
        <v>44659</v>
      </c>
      <c r="BK114" s="26">
        <f t="shared" ca="1" si="14"/>
        <v>3.3213650692349161E-2</v>
      </c>
      <c r="BL114" s="29">
        <v>0</v>
      </c>
      <c r="BN114" s="22">
        <v>44659</v>
      </c>
      <c r="BO114" s="26">
        <f t="shared" ca="1" si="15"/>
        <v>0.26101756885399297</v>
      </c>
      <c r="BP114" s="29">
        <v>0</v>
      </c>
      <c r="BR114" s="22">
        <v>44659</v>
      </c>
      <c r="BS114" s="26">
        <f t="shared" ca="1" si="16"/>
        <v>0.86792608828302542</v>
      </c>
      <c r="BT114" s="29">
        <v>0</v>
      </c>
      <c r="BV114" s="22">
        <v>44659</v>
      </c>
      <c r="BW114" s="26">
        <f t="shared" ca="1" si="17"/>
        <v>0.76652090663554584</v>
      </c>
      <c r="BX114" s="29">
        <v>0</v>
      </c>
    </row>
    <row r="115" spans="2:76" ht="12.75" x14ac:dyDescent="0.2">
      <c r="B115" s="22">
        <v>44660</v>
      </c>
      <c r="C115" s="26">
        <f t="shared" ca="1" si="0"/>
        <v>0.94702314141800137</v>
      </c>
      <c r="D115" s="29">
        <f t="shared" ca="1" si="22"/>
        <v>108</v>
      </c>
      <c r="F115" s="22">
        <v>44660</v>
      </c>
      <c r="G115" s="26">
        <f t="shared" ca="1" si="1"/>
        <v>0.39446057140004986</v>
      </c>
      <c r="H115" s="29">
        <v>0</v>
      </c>
      <c r="J115" s="22">
        <v>44660</v>
      </c>
      <c r="K115" s="26">
        <f t="shared" ca="1" si="2"/>
        <v>0.21888234069882673</v>
      </c>
      <c r="L115" s="29">
        <v>0</v>
      </c>
      <c r="N115" s="22">
        <v>44660</v>
      </c>
      <c r="O115" s="26">
        <f t="shared" ca="1" si="3"/>
        <v>0.7135236505616035</v>
      </c>
      <c r="P115" s="29">
        <v>0</v>
      </c>
      <c r="R115" s="22">
        <v>44660</v>
      </c>
      <c r="S115" s="26">
        <f t="shared" ca="1" si="4"/>
        <v>0.6094818980326816</v>
      </c>
      <c r="T115" s="29">
        <v>0</v>
      </c>
      <c r="V115" s="22">
        <v>44660</v>
      </c>
      <c r="W115" s="26">
        <f t="shared" ca="1" si="5"/>
        <v>0.67661022827106587</v>
      </c>
      <c r="X115" s="29">
        <v>0</v>
      </c>
      <c r="Z115" s="22">
        <v>44660</v>
      </c>
      <c r="AA115" s="26">
        <f t="shared" ca="1" si="6"/>
        <v>0.97556138628524136</v>
      </c>
      <c r="AB115" s="29">
        <v>0</v>
      </c>
      <c r="AC115"/>
      <c r="AD115" s="25"/>
      <c r="AF115" s="22">
        <v>44660</v>
      </c>
      <c r="AG115" s="26">
        <f t="shared" ca="1" si="7"/>
        <v>0.22243901389303378</v>
      </c>
      <c r="AH115" s="29">
        <v>0</v>
      </c>
      <c r="AJ115" s="22">
        <v>44660</v>
      </c>
      <c r="AK115" s="26">
        <f t="shared" ca="1" si="8"/>
        <v>0.32372298278377731</v>
      </c>
      <c r="AL115" s="29">
        <v>0</v>
      </c>
      <c r="AN115" s="22">
        <v>44660</v>
      </c>
      <c r="AO115" s="26">
        <f t="shared" ca="1" si="9"/>
        <v>0.57758467951249481</v>
      </c>
      <c r="AP115" s="29">
        <v>0</v>
      </c>
      <c r="AR115" s="22">
        <v>44660</v>
      </c>
      <c r="AS115" s="26">
        <f t="shared" ca="1" si="10"/>
        <v>6.3235841696201445E-2</v>
      </c>
      <c r="AT115" s="29">
        <v>0</v>
      </c>
      <c r="AV115" s="22">
        <v>44660</v>
      </c>
      <c r="AW115" s="26">
        <f t="shared" ca="1" si="11"/>
        <v>0.40240719284315618</v>
      </c>
      <c r="AX115" s="29">
        <v>0</v>
      </c>
      <c r="AZ115" s="22">
        <v>44660</v>
      </c>
      <c r="BA115" s="26">
        <f t="shared" ca="1" si="12"/>
        <v>0.46957043448667901</v>
      </c>
      <c r="BB115" s="29">
        <v>0</v>
      </c>
      <c r="BC115"/>
      <c r="BD115" s="25"/>
      <c r="BF115" s="22">
        <v>44660</v>
      </c>
      <c r="BG115" s="26">
        <f t="shared" ca="1" si="13"/>
        <v>0.1115022576179594</v>
      </c>
      <c r="BH115" s="29">
        <v>0</v>
      </c>
      <c r="BJ115" s="22">
        <v>44660</v>
      </c>
      <c r="BK115" s="26">
        <f t="shared" ca="1" si="14"/>
        <v>9.5744780057752998E-2</v>
      </c>
      <c r="BL115" s="29">
        <v>0</v>
      </c>
      <c r="BN115" s="22">
        <v>44660</v>
      </c>
      <c r="BO115" s="26">
        <f t="shared" ca="1" si="15"/>
        <v>0.34026623577932746</v>
      </c>
      <c r="BP115" s="29">
        <v>0</v>
      </c>
      <c r="BR115" s="22">
        <v>44660</v>
      </c>
      <c r="BS115" s="26">
        <f t="shared" ca="1" si="16"/>
        <v>0.84632307380560046</v>
      </c>
      <c r="BT115" s="29">
        <v>0</v>
      </c>
      <c r="BV115" s="22">
        <v>44660</v>
      </c>
      <c r="BW115" s="26">
        <f t="shared" ca="1" si="17"/>
        <v>0.83818050163365199</v>
      </c>
      <c r="BX115" s="29">
        <v>0</v>
      </c>
    </row>
    <row r="116" spans="2:76" ht="12.75" x14ac:dyDescent="0.2">
      <c r="B116" s="22">
        <v>44661</v>
      </c>
      <c r="C116" s="26">
        <f t="shared" ca="1" si="0"/>
        <v>0.60479189506588182</v>
      </c>
      <c r="D116" s="29">
        <v>0</v>
      </c>
      <c r="F116" s="22">
        <v>44661</v>
      </c>
      <c r="G116" s="26">
        <f t="shared" ca="1" si="1"/>
        <v>0.21767672258954207</v>
      </c>
      <c r="H116" s="29">
        <v>0</v>
      </c>
      <c r="J116" s="22">
        <v>44661</v>
      </c>
      <c r="K116" s="26">
        <f t="shared" ca="1" si="2"/>
        <v>0.70647947902249597</v>
      </c>
      <c r="L116" s="29">
        <v>0</v>
      </c>
      <c r="N116" s="22">
        <v>44661</v>
      </c>
      <c r="O116" s="26">
        <f t="shared" ca="1" si="3"/>
        <v>0.33917869748287488</v>
      </c>
      <c r="P116" s="29">
        <v>0</v>
      </c>
      <c r="R116" s="22">
        <v>44661</v>
      </c>
      <c r="S116" s="26">
        <f t="shared" ca="1" si="4"/>
        <v>0.78497595371419826</v>
      </c>
      <c r="T116" s="29">
        <v>0</v>
      </c>
      <c r="V116" s="22">
        <v>44661</v>
      </c>
      <c r="W116" s="26">
        <f t="shared" ca="1" si="5"/>
        <v>0.97543818314632391</v>
      </c>
      <c r="X116" s="29">
        <v>0</v>
      </c>
      <c r="Z116" s="22">
        <v>44661</v>
      </c>
      <c r="AA116" s="26">
        <f t="shared" ca="1" si="6"/>
        <v>0.1860454429364381</v>
      </c>
      <c r="AB116" s="29">
        <v>0</v>
      </c>
      <c r="AC116"/>
      <c r="AD116" s="25"/>
      <c r="AF116" s="22">
        <v>44661</v>
      </c>
      <c r="AG116" s="26">
        <f t="shared" ca="1" si="7"/>
        <v>0.66044828215176998</v>
      </c>
      <c r="AH116" s="29">
        <v>0</v>
      </c>
      <c r="AJ116" s="22">
        <v>44661</v>
      </c>
      <c r="AK116" s="26">
        <f t="shared" ca="1" si="8"/>
        <v>0.63561732252665493</v>
      </c>
      <c r="AL116" s="29">
        <v>0</v>
      </c>
      <c r="AN116" s="22">
        <v>44661</v>
      </c>
      <c r="AO116" s="26">
        <f t="shared" ca="1" si="9"/>
        <v>0.2895362110102766</v>
      </c>
      <c r="AP116" s="29">
        <v>0</v>
      </c>
      <c r="AR116" s="22">
        <v>44661</v>
      </c>
      <c r="AS116" s="26">
        <f t="shared" ca="1" si="10"/>
        <v>0.61748738906625888</v>
      </c>
      <c r="AT116" s="29">
        <v>0</v>
      </c>
      <c r="AV116" s="22">
        <v>44661</v>
      </c>
      <c r="AW116" s="26">
        <f t="shared" ca="1" si="11"/>
        <v>0.11899868959208526</v>
      </c>
      <c r="AX116" s="29">
        <v>0</v>
      </c>
      <c r="AZ116" s="22">
        <v>44661</v>
      </c>
      <c r="BA116" s="26">
        <f t="shared" ca="1" si="12"/>
        <v>0.55315517568129435</v>
      </c>
      <c r="BB116" s="29">
        <v>0</v>
      </c>
      <c r="BC116"/>
      <c r="BD116" s="25"/>
      <c r="BF116" s="22">
        <v>44661</v>
      </c>
      <c r="BG116" s="26">
        <f t="shared" ca="1" si="13"/>
        <v>0.48825942825901081</v>
      </c>
      <c r="BH116" s="29">
        <v>0</v>
      </c>
      <c r="BJ116" s="22">
        <v>44661</v>
      </c>
      <c r="BK116" s="26">
        <f t="shared" ca="1" si="14"/>
        <v>1.9054882279038066E-2</v>
      </c>
      <c r="BL116" s="29">
        <v>0</v>
      </c>
      <c r="BN116" s="22">
        <v>44661</v>
      </c>
      <c r="BO116" s="26">
        <f t="shared" ca="1" si="15"/>
        <v>0.12419666389397765</v>
      </c>
      <c r="BP116" s="29">
        <v>0</v>
      </c>
      <c r="BR116" s="22">
        <v>44661</v>
      </c>
      <c r="BS116" s="26">
        <f t="shared" ca="1" si="16"/>
        <v>0.3142486546971508</v>
      </c>
      <c r="BT116" s="29">
        <v>0</v>
      </c>
      <c r="BV116" s="22">
        <v>44661</v>
      </c>
      <c r="BW116" s="26">
        <f t="shared" ca="1" si="17"/>
        <v>0.99419309155670188</v>
      </c>
      <c r="BX116" s="29">
        <v>0</v>
      </c>
    </row>
    <row r="117" spans="2:76" ht="12.75" x14ac:dyDescent="0.2">
      <c r="B117" s="22">
        <v>44662</v>
      </c>
      <c r="C117" s="26">
        <f t="shared" ca="1" si="0"/>
        <v>0.67220153702007512</v>
      </c>
      <c r="D117" s="29">
        <v>0</v>
      </c>
      <c r="F117" s="22">
        <v>44662</v>
      </c>
      <c r="G117" s="26">
        <f t="shared" ca="1" si="1"/>
        <v>0.81425626792964134</v>
      </c>
      <c r="H117" s="29">
        <v>0</v>
      </c>
      <c r="J117" s="22">
        <v>44662</v>
      </c>
      <c r="K117" s="26">
        <f t="shared" ca="1" si="2"/>
        <v>0.21049935819146282</v>
      </c>
      <c r="L117" s="29">
        <v>0</v>
      </c>
      <c r="N117" s="22">
        <v>44662</v>
      </c>
      <c r="O117" s="26">
        <f t="shared" ca="1" si="3"/>
        <v>0.27300321744151357</v>
      </c>
      <c r="P117" s="29">
        <v>0</v>
      </c>
      <c r="R117" s="22">
        <v>44662</v>
      </c>
      <c r="S117" s="26">
        <f t="shared" ca="1" si="4"/>
        <v>0.82905347409080543</v>
      </c>
      <c r="T117" s="29">
        <v>0</v>
      </c>
      <c r="V117" s="22">
        <v>44662</v>
      </c>
      <c r="W117" s="26">
        <f t="shared" ca="1" si="5"/>
        <v>0.95352870784006416</v>
      </c>
      <c r="X117" s="29">
        <v>0</v>
      </c>
      <c r="Z117" s="22">
        <v>44662</v>
      </c>
      <c r="AA117" s="26">
        <f t="shared" ca="1" si="6"/>
        <v>0.42613305447284267</v>
      </c>
      <c r="AB117" s="29">
        <v>0</v>
      </c>
      <c r="AC117"/>
      <c r="AD117" s="25"/>
      <c r="AF117" s="22">
        <v>44662</v>
      </c>
      <c r="AG117" s="26">
        <f t="shared" ca="1" si="7"/>
        <v>0.15917959631590839</v>
      </c>
      <c r="AH117" s="29">
        <v>0</v>
      </c>
      <c r="AJ117" s="22">
        <v>44662</v>
      </c>
      <c r="AK117" s="26">
        <f t="shared" ca="1" si="8"/>
        <v>0.64636247874932506</v>
      </c>
      <c r="AL117" s="29">
        <v>0</v>
      </c>
      <c r="AN117" s="22">
        <v>44662</v>
      </c>
      <c r="AO117" s="26">
        <f t="shared" ca="1" si="9"/>
        <v>0.75507992212241903</v>
      </c>
      <c r="AP117" s="29">
        <v>0</v>
      </c>
      <c r="AR117" s="22">
        <v>44662</v>
      </c>
      <c r="AS117" s="26">
        <f t="shared" ca="1" si="10"/>
        <v>0.70226618520750206</v>
      </c>
      <c r="AT117" s="29">
        <v>0</v>
      </c>
      <c r="AV117" s="22">
        <v>44662</v>
      </c>
      <c r="AW117" s="26">
        <f t="shared" ca="1" si="11"/>
        <v>0.61503219800600883</v>
      </c>
      <c r="AX117" s="29">
        <v>0</v>
      </c>
      <c r="AZ117" s="22">
        <v>44662</v>
      </c>
      <c r="BA117" s="26">
        <f t="shared" ca="1" si="12"/>
        <v>0.78977580153899518</v>
      </c>
      <c r="BB117" s="29">
        <v>0</v>
      </c>
      <c r="BC117"/>
      <c r="BD117" s="25"/>
      <c r="BF117" s="22">
        <v>44662</v>
      </c>
      <c r="BG117" s="26">
        <f t="shared" ca="1" si="13"/>
        <v>0.67151976292525917</v>
      </c>
      <c r="BH117" s="29">
        <v>0</v>
      </c>
      <c r="BJ117" s="22">
        <v>44662</v>
      </c>
      <c r="BK117" s="26">
        <f t="shared" ca="1" si="14"/>
        <v>0.52062061375497604</v>
      </c>
      <c r="BL117" s="29">
        <v>0</v>
      </c>
      <c r="BN117" s="22">
        <v>44662</v>
      </c>
      <c r="BO117" s="26">
        <f t="shared" ca="1" si="15"/>
        <v>0.87951004147798828</v>
      </c>
      <c r="BP117" s="29">
        <v>0</v>
      </c>
      <c r="BR117" s="22">
        <v>44662</v>
      </c>
      <c r="BS117" s="26">
        <f t="shared" ca="1" si="16"/>
        <v>0.21343879037068791</v>
      </c>
      <c r="BT117" s="29">
        <v>0</v>
      </c>
      <c r="BV117" s="22">
        <v>44662</v>
      </c>
      <c r="BW117" s="26">
        <f t="shared" ca="1" si="17"/>
        <v>0.93919687801246299</v>
      </c>
      <c r="BX117" s="29">
        <v>0</v>
      </c>
    </row>
    <row r="118" spans="2:76" ht="12.75" x14ac:dyDescent="0.2">
      <c r="B118" s="22">
        <v>44663</v>
      </c>
      <c r="C118" s="26">
        <f t="shared" ca="1" si="0"/>
        <v>0.10738464347114152</v>
      </c>
      <c r="D118" s="29">
        <v>0</v>
      </c>
      <c r="F118" s="22">
        <v>44663</v>
      </c>
      <c r="G118" s="26">
        <f t="shared" ca="1" si="1"/>
        <v>0.26960639046496548</v>
      </c>
      <c r="H118" s="29">
        <v>0</v>
      </c>
      <c r="J118" s="22">
        <v>44663</v>
      </c>
      <c r="K118" s="26">
        <f t="shared" ca="1" si="2"/>
        <v>0.70592752931803215</v>
      </c>
      <c r="L118" s="29">
        <v>0</v>
      </c>
      <c r="N118" s="22">
        <v>44663</v>
      </c>
      <c r="O118" s="26">
        <f t="shared" ca="1" si="3"/>
        <v>0.85802465351225554</v>
      </c>
      <c r="P118" s="29">
        <v>0</v>
      </c>
      <c r="R118" s="22">
        <v>44663</v>
      </c>
      <c r="S118" s="26">
        <f t="shared" ca="1" si="4"/>
        <v>0.84293072125055202</v>
      </c>
      <c r="T118" s="29">
        <v>0</v>
      </c>
      <c r="V118" s="22">
        <v>44663</v>
      </c>
      <c r="W118" s="26">
        <f t="shared" ca="1" si="5"/>
        <v>7.6037634332961623E-3</v>
      </c>
      <c r="X118" s="29">
        <v>0</v>
      </c>
      <c r="Z118" s="22">
        <v>44663</v>
      </c>
      <c r="AA118" s="26">
        <f t="shared" ca="1" si="6"/>
        <v>5.6705957327584655E-2</v>
      </c>
      <c r="AB118" s="29">
        <v>0</v>
      </c>
      <c r="AC118"/>
      <c r="AD118" s="25"/>
      <c r="AF118" s="22">
        <v>44663</v>
      </c>
      <c r="AG118" s="26">
        <f t="shared" ca="1" si="7"/>
        <v>5.4257857124093589E-2</v>
      </c>
      <c r="AH118" s="29">
        <v>0</v>
      </c>
      <c r="AJ118" s="22">
        <v>44663</v>
      </c>
      <c r="AK118" s="26">
        <f t="shared" ca="1" si="8"/>
        <v>0.69880416715657512</v>
      </c>
      <c r="AL118" s="29">
        <v>0</v>
      </c>
      <c r="AN118" s="22">
        <v>44663</v>
      </c>
      <c r="AO118" s="26">
        <f t="shared" ca="1" si="9"/>
        <v>0.51615196169557809</v>
      </c>
      <c r="AP118" s="29">
        <v>0</v>
      </c>
      <c r="AR118" s="22">
        <v>44663</v>
      </c>
      <c r="AS118" s="26">
        <f t="shared" ca="1" si="10"/>
        <v>0.64049658784673136</v>
      </c>
      <c r="AT118" s="29">
        <v>0</v>
      </c>
      <c r="AV118" s="22">
        <v>44663</v>
      </c>
      <c r="AW118" s="26">
        <f t="shared" ca="1" si="11"/>
        <v>0.50407928539993674</v>
      </c>
      <c r="AX118" s="29">
        <v>0</v>
      </c>
      <c r="AZ118" s="22">
        <v>44663</v>
      </c>
      <c r="BA118" s="26">
        <f t="shared" ca="1" si="12"/>
        <v>0.80282454031551775</v>
      </c>
      <c r="BB118" s="29">
        <v>0</v>
      </c>
      <c r="BC118"/>
      <c r="BD118" s="25"/>
      <c r="BF118" s="22">
        <v>44663</v>
      </c>
      <c r="BG118" s="26">
        <f t="shared" ca="1" si="13"/>
        <v>0.84674800994364818</v>
      </c>
      <c r="BH118" s="29">
        <v>0</v>
      </c>
      <c r="BJ118" s="22">
        <v>44663</v>
      </c>
      <c r="BK118" s="26">
        <f t="shared" ca="1" si="14"/>
        <v>0.79520991445857381</v>
      </c>
      <c r="BL118" s="29">
        <v>0</v>
      </c>
      <c r="BN118" s="22">
        <v>44663</v>
      </c>
      <c r="BO118" s="26">
        <f t="shared" ca="1" si="15"/>
        <v>0.27295024042410432</v>
      </c>
      <c r="BP118" s="29">
        <v>0</v>
      </c>
      <c r="BR118" s="22">
        <v>44663</v>
      </c>
      <c r="BS118" s="26">
        <f t="shared" ca="1" si="16"/>
        <v>0.80561179731356891</v>
      </c>
      <c r="BT118" s="29">
        <v>0</v>
      </c>
      <c r="BV118" s="22">
        <v>44663</v>
      </c>
      <c r="BW118" s="26">
        <f t="shared" ca="1" si="17"/>
        <v>0.78361723928946381</v>
      </c>
      <c r="BX118" s="29">
        <v>0</v>
      </c>
    </row>
    <row r="119" spans="2:76" ht="12.75" x14ac:dyDescent="0.2">
      <c r="B119" s="22">
        <v>44664</v>
      </c>
      <c r="C119" s="26">
        <f t="shared" ca="1" si="0"/>
        <v>0.719097426612618</v>
      </c>
      <c r="D119" s="29">
        <v>0</v>
      </c>
      <c r="F119" s="22">
        <v>44664</v>
      </c>
      <c r="G119" s="26">
        <f t="shared" ca="1" si="1"/>
        <v>0.8824828144578355</v>
      </c>
      <c r="H119" s="29">
        <v>0</v>
      </c>
      <c r="J119" s="22">
        <v>44664</v>
      </c>
      <c r="K119" s="26">
        <f t="shared" ca="1" si="2"/>
        <v>0.51706839515947645</v>
      </c>
      <c r="L119" s="29">
        <v>0</v>
      </c>
      <c r="N119" s="22">
        <v>44664</v>
      </c>
      <c r="O119" s="26">
        <f t="shared" ca="1" si="3"/>
        <v>0.56374980858217427</v>
      </c>
      <c r="P119" s="29">
        <v>0</v>
      </c>
      <c r="R119" s="22">
        <v>44664</v>
      </c>
      <c r="S119" s="26">
        <f t="shared" ca="1" si="4"/>
        <v>0.94757742111881715</v>
      </c>
      <c r="T119" s="29">
        <v>0</v>
      </c>
      <c r="V119" s="22">
        <v>44664</v>
      </c>
      <c r="W119" s="26">
        <f t="shared" ca="1" si="5"/>
        <v>2.1430298095793887E-2</v>
      </c>
      <c r="X119" s="29">
        <v>0</v>
      </c>
      <c r="Z119" s="22">
        <v>44664</v>
      </c>
      <c r="AA119" s="26">
        <f t="shared" ca="1" si="6"/>
        <v>0.94113542481230639</v>
      </c>
      <c r="AB119" s="29">
        <v>0</v>
      </c>
      <c r="AC119"/>
      <c r="AD119" s="25"/>
      <c r="AF119" s="22">
        <v>44664</v>
      </c>
      <c r="AG119" s="26">
        <f t="shared" ca="1" si="7"/>
        <v>0.43753968797870901</v>
      </c>
      <c r="AH119" s="29">
        <v>0</v>
      </c>
      <c r="AJ119" s="22">
        <v>44664</v>
      </c>
      <c r="AK119" s="26">
        <f t="shared" ca="1" si="8"/>
        <v>0.33834876129091784</v>
      </c>
      <c r="AL119" s="29">
        <v>0</v>
      </c>
      <c r="AN119" s="22">
        <v>44664</v>
      </c>
      <c r="AO119" s="26">
        <f t="shared" ca="1" si="9"/>
        <v>0.74565441681818156</v>
      </c>
      <c r="AP119" s="29">
        <v>0</v>
      </c>
      <c r="AR119" s="22">
        <v>44664</v>
      </c>
      <c r="AS119" s="26">
        <f t="shared" ca="1" si="10"/>
        <v>0.42650458919127665</v>
      </c>
      <c r="AT119" s="29">
        <v>0</v>
      </c>
      <c r="AV119" s="22">
        <v>44664</v>
      </c>
      <c r="AW119" s="26">
        <f t="shared" ca="1" si="11"/>
        <v>0.62406824157906127</v>
      </c>
      <c r="AX119" s="29">
        <v>0</v>
      </c>
      <c r="AZ119" s="22">
        <v>44664</v>
      </c>
      <c r="BA119" s="26">
        <f t="shared" ca="1" si="12"/>
        <v>0.20960571322284793</v>
      </c>
      <c r="BB119" s="29">
        <v>0</v>
      </c>
      <c r="BC119"/>
      <c r="BD119" s="25"/>
      <c r="BF119" s="22">
        <v>44664</v>
      </c>
      <c r="BG119" s="26">
        <f t="shared" ca="1" si="13"/>
        <v>5.3563495212502255E-2</v>
      </c>
      <c r="BH119" s="29">
        <v>0</v>
      </c>
      <c r="BJ119" s="22">
        <v>44664</v>
      </c>
      <c r="BK119" s="26">
        <f t="shared" ca="1" si="14"/>
        <v>0.28973383131053432</v>
      </c>
      <c r="BL119" s="29">
        <v>0</v>
      </c>
      <c r="BN119" s="22">
        <v>44664</v>
      </c>
      <c r="BO119" s="26">
        <f t="shared" ca="1" si="15"/>
        <v>0.78647559554591162</v>
      </c>
      <c r="BP119" s="29">
        <v>0</v>
      </c>
      <c r="BR119" s="22">
        <v>44664</v>
      </c>
      <c r="BS119" s="26">
        <f t="shared" ca="1" si="16"/>
        <v>0.13166124663268142</v>
      </c>
      <c r="BT119" s="29">
        <v>0</v>
      </c>
      <c r="BV119" s="22">
        <v>44664</v>
      </c>
      <c r="BW119" s="26">
        <f t="shared" ca="1" si="17"/>
        <v>0.98303784444204501</v>
      </c>
      <c r="BX119" s="29">
        <v>0</v>
      </c>
    </row>
    <row r="120" spans="2:76" ht="12.75" x14ac:dyDescent="0.2">
      <c r="B120" s="22">
        <v>44665</v>
      </c>
      <c r="C120" s="26">
        <f t="shared" ca="1" si="0"/>
        <v>0.96102702354327563</v>
      </c>
      <c r="D120" s="29">
        <v>0</v>
      </c>
      <c r="F120" s="22">
        <v>44665</v>
      </c>
      <c r="G120" s="26">
        <f t="shared" ca="1" si="1"/>
        <v>0.21752422948462879</v>
      </c>
      <c r="H120" s="29">
        <v>0</v>
      </c>
      <c r="J120" s="22">
        <v>44665</v>
      </c>
      <c r="K120" s="26">
        <f t="shared" ca="1" si="2"/>
        <v>0.54787203039703369</v>
      </c>
      <c r="L120" s="29">
        <v>0</v>
      </c>
      <c r="N120" s="22">
        <v>44665</v>
      </c>
      <c r="O120" s="26">
        <f t="shared" ca="1" si="3"/>
        <v>0.29716585156499886</v>
      </c>
      <c r="P120" s="29">
        <v>0</v>
      </c>
      <c r="R120" s="22">
        <v>44665</v>
      </c>
      <c r="S120" s="26">
        <f t="shared" ca="1" si="4"/>
        <v>0.56365570664331821</v>
      </c>
      <c r="T120" s="29">
        <v>0</v>
      </c>
      <c r="V120" s="22">
        <v>44665</v>
      </c>
      <c r="W120" s="26">
        <f t="shared" ca="1" si="5"/>
        <v>0.5740161405756925</v>
      </c>
      <c r="X120" s="29">
        <v>0</v>
      </c>
      <c r="Z120" s="22">
        <v>44665</v>
      </c>
      <c r="AA120" s="26">
        <f t="shared" ca="1" si="6"/>
        <v>0.34365651354089777</v>
      </c>
      <c r="AB120" s="29">
        <v>0</v>
      </c>
      <c r="AC120"/>
      <c r="AD120" s="25"/>
      <c r="AF120" s="22">
        <v>44665</v>
      </c>
      <c r="AG120" s="26">
        <f t="shared" ca="1" si="7"/>
        <v>0.33687538327241362</v>
      </c>
      <c r="AH120" s="29">
        <v>0</v>
      </c>
      <c r="AJ120" s="22">
        <v>44665</v>
      </c>
      <c r="AK120" s="26">
        <f t="shared" ca="1" si="8"/>
        <v>0.70997751234844531</v>
      </c>
      <c r="AL120" s="29">
        <v>0</v>
      </c>
      <c r="AN120" s="22">
        <v>44665</v>
      </c>
      <c r="AO120" s="26">
        <f t="shared" ca="1" si="9"/>
        <v>0.55716222736430698</v>
      </c>
      <c r="AP120" s="29">
        <v>0</v>
      </c>
      <c r="AR120" s="22">
        <v>44665</v>
      </c>
      <c r="AS120" s="26">
        <f t="shared" ca="1" si="10"/>
        <v>0.67799713380386561</v>
      </c>
      <c r="AT120" s="29">
        <v>0</v>
      </c>
      <c r="AV120" s="22">
        <v>44665</v>
      </c>
      <c r="AW120" s="26">
        <f t="shared" ca="1" si="11"/>
        <v>0.68192285013824083</v>
      </c>
      <c r="AX120" s="29">
        <v>0</v>
      </c>
      <c r="AZ120" s="22">
        <v>44665</v>
      </c>
      <c r="BA120" s="26">
        <f t="shared" ca="1" si="12"/>
        <v>0.76299712496138028</v>
      </c>
      <c r="BB120" s="29">
        <v>0</v>
      </c>
      <c r="BC120"/>
      <c r="BD120" s="25"/>
      <c r="BF120" s="22">
        <v>44665</v>
      </c>
      <c r="BG120" s="26">
        <f t="shared" ca="1" si="13"/>
        <v>5.3922811665341408E-2</v>
      </c>
      <c r="BH120" s="29">
        <v>0</v>
      </c>
      <c r="BJ120" s="22">
        <v>44665</v>
      </c>
      <c r="BK120" s="26">
        <f t="shared" ca="1" si="14"/>
        <v>0.27757411381169539</v>
      </c>
      <c r="BL120" s="29">
        <v>0</v>
      </c>
      <c r="BN120" s="22">
        <v>44665</v>
      </c>
      <c r="BO120" s="26">
        <f t="shared" ca="1" si="15"/>
        <v>0.18705844522019732</v>
      </c>
      <c r="BP120" s="29">
        <v>0</v>
      </c>
      <c r="BR120" s="22">
        <v>44665</v>
      </c>
      <c r="BS120" s="26">
        <f t="shared" ca="1" si="16"/>
        <v>2.5057388826204674E-2</v>
      </c>
      <c r="BT120" s="29">
        <v>0</v>
      </c>
      <c r="BV120" s="22">
        <v>44665</v>
      </c>
      <c r="BW120" s="26">
        <f t="shared" ca="1" si="17"/>
        <v>0.12503699723611206</v>
      </c>
      <c r="BX120" s="29">
        <v>0</v>
      </c>
    </row>
    <row r="121" spans="2:76" ht="12.75" x14ac:dyDescent="0.2">
      <c r="B121" s="22">
        <v>44666</v>
      </c>
      <c r="C121" s="26">
        <f t="shared" ca="1" si="0"/>
        <v>0.60445887238604679</v>
      </c>
      <c r="D121" s="29">
        <v>0</v>
      </c>
      <c r="F121" s="22">
        <v>44666</v>
      </c>
      <c r="G121" s="26">
        <f t="shared" ca="1" si="1"/>
        <v>0.96985053344199113</v>
      </c>
      <c r="H121" s="29">
        <v>0</v>
      </c>
      <c r="J121" s="22">
        <v>44666</v>
      </c>
      <c r="K121" s="26">
        <f t="shared" ca="1" si="2"/>
        <v>0.55211349378264019</v>
      </c>
      <c r="L121" s="29">
        <v>0</v>
      </c>
      <c r="N121" s="22">
        <v>44666</v>
      </c>
      <c r="O121" s="26">
        <f t="shared" ca="1" si="3"/>
        <v>0.63207077709085246</v>
      </c>
      <c r="P121" s="29">
        <v>0</v>
      </c>
      <c r="R121" s="22">
        <v>44666</v>
      </c>
      <c r="S121" s="26">
        <f t="shared" ca="1" si="4"/>
        <v>0.27277262339435104</v>
      </c>
      <c r="T121" s="29">
        <v>0</v>
      </c>
      <c r="V121" s="22">
        <v>44666</v>
      </c>
      <c r="W121" s="26">
        <f t="shared" ca="1" si="5"/>
        <v>0.3206355898032206</v>
      </c>
      <c r="X121" s="29">
        <v>0</v>
      </c>
      <c r="Z121" s="22">
        <v>44666</v>
      </c>
      <c r="AA121" s="26">
        <f t="shared" ca="1" si="6"/>
        <v>0.42538220721276943</v>
      </c>
      <c r="AB121" s="29">
        <v>0</v>
      </c>
      <c r="AC121"/>
      <c r="AD121" s="25"/>
      <c r="AF121" s="22">
        <v>44666</v>
      </c>
      <c r="AG121" s="26">
        <f t="shared" ca="1" si="7"/>
        <v>0.59621727091070964</v>
      </c>
      <c r="AH121" s="29">
        <v>0</v>
      </c>
      <c r="AJ121" s="22">
        <v>44666</v>
      </c>
      <c r="AK121" s="26">
        <f t="shared" ca="1" si="8"/>
        <v>0.80420693114825337</v>
      </c>
      <c r="AL121" s="29">
        <v>0</v>
      </c>
      <c r="AN121" s="22">
        <v>44666</v>
      </c>
      <c r="AO121" s="26">
        <f t="shared" ca="1" si="9"/>
        <v>0.97620787050276236</v>
      </c>
      <c r="AP121" s="29">
        <v>0</v>
      </c>
      <c r="AR121" s="22">
        <v>44666</v>
      </c>
      <c r="AS121" s="26">
        <f t="shared" ca="1" si="10"/>
        <v>0.83149923347086252</v>
      </c>
      <c r="AT121" s="29">
        <v>0</v>
      </c>
      <c r="AV121" s="22">
        <v>44666</v>
      </c>
      <c r="AW121" s="26">
        <f t="shared" ca="1" si="11"/>
        <v>0.28292134608415576</v>
      </c>
      <c r="AX121" s="29">
        <v>0</v>
      </c>
      <c r="AZ121" s="22">
        <v>44666</v>
      </c>
      <c r="BA121" s="26">
        <f t="shared" ca="1" si="12"/>
        <v>0.72549166758013361</v>
      </c>
      <c r="BB121" s="29">
        <v>0</v>
      </c>
      <c r="BC121"/>
      <c r="BD121" s="25"/>
      <c r="BF121" s="22">
        <v>44666</v>
      </c>
      <c r="BG121" s="26">
        <f t="shared" ca="1" si="13"/>
        <v>0.40330381521919767</v>
      </c>
      <c r="BH121" s="29">
        <v>0</v>
      </c>
      <c r="BJ121" s="22">
        <v>44666</v>
      </c>
      <c r="BK121" s="26">
        <f t="shared" ca="1" si="14"/>
        <v>0.59939252980361113</v>
      </c>
      <c r="BL121" s="29">
        <v>0</v>
      </c>
      <c r="BN121" s="22">
        <v>44666</v>
      </c>
      <c r="BO121" s="26">
        <f t="shared" ca="1" si="15"/>
        <v>0.67145732654109602</v>
      </c>
      <c r="BP121" s="29">
        <v>0</v>
      </c>
      <c r="BR121" s="22">
        <v>44666</v>
      </c>
      <c r="BS121" s="26">
        <f t="shared" ca="1" si="16"/>
        <v>0.63796122734816185</v>
      </c>
      <c r="BT121" s="29">
        <v>0</v>
      </c>
      <c r="BV121" s="22">
        <v>44666</v>
      </c>
      <c r="BW121" s="26">
        <f t="shared" ca="1" si="17"/>
        <v>0.51042727625292694</v>
      </c>
      <c r="BX121" s="29">
        <v>0</v>
      </c>
    </row>
    <row r="122" spans="2:76" ht="12.75" x14ac:dyDescent="0.2">
      <c r="B122" s="22">
        <v>44667</v>
      </c>
      <c r="C122" s="26">
        <f t="shared" ca="1" si="0"/>
        <v>0.34887785977071828</v>
      </c>
      <c r="D122" s="29">
        <v>0</v>
      </c>
      <c r="F122" s="22">
        <v>44667</v>
      </c>
      <c r="G122" s="26">
        <f t="shared" ca="1" si="1"/>
        <v>0.78937555840915707</v>
      </c>
      <c r="H122" s="29">
        <v>0</v>
      </c>
      <c r="J122" s="22">
        <v>44667</v>
      </c>
      <c r="K122" s="26">
        <f t="shared" ca="1" si="2"/>
        <v>0.58212477147262243</v>
      </c>
      <c r="L122" s="29">
        <v>0</v>
      </c>
      <c r="N122" s="22">
        <v>44667</v>
      </c>
      <c r="O122" s="26">
        <f t="shared" ca="1" si="3"/>
        <v>0.53670035704430563</v>
      </c>
      <c r="P122" s="29">
        <v>0</v>
      </c>
      <c r="R122" s="22">
        <v>44667</v>
      </c>
      <c r="S122" s="26">
        <f t="shared" ca="1" si="4"/>
        <v>0.93025246993339028</v>
      </c>
      <c r="T122" s="29">
        <v>0</v>
      </c>
      <c r="V122" s="22">
        <v>44667</v>
      </c>
      <c r="W122" s="26">
        <f t="shared" ca="1" si="5"/>
        <v>0.60708488304753827</v>
      </c>
      <c r="X122" s="29">
        <v>0</v>
      </c>
      <c r="Z122" s="22">
        <v>44667</v>
      </c>
      <c r="AA122" s="26">
        <f t="shared" ca="1" si="6"/>
        <v>0.85443871184443743</v>
      </c>
      <c r="AB122" s="29">
        <v>0</v>
      </c>
      <c r="AC122"/>
      <c r="AD122" s="25"/>
      <c r="AF122" s="22">
        <v>44667</v>
      </c>
      <c r="AG122" s="26">
        <f t="shared" ca="1" si="7"/>
        <v>0.52617910447821203</v>
      </c>
      <c r="AH122" s="29">
        <v>0</v>
      </c>
      <c r="AJ122" s="22">
        <v>44667</v>
      </c>
      <c r="AK122" s="26">
        <f t="shared" ca="1" si="8"/>
        <v>0.25087894874598371</v>
      </c>
      <c r="AL122" s="29">
        <v>0</v>
      </c>
      <c r="AN122" s="22">
        <v>44667</v>
      </c>
      <c r="AO122" s="26">
        <f t="shared" ca="1" si="9"/>
        <v>0.35882850566266922</v>
      </c>
      <c r="AP122" s="29">
        <v>0</v>
      </c>
      <c r="AR122" s="22">
        <v>44667</v>
      </c>
      <c r="AS122" s="26">
        <f t="shared" ca="1" si="10"/>
        <v>3.3105084011124108E-2</v>
      </c>
      <c r="AT122" s="29">
        <v>0</v>
      </c>
      <c r="AV122" s="22">
        <v>44667</v>
      </c>
      <c r="AW122" s="26">
        <f t="shared" ca="1" si="11"/>
        <v>2.2670094189376711E-2</v>
      </c>
      <c r="AX122" s="29">
        <v>0</v>
      </c>
      <c r="AZ122" s="22">
        <v>44667</v>
      </c>
      <c r="BA122" s="26">
        <f t="shared" ca="1" si="12"/>
        <v>0.22363615149720228</v>
      </c>
      <c r="BB122" s="29">
        <v>0</v>
      </c>
      <c r="BC122"/>
      <c r="BD122" s="25"/>
      <c r="BF122" s="22">
        <v>44667</v>
      </c>
      <c r="BG122" s="26">
        <f t="shared" ca="1" si="13"/>
        <v>2.5147835360806892E-2</v>
      </c>
      <c r="BH122" s="29">
        <v>0</v>
      </c>
      <c r="BJ122" s="22">
        <v>44667</v>
      </c>
      <c r="BK122" s="26">
        <f t="shared" ca="1" si="14"/>
        <v>0.47216451557452277</v>
      </c>
      <c r="BL122" s="29">
        <v>0</v>
      </c>
      <c r="BN122" s="22">
        <v>44667</v>
      </c>
      <c r="BO122" s="26">
        <f t="shared" ca="1" si="15"/>
        <v>0.54974455570357139</v>
      </c>
      <c r="BP122" s="29">
        <v>0</v>
      </c>
      <c r="BR122" s="22">
        <v>44667</v>
      </c>
      <c r="BS122" s="26">
        <f t="shared" ca="1" si="16"/>
        <v>0.2727227286671543</v>
      </c>
      <c r="BT122" s="29">
        <v>0</v>
      </c>
      <c r="BV122" s="22">
        <v>44667</v>
      </c>
      <c r="BW122" s="26">
        <f t="shared" ca="1" si="17"/>
        <v>4.6787804954005252E-2</v>
      </c>
      <c r="BX122" s="29">
        <v>0</v>
      </c>
    </row>
    <row r="123" spans="2:76" ht="12.75" x14ac:dyDescent="0.2">
      <c r="B123" s="22">
        <v>44668</v>
      </c>
      <c r="C123" s="26">
        <f t="shared" ca="1" si="0"/>
        <v>0.59032206334633919</v>
      </c>
      <c r="D123" s="29">
        <v>0</v>
      </c>
      <c r="F123" s="22">
        <v>44668</v>
      </c>
      <c r="G123" s="26">
        <f t="shared" ca="1" si="1"/>
        <v>0.94330015012713198</v>
      </c>
      <c r="H123" s="29">
        <v>0</v>
      </c>
      <c r="J123" s="22">
        <v>44668</v>
      </c>
      <c r="K123" s="26">
        <f t="shared" ca="1" si="2"/>
        <v>0.99082381682740417</v>
      </c>
      <c r="L123" s="29">
        <v>0</v>
      </c>
      <c r="N123" s="22">
        <v>44668</v>
      </c>
      <c r="O123" s="26">
        <f t="shared" ca="1" si="3"/>
        <v>0.65750714526401599</v>
      </c>
      <c r="P123" s="29">
        <v>0</v>
      </c>
      <c r="R123" s="22">
        <v>44668</v>
      </c>
      <c r="S123" s="26">
        <f t="shared" ca="1" si="4"/>
        <v>0.84196396025918219</v>
      </c>
      <c r="T123" s="29">
        <v>0</v>
      </c>
      <c r="V123" s="22">
        <v>44668</v>
      </c>
      <c r="W123" s="26">
        <f t="shared" ca="1" si="5"/>
        <v>0.91527552327826522</v>
      </c>
      <c r="X123" s="29">
        <v>0</v>
      </c>
      <c r="Z123" s="22">
        <v>44668</v>
      </c>
      <c r="AA123" s="26">
        <f t="shared" ca="1" si="6"/>
        <v>0.81676820826775465</v>
      </c>
      <c r="AB123" s="29">
        <v>0</v>
      </c>
      <c r="AC123"/>
      <c r="AD123" s="25"/>
      <c r="AF123" s="22">
        <v>44668</v>
      </c>
      <c r="AG123" s="26">
        <f t="shared" ca="1" si="7"/>
        <v>0.46154168514426375</v>
      </c>
      <c r="AH123" s="29">
        <v>0</v>
      </c>
      <c r="AJ123" s="22">
        <v>44668</v>
      </c>
      <c r="AK123" s="26">
        <f t="shared" ca="1" si="8"/>
        <v>9.2676661574747965E-2</v>
      </c>
      <c r="AL123" s="29">
        <v>0</v>
      </c>
      <c r="AN123" s="22">
        <v>44668</v>
      </c>
      <c r="AO123" s="26">
        <f t="shared" ca="1" si="9"/>
        <v>0.13044569753517643</v>
      </c>
      <c r="AP123" s="29">
        <v>0</v>
      </c>
      <c r="AR123" s="22">
        <v>44668</v>
      </c>
      <c r="AS123" s="26">
        <f t="shared" ca="1" si="10"/>
        <v>0.88736904759647373</v>
      </c>
      <c r="AT123" s="29">
        <v>0</v>
      </c>
      <c r="AV123" s="22">
        <v>44668</v>
      </c>
      <c r="AW123" s="26">
        <f t="shared" ca="1" si="11"/>
        <v>0.63168425029311126</v>
      </c>
      <c r="AX123" s="29">
        <v>0</v>
      </c>
      <c r="AZ123" s="22">
        <v>44668</v>
      </c>
      <c r="BA123" s="26">
        <f t="shared" ca="1" si="12"/>
        <v>0.51009591499420792</v>
      </c>
      <c r="BB123" s="29">
        <v>0</v>
      </c>
      <c r="BC123"/>
      <c r="BD123" s="25"/>
      <c r="BF123" s="22">
        <v>44668</v>
      </c>
      <c r="BG123" s="26">
        <f t="shared" ca="1" si="13"/>
        <v>5.342180755511905E-2</v>
      </c>
      <c r="BH123" s="29">
        <v>0</v>
      </c>
      <c r="BJ123" s="22">
        <v>44668</v>
      </c>
      <c r="BK123" s="26">
        <f t="shared" ca="1" si="14"/>
        <v>6.9599459589161139E-2</v>
      </c>
      <c r="BL123" s="29">
        <v>0</v>
      </c>
      <c r="BN123" s="22">
        <v>44668</v>
      </c>
      <c r="BO123" s="26">
        <f t="shared" ca="1" si="15"/>
        <v>0.56403247703352011</v>
      </c>
      <c r="BP123" s="29">
        <v>0</v>
      </c>
      <c r="BR123" s="22">
        <v>44668</v>
      </c>
      <c r="BS123" s="26">
        <f t="shared" ca="1" si="16"/>
        <v>0.17556420158157238</v>
      </c>
      <c r="BT123" s="29">
        <v>0</v>
      </c>
      <c r="BV123" s="22">
        <v>44668</v>
      </c>
      <c r="BW123" s="26">
        <f t="shared" ca="1" si="17"/>
        <v>0.45500298595741739</v>
      </c>
      <c r="BX123" s="29">
        <v>0</v>
      </c>
    </row>
    <row r="124" spans="2:76" ht="12.75" x14ac:dyDescent="0.2">
      <c r="B124" s="22">
        <v>44669</v>
      </c>
      <c r="C124" s="26">
        <f t="shared" ca="1" si="0"/>
        <v>0.57065233908674629</v>
      </c>
      <c r="D124" s="29">
        <v>0</v>
      </c>
      <c r="F124" s="22">
        <v>44669</v>
      </c>
      <c r="G124" s="26">
        <f t="shared" ca="1" si="1"/>
        <v>0.25821500707321099</v>
      </c>
      <c r="H124" s="29">
        <v>0</v>
      </c>
      <c r="J124" s="22">
        <v>44669</v>
      </c>
      <c r="K124" s="26">
        <f t="shared" ca="1" si="2"/>
        <v>0.25294326826030911</v>
      </c>
      <c r="L124" s="29">
        <v>0</v>
      </c>
      <c r="N124" s="22">
        <v>44669</v>
      </c>
      <c r="O124" s="26">
        <f t="shared" ca="1" si="3"/>
        <v>1.328456148816759E-2</v>
      </c>
      <c r="P124" s="29">
        <v>0</v>
      </c>
      <c r="R124" s="22">
        <v>44669</v>
      </c>
      <c r="S124" s="26">
        <f t="shared" ca="1" si="4"/>
        <v>0.74894435135942183</v>
      </c>
      <c r="T124" s="29">
        <v>0</v>
      </c>
      <c r="V124" s="22">
        <v>44669</v>
      </c>
      <c r="W124" s="26">
        <f t="shared" ca="1" si="5"/>
        <v>4.4974684939143805E-2</v>
      </c>
      <c r="X124" s="29">
        <v>0</v>
      </c>
      <c r="Z124" s="22">
        <v>44669</v>
      </c>
      <c r="AA124" s="26">
        <f t="shared" ca="1" si="6"/>
        <v>0.50236269390458077</v>
      </c>
      <c r="AB124" s="29">
        <v>0</v>
      </c>
      <c r="AC124"/>
      <c r="AD124" s="25"/>
      <c r="AF124" s="22">
        <v>44669</v>
      </c>
      <c r="AG124" s="26">
        <f t="shared" ca="1" si="7"/>
        <v>0.67008460408119974</v>
      </c>
      <c r="AH124" s="29">
        <v>0</v>
      </c>
      <c r="AJ124" s="22">
        <v>44669</v>
      </c>
      <c r="AK124" s="26">
        <f t="shared" ca="1" si="8"/>
        <v>0.67222462914832748</v>
      </c>
      <c r="AL124" s="29">
        <v>0</v>
      </c>
      <c r="AN124" s="22">
        <v>44669</v>
      </c>
      <c r="AO124" s="26">
        <f t="shared" ca="1" si="9"/>
        <v>0.98225205138553273</v>
      </c>
      <c r="AP124" s="29">
        <v>0</v>
      </c>
      <c r="AR124" s="22">
        <v>44669</v>
      </c>
      <c r="AS124" s="26">
        <f t="shared" ca="1" si="10"/>
        <v>0.87426525636654473</v>
      </c>
      <c r="AT124" s="29">
        <v>0</v>
      </c>
      <c r="AV124" s="22">
        <v>44669</v>
      </c>
      <c r="AW124" s="26">
        <f t="shared" ca="1" si="11"/>
        <v>0.38022559192576133</v>
      </c>
      <c r="AX124" s="29">
        <v>0</v>
      </c>
      <c r="AZ124" s="22">
        <v>44669</v>
      </c>
      <c r="BA124" s="26">
        <f t="shared" ca="1" si="12"/>
        <v>0.15014962057434211</v>
      </c>
      <c r="BB124" s="29">
        <v>0</v>
      </c>
      <c r="BC124"/>
      <c r="BD124" s="25"/>
      <c r="BF124" s="22">
        <v>44669</v>
      </c>
      <c r="BG124" s="26">
        <f t="shared" ca="1" si="13"/>
        <v>0.20941154201560686</v>
      </c>
      <c r="BH124" s="29">
        <v>0</v>
      </c>
      <c r="BJ124" s="22">
        <v>44669</v>
      </c>
      <c r="BK124" s="26">
        <f t="shared" ca="1" si="14"/>
        <v>0.96938397185898795</v>
      </c>
      <c r="BL124" s="29">
        <v>0</v>
      </c>
      <c r="BN124" s="22">
        <v>44669</v>
      </c>
      <c r="BO124" s="26">
        <f t="shared" ca="1" si="15"/>
        <v>0.9618800924534836</v>
      </c>
      <c r="BP124" s="29">
        <v>0</v>
      </c>
      <c r="BR124" s="22">
        <v>44669</v>
      </c>
      <c r="BS124" s="26">
        <f t="shared" ca="1" si="16"/>
        <v>0.55326718009345888</v>
      </c>
      <c r="BT124" s="29">
        <v>0</v>
      </c>
      <c r="BV124" s="22">
        <v>44669</v>
      </c>
      <c r="BW124" s="26">
        <f t="shared" ca="1" si="17"/>
        <v>0.84042480581079082</v>
      </c>
      <c r="BX124" s="29">
        <v>0</v>
      </c>
    </row>
    <row r="125" spans="2:76" ht="12.75" x14ac:dyDescent="0.2">
      <c r="B125" s="22">
        <v>44670</v>
      </c>
      <c r="C125" s="26">
        <f t="shared" ca="1" si="0"/>
        <v>0.92571942587100065</v>
      </c>
      <c r="D125" s="29">
        <f t="shared" ca="1" si="22"/>
        <v>104</v>
      </c>
      <c r="F125" s="22">
        <v>44670</v>
      </c>
      <c r="G125" s="26">
        <f t="shared" ca="1" si="1"/>
        <v>0.46896966940501417</v>
      </c>
      <c r="H125" s="29">
        <v>0</v>
      </c>
      <c r="J125" s="22">
        <v>44670</v>
      </c>
      <c r="K125" s="26">
        <f t="shared" ca="1" si="2"/>
        <v>0.35012804825091071</v>
      </c>
      <c r="L125" s="29">
        <v>0</v>
      </c>
      <c r="N125" s="22">
        <v>44670</v>
      </c>
      <c r="O125" s="26">
        <f t="shared" ca="1" si="3"/>
        <v>0.58072748691382703</v>
      </c>
      <c r="P125" s="29">
        <v>0</v>
      </c>
      <c r="R125" s="22">
        <v>44670</v>
      </c>
      <c r="S125" s="26">
        <f t="shared" ca="1" si="4"/>
        <v>0.19606933946453486</v>
      </c>
      <c r="T125" s="29">
        <v>0</v>
      </c>
      <c r="V125" s="22">
        <v>44670</v>
      </c>
      <c r="W125" s="26">
        <f t="shared" ca="1" si="5"/>
        <v>0.49125832932824975</v>
      </c>
      <c r="X125" s="29">
        <v>0</v>
      </c>
      <c r="Z125" s="22">
        <v>44670</v>
      </c>
      <c r="AA125" s="26">
        <f t="shared" ca="1" si="6"/>
        <v>0.4421995768695407</v>
      </c>
      <c r="AB125" s="29">
        <v>0</v>
      </c>
      <c r="AC125"/>
      <c r="AD125" s="25"/>
      <c r="AF125" s="22">
        <v>44670</v>
      </c>
      <c r="AG125" s="26">
        <f t="shared" ca="1" si="7"/>
        <v>0.41448408187357433</v>
      </c>
      <c r="AH125" s="29">
        <v>0</v>
      </c>
      <c r="AJ125" s="22">
        <v>44670</v>
      </c>
      <c r="AK125" s="26">
        <f t="shared" ca="1" si="8"/>
        <v>0.63435077811051666</v>
      </c>
      <c r="AL125" s="29">
        <v>0</v>
      </c>
      <c r="AN125" s="22">
        <v>44670</v>
      </c>
      <c r="AO125" s="26">
        <f t="shared" ca="1" si="9"/>
        <v>0.287540675142272</v>
      </c>
      <c r="AP125" s="29">
        <v>0</v>
      </c>
      <c r="AR125" s="22">
        <v>44670</v>
      </c>
      <c r="AS125" s="26">
        <f t="shared" ca="1" si="10"/>
        <v>0.40140801650238056</v>
      </c>
      <c r="AT125" s="29">
        <v>0</v>
      </c>
      <c r="AV125" s="22">
        <v>44670</v>
      </c>
      <c r="AW125" s="26">
        <f t="shared" ca="1" si="11"/>
        <v>0.78359568961669557</v>
      </c>
      <c r="AX125" s="29">
        <v>0</v>
      </c>
      <c r="AZ125" s="22">
        <v>44670</v>
      </c>
      <c r="BA125" s="26">
        <f t="shared" ca="1" si="12"/>
        <v>0.95776751496356838</v>
      </c>
      <c r="BB125" s="29">
        <v>0</v>
      </c>
      <c r="BC125"/>
      <c r="BD125" s="25"/>
      <c r="BF125" s="22">
        <v>44670</v>
      </c>
      <c r="BG125" s="26">
        <f t="shared" ca="1" si="13"/>
        <v>0.7621361683309632</v>
      </c>
      <c r="BH125" s="29">
        <v>0</v>
      </c>
      <c r="BJ125" s="22">
        <v>44670</v>
      </c>
      <c r="BK125" s="26">
        <f t="shared" ca="1" si="14"/>
        <v>0.28340047309166194</v>
      </c>
      <c r="BL125" s="29">
        <v>0</v>
      </c>
      <c r="BN125" s="22">
        <v>44670</v>
      </c>
      <c r="BO125" s="26">
        <f t="shared" ca="1" si="15"/>
        <v>0.19196765792627146</v>
      </c>
      <c r="BP125" s="29">
        <v>0</v>
      </c>
      <c r="BR125" s="22">
        <v>44670</v>
      </c>
      <c r="BS125" s="26">
        <f t="shared" ca="1" si="16"/>
        <v>0.5171813228436769</v>
      </c>
      <c r="BT125" s="29">
        <v>0</v>
      </c>
      <c r="BV125" s="22">
        <v>44670</v>
      </c>
      <c r="BW125" s="26">
        <f t="shared" ca="1" si="17"/>
        <v>0.39650655747460306</v>
      </c>
      <c r="BX125" s="29">
        <v>0</v>
      </c>
    </row>
    <row r="126" spans="2:76" ht="12.75" x14ac:dyDescent="0.2">
      <c r="B126" s="22">
        <v>44671</v>
      </c>
      <c r="C126" s="26">
        <f t="shared" ca="1" si="0"/>
        <v>0.72062616386048994</v>
      </c>
      <c r="D126" s="29">
        <f t="shared" ca="1" si="22"/>
        <v>87</v>
      </c>
      <c r="F126" s="22">
        <v>44671</v>
      </c>
      <c r="G126" s="26">
        <f t="shared" ca="1" si="1"/>
        <v>0.74005799573383224</v>
      </c>
      <c r="H126" s="29">
        <v>0</v>
      </c>
      <c r="J126" s="22">
        <v>44671</v>
      </c>
      <c r="K126" s="26">
        <f t="shared" ca="1" si="2"/>
        <v>0.11478185313231881</v>
      </c>
      <c r="L126" s="29">
        <v>0</v>
      </c>
      <c r="N126" s="22">
        <v>44671</v>
      </c>
      <c r="O126" s="26">
        <f t="shared" ca="1" si="3"/>
        <v>0.34226124871747221</v>
      </c>
      <c r="P126" s="29">
        <v>0</v>
      </c>
      <c r="R126" s="22">
        <v>44671</v>
      </c>
      <c r="S126" s="26">
        <f t="shared" ca="1" si="4"/>
        <v>0.51306127134535595</v>
      </c>
      <c r="T126" s="29">
        <v>0</v>
      </c>
      <c r="V126" s="22">
        <v>44671</v>
      </c>
      <c r="W126" s="26">
        <f t="shared" ca="1" si="5"/>
        <v>0.59716208062746556</v>
      </c>
      <c r="X126" s="29">
        <v>0</v>
      </c>
      <c r="Z126" s="22">
        <v>44671</v>
      </c>
      <c r="AA126" s="26">
        <f t="shared" ca="1" si="6"/>
        <v>0.79629397900343812</v>
      </c>
      <c r="AB126" s="29">
        <v>0</v>
      </c>
      <c r="AC126"/>
      <c r="AD126" s="25"/>
      <c r="AF126" s="22">
        <v>44671</v>
      </c>
      <c r="AG126" s="26">
        <f t="shared" ca="1" si="7"/>
        <v>0.11794274358980428</v>
      </c>
      <c r="AH126" s="29">
        <v>0</v>
      </c>
      <c r="AJ126" s="22">
        <v>44671</v>
      </c>
      <c r="AK126" s="26">
        <f t="shared" ca="1" si="8"/>
        <v>0.94711929309730847</v>
      </c>
      <c r="AL126" s="29">
        <v>0</v>
      </c>
      <c r="AN126" s="22">
        <v>44671</v>
      </c>
      <c r="AO126" s="26">
        <f t="shared" ca="1" si="9"/>
        <v>0.69037869471404734</v>
      </c>
      <c r="AP126" s="29">
        <v>0</v>
      </c>
      <c r="AR126" s="22">
        <v>44671</v>
      </c>
      <c r="AS126" s="26">
        <f t="shared" ca="1" si="10"/>
        <v>0.67750639008676261</v>
      </c>
      <c r="AT126" s="29">
        <v>0</v>
      </c>
      <c r="AV126" s="22">
        <v>44671</v>
      </c>
      <c r="AW126" s="26">
        <f t="shared" ca="1" si="11"/>
        <v>0.19325145058265814</v>
      </c>
      <c r="AX126" s="29">
        <v>0</v>
      </c>
      <c r="AZ126" s="22">
        <v>44671</v>
      </c>
      <c r="BA126" s="26">
        <f t="shared" ca="1" si="12"/>
        <v>0.73896807172666856</v>
      </c>
      <c r="BB126" s="29">
        <v>0</v>
      </c>
      <c r="BC126"/>
      <c r="BD126" s="25"/>
      <c r="BF126" s="22">
        <v>44671</v>
      </c>
      <c r="BG126" s="26">
        <f t="shared" ca="1" si="13"/>
        <v>0.96772264596325741</v>
      </c>
      <c r="BH126" s="29">
        <v>0</v>
      </c>
      <c r="BJ126" s="22">
        <v>44671</v>
      </c>
      <c r="BK126" s="26">
        <f t="shared" ca="1" si="14"/>
        <v>0.23484236139287606</v>
      </c>
      <c r="BL126" s="29">
        <v>0</v>
      </c>
      <c r="BN126" s="22">
        <v>44671</v>
      </c>
      <c r="BO126" s="26">
        <f t="shared" ca="1" si="15"/>
        <v>0.51876252273217549</v>
      </c>
      <c r="BP126" s="29">
        <v>0</v>
      </c>
      <c r="BR126" s="22">
        <v>44671</v>
      </c>
      <c r="BS126" s="26">
        <f t="shared" ca="1" si="16"/>
        <v>1.1736726809353448E-2</v>
      </c>
      <c r="BT126" s="29">
        <v>0</v>
      </c>
      <c r="BV126" s="22">
        <v>44671</v>
      </c>
      <c r="BW126" s="26">
        <f t="shared" ca="1" si="17"/>
        <v>0.15439471905667013</v>
      </c>
      <c r="BX126" s="29">
        <v>0</v>
      </c>
    </row>
    <row r="127" spans="2:76" ht="12.75" x14ac:dyDescent="0.2">
      <c r="B127" s="22">
        <v>44672</v>
      </c>
      <c r="C127" s="26">
        <f t="shared" ca="1" si="0"/>
        <v>1.8878007985610679E-2</v>
      </c>
      <c r="D127" s="29">
        <f t="shared" ca="1" si="22"/>
        <v>34</v>
      </c>
      <c r="F127" s="22">
        <v>44672</v>
      </c>
      <c r="G127" s="26">
        <f t="shared" ca="1" si="1"/>
        <v>0.26328739751363217</v>
      </c>
      <c r="H127" s="29">
        <v>0</v>
      </c>
      <c r="J127" s="22">
        <v>44672</v>
      </c>
      <c r="K127" s="26">
        <f t="shared" ca="1" si="2"/>
        <v>0.11531448965072832</v>
      </c>
      <c r="L127" s="29">
        <v>0</v>
      </c>
      <c r="N127" s="22">
        <v>44672</v>
      </c>
      <c r="O127" s="26">
        <f t="shared" ca="1" si="3"/>
        <v>0.96723065629584271</v>
      </c>
      <c r="P127" s="29">
        <v>0</v>
      </c>
      <c r="R127" s="22">
        <v>44672</v>
      </c>
      <c r="S127" s="26">
        <f t="shared" ca="1" si="4"/>
        <v>0.8886568564278412</v>
      </c>
      <c r="T127" s="29">
        <v>0</v>
      </c>
      <c r="V127" s="22">
        <v>44672</v>
      </c>
      <c r="W127" s="26">
        <f t="shared" ca="1" si="5"/>
        <v>0.3894287507534836</v>
      </c>
      <c r="X127" s="29">
        <v>0</v>
      </c>
      <c r="Z127" s="22">
        <v>44672</v>
      </c>
      <c r="AA127" s="26">
        <f t="shared" ca="1" si="6"/>
        <v>2.1480659454155671E-2</v>
      </c>
      <c r="AB127" s="29">
        <v>0</v>
      </c>
      <c r="AC127"/>
      <c r="AD127" s="25"/>
      <c r="AF127" s="22">
        <v>44672</v>
      </c>
      <c r="AG127" s="26">
        <f t="shared" ca="1" si="7"/>
        <v>0.99246369648044075</v>
      </c>
      <c r="AH127" s="29">
        <v>0</v>
      </c>
      <c r="AJ127" s="22">
        <v>44672</v>
      </c>
      <c r="AK127" s="26">
        <f t="shared" ca="1" si="8"/>
        <v>0.66531390572988691</v>
      </c>
      <c r="AL127" s="29">
        <v>0</v>
      </c>
      <c r="AN127" s="22">
        <v>44672</v>
      </c>
      <c r="AO127" s="26">
        <f t="shared" ca="1" si="9"/>
        <v>0.13983104814125213</v>
      </c>
      <c r="AP127" s="29">
        <v>0</v>
      </c>
      <c r="AR127" s="22">
        <v>44672</v>
      </c>
      <c r="AS127" s="26">
        <f t="shared" ca="1" si="10"/>
        <v>0.76283922008283456</v>
      </c>
      <c r="AT127" s="29">
        <v>0</v>
      </c>
      <c r="AV127" s="22">
        <v>44672</v>
      </c>
      <c r="AW127" s="26">
        <f t="shared" ca="1" si="11"/>
        <v>0.41057076670705683</v>
      </c>
      <c r="AX127" s="29">
        <v>0</v>
      </c>
      <c r="AZ127" s="22">
        <v>44672</v>
      </c>
      <c r="BA127" s="26">
        <f t="shared" ca="1" si="12"/>
        <v>0.7620707291251092</v>
      </c>
      <c r="BB127" s="29">
        <v>0</v>
      </c>
      <c r="BC127"/>
      <c r="BD127" s="25"/>
      <c r="BF127" s="22">
        <v>44672</v>
      </c>
      <c r="BG127" s="26">
        <f t="shared" ca="1" si="13"/>
        <v>0.69137613782501517</v>
      </c>
      <c r="BH127" s="29">
        <v>0</v>
      </c>
      <c r="BJ127" s="22">
        <v>44672</v>
      </c>
      <c r="BK127" s="26">
        <f t="shared" ca="1" si="14"/>
        <v>0.78906910284594534</v>
      </c>
      <c r="BL127" s="29">
        <v>0</v>
      </c>
      <c r="BN127" s="22">
        <v>44672</v>
      </c>
      <c r="BO127" s="26">
        <f t="shared" ca="1" si="15"/>
        <v>0.58806909451652678</v>
      </c>
      <c r="BP127" s="29">
        <v>0</v>
      </c>
      <c r="BR127" s="22">
        <v>44672</v>
      </c>
      <c r="BS127" s="26">
        <f t="shared" ca="1" si="16"/>
        <v>0.82150901964309786</v>
      </c>
      <c r="BT127" s="29">
        <v>0</v>
      </c>
      <c r="BV127" s="22">
        <v>44672</v>
      </c>
      <c r="BW127" s="26">
        <f t="shared" ca="1" si="17"/>
        <v>0.40333367617151239</v>
      </c>
      <c r="BX127" s="29">
        <v>0</v>
      </c>
    </row>
    <row r="128" spans="2:76" ht="12.75" x14ac:dyDescent="0.2">
      <c r="B128" s="22">
        <v>44673</v>
      </c>
      <c r="C128" s="26">
        <f t="shared" ca="1" si="0"/>
        <v>0.99332545688687379</v>
      </c>
      <c r="D128" s="29">
        <f t="shared" ca="1" si="22"/>
        <v>125</v>
      </c>
      <c r="F128" s="22">
        <v>44673</v>
      </c>
      <c r="G128" s="26">
        <f t="shared" ca="1" si="1"/>
        <v>0.87254734449438343</v>
      </c>
      <c r="H128" s="29">
        <v>0</v>
      </c>
      <c r="J128" s="22">
        <v>44673</v>
      </c>
      <c r="K128" s="26">
        <f t="shared" ca="1" si="2"/>
        <v>0.11057817810211201</v>
      </c>
      <c r="L128" s="29">
        <v>0</v>
      </c>
      <c r="N128" s="22">
        <v>44673</v>
      </c>
      <c r="O128" s="26">
        <f t="shared" ca="1" si="3"/>
        <v>0.76785124172423092</v>
      </c>
      <c r="P128" s="29">
        <v>0</v>
      </c>
      <c r="R128" s="22">
        <v>44673</v>
      </c>
      <c r="S128" s="26">
        <f t="shared" ca="1" si="4"/>
        <v>0.80553090551908724</v>
      </c>
      <c r="T128" s="29">
        <v>0</v>
      </c>
      <c r="V128" s="22">
        <v>44673</v>
      </c>
      <c r="W128" s="26">
        <f t="shared" ca="1" si="5"/>
        <v>0.49779091650888507</v>
      </c>
      <c r="X128" s="29">
        <v>0</v>
      </c>
      <c r="Z128" s="22">
        <v>44673</v>
      </c>
      <c r="AA128" s="26">
        <f t="shared" ca="1" si="6"/>
        <v>0.86522201411964317</v>
      </c>
      <c r="AB128" s="29">
        <v>0</v>
      </c>
      <c r="AC128"/>
      <c r="AD128" s="25"/>
      <c r="AF128" s="22">
        <v>44673</v>
      </c>
      <c r="AG128" s="26">
        <f t="shared" ca="1" si="7"/>
        <v>4.7908834342543005E-2</v>
      </c>
      <c r="AH128" s="29">
        <v>0</v>
      </c>
      <c r="AJ128" s="22">
        <v>44673</v>
      </c>
      <c r="AK128" s="26">
        <f t="shared" ca="1" si="8"/>
        <v>0.7976454204984269</v>
      </c>
      <c r="AL128" s="29">
        <v>0</v>
      </c>
      <c r="AN128" s="22">
        <v>44673</v>
      </c>
      <c r="AO128" s="26">
        <f t="shared" ca="1" si="9"/>
        <v>0.84284618444957193</v>
      </c>
      <c r="AP128" s="29">
        <v>0</v>
      </c>
      <c r="AR128" s="22">
        <v>44673</v>
      </c>
      <c r="AS128" s="26">
        <f t="shared" ca="1" si="10"/>
        <v>0.50161158050798393</v>
      </c>
      <c r="AT128" s="29">
        <v>0</v>
      </c>
      <c r="AV128" s="22">
        <v>44673</v>
      </c>
      <c r="AW128" s="26">
        <f t="shared" ca="1" si="11"/>
        <v>0.68365710314758588</v>
      </c>
      <c r="AX128" s="29">
        <v>0</v>
      </c>
      <c r="AZ128" s="22">
        <v>44673</v>
      </c>
      <c r="BA128" s="26">
        <f t="shared" ca="1" si="12"/>
        <v>0.72376195621914297</v>
      </c>
      <c r="BB128" s="29">
        <v>0</v>
      </c>
      <c r="BC128"/>
      <c r="BD128" s="25"/>
      <c r="BF128" s="22">
        <v>44673</v>
      </c>
      <c r="BG128" s="26">
        <f t="shared" ca="1" si="13"/>
        <v>0.65196782068209802</v>
      </c>
      <c r="BH128" s="29">
        <v>0</v>
      </c>
      <c r="BJ128" s="22">
        <v>44673</v>
      </c>
      <c r="BK128" s="26">
        <f t="shared" ca="1" si="14"/>
        <v>0.80108289896229845</v>
      </c>
      <c r="BL128" s="29">
        <v>0</v>
      </c>
      <c r="BN128" s="22">
        <v>44673</v>
      </c>
      <c r="BO128" s="26">
        <f t="shared" ca="1" si="15"/>
        <v>0.32757279289249075</v>
      </c>
      <c r="BP128" s="29">
        <v>0</v>
      </c>
      <c r="BR128" s="22">
        <v>44673</v>
      </c>
      <c r="BS128" s="26">
        <f t="shared" ca="1" si="16"/>
        <v>0.50874656842926191</v>
      </c>
      <c r="BT128" s="29">
        <v>0</v>
      </c>
      <c r="BV128" s="22">
        <v>44673</v>
      </c>
      <c r="BW128" s="26">
        <f t="shared" ca="1" si="17"/>
        <v>0.61786830642580626</v>
      </c>
      <c r="BX128" s="29">
        <v>0</v>
      </c>
    </row>
    <row r="129" spans="2:77" ht="12.75" x14ac:dyDescent="0.2">
      <c r="B129" s="22">
        <v>44674</v>
      </c>
      <c r="C129" s="26">
        <f t="shared" ca="1" si="0"/>
        <v>0.64330646413844561</v>
      </c>
      <c r="D129" s="29">
        <f t="shared" ca="1" si="22"/>
        <v>83</v>
      </c>
      <c r="F129" s="22">
        <v>44674</v>
      </c>
      <c r="G129" s="26">
        <f t="shared" ca="1" si="1"/>
        <v>0.95464811253893356</v>
      </c>
      <c r="H129" s="29">
        <v>0</v>
      </c>
      <c r="J129" s="22">
        <v>44674</v>
      </c>
      <c r="K129" s="26">
        <f t="shared" ca="1" si="2"/>
        <v>0.16566779035430534</v>
      </c>
      <c r="L129" s="29">
        <v>0</v>
      </c>
      <c r="N129" s="22">
        <v>44674</v>
      </c>
      <c r="O129" s="26">
        <f t="shared" ca="1" si="3"/>
        <v>0.5785727435268706</v>
      </c>
      <c r="P129" s="29">
        <v>0</v>
      </c>
      <c r="R129" s="22">
        <v>44674</v>
      </c>
      <c r="S129" s="26">
        <f t="shared" ca="1" si="4"/>
        <v>0.37644635484807443</v>
      </c>
      <c r="T129" s="29">
        <v>0</v>
      </c>
      <c r="V129" s="22">
        <v>44674</v>
      </c>
      <c r="W129" s="26">
        <f t="shared" ca="1" si="5"/>
        <v>0.74814625563096515</v>
      </c>
      <c r="X129" s="29">
        <v>0</v>
      </c>
      <c r="Z129" s="22">
        <v>44674</v>
      </c>
      <c r="AA129" s="26">
        <f t="shared" ca="1" si="6"/>
        <v>0.30450439214556291</v>
      </c>
      <c r="AB129" s="29">
        <v>0</v>
      </c>
      <c r="AC129"/>
      <c r="AD129" s="25"/>
      <c r="AF129" s="22">
        <v>44674</v>
      </c>
      <c r="AG129" s="26">
        <f t="shared" ca="1" si="7"/>
        <v>0.3940421487220308</v>
      </c>
      <c r="AH129" s="29">
        <v>0</v>
      </c>
      <c r="AJ129" s="22">
        <v>44674</v>
      </c>
      <c r="AK129" s="26">
        <f t="shared" ca="1" si="8"/>
        <v>0.74902093002591963</v>
      </c>
      <c r="AL129" s="29">
        <v>0</v>
      </c>
      <c r="AN129" s="22">
        <v>44674</v>
      </c>
      <c r="AO129" s="26">
        <f t="shared" ca="1" si="9"/>
        <v>3.4556244240309231E-2</v>
      </c>
      <c r="AP129" s="29">
        <v>0</v>
      </c>
      <c r="AR129" s="22">
        <v>44674</v>
      </c>
      <c r="AS129" s="26">
        <f t="shared" ca="1" si="10"/>
        <v>0.39977814751820384</v>
      </c>
      <c r="AT129" s="29">
        <v>0</v>
      </c>
      <c r="AV129" s="22">
        <v>44674</v>
      </c>
      <c r="AW129" s="26">
        <f t="shared" ca="1" si="11"/>
        <v>0.90731547126715306</v>
      </c>
      <c r="AX129" s="29">
        <v>0</v>
      </c>
      <c r="AZ129" s="22">
        <v>44674</v>
      </c>
      <c r="BA129" s="26">
        <f t="shared" ca="1" si="12"/>
        <v>0.60381425293264401</v>
      </c>
      <c r="BB129" s="29">
        <v>0</v>
      </c>
      <c r="BC129"/>
      <c r="BD129" s="25"/>
      <c r="BF129" s="22">
        <v>44674</v>
      </c>
      <c r="BG129" s="26">
        <f t="shared" ca="1" si="13"/>
        <v>0.56125261476519472</v>
      </c>
      <c r="BH129" s="29">
        <v>0</v>
      </c>
      <c r="BJ129" s="22">
        <v>44674</v>
      </c>
      <c r="BK129" s="26">
        <f t="shared" ca="1" si="14"/>
        <v>0.74483928422343415</v>
      </c>
      <c r="BL129" s="29">
        <v>0</v>
      </c>
      <c r="BN129" s="22">
        <v>44674</v>
      </c>
      <c r="BO129" s="26">
        <f t="shared" ca="1" si="15"/>
        <v>0.959148797926626</v>
      </c>
      <c r="BP129" s="29">
        <v>0</v>
      </c>
      <c r="BR129" s="22">
        <v>44674</v>
      </c>
      <c r="BS129" s="26">
        <f t="shared" ca="1" si="16"/>
        <v>0.63596117839778354</v>
      </c>
      <c r="BT129" s="29">
        <v>0</v>
      </c>
      <c r="BV129" s="22">
        <v>44674</v>
      </c>
      <c r="BW129" s="26">
        <f t="shared" ca="1" si="17"/>
        <v>0.52866283138057057</v>
      </c>
      <c r="BX129" s="29">
        <v>0</v>
      </c>
    </row>
    <row r="130" spans="2:77" ht="12.75" x14ac:dyDescent="0.2">
      <c r="B130" s="22">
        <v>44675</v>
      </c>
      <c r="C130" s="26">
        <f t="shared" ca="1" si="0"/>
        <v>0.59170215439140295</v>
      </c>
      <c r="D130" s="29">
        <f t="shared" ca="1" si="22"/>
        <v>80</v>
      </c>
      <c r="F130" s="22">
        <v>44675</v>
      </c>
      <c r="G130" s="26">
        <f t="shared" ca="1" si="1"/>
        <v>0.12957292631617745</v>
      </c>
      <c r="H130" s="29">
        <v>0</v>
      </c>
      <c r="J130" s="22">
        <v>44675</v>
      </c>
      <c r="K130" s="26">
        <f t="shared" ca="1" si="2"/>
        <v>0.94274555387033931</v>
      </c>
      <c r="L130" s="29">
        <v>0</v>
      </c>
      <c r="N130" s="22">
        <v>44675</v>
      </c>
      <c r="O130" s="26">
        <f t="shared" ca="1" si="3"/>
        <v>0.42369421988669709</v>
      </c>
      <c r="P130" s="29">
        <v>0</v>
      </c>
      <c r="R130" s="22">
        <v>44675</v>
      </c>
      <c r="S130" s="26">
        <f t="shared" ca="1" si="4"/>
        <v>0.61826729918465473</v>
      </c>
      <c r="T130" s="29">
        <v>0</v>
      </c>
      <c r="V130" s="22">
        <v>44675</v>
      </c>
      <c r="W130" s="26">
        <f t="shared" ca="1" si="5"/>
        <v>0.35624596220625671</v>
      </c>
      <c r="X130" s="29">
        <v>0</v>
      </c>
      <c r="Z130" s="22">
        <v>44675</v>
      </c>
      <c r="AA130" s="26">
        <f t="shared" ca="1" si="6"/>
        <v>0.10445602499579498</v>
      </c>
      <c r="AB130" s="29">
        <v>0</v>
      </c>
      <c r="AC130"/>
      <c r="AD130" s="25"/>
      <c r="AF130" s="22">
        <v>44675</v>
      </c>
      <c r="AG130" s="26">
        <f t="shared" ca="1" si="7"/>
        <v>0.63427232769957553</v>
      </c>
      <c r="AH130" s="29">
        <v>0</v>
      </c>
      <c r="AJ130" s="22">
        <v>44675</v>
      </c>
      <c r="AK130" s="26">
        <f t="shared" ca="1" si="8"/>
        <v>0.27800001900875471</v>
      </c>
      <c r="AL130" s="29">
        <v>0</v>
      </c>
      <c r="AN130" s="22">
        <v>44675</v>
      </c>
      <c r="AO130" s="26">
        <f t="shared" ca="1" si="9"/>
        <v>0.24537437987066546</v>
      </c>
      <c r="AP130" s="29">
        <v>0</v>
      </c>
      <c r="AR130" s="22">
        <v>44675</v>
      </c>
      <c r="AS130" s="26">
        <f t="shared" ca="1" si="10"/>
        <v>0.26507481725452919</v>
      </c>
      <c r="AT130" s="29">
        <v>0</v>
      </c>
      <c r="AV130" s="22">
        <v>44675</v>
      </c>
      <c r="AW130" s="26">
        <f t="shared" ca="1" si="11"/>
        <v>0.44624886812490117</v>
      </c>
      <c r="AX130" s="29">
        <v>0</v>
      </c>
      <c r="AZ130" s="22">
        <v>44675</v>
      </c>
      <c r="BA130" s="26">
        <f t="shared" ca="1" si="12"/>
        <v>0.73127537583522606</v>
      </c>
      <c r="BB130" s="29">
        <v>0</v>
      </c>
      <c r="BC130"/>
      <c r="BD130" s="25"/>
      <c r="BF130" s="22">
        <v>44675</v>
      </c>
      <c r="BG130" s="26">
        <f t="shared" ca="1" si="13"/>
        <v>0.52264719768211199</v>
      </c>
      <c r="BH130" s="29">
        <v>0</v>
      </c>
      <c r="BJ130" s="22">
        <v>44675</v>
      </c>
      <c r="BK130" s="26">
        <f t="shared" ca="1" si="14"/>
        <v>0.21548569595318579</v>
      </c>
      <c r="BL130" s="29">
        <v>0</v>
      </c>
      <c r="BN130" s="22">
        <v>44675</v>
      </c>
      <c r="BO130" s="26">
        <f t="shared" ca="1" si="15"/>
        <v>7.4031434409776664E-2</v>
      </c>
      <c r="BP130" s="29">
        <v>0</v>
      </c>
      <c r="BR130" s="22">
        <v>44675</v>
      </c>
      <c r="BS130" s="26">
        <f t="shared" ca="1" si="16"/>
        <v>0.28459849880947263</v>
      </c>
      <c r="BT130" s="29">
        <v>0</v>
      </c>
      <c r="BV130" s="22">
        <v>44675</v>
      </c>
      <c r="BW130" s="26">
        <f t="shared" ca="1" si="17"/>
        <v>0.56412532548630201</v>
      </c>
      <c r="BX130" s="29">
        <v>0</v>
      </c>
    </row>
    <row r="131" spans="2:77" ht="12.75" x14ac:dyDescent="0.2">
      <c r="B131" s="22">
        <v>44676</v>
      </c>
      <c r="C131" s="26">
        <f t="shared" ca="1" si="0"/>
        <v>0.67371835365212773</v>
      </c>
      <c r="D131" s="29">
        <f t="shared" ca="1" si="22"/>
        <v>85</v>
      </c>
      <c r="F131" s="22">
        <v>44676</v>
      </c>
      <c r="G131" s="26">
        <f t="shared" ca="1" si="1"/>
        <v>0.67619738164433396</v>
      </c>
      <c r="H131" s="29">
        <v>0</v>
      </c>
      <c r="J131" s="22">
        <v>44676</v>
      </c>
      <c r="K131" s="26">
        <f t="shared" ca="1" si="2"/>
        <v>0.51280626798779183</v>
      </c>
      <c r="L131" s="29">
        <v>0</v>
      </c>
      <c r="N131" s="22">
        <v>44676</v>
      </c>
      <c r="O131" s="26">
        <f t="shared" ca="1" si="3"/>
        <v>0.88375804092402688</v>
      </c>
      <c r="P131" s="29">
        <v>0</v>
      </c>
      <c r="R131" s="22">
        <v>44676</v>
      </c>
      <c r="S131" s="26">
        <f t="shared" ca="1" si="4"/>
        <v>0.72857757702083958</v>
      </c>
      <c r="T131" s="29">
        <v>0</v>
      </c>
      <c r="V131" s="22">
        <v>44676</v>
      </c>
      <c r="W131" s="26">
        <f t="shared" ca="1" si="5"/>
        <v>0.53195915095350077</v>
      </c>
      <c r="X131" s="29">
        <v>0</v>
      </c>
      <c r="Z131" s="22">
        <v>44676</v>
      </c>
      <c r="AA131" s="26">
        <f t="shared" ca="1" si="6"/>
        <v>0.88779278418338248</v>
      </c>
      <c r="AB131" s="29">
        <v>0</v>
      </c>
      <c r="AC131"/>
      <c r="AD131" s="25"/>
      <c r="AF131" s="22">
        <v>44676</v>
      </c>
      <c r="AG131" s="26">
        <f t="shared" ca="1" si="7"/>
        <v>0.15351773899523691</v>
      </c>
      <c r="AH131" s="29">
        <v>0</v>
      </c>
      <c r="AJ131" s="22">
        <v>44676</v>
      </c>
      <c r="AK131" s="26">
        <f t="shared" ca="1" si="8"/>
        <v>0.21634955040232351</v>
      </c>
      <c r="AL131" s="29">
        <v>0</v>
      </c>
      <c r="AN131" s="22">
        <v>44676</v>
      </c>
      <c r="AO131" s="26">
        <f t="shared" ca="1" si="9"/>
        <v>0.84738362253894695</v>
      </c>
      <c r="AP131" s="29">
        <v>0</v>
      </c>
      <c r="AR131" s="22">
        <v>44676</v>
      </c>
      <c r="AS131" s="26">
        <f t="shared" ca="1" si="10"/>
        <v>0.45487608349793129</v>
      </c>
      <c r="AT131" s="29">
        <v>0</v>
      </c>
      <c r="AV131" s="22">
        <v>44676</v>
      </c>
      <c r="AW131" s="26">
        <f t="shared" ca="1" si="11"/>
        <v>0.76313772599708818</v>
      </c>
      <c r="AX131" s="29">
        <v>0</v>
      </c>
      <c r="AZ131" s="22">
        <v>44676</v>
      </c>
      <c r="BA131" s="26">
        <f t="shared" ca="1" si="12"/>
        <v>0.32877805490216983</v>
      </c>
      <c r="BB131" s="29">
        <v>0</v>
      </c>
      <c r="BC131"/>
      <c r="BD131" s="25"/>
      <c r="BF131" s="22">
        <v>44676</v>
      </c>
      <c r="BG131" s="26">
        <f t="shared" ca="1" si="13"/>
        <v>0.10112502178080984</v>
      </c>
      <c r="BH131" s="29">
        <v>0</v>
      </c>
      <c r="BJ131" s="22">
        <v>44676</v>
      </c>
      <c r="BK131" s="26">
        <f t="shared" ca="1" si="14"/>
        <v>0.19548414822471771</v>
      </c>
      <c r="BL131" s="29">
        <v>0</v>
      </c>
      <c r="BN131" s="22">
        <v>44676</v>
      </c>
      <c r="BO131" s="26">
        <f t="shared" ca="1" si="15"/>
        <v>0.43369254746336849</v>
      </c>
      <c r="BP131" s="29">
        <v>0</v>
      </c>
      <c r="BR131" s="22">
        <v>44676</v>
      </c>
      <c r="BS131" s="26">
        <f t="shared" ca="1" si="16"/>
        <v>0.52662585190490707</v>
      </c>
      <c r="BT131" s="29">
        <v>0</v>
      </c>
      <c r="BV131" s="22">
        <v>44676</v>
      </c>
      <c r="BW131" s="26">
        <f t="shared" ca="1" si="17"/>
        <v>0.81188227107657773</v>
      </c>
      <c r="BX131" s="29">
        <v>0</v>
      </c>
    </row>
    <row r="132" spans="2:77" ht="12.75" x14ac:dyDescent="0.2">
      <c r="B132" s="22">
        <v>44677</v>
      </c>
      <c r="C132" s="26">
        <f t="shared" ca="1" si="0"/>
        <v>1.8921098581131002E-2</v>
      </c>
      <c r="D132" s="29">
        <f t="shared" ca="1" si="22"/>
        <v>34</v>
      </c>
      <c r="F132" s="22">
        <v>44677</v>
      </c>
      <c r="G132" s="26">
        <f t="shared" ca="1" si="1"/>
        <v>0.17230686040424614</v>
      </c>
      <c r="H132" s="29">
        <v>0</v>
      </c>
      <c r="J132" s="22">
        <v>44677</v>
      </c>
      <c r="K132" s="26">
        <f t="shared" ca="1" si="2"/>
        <v>0.85910297155410997</v>
      </c>
      <c r="L132" s="29">
        <v>0</v>
      </c>
      <c r="N132" s="22">
        <v>44677</v>
      </c>
      <c r="O132" s="26">
        <f t="shared" ca="1" si="3"/>
        <v>0.69626578791891869</v>
      </c>
      <c r="P132" s="29">
        <v>0</v>
      </c>
      <c r="R132" s="22">
        <v>44677</v>
      </c>
      <c r="S132" s="26">
        <f t="shared" ca="1" si="4"/>
        <v>0.53299039859835706</v>
      </c>
      <c r="T132" s="29">
        <v>0</v>
      </c>
      <c r="V132" s="22">
        <v>44677</v>
      </c>
      <c r="W132" s="26">
        <f t="shared" ca="1" si="5"/>
        <v>0.77173714482323696</v>
      </c>
      <c r="X132" s="29">
        <v>0</v>
      </c>
      <c r="Z132" s="22">
        <v>44677</v>
      </c>
      <c r="AA132" s="26">
        <f t="shared" ca="1" si="6"/>
        <v>0.78179010931321069</v>
      </c>
      <c r="AB132" s="29">
        <v>0</v>
      </c>
      <c r="AC132"/>
      <c r="AD132" s="25"/>
      <c r="AF132" s="22">
        <v>44677</v>
      </c>
      <c r="AG132" s="26">
        <f t="shared" ca="1" si="7"/>
        <v>1.8425809489323375E-2</v>
      </c>
      <c r="AH132" s="29">
        <v>0</v>
      </c>
      <c r="AJ132" s="22">
        <v>44677</v>
      </c>
      <c r="AK132" s="26">
        <f t="shared" ca="1" si="8"/>
        <v>0.40119522154215792</v>
      </c>
      <c r="AL132" s="29">
        <v>0</v>
      </c>
      <c r="AN132" s="22">
        <v>44677</v>
      </c>
      <c r="AO132" s="26">
        <f t="shared" ca="1" si="9"/>
        <v>0.37025251782830615</v>
      </c>
      <c r="AP132" s="29">
        <v>0</v>
      </c>
      <c r="AR132" s="22">
        <v>44677</v>
      </c>
      <c r="AS132" s="26">
        <f t="shared" ca="1" si="10"/>
        <v>0.50312418194295627</v>
      </c>
      <c r="AT132" s="29">
        <v>0</v>
      </c>
      <c r="AV132" s="22">
        <v>44677</v>
      </c>
      <c r="AW132" s="26">
        <f t="shared" ca="1" si="11"/>
        <v>0.47524136075300538</v>
      </c>
      <c r="AX132" s="29">
        <v>0</v>
      </c>
      <c r="AZ132" s="22">
        <v>44677</v>
      </c>
      <c r="BA132" s="26">
        <f t="shared" ca="1" si="12"/>
        <v>0.88201835250192961</v>
      </c>
      <c r="BB132" s="29">
        <v>0</v>
      </c>
      <c r="BC132"/>
      <c r="BD132" s="25"/>
      <c r="BF132" s="22">
        <v>44677</v>
      </c>
      <c r="BG132" s="26">
        <f t="shared" ca="1" si="13"/>
        <v>0.33828567893118244</v>
      </c>
      <c r="BH132" s="29">
        <v>0</v>
      </c>
      <c r="BJ132" s="22">
        <v>44677</v>
      </c>
      <c r="BK132" s="26">
        <f t="shared" ca="1" si="14"/>
        <v>0.94418178859835944</v>
      </c>
      <c r="BL132" s="29">
        <v>0</v>
      </c>
      <c r="BN132" s="22">
        <v>44677</v>
      </c>
      <c r="BO132" s="26">
        <f t="shared" ca="1" si="15"/>
        <v>0.20642175103828331</v>
      </c>
      <c r="BP132" s="29">
        <v>0</v>
      </c>
      <c r="BR132" s="22">
        <v>44677</v>
      </c>
      <c r="BS132" s="26">
        <f t="shared" ca="1" si="16"/>
        <v>0.99715086419648635</v>
      </c>
      <c r="BT132" s="29">
        <v>0</v>
      </c>
      <c r="BV132" s="22">
        <v>44677</v>
      </c>
      <c r="BW132" s="26">
        <f t="shared" ca="1" si="17"/>
        <v>0.72192303101925503</v>
      </c>
      <c r="BX132" s="29">
        <v>0</v>
      </c>
    </row>
    <row r="133" spans="2:77" ht="12.75" x14ac:dyDescent="0.2">
      <c r="B133" s="22">
        <v>44678</v>
      </c>
      <c r="C133" s="26">
        <f t="shared" ca="1" si="0"/>
        <v>0.19963360468162372</v>
      </c>
      <c r="D133" s="29">
        <f t="shared" ca="1" si="22"/>
        <v>59</v>
      </c>
      <c r="F133" s="22">
        <v>44678</v>
      </c>
      <c r="G133" s="26">
        <f t="shared" ca="1" si="1"/>
        <v>0.73869033321521138</v>
      </c>
      <c r="H133" s="29">
        <v>0</v>
      </c>
      <c r="J133" s="22">
        <v>44678</v>
      </c>
      <c r="K133" s="26">
        <f t="shared" ca="1" si="2"/>
        <v>0.44519028268287819</v>
      </c>
      <c r="L133" s="29">
        <v>0</v>
      </c>
      <c r="N133" s="22">
        <v>44678</v>
      </c>
      <c r="O133" s="26">
        <f t="shared" ca="1" si="3"/>
        <v>0.5976793563359788</v>
      </c>
      <c r="P133" s="29">
        <v>0</v>
      </c>
      <c r="R133" s="22">
        <v>44678</v>
      </c>
      <c r="S133" s="26">
        <f t="shared" ca="1" si="4"/>
        <v>0.15952537546369094</v>
      </c>
      <c r="T133" s="29">
        <v>0</v>
      </c>
      <c r="V133" s="22">
        <v>44678</v>
      </c>
      <c r="W133" s="26">
        <f t="shared" ca="1" si="5"/>
        <v>0.60113277059979864</v>
      </c>
      <c r="X133" s="29">
        <v>0</v>
      </c>
      <c r="Z133" s="22">
        <v>44678</v>
      </c>
      <c r="AA133" s="26">
        <f t="shared" ca="1" si="6"/>
        <v>0.10718534723503226</v>
      </c>
      <c r="AB133" s="29">
        <v>0</v>
      </c>
      <c r="AC133"/>
      <c r="AD133" s="25"/>
      <c r="AF133" s="22">
        <v>44678</v>
      </c>
      <c r="AG133" s="26">
        <f t="shared" ca="1" si="7"/>
        <v>0.87802446544492907</v>
      </c>
      <c r="AH133" s="29">
        <v>0</v>
      </c>
      <c r="AJ133" s="22">
        <v>44678</v>
      </c>
      <c r="AK133" s="26">
        <f t="shared" ca="1" si="8"/>
        <v>0.28847039465807967</v>
      </c>
      <c r="AL133" s="29">
        <v>0</v>
      </c>
      <c r="AN133" s="22">
        <v>44678</v>
      </c>
      <c r="AO133" s="26">
        <f t="shared" ca="1" si="9"/>
        <v>0.25019049507308422</v>
      </c>
      <c r="AP133" s="29">
        <v>0</v>
      </c>
      <c r="AR133" s="22">
        <v>44678</v>
      </c>
      <c r="AS133" s="26">
        <f t="shared" ca="1" si="10"/>
        <v>0.64840215879786933</v>
      </c>
      <c r="AT133" s="29">
        <v>0</v>
      </c>
      <c r="AV133" s="22">
        <v>44678</v>
      </c>
      <c r="AW133" s="26">
        <f t="shared" ca="1" si="11"/>
        <v>0.63675102440594011</v>
      </c>
      <c r="AX133" s="29">
        <v>0</v>
      </c>
      <c r="AZ133" s="22">
        <v>44678</v>
      </c>
      <c r="BA133" s="26">
        <f t="shared" ca="1" si="12"/>
        <v>0.54871382571479954</v>
      </c>
      <c r="BB133" s="29">
        <v>0</v>
      </c>
      <c r="BC133"/>
      <c r="BD133" s="25"/>
      <c r="BF133" s="22">
        <v>44678</v>
      </c>
      <c r="BG133" s="26">
        <f t="shared" ca="1" si="13"/>
        <v>0.77219924320824884</v>
      </c>
      <c r="BH133" s="29">
        <v>0</v>
      </c>
      <c r="BJ133" s="22">
        <v>44678</v>
      </c>
      <c r="BK133" s="26">
        <f t="shared" ca="1" si="14"/>
        <v>0.1491629908433787</v>
      </c>
      <c r="BL133" s="29">
        <v>0</v>
      </c>
      <c r="BN133" s="22">
        <v>44678</v>
      </c>
      <c r="BO133" s="26">
        <f t="shared" ca="1" si="15"/>
        <v>0.41542951529611694</v>
      </c>
      <c r="BP133" s="29">
        <v>0</v>
      </c>
      <c r="BR133" s="22">
        <v>44678</v>
      </c>
      <c r="BS133" s="26">
        <f t="shared" ca="1" si="16"/>
        <v>0.24396837578548536</v>
      </c>
      <c r="BT133" s="29">
        <v>0</v>
      </c>
      <c r="BV133" s="22">
        <v>44678</v>
      </c>
      <c r="BW133" s="26">
        <f t="shared" ca="1" si="17"/>
        <v>0.63360526301987463</v>
      </c>
      <c r="BX133" s="29">
        <v>0</v>
      </c>
    </row>
    <row r="134" spans="2:77" ht="12.75" x14ac:dyDescent="0.2">
      <c r="B134" s="22">
        <v>44679</v>
      </c>
      <c r="C134" s="26">
        <f t="shared" ca="1" si="0"/>
        <v>0.19170834135233106</v>
      </c>
      <c r="D134" s="29">
        <f t="shared" ca="1" si="22"/>
        <v>58</v>
      </c>
      <c r="F134" s="22">
        <v>44679</v>
      </c>
      <c r="G134" s="26">
        <f t="shared" ca="1" si="1"/>
        <v>0.54801862154878367</v>
      </c>
      <c r="H134" s="29">
        <v>0</v>
      </c>
      <c r="J134" s="22">
        <v>44679</v>
      </c>
      <c r="K134" s="26">
        <f t="shared" ca="1" si="2"/>
        <v>0.5243389755663973</v>
      </c>
      <c r="L134" s="29">
        <v>0</v>
      </c>
      <c r="N134" s="22">
        <v>44679</v>
      </c>
      <c r="O134" s="26">
        <f t="shared" ca="1" si="3"/>
        <v>0.44718445206710034</v>
      </c>
      <c r="P134" s="29">
        <v>0</v>
      </c>
      <c r="R134" s="22">
        <v>44679</v>
      </c>
      <c r="S134" s="26">
        <f t="shared" ca="1" si="4"/>
        <v>0.74719195073029443</v>
      </c>
      <c r="T134" s="29">
        <v>0</v>
      </c>
      <c r="V134" s="22">
        <v>44679</v>
      </c>
      <c r="W134" s="26">
        <f t="shared" ca="1" si="5"/>
        <v>0.81337649074233642</v>
      </c>
      <c r="X134" s="29">
        <v>0</v>
      </c>
      <c r="Z134" s="22">
        <v>44679</v>
      </c>
      <c r="AA134" s="26">
        <f t="shared" ca="1" si="6"/>
        <v>0.9891462911656882</v>
      </c>
      <c r="AB134" s="29">
        <v>0</v>
      </c>
      <c r="AC134"/>
      <c r="AD134" s="25"/>
      <c r="AF134" s="22">
        <v>44679</v>
      </c>
      <c r="AG134" s="26">
        <f t="shared" ca="1" si="7"/>
        <v>0.65474353293816523</v>
      </c>
      <c r="AH134" s="29">
        <v>0</v>
      </c>
      <c r="AJ134" s="22">
        <v>44679</v>
      </c>
      <c r="AK134" s="26">
        <f t="shared" ca="1" si="8"/>
        <v>0.51799670133896714</v>
      </c>
      <c r="AL134" s="29">
        <v>0</v>
      </c>
      <c r="AN134" s="22">
        <v>44679</v>
      </c>
      <c r="AO134" s="26">
        <f t="shared" ca="1" si="9"/>
        <v>0.79754236006899526</v>
      </c>
      <c r="AP134" s="29">
        <v>0</v>
      </c>
      <c r="AR134" s="22">
        <v>44679</v>
      </c>
      <c r="AS134" s="26">
        <f t="shared" ca="1" si="10"/>
        <v>0.50508112842460329</v>
      </c>
      <c r="AT134" s="29">
        <v>0</v>
      </c>
      <c r="AV134" s="22">
        <v>44679</v>
      </c>
      <c r="AW134" s="26">
        <f t="shared" ca="1" si="11"/>
        <v>0.38231045870452263</v>
      </c>
      <c r="AX134" s="29">
        <v>0</v>
      </c>
      <c r="AZ134" s="22">
        <v>44679</v>
      </c>
      <c r="BA134" s="26">
        <f t="shared" ca="1" si="12"/>
        <v>0.24656057547419263</v>
      </c>
      <c r="BB134" s="29">
        <v>0</v>
      </c>
      <c r="BC134"/>
      <c r="BD134" s="25"/>
      <c r="BF134" s="22">
        <v>44679</v>
      </c>
      <c r="BG134" s="26">
        <f t="shared" ca="1" si="13"/>
        <v>2.866971116322159E-2</v>
      </c>
      <c r="BH134" s="29">
        <v>0</v>
      </c>
      <c r="BJ134" s="22">
        <v>44679</v>
      </c>
      <c r="BK134" s="26">
        <f t="shared" ca="1" si="14"/>
        <v>0.89336512144190605</v>
      </c>
      <c r="BL134" s="29">
        <v>0</v>
      </c>
      <c r="BN134" s="22">
        <v>44679</v>
      </c>
      <c r="BO134" s="26">
        <f t="shared" ca="1" si="15"/>
        <v>4.8340784525948033E-2</v>
      </c>
      <c r="BP134" s="29">
        <v>0</v>
      </c>
      <c r="BR134" s="22">
        <v>44679</v>
      </c>
      <c r="BS134" s="26">
        <f t="shared" ca="1" si="16"/>
        <v>0.10707107015085049</v>
      </c>
      <c r="BT134" s="29">
        <v>0</v>
      </c>
      <c r="BV134" s="22">
        <v>44679</v>
      </c>
      <c r="BW134" s="26">
        <f t="shared" ca="1" si="17"/>
        <v>0.85389783587559542</v>
      </c>
      <c r="BX134" s="29">
        <v>0</v>
      </c>
    </row>
    <row r="135" spans="2:77" ht="12.75" x14ac:dyDescent="0.2">
      <c r="B135" s="22">
        <v>44680</v>
      </c>
      <c r="C135" s="26">
        <f t="shared" ca="1" si="0"/>
        <v>0.8794827797975926</v>
      </c>
      <c r="D135" s="29">
        <f t="shared" ca="1" si="22"/>
        <v>99</v>
      </c>
      <c r="F135" s="22">
        <v>44680</v>
      </c>
      <c r="G135" s="26">
        <f t="shared" ca="1" si="1"/>
        <v>0.63436585903434806</v>
      </c>
      <c r="H135" s="29">
        <v>0</v>
      </c>
      <c r="J135" s="22">
        <v>44680</v>
      </c>
      <c r="K135" s="26">
        <f t="shared" ca="1" si="2"/>
        <v>0.22338998654209685</v>
      </c>
      <c r="L135" s="29">
        <v>0</v>
      </c>
      <c r="N135" s="22">
        <v>44680</v>
      </c>
      <c r="O135" s="26">
        <f t="shared" ca="1" si="3"/>
        <v>0.11085288255932269</v>
      </c>
      <c r="P135" s="29">
        <v>0</v>
      </c>
      <c r="R135" s="22">
        <v>44680</v>
      </c>
      <c r="S135" s="26">
        <f t="shared" ca="1" si="4"/>
        <v>0.25555895291259545</v>
      </c>
      <c r="T135" s="29">
        <v>0</v>
      </c>
      <c r="V135" s="22">
        <v>44680</v>
      </c>
      <c r="W135" s="26">
        <f t="shared" ca="1" si="5"/>
        <v>0.30826561289196974</v>
      </c>
      <c r="X135" s="29">
        <v>0</v>
      </c>
      <c r="Z135" s="22">
        <v>44680</v>
      </c>
      <c r="AA135" s="26">
        <f t="shared" ca="1" si="6"/>
        <v>0.44999162983178387</v>
      </c>
      <c r="AB135" s="29">
        <v>0</v>
      </c>
      <c r="AC135"/>
      <c r="AD135" s="25"/>
      <c r="AF135" s="22">
        <v>44680</v>
      </c>
      <c r="AG135" s="26">
        <f t="shared" ca="1" si="7"/>
        <v>0.21502442725019422</v>
      </c>
      <c r="AH135" s="29">
        <v>0</v>
      </c>
      <c r="AJ135" s="22">
        <v>44680</v>
      </c>
      <c r="AK135" s="26">
        <f t="shared" ca="1" si="8"/>
        <v>0.71239343537421873</v>
      </c>
      <c r="AL135" s="29">
        <v>0</v>
      </c>
      <c r="AN135" s="22">
        <v>44680</v>
      </c>
      <c r="AO135" s="26">
        <f t="shared" ca="1" si="9"/>
        <v>6.932721593642488E-2</v>
      </c>
      <c r="AP135" s="29">
        <v>0</v>
      </c>
      <c r="AR135" s="22">
        <v>44680</v>
      </c>
      <c r="AS135" s="26">
        <f t="shared" ca="1" si="10"/>
        <v>0.69404796380944866</v>
      </c>
      <c r="AT135" s="29">
        <v>0</v>
      </c>
      <c r="AV135" s="22">
        <v>44680</v>
      </c>
      <c r="AW135" s="26">
        <f t="shared" ca="1" si="11"/>
        <v>0.47181667227125357</v>
      </c>
      <c r="AX135" s="29">
        <v>0</v>
      </c>
      <c r="AZ135" s="22">
        <v>44680</v>
      </c>
      <c r="BA135" s="26">
        <f t="shared" ca="1" si="12"/>
        <v>0.32199502330882024</v>
      </c>
      <c r="BB135" s="29">
        <v>0</v>
      </c>
      <c r="BC135"/>
      <c r="BD135" s="25"/>
      <c r="BF135" s="22">
        <v>44680</v>
      </c>
      <c r="BG135" s="26">
        <f t="shared" ca="1" si="13"/>
        <v>0.17185752184268344</v>
      </c>
      <c r="BH135" s="29">
        <v>0</v>
      </c>
      <c r="BJ135" s="22">
        <v>44680</v>
      </c>
      <c r="BK135" s="26">
        <f t="shared" ca="1" si="14"/>
        <v>0.33661130580665144</v>
      </c>
      <c r="BL135" s="29">
        <v>0</v>
      </c>
      <c r="BN135" s="22">
        <v>44680</v>
      </c>
      <c r="BO135" s="26">
        <f t="shared" ca="1" si="15"/>
        <v>0.51705348559050957</v>
      </c>
      <c r="BP135" s="29">
        <v>0</v>
      </c>
      <c r="BR135" s="22">
        <v>44680</v>
      </c>
      <c r="BS135" s="26">
        <f t="shared" ca="1" si="16"/>
        <v>0.57605459995639186</v>
      </c>
      <c r="BT135" s="29">
        <v>0</v>
      </c>
      <c r="BV135" s="22">
        <v>44680</v>
      </c>
      <c r="BW135" s="26">
        <f t="shared" ca="1" si="17"/>
        <v>0.91674297236658253</v>
      </c>
      <c r="BX135" s="29">
        <v>0</v>
      </c>
    </row>
    <row r="136" spans="2:77" ht="12.75" x14ac:dyDescent="0.2">
      <c r="B136" s="22">
        <v>44681</v>
      </c>
      <c r="C136" s="26">
        <f t="shared" ca="1" si="0"/>
        <v>0.16356011251631886</v>
      </c>
      <c r="D136" s="29">
        <f t="shared" ca="1" si="22"/>
        <v>56</v>
      </c>
      <c r="E136">
        <v>1513</v>
      </c>
      <c r="F136" s="22">
        <v>44681</v>
      </c>
      <c r="G136" s="26">
        <f t="shared" ca="1" si="1"/>
        <v>0.5221891161108152</v>
      </c>
      <c r="H136" s="29">
        <v>0</v>
      </c>
      <c r="I136">
        <v>0</v>
      </c>
      <c r="J136" s="22">
        <v>44681</v>
      </c>
      <c r="K136" s="26">
        <f t="shared" ca="1" si="2"/>
        <v>5.6135370289250863E-3</v>
      </c>
      <c r="L136" s="29">
        <v>0</v>
      </c>
      <c r="M136">
        <v>0</v>
      </c>
      <c r="N136" s="22">
        <v>44681</v>
      </c>
      <c r="O136" s="26">
        <f t="shared" ca="1" si="3"/>
        <v>0.18688373411647197</v>
      </c>
      <c r="P136" s="29">
        <v>0</v>
      </c>
      <c r="Q136">
        <v>0</v>
      </c>
      <c r="R136" s="22">
        <v>44681</v>
      </c>
      <c r="S136" s="26">
        <f t="shared" ca="1" si="4"/>
        <v>0.64177341412152789</v>
      </c>
      <c r="T136" s="29">
        <v>0</v>
      </c>
      <c r="U136">
        <v>0</v>
      </c>
      <c r="V136" s="22">
        <v>44681</v>
      </c>
      <c r="W136" s="26">
        <f t="shared" ca="1" si="5"/>
        <v>0.81493566478123181</v>
      </c>
      <c r="X136" s="29">
        <v>0</v>
      </c>
      <c r="Y136">
        <v>0</v>
      </c>
      <c r="Z136" s="22">
        <v>44681</v>
      </c>
      <c r="AA136" s="26">
        <f t="shared" ca="1" si="6"/>
        <v>0.79048671247019275</v>
      </c>
      <c r="AB136" s="29">
        <v>0</v>
      </c>
      <c r="AC136">
        <v>0</v>
      </c>
      <c r="AD136" s="25"/>
      <c r="AF136" s="22">
        <v>44681</v>
      </c>
      <c r="AG136" s="26">
        <f t="shared" ca="1" si="7"/>
        <v>0.73224017956921383</v>
      </c>
      <c r="AH136" s="29">
        <v>0</v>
      </c>
      <c r="AI136">
        <v>0</v>
      </c>
      <c r="AJ136" s="22">
        <v>44681</v>
      </c>
      <c r="AK136" s="26">
        <f t="shared" ca="1" si="8"/>
        <v>0.68357343409079585</v>
      </c>
      <c r="AL136" s="29">
        <v>0</v>
      </c>
      <c r="AM136">
        <v>0</v>
      </c>
      <c r="AN136" s="22">
        <v>44681</v>
      </c>
      <c r="AO136" s="26">
        <f t="shared" ca="1" si="9"/>
        <v>0.14158508081318499</v>
      </c>
      <c r="AP136" s="29">
        <v>0</v>
      </c>
      <c r="AQ136">
        <v>0</v>
      </c>
      <c r="AR136" s="22">
        <v>44681</v>
      </c>
      <c r="AS136" s="26">
        <f t="shared" ca="1" si="10"/>
        <v>0.84172215130829919</v>
      </c>
      <c r="AT136" s="29">
        <v>0</v>
      </c>
      <c r="AU136">
        <v>0</v>
      </c>
      <c r="AV136" s="22">
        <v>44681</v>
      </c>
      <c r="AW136" s="26">
        <f t="shared" ca="1" si="11"/>
        <v>0.64039033212793817</v>
      </c>
      <c r="AX136" s="29">
        <v>0</v>
      </c>
      <c r="AY136">
        <v>0</v>
      </c>
      <c r="AZ136" s="22">
        <v>44681</v>
      </c>
      <c r="BA136" s="26">
        <f t="shared" ca="1" si="12"/>
        <v>0.73816649826895908</v>
      </c>
      <c r="BB136" s="29">
        <v>0</v>
      </c>
      <c r="BC136">
        <v>0</v>
      </c>
      <c r="BD136" s="25"/>
      <c r="BF136" s="22">
        <v>44681</v>
      </c>
      <c r="BG136" s="26">
        <f t="shared" ca="1" si="13"/>
        <v>0.38658058361043046</v>
      </c>
      <c r="BH136" s="29">
        <v>0</v>
      </c>
      <c r="BI136">
        <v>0</v>
      </c>
      <c r="BJ136" s="22">
        <v>44681</v>
      </c>
      <c r="BK136" s="26">
        <f t="shared" ca="1" si="14"/>
        <v>0.50479551587227278</v>
      </c>
      <c r="BL136" s="29">
        <v>0</v>
      </c>
      <c r="BM136">
        <v>0</v>
      </c>
      <c r="BN136" s="22">
        <v>44681</v>
      </c>
      <c r="BO136" s="26">
        <f t="shared" ca="1" si="15"/>
        <v>0.37624522059591026</v>
      </c>
      <c r="BP136" s="29">
        <v>0</v>
      </c>
      <c r="BQ136">
        <v>0</v>
      </c>
      <c r="BR136" s="22">
        <v>44681</v>
      </c>
      <c r="BS136" s="26">
        <f t="shared" ca="1" si="16"/>
        <v>0.43970627771809123</v>
      </c>
      <c r="BT136" s="29">
        <v>0</v>
      </c>
      <c r="BU136">
        <v>0</v>
      </c>
      <c r="BV136" s="22">
        <v>44681</v>
      </c>
      <c r="BW136" s="26">
        <f t="shared" ca="1" si="17"/>
        <v>0.91987864753014204</v>
      </c>
      <c r="BX136" s="29">
        <v>0</v>
      </c>
      <c r="BY136">
        <v>0</v>
      </c>
    </row>
    <row r="137" spans="2:77" ht="12.75" x14ac:dyDescent="0.2">
      <c r="B137" s="22">
        <v>44682</v>
      </c>
      <c r="C137" s="26">
        <f t="shared" ca="1" si="0"/>
        <v>1.8563445213526819E-2</v>
      </c>
      <c r="D137" s="29">
        <f ca="1">ROUNDUP(_xlfn.NORM.INV(C136,C$10,C$12),0)</f>
        <v>56</v>
      </c>
      <c r="F137" s="22">
        <v>44682</v>
      </c>
      <c r="G137" s="26">
        <f t="shared" ca="1" si="1"/>
        <v>0.16305240386078912</v>
      </c>
      <c r="H137" s="29">
        <v>0</v>
      </c>
      <c r="J137" s="22">
        <v>44682</v>
      </c>
      <c r="K137" s="26">
        <f t="shared" ca="1" si="2"/>
        <v>6.6967173276261893E-2</v>
      </c>
      <c r="L137" s="29">
        <v>0</v>
      </c>
      <c r="N137" s="22">
        <v>44682</v>
      </c>
      <c r="O137" s="26">
        <f t="shared" ca="1" si="3"/>
        <v>0.6834747948009231</v>
      </c>
      <c r="P137" s="29">
        <v>0</v>
      </c>
      <c r="R137" s="22">
        <v>44682</v>
      </c>
      <c r="S137" s="26">
        <f t="shared" ca="1" si="4"/>
        <v>0.33301524070769228</v>
      </c>
      <c r="T137" s="29">
        <v>0</v>
      </c>
      <c r="V137" s="22">
        <v>44682</v>
      </c>
      <c r="W137" s="26">
        <f t="shared" ca="1" si="5"/>
        <v>0.84933502673349748</v>
      </c>
      <c r="X137" s="29">
        <v>0</v>
      </c>
      <c r="Z137" s="22">
        <v>44682</v>
      </c>
      <c r="AA137" s="26">
        <f t="shared" ca="1" si="6"/>
        <v>0.3070730375041657</v>
      </c>
      <c r="AB137" s="29">
        <v>0</v>
      </c>
      <c r="AC137"/>
      <c r="AD137" s="25"/>
      <c r="AF137" s="22">
        <v>44682</v>
      </c>
      <c r="AG137" s="26">
        <f t="shared" ca="1" si="7"/>
        <v>0.99014991169263344</v>
      </c>
      <c r="AH137" s="29">
        <v>0</v>
      </c>
      <c r="AJ137" s="22">
        <v>44682</v>
      </c>
      <c r="AK137" s="26">
        <f t="shared" ca="1" si="8"/>
        <v>0.16197835462029309</v>
      </c>
      <c r="AL137" s="29">
        <v>0</v>
      </c>
      <c r="AN137" s="22">
        <v>44682</v>
      </c>
      <c r="AO137" s="26">
        <f t="shared" ca="1" si="9"/>
        <v>0.76353738568812302</v>
      </c>
      <c r="AP137" s="29">
        <v>0</v>
      </c>
      <c r="AR137" s="22">
        <v>44682</v>
      </c>
      <c r="AS137" s="26">
        <f t="shared" ca="1" si="10"/>
        <v>0.77135818107571608</v>
      </c>
      <c r="AT137" s="29">
        <v>0</v>
      </c>
      <c r="AV137" s="22">
        <v>44682</v>
      </c>
      <c r="AW137" s="26">
        <f t="shared" ca="1" si="11"/>
        <v>0.53993851517801694</v>
      </c>
      <c r="AX137" s="29">
        <v>0</v>
      </c>
      <c r="AZ137" s="22">
        <v>44682</v>
      </c>
      <c r="BA137" s="26">
        <f t="shared" ca="1" si="12"/>
        <v>0.73151993592193154</v>
      </c>
      <c r="BB137" s="29">
        <v>0</v>
      </c>
      <c r="BC137"/>
      <c r="BD137" s="25"/>
      <c r="BF137" s="22">
        <v>44682</v>
      </c>
      <c r="BG137" s="26">
        <f t="shared" ca="1" si="13"/>
        <v>1.956748462643465E-2</v>
      </c>
      <c r="BH137" s="29">
        <v>0</v>
      </c>
      <c r="BJ137" s="22">
        <v>44682</v>
      </c>
      <c r="BK137" s="26">
        <f t="shared" ca="1" si="14"/>
        <v>5.3748528142182117E-2</v>
      </c>
      <c r="BL137" s="29">
        <v>0</v>
      </c>
      <c r="BN137" s="22">
        <v>44682</v>
      </c>
      <c r="BO137" s="26">
        <f t="shared" ca="1" si="15"/>
        <v>0.27810145375169903</v>
      </c>
      <c r="BP137" s="29">
        <v>0</v>
      </c>
      <c r="BR137" s="22">
        <v>44682</v>
      </c>
      <c r="BS137" s="26">
        <f t="shared" ca="1" si="16"/>
        <v>0.94554590541972539</v>
      </c>
      <c r="BT137" s="29">
        <v>0</v>
      </c>
      <c r="BV137" s="22">
        <v>44682</v>
      </c>
      <c r="BW137" s="26">
        <f t="shared" ca="1" si="17"/>
        <v>0.97491729371643854</v>
      </c>
      <c r="BX137" s="29">
        <v>0</v>
      </c>
    </row>
    <row r="138" spans="2:77" ht="12.75" x14ac:dyDescent="0.2">
      <c r="B138" s="22">
        <v>44683</v>
      </c>
      <c r="C138" s="26">
        <f t="shared" ca="1" si="0"/>
        <v>0.29809697963425341</v>
      </c>
      <c r="D138" s="29">
        <f t="shared" ca="1" si="22"/>
        <v>65</v>
      </c>
      <c r="F138" s="22">
        <v>44683</v>
      </c>
      <c r="G138" s="26">
        <f t="shared" ca="1" si="1"/>
        <v>0.85933887299474299</v>
      </c>
      <c r="H138" s="29">
        <f t="shared" ref="H138:H147" ca="1" si="23">ROUNDUP(_xlfn.NORM.INV(G138,G$10,G$12),0)</f>
        <v>231</v>
      </c>
      <c r="J138" s="22">
        <v>44683</v>
      </c>
      <c r="K138" s="26">
        <f t="shared" ca="1" si="2"/>
        <v>0.58737701152220245</v>
      </c>
      <c r="L138" s="29">
        <v>0</v>
      </c>
      <c r="N138" s="22">
        <v>44683</v>
      </c>
      <c r="O138" s="26">
        <f t="shared" ca="1" si="3"/>
        <v>0.49448619173622232</v>
      </c>
      <c r="P138" s="29">
        <v>0</v>
      </c>
      <c r="R138" s="22">
        <v>44683</v>
      </c>
      <c r="S138" s="26">
        <f t="shared" ca="1" si="4"/>
        <v>0.80194015841669775</v>
      </c>
      <c r="T138" s="29">
        <v>0</v>
      </c>
      <c r="V138" s="22">
        <v>44683</v>
      </c>
      <c r="W138" s="26">
        <f t="shared" ca="1" si="5"/>
        <v>0.5670481107923655</v>
      </c>
      <c r="X138" s="29">
        <v>0</v>
      </c>
      <c r="Z138" s="22">
        <v>44683</v>
      </c>
      <c r="AA138" s="26">
        <f t="shared" ca="1" si="6"/>
        <v>0.59352917875940669</v>
      </c>
      <c r="AB138" s="29">
        <v>0</v>
      </c>
      <c r="AC138"/>
      <c r="AD138" s="25"/>
      <c r="AF138" s="22">
        <v>44683</v>
      </c>
      <c r="AG138" s="26">
        <f t="shared" ca="1" si="7"/>
        <v>0.71179013474197816</v>
      </c>
      <c r="AH138" s="29">
        <v>0</v>
      </c>
      <c r="AJ138" s="22">
        <v>44683</v>
      </c>
      <c r="AK138" s="26">
        <f t="shared" ca="1" si="8"/>
        <v>0.15945305365005902</v>
      </c>
      <c r="AL138" s="29">
        <v>0</v>
      </c>
      <c r="AN138" s="22">
        <v>44683</v>
      </c>
      <c r="AO138" s="26">
        <f t="shared" ca="1" si="9"/>
        <v>0.46568922232143095</v>
      </c>
      <c r="AP138" s="29">
        <v>0</v>
      </c>
      <c r="AR138" s="22">
        <v>44683</v>
      </c>
      <c r="AS138" s="26">
        <f t="shared" ca="1" si="10"/>
        <v>9.5379800131602077E-2</v>
      </c>
      <c r="AT138" s="29">
        <v>0</v>
      </c>
      <c r="AV138" s="22">
        <v>44683</v>
      </c>
      <c r="AW138" s="26">
        <f t="shared" ca="1" si="11"/>
        <v>0.60630218427837101</v>
      </c>
      <c r="AX138" s="29">
        <v>0</v>
      </c>
      <c r="AZ138" s="22">
        <v>44683</v>
      </c>
      <c r="BA138" s="26">
        <f t="shared" ca="1" si="12"/>
        <v>0.58698290784708074</v>
      </c>
      <c r="BB138" s="29">
        <v>0</v>
      </c>
      <c r="BC138"/>
      <c r="BD138" s="25"/>
      <c r="BF138" s="22">
        <v>44683</v>
      </c>
      <c r="BG138" s="26">
        <f t="shared" ca="1" si="13"/>
        <v>4.0875840895221449E-3</v>
      </c>
      <c r="BH138" s="29">
        <v>0</v>
      </c>
      <c r="BJ138" s="22">
        <v>44683</v>
      </c>
      <c r="BK138" s="26">
        <f t="shared" ca="1" si="14"/>
        <v>0.1980229881385005</v>
      </c>
      <c r="BL138" s="29">
        <v>0</v>
      </c>
      <c r="BN138" s="22">
        <v>44683</v>
      </c>
      <c r="BO138" s="26">
        <f t="shared" ca="1" si="15"/>
        <v>0.23180229454023216</v>
      </c>
      <c r="BP138" s="29">
        <v>0</v>
      </c>
      <c r="BR138" s="22">
        <v>44683</v>
      </c>
      <c r="BS138" s="26">
        <f t="shared" ca="1" si="16"/>
        <v>0.92439893203849555</v>
      </c>
      <c r="BT138" s="29">
        <v>0</v>
      </c>
      <c r="BV138" s="22">
        <v>44683</v>
      </c>
      <c r="BW138" s="26">
        <f t="shared" ca="1" si="17"/>
        <v>0.65808341430728701</v>
      </c>
      <c r="BX138" s="29">
        <v>0</v>
      </c>
    </row>
    <row r="139" spans="2:77" ht="12.75" x14ac:dyDescent="0.2">
      <c r="B139" s="22">
        <v>44684</v>
      </c>
      <c r="C139" s="26">
        <f t="shared" ca="1" si="0"/>
        <v>4.2584446015411226E-3</v>
      </c>
      <c r="D139" s="29">
        <f t="shared" ca="1" si="22"/>
        <v>23</v>
      </c>
      <c r="F139" s="22">
        <v>44684</v>
      </c>
      <c r="G139" s="26">
        <f t="shared" ca="1" si="1"/>
        <v>0.70110660003703906</v>
      </c>
      <c r="H139" s="29">
        <f t="shared" ca="1" si="23"/>
        <v>223</v>
      </c>
      <c r="J139" s="22">
        <v>44684</v>
      </c>
      <c r="K139" s="26">
        <f t="shared" ca="1" si="2"/>
        <v>0.55957241911209976</v>
      </c>
      <c r="L139" s="29">
        <v>0</v>
      </c>
      <c r="N139" s="22">
        <v>44684</v>
      </c>
      <c r="O139" s="26">
        <f t="shared" ca="1" si="3"/>
        <v>2.5464352812208824E-2</v>
      </c>
      <c r="P139" s="29">
        <v>0</v>
      </c>
      <c r="R139" s="22">
        <v>44684</v>
      </c>
      <c r="S139" s="26">
        <f t="shared" ca="1" si="4"/>
        <v>0.65731702829301153</v>
      </c>
      <c r="T139" s="29">
        <v>0</v>
      </c>
      <c r="V139" s="22">
        <v>44684</v>
      </c>
      <c r="W139" s="26">
        <f t="shared" ca="1" si="5"/>
        <v>0.19409077520619022</v>
      </c>
      <c r="X139" s="29">
        <v>0</v>
      </c>
      <c r="Z139" s="22">
        <v>44684</v>
      </c>
      <c r="AA139" s="26">
        <f t="shared" ca="1" si="6"/>
        <v>0.69467653462232803</v>
      </c>
      <c r="AB139" s="29">
        <v>0</v>
      </c>
      <c r="AC139"/>
      <c r="AD139" s="25"/>
      <c r="AF139" s="22">
        <v>44684</v>
      </c>
      <c r="AG139" s="26">
        <f t="shared" ca="1" si="7"/>
        <v>0.82019143616602852</v>
      </c>
      <c r="AH139" s="29">
        <v>0</v>
      </c>
      <c r="AJ139" s="22">
        <v>44684</v>
      </c>
      <c r="AK139" s="26">
        <f t="shared" ca="1" si="8"/>
        <v>0.42838782125864783</v>
      </c>
      <c r="AL139" s="29">
        <v>0</v>
      </c>
      <c r="AN139" s="22">
        <v>44684</v>
      </c>
      <c r="AO139" s="26">
        <f t="shared" ca="1" si="9"/>
        <v>0.72065951472204981</v>
      </c>
      <c r="AP139" s="29">
        <v>0</v>
      </c>
      <c r="AR139" s="22">
        <v>44684</v>
      </c>
      <c r="AS139" s="26">
        <f t="shared" ca="1" si="10"/>
        <v>0.94713676029941973</v>
      </c>
      <c r="AT139" s="29">
        <v>0</v>
      </c>
      <c r="AV139" s="22">
        <v>44684</v>
      </c>
      <c r="AW139" s="26">
        <f t="shared" ca="1" si="11"/>
        <v>0.58136433217715011</v>
      </c>
      <c r="AX139" s="29">
        <v>0</v>
      </c>
      <c r="AZ139" s="22">
        <v>44684</v>
      </c>
      <c r="BA139" s="26">
        <f t="shared" ca="1" si="12"/>
        <v>1.6079554164641463E-2</v>
      </c>
      <c r="BB139" s="29">
        <v>0</v>
      </c>
      <c r="BC139"/>
      <c r="BD139" s="25"/>
      <c r="BF139" s="22">
        <v>44684</v>
      </c>
      <c r="BG139" s="26">
        <f t="shared" ca="1" si="13"/>
        <v>0.40694681443628389</v>
      </c>
      <c r="BH139" s="29">
        <v>0</v>
      </c>
      <c r="BJ139" s="22">
        <v>44684</v>
      </c>
      <c r="BK139" s="26">
        <f t="shared" ca="1" si="14"/>
        <v>0.29129985045200246</v>
      </c>
      <c r="BL139" s="29">
        <v>0</v>
      </c>
      <c r="BN139" s="22">
        <v>44684</v>
      </c>
      <c r="BO139" s="26">
        <f t="shared" ca="1" si="15"/>
        <v>6.7924754533584042E-2</v>
      </c>
      <c r="BP139" s="29">
        <v>0</v>
      </c>
      <c r="BR139" s="22">
        <v>44684</v>
      </c>
      <c r="BS139" s="26">
        <f t="shared" ca="1" si="16"/>
        <v>0.95750327747608577</v>
      </c>
      <c r="BT139" s="29">
        <v>0</v>
      </c>
      <c r="BV139" s="22">
        <v>44684</v>
      </c>
      <c r="BW139" s="26">
        <f t="shared" ca="1" si="17"/>
        <v>0.36572910722857799</v>
      </c>
      <c r="BX139" s="29">
        <v>0</v>
      </c>
    </row>
    <row r="140" spans="2:77" ht="12.75" x14ac:dyDescent="0.2">
      <c r="B140" s="22">
        <v>44685</v>
      </c>
      <c r="C140" s="26">
        <f t="shared" ca="1" si="0"/>
        <v>1.0038122822302653E-2</v>
      </c>
      <c r="D140" s="29">
        <f t="shared" ca="1" si="22"/>
        <v>29</v>
      </c>
      <c r="F140" s="22">
        <v>44685</v>
      </c>
      <c r="G140" s="26">
        <f t="shared" ca="1" si="1"/>
        <v>0.74175198583833724</v>
      </c>
      <c r="H140" s="29">
        <f t="shared" ca="1" si="23"/>
        <v>225</v>
      </c>
      <c r="J140" s="22">
        <v>44685</v>
      </c>
      <c r="K140" s="26">
        <f t="shared" ca="1" si="2"/>
        <v>0.11308828029508533</v>
      </c>
      <c r="L140" s="29">
        <v>0</v>
      </c>
      <c r="N140" s="22">
        <v>44685</v>
      </c>
      <c r="O140" s="26">
        <f t="shared" ca="1" si="3"/>
        <v>5.9875109449851527E-2</v>
      </c>
      <c r="P140" s="29">
        <v>0</v>
      </c>
      <c r="R140" s="22">
        <v>44685</v>
      </c>
      <c r="S140" s="26">
        <f t="shared" ca="1" si="4"/>
        <v>0.79886213449469912</v>
      </c>
      <c r="T140" s="29">
        <v>0</v>
      </c>
      <c r="V140" s="22">
        <v>44685</v>
      </c>
      <c r="W140" s="26">
        <f t="shared" ca="1" si="5"/>
        <v>0.79449319166831367</v>
      </c>
      <c r="X140" s="29">
        <v>0</v>
      </c>
      <c r="Z140" s="22">
        <v>44685</v>
      </c>
      <c r="AA140" s="26">
        <f t="shared" ca="1" si="6"/>
        <v>0.99252416659112241</v>
      </c>
      <c r="AB140" s="29">
        <v>0</v>
      </c>
      <c r="AC140"/>
      <c r="AD140" s="25"/>
      <c r="AF140" s="22">
        <v>44685</v>
      </c>
      <c r="AG140" s="26">
        <f t="shared" ca="1" si="7"/>
        <v>0.97029066765264915</v>
      </c>
      <c r="AH140" s="29">
        <v>0</v>
      </c>
      <c r="AJ140" s="22">
        <v>44685</v>
      </c>
      <c r="AK140" s="26">
        <f t="shared" ca="1" si="8"/>
        <v>0.9342908142032248</v>
      </c>
      <c r="AL140" s="29">
        <v>0</v>
      </c>
      <c r="AN140" s="22">
        <v>44685</v>
      </c>
      <c r="AO140" s="26">
        <f t="shared" ca="1" si="9"/>
        <v>0.40776017152736399</v>
      </c>
      <c r="AP140" s="29">
        <v>0</v>
      </c>
      <c r="AR140" s="22">
        <v>44685</v>
      </c>
      <c r="AS140" s="26">
        <f t="shared" ca="1" si="10"/>
        <v>0.47932266616358654</v>
      </c>
      <c r="AT140" s="29">
        <v>0</v>
      </c>
      <c r="AV140" s="22">
        <v>44685</v>
      </c>
      <c r="AW140" s="26">
        <f t="shared" ca="1" si="11"/>
        <v>0.47081994579810638</v>
      </c>
      <c r="AX140" s="29">
        <v>0</v>
      </c>
      <c r="AZ140" s="22">
        <v>44685</v>
      </c>
      <c r="BA140" s="26">
        <f t="shared" ca="1" si="12"/>
        <v>0.25568306819324704</v>
      </c>
      <c r="BB140" s="29">
        <v>0</v>
      </c>
      <c r="BC140"/>
      <c r="BD140" s="25"/>
      <c r="BF140" s="22">
        <v>44685</v>
      </c>
      <c r="BG140" s="26">
        <f t="shared" ca="1" si="13"/>
        <v>0.69405130522225222</v>
      </c>
      <c r="BH140" s="29">
        <v>0</v>
      </c>
      <c r="BJ140" s="22">
        <v>44685</v>
      </c>
      <c r="BK140" s="26">
        <f t="shared" ca="1" si="14"/>
        <v>0.83991268023496779</v>
      </c>
      <c r="BL140" s="29">
        <v>0</v>
      </c>
      <c r="BN140" s="22">
        <v>44685</v>
      </c>
      <c r="BO140" s="26">
        <f t="shared" ca="1" si="15"/>
        <v>0.41413966790972323</v>
      </c>
      <c r="BP140" s="29">
        <v>0</v>
      </c>
      <c r="BR140" s="22">
        <v>44685</v>
      </c>
      <c r="BS140" s="26">
        <f t="shared" ca="1" si="16"/>
        <v>0.67908058699060148</v>
      </c>
      <c r="BT140" s="29">
        <v>0</v>
      </c>
      <c r="BV140" s="22">
        <v>44685</v>
      </c>
      <c r="BW140" s="26">
        <f t="shared" ca="1" si="17"/>
        <v>0.44607281013472022</v>
      </c>
      <c r="BX140" s="29">
        <v>0</v>
      </c>
    </row>
    <row r="141" spans="2:77" ht="12.75" x14ac:dyDescent="0.2">
      <c r="B141" s="22">
        <v>44686</v>
      </c>
      <c r="C141" s="26">
        <f t="shared" ca="1" si="0"/>
        <v>0.29472691795554284</v>
      </c>
      <c r="D141" s="29">
        <f t="shared" ca="1" si="22"/>
        <v>65</v>
      </c>
      <c r="F141" s="22">
        <v>44686</v>
      </c>
      <c r="G141" s="26">
        <f t="shared" ca="1" si="1"/>
        <v>0.9988157522251353</v>
      </c>
      <c r="H141" s="29">
        <f t="shared" ca="1" si="23"/>
        <v>260</v>
      </c>
      <c r="J141" s="22">
        <v>44686</v>
      </c>
      <c r="K141" s="26">
        <f t="shared" ca="1" si="2"/>
        <v>0.42503991131027585</v>
      </c>
      <c r="L141" s="29">
        <v>0</v>
      </c>
      <c r="N141" s="22">
        <v>44686</v>
      </c>
      <c r="O141" s="26">
        <f t="shared" ca="1" si="3"/>
        <v>0.80294161180928481</v>
      </c>
      <c r="P141" s="29">
        <v>0</v>
      </c>
      <c r="R141" s="22">
        <v>44686</v>
      </c>
      <c r="S141" s="26">
        <f t="shared" ca="1" si="4"/>
        <v>0.28912908536321502</v>
      </c>
      <c r="T141" s="29">
        <v>0</v>
      </c>
      <c r="V141" s="22">
        <v>44686</v>
      </c>
      <c r="W141" s="26">
        <f t="shared" ca="1" si="5"/>
        <v>0.59585304284359697</v>
      </c>
      <c r="X141" s="29">
        <v>0</v>
      </c>
      <c r="Z141" s="22">
        <v>44686</v>
      </c>
      <c r="AA141" s="26">
        <f t="shared" ca="1" si="6"/>
        <v>0.35713741891577777</v>
      </c>
      <c r="AB141" s="29">
        <v>0</v>
      </c>
      <c r="AC141"/>
      <c r="AD141" s="25"/>
      <c r="AF141" s="22">
        <v>44686</v>
      </c>
      <c r="AG141" s="26">
        <f t="shared" ca="1" si="7"/>
        <v>0.28076060099686506</v>
      </c>
      <c r="AH141" s="29">
        <v>0</v>
      </c>
      <c r="AJ141" s="22">
        <v>44686</v>
      </c>
      <c r="AK141" s="26">
        <f t="shared" ca="1" si="8"/>
        <v>0.76817511133761562</v>
      </c>
      <c r="AL141" s="29">
        <v>0</v>
      </c>
      <c r="AN141" s="22">
        <v>44686</v>
      </c>
      <c r="AO141" s="26">
        <f t="shared" ca="1" si="9"/>
        <v>0.67067836502697153</v>
      </c>
      <c r="AP141" s="29">
        <v>0</v>
      </c>
      <c r="AR141" s="22">
        <v>44686</v>
      </c>
      <c r="AS141" s="26">
        <f t="shared" ca="1" si="10"/>
        <v>0.81360019980286091</v>
      </c>
      <c r="AT141" s="29">
        <v>0</v>
      </c>
      <c r="AV141" s="22">
        <v>44686</v>
      </c>
      <c r="AW141" s="26">
        <f t="shared" ca="1" si="11"/>
        <v>0.75202654848961548</v>
      </c>
      <c r="AX141" s="29">
        <v>0</v>
      </c>
      <c r="AZ141" s="22">
        <v>44686</v>
      </c>
      <c r="BA141" s="26">
        <f t="shared" ca="1" si="12"/>
        <v>0.15851106042861629</v>
      </c>
      <c r="BB141" s="29">
        <v>0</v>
      </c>
      <c r="BC141"/>
      <c r="BD141" s="25"/>
      <c r="BF141" s="22">
        <v>44686</v>
      </c>
      <c r="BG141" s="26">
        <f t="shared" ca="1" si="13"/>
        <v>4.7121363914835346E-2</v>
      </c>
      <c r="BH141" s="29">
        <v>0</v>
      </c>
      <c r="BJ141" s="22">
        <v>44686</v>
      </c>
      <c r="BK141" s="26">
        <f t="shared" ca="1" si="14"/>
        <v>0.23751226688972127</v>
      </c>
      <c r="BL141" s="29">
        <v>0</v>
      </c>
      <c r="BN141" s="22">
        <v>44686</v>
      </c>
      <c r="BO141" s="26">
        <f t="shared" ca="1" si="15"/>
        <v>0.29971897073304987</v>
      </c>
      <c r="BP141" s="29">
        <v>0</v>
      </c>
      <c r="BR141" s="22">
        <v>44686</v>
      </c>
      <c r="BS141" s="26">
        <f t="shared" ca="1" si="16"/>
        <v>0.34671397382268598</v>
      </c>
      <c r="BT141" s="29">
        <v>0</v>
      </c>
      <c r="BV141" s="22">
        <v>44686</v>
      </c>
      <c r="BW141" s="26">
        <f t="shared" ca="1" si="17"/>
        <v>0.49652525148611748</v>
      </c>
      <c r="BX141" s="29">
        <v>0</v>
      </c>
    </row>
    <row r="142" spans="2:77" ht="12.75" x14ac:dyDescent="0.2">
      <c r="B142" s="22">
        <v>44687</v>
      </c>
      <c r="C142" s="26">
        <f t="shared" ca="1" si="0"/>
        <v>0.51055145294247806</v>
      </c>
      <c r="D142" s="29">
        <f t="shared" ca="1" si="22"/>
        <v>76</v>
      </c>
      <c r="F142" s="22">
        <v>44687</v>
      </c>
      <c r="G142" s="26">
        <f t="shared" ca="1" si="1"/>
        <v>0.82901806270780298</v>
      </c>
      <c r="H142" s="29">
        <f t="shared" ca="1" si="23"/>
        <v>230</v>
      </c>
      <c r="J142" s="22">
        <v>44687</v>
      </c>
      <c r="K142" s="26">
        <f t="shared" ca="1" si="2"/>
        <v>0.78653615075930083</v>
      </c>
      <c r="L142" s="29">
        <v>0</v>
      </c>
      <c r="N142" s="22">
        <v>44687</v>
      </c>
      <c r="O142" s="26">
        <f t="shared" ca="1" si="3"/>
        <v>0.15169480032847948</v>
      </c>
      <c r="P142" s="29">
        <v>0</v>
      </c>
      <c r="R142" s="22">
        <v>44687</v>
      </c>
      <c r="S142" s="26">
        <f t="shared" ca="1" si="4"/>
        <v>0.79506299820434556</v>
      </c>
      <c r="T142" s="29">
        <v>0</v>
      </c>
      <c r="V142" s="22">
        <v>44687</v>
      </c>
      <c r="W142" s="26">
        <f t="shared" ca="1" si="5"/>
        <v>0.99388302287371344</v>
      </c>
      <c r="X142" s="29">
        <v>0</v>
      </c>
      <c r="Z142" s="22">
        <v>44687</v>
      </c>
      <c r="AA142" s="26">
        <f t="shared" ca="1" si="6"/>
        <v>0.22315277655250487</v>
      </c>
      <c r="AB142" s="29">
        <v>0</v>
      </c>
      <c r="AC142"/>
      <c r="AD142" s="25"/>
      <c r="AF142" s="22">
        <v>44687</v>
      </c>
      <c r="AG142" s="26">
        <f t="shared" ca="1" si="7"/>
        <v>0.67398991646940554</v>
      </c>
      <c r="AH142" s="29">
        <v>0</v>
      </c>
      <c r="AJ142" s="22">
        <v>44687</v>
      </c>
      <c r="AK142" s="26">
        <f t="shared" ca="1" si="8"/>
        <v>0.57027325063771683</v>
      </c>
      <c r="AL142" s="29">
        <v>0</v>
      </c>
      <c r="AN142" s="22">
        <v>44687</v>
      </c>
      <c r="AO142" s="26">
        <f t="shared" ca="1" si="9"/>
        <v>0.95784278651811761</v>
      </c>
      <c r="AP142" s="29">
        <v>0</v>
      </c>
      <c r="AR142" s="22">
        <v>44687</v>
      </c>
      <c r="AS142" s="26">
        <f t="shared" ca="1" si="10"/>
        <v>0.47240202340111381</v>
      </c>
      <c r="AT142" s="29">
        <v>0</v>
      </c>
      <c r="AV142" s="22">
        <v>44687</v>
      </c>
      <c r="AW142" s="26">
        <f t="shared" ca="1" si="11"/>
        <v>0.72736068781730323</v>
      </c>
      <c r="AX142" s="29">
        <v>0</v>
      </c>
      <c r="AZ142" s="22">
        <v>44687</v>
      </c>
      <c r="BA142" s="26">
        <f t="shared" ca="1" si="12"/>
        <v>5.0396109195869343E-2</v>
      </c>
      <c r="BB142" s="29">
        <v>0</v>
      </c>
      <c r="BC142"/>
      <c r="BD142" s="25"/>
      <c r="BF142" s="22">
        <v>44687</v>
      </c>
      <c r="BG142" s="26">
        <f t="shared" ca="1" si="13"/>
        <v>0.79894141186933876</v>
      </c>
      <c r="BH142" s="29">
        <v>0</v>
      </c>
      <c r="BJ142" s="22">
        <v>44687</v>
      </c>
      <c r="BK142" s="26">
        <f t="shared" ca="1" si="14"/>
        <v>0.5164689558574046</v>
      </c>
      <c r="BL142" s="29">
        <v>0</v>
      </c>
      <c r="BN142" s="22">
        <v>44687</v>
      </c>
      <c r="BO142" s="26">
        <f t="shared" ca="1" si="15"/>
        <v>0.82653818274699098</v>
      </c>
      <c r="BP142" s="29">
        <v>0</v>
      </c>
      <c r="BR142" s="22">
        <v>44687</v>
      </c>
      <c r="BS142" s="26">
        <f t="shared" ca="1" si="16"/>
        <v>0.19838227809040643</v>
      </c>
      <c r="BT142" s="29">
        <v>0</v>
      </c>
      <c r="BV142" s="22">
        <v>44687</v>
      </c>
      <c r="BW142" s="26">
        <f t="shared" ca="1" si="17"/>
        <v>0.15834628916128934</v>
      </c>
      <c r="BX142" s="29">
        <v>0</v>
      </c>
    </row>
    <row r="143" spans="2:77" ht="12.75" x14ac:dyDescent="0.2">
      <c r="B143" s="22">
        <v>44688</v>
      </c>
      <c r="C143" s="26">
        <f t="shared" ca="1" si="0"/>
        <v>0.4515536130766763</v>
      </c>
      <c r="D143" s="29">
        <f t="shared" ca="1" si="22"/>
        <v>73</v>
      </c>
      <c r="F143" s="22">
        <v>44688</v>
      </c>
      <c r="G143" s="26">
        <f t="shared" ca="1" si="1"/>
        <v>0.57795840539544097</v>
      </c>
      <c r="H143" s="29">
        <f t="shared" ca="1" si="23"/>
        <v>219</v>
      </c>
      <c r="J143" s="22">
        <v>44688</v>
      </c>
      <c r="K143" s="26">
        <f t="shared" ca="1" si="2"/>
        <v>0.57801708794185302</v>
      </c>
      <c r="L143" s="29">
        <v>0</v>
      </c>
      <c r="N143" s="22">
        <v>44688</v>
      </c>
      <c r="O143" s="26">
        <f t="shared" ca="1" si="3"/>
        <v>0.44182721907416944</v>
      </c>
      <c r="P143" s="29">
        <v>0</v>
      </c>
      <c r="R143" s="22">
        <v>44688</v>
      </c>
      <c r="S143" s="26">
        <f t="shared" ca="1" si="4"/>
        <v>0.88174344299834773</v>
      </c>
      <c r="T143" s="29">
        <v>0</v>
      </c>
      <c r="V143" s="22">
        <v>44688</v>
      </c>
      <c r="W143" s="26">
        <f t="shared" ca="1" si="5"/>
        <v>0.40607639924785965</v>
      </c>
      <c r="X143" s="29">
        <v>0</v>
      </c>
      <c r="Z143" s="22">
        <v>44688</v>
      </c>
      <c r="AA143" s="26">
        <f t="shared" ca="1" si="6"/>
        <v>8.1985904661193265E-2</v>
      </c>
      <c r="AB143" s="29">
        <v>0</v>
      </c>
      <c r="AC143"/>
      <c r="AD143" s="25"/>
      <c r="AF143" s="22">
        <v>44688</v>
      </c>
      <c r="AG143" s="26">
        <f t="shared" ca="1" si="7"/>
        <v>0.94028101938072295</v>
      </c>
      <c r="AH143" s="29">
        <v>0</v>
      </c>
      <c r="AJ143" s="22">
        <v>44688</v>
      </c>
      <c r="AK143" s="26">
        <f t="shared" ca="1" si="8"/>
        <v>0.35259998615068999</v>
      </c>
      <c r="AL143" s="29">
        <v>0</v>
      </c>
      <c r="AN143" s="22">
        <v>44688</v>
      </c>
      <c r="AO143" s="26">
        <f t="shared" ca="1" si="9"/>
        <v>0.16777955237976816</v>
      </c>
      <c r="AP143" s="29">
        <v>0</v>
      </c>
      <c r="AR143" s="22">
        <v>44688</v>
      </c>
      <c r="AS143" s="26">
        <f t="shared" ca="1" si="10"/>
        <v>0.51166828401906461</v>
      </c>
      <c r="AT143" s="29">
        <v>0</v>
      </c>
      <c r="AV143" s="22">
        <v>44688</v>
      </c>
      <c r="AW143" s="26">
        <f t="shared" ca="1" si="11"/>
        <v>0.86161949302349838</v>
      </c>
      <c r="AX143" s="29">
        <v>0</v>
      </c>
      <c r="AZ143" s="22">
        <v>44688</v>
      </c>
      <c r="BA143" s="26">
        <f t="shared" ca="1" si="12"/>
        <v>0.4452950994258944</v>
      </c>
      <c r="BB143" s="29">
        <v>0</v>
      </c>
      <c r="BC143"/>
      <c r="BD143" s="25"/>
      <c r="BF143" s="22">
        <v>44688</v>
      </c>
      <c r="BG143" s="26">
        <f t="shared" ca="1" si="13"/>
        <v>0.48562530021757488</v>
      </c>
      <c r="BH143" s="29">
        <v>0</v>
      </c>
      <c r="BJ143" s="22">
        <v>44688</v>
      </c>
      <c r="BK143" s="26">
        <f t="shared" ca="1" si="14"/>
        <v>7.7263787467290013E-2</v>
      </c>
      <c r="BL143" s="29">
        <v>0</v>
      </c>
      <c r="BN143" s="22">
        <v>44688</v>
      </c>
      <c r="BO143" s="26">
        <f t="shared" ca="1" si="15"/>
        <v>0.66388300363914088</v>
      </c>
      <c r="BP143" s="29">
        <v>0</v>
      </c>
      <c r="BR143" s="22">
        <v>44688</v>
      </c>
      <c r="BS143" s="26">
        <f t="shared" ca="1" si="16"/>
        <v>0.77304165539768188</v>
      </c>
      <c r="BT143" s="29">
        <v>0</v>
      </c>
      <c r="BV143" s="22">
        <v>44688</v>
      </c>
      <c r="BW143" s="26">
        <f t="shared" ca="1" si="17"/>
        <v>0.36832295614440558</v>
      </c>
      <c r="BX143" s="29">
        <v>0</v>
      </c>
    </row>
    <row r="144" spans="2:77" ht="12.75" x14ac:dyDescent="0.2">
      <c r="B144" s="22">
        <v>44689</v>
      </c>
      <c r="C144" s="26">
        <f t="shared" ca="1" si="0"/>
        <v>0.79402707131079342</v>
      </c>
      <c r="D144" s="29">
        <f t="shared" ca="1" si="22"/>
        <v>92</v>
      </c>
      <c r="F144" s="22">
        <v>44689</v>
      </c>
      <c r="G144" s="26">
        <f t="shared" ca="1" si="1"/>
        <v>6.9746386671482585E-2</v>
      </c>
      <c r="H144" s="29">
        <f t="shared" ca="1" si="23"/>
        <v>195</v>
      </c>
      <c r="J144" s="22">
        <v>44689</v>
      </c>
      <c r="K144" s="26">
        <f t="shared" ca="1" si="2"/>
        <v>0.60449287988465883</v>
      </c>
      <c r="L144" s="29">
        <v>0</v>
      </c>
      <c r="N144" s="22">
        <v>44689</v>
      </c>
      <c r="O144" s="26">
        <f t="shared" ca="1" si="3"/>
        <v>0.61110115156484446</v>
      </c>
      <c r="P144" s="29">
        <v>0</v>
      </c>
      <c r="R144" s="22">
        <v>44689</v>
      </c>
      <c r="S144" s="26">
        <f t="shared" ca="1" si="4"/>
        <v>0.69740525384843721</v>
      </c>
      <c r="T144" s="29">
        <v>0</v>
      </c>
      <c r="V144" s="22">
        <v>44689</v>
      </c>
      <c r="W144" s="26">
        <f t="shared" ca="1" si="5"/>
        <v>0.99568404671977129</v>
      </c>
      <c r="X144" s="29">
        <v>0</v>
      </c>
      <c r="Z144" s="22">
        <v>44689</v>
      </c>
      <c r="AA144" s="26">
        <f t="shared" ca="1" si="6"/>
        <v>0.14332132053993751</v>
      </c>
      <c r="AB144" s="29">
        <v>0</v>
      </c>
      <c r="AC144"/>
      <c r="AD144" s="25"/>
      <c r="AF144" s="22">
        <v>44689</v>
      </c>
      <c r="AG144" s="26">
        <f t="shared" ca="1" si="7"/>
        <v>0.47514223976059022</v>
      </c>
      <c r="AH144" s="29">
        <v>0</v>
      </c>
      <c r="AJ144" s="22">
        <v>44689</v>
      </c>
      <c r="AK144" s="26">
        <f t="shared" ca="1" si="8"/>
        <v>0.69496064783685252</v>
      </c>
      <c r="AL144" s="29">
        <v>0</v>
      </c>
      <c r="AN144" s="22">
        <v>44689</v>
      </c>
      <c r="AO144" s="26">
        <f t="shared" ca="1" si="9"/>
        <v>0.65869563683125376</v>
      </c>
      <c r="AP144" s="29">
        <v>0</v>
      </c>
      <c r="AR144" s="22">
        <v>44689</v>
      </c>
      <c r="AS144" s="26">
        <f t="shared" ca="1" si="10"/>
        <v>0.16108066653998987</v>
      </c>
      <c r="AT144" s="29">
        <v>0</v>
      </c>
      <c r="AV144" s="22">
        <v>44689</v>
      </c>
      <c r="AW144" s="26">
        <f t="shared" ca="1" si="11"/>
        <v>0.37574607997391762</v>
      </c>
      <c r="AX144" s="29">
        <v>0</v>
      </c>
      <c r="AZ144" s="22">
        <v>44689</v>
      </c>
      <c r="BA144" s="26">
        <f t="shared" ca="1" si="12"/>
        <v>0.18332489292265319</v>
      </c>
      <c r="BB144" s="29">
        <v>0</v>
      </c>
      <c r="BC144"/>
      <c r="BD144" s="25"/>
      <c r="BF144" s="22">
        <v>44689</v>
      </c>
      <c r="BG144" s="26">
        <f t="shared" ca="1" si="13"/>
        <v>0.41081525551032338</v>
      </c>
      <c r="BH144" s="29">
        <v>0</v>
      </c>
      <c r="BJ144" s="22">
        <v>44689</v>
      </c>
      <c r="BK144" s="26">
        <f t="shared" ca="1" si="14"/>
        <v>0.65695177268182248</v>
      </c>
      <c r="BL144" s="29">
        <v>0</v>
      </c>
      <c r="BN144" s="22">
        <v>44689</v>
      </c>
      <c r="BO144" s="26">
        <f t="shared" ca="1" si="15"/>
        <v>0.34796015573800299</v>
      </c>
      <c r="BP144" s="29">
        <v>0</v>
      </c>
      <c r="BR144" s="22">
        <v>44689</v>
      </c>
      <c r="BS144" s="26">
        <f t="shared" ca="1" si="16"/>
        <v>0.91852002709339786</v>
      </c>
      <c r="BT144" s="29">
        <v>0</v>
      </c>
      <c r="BV144" s="22">
        <v>44689</v>
      </c>
      <c r="BW144" s="26">
        <f t="shared" ca="1" si="17"/>
        <v>0.36477164178963939</v>
      </c>
      <c r="BX144" s="29">
        <v>0</v>
      </c>
    </row>
    <row r="145" spans="2:76" ht="12.75" x14ac:dyDescent="0.2">
      <c r="B145" s="22">
        <v>44690</v>
      </c>
      <c r="C145" s="26">
        <f t="shared" ca="1" si="0"/>
        <v>0.59663904326440598</v>
      </c>
      <c r="D145" s="29">
        <f t="shared" ca="1" si="22"/>
        <v>80</v>
      </c>
      <c r="F145" s="22">
        <v>44690</v>
      </c>
      <c r="G145" s="26">
        <f t="shared" ca="1" si="1"/>
        <v>8.4480395694156218E-2</v>
      </c>
      <c r="H145" s="29">
        <f t="shared" ca="1" si="23"/>
        <v>196</v>
      </c>
      <c r="J145" s="22">
        <v>44690</v>
      </c>
      <c r="K145" s="26">
        <f t="shared" ca="1" si="2"/>
        <v>0.62426792142319532</v>
      </c>
      <c r="L145" s="29">
        <v>0</v>
      </c>
      <c r="N145" s="22">
        <v>44690</v>
      </c>
      <c r="O145" s="26">
        <f t="shared" ca="1" si="3"/>
        <v>0.57519435450227963</v>
      </c>
      <c r="P145" s="29">
        <v>0</v>
      </c>
      <c r="R145" s="22">
        <v>44690</v>
      </c>
      <c r="S145" s="26">
        <f t="shared" ca="1" si="4"/>
        <v>0.60415602613741171</v>
      </c>
      <c r="T145" s="29">
        <v>0</v>
      </c>
      <c r="V145" s="22">
        <v>44690</v>
      </c>
      <c r="W145" s="26">
        <f t="shared" ca="1" si="5"/>
        <v>0.50007294898327215</v>
      </c>
      <c r="X145" s="29">
        <v>0</v>
      </c>
      <c r="Z145" s="22">
        <v>44690</v>
      </c>
      <c r="AA145" s="26">
        <f t="shared" ca="1" si="6"/>
        <v>0.22586932466607168</v>
      </c>
      <c r="AB145" s="29">
        <v>0</v>
      </c>
      <c r="AC145"/>
      <c r="AD145" s="25"/>
      <c r="AF145" s="22">
        <v>44690</v>
      </c>
      <c r="AG145" s="26">
        <f t="shared" ca="1" si="7"/>
        <v>3.1454467419532728E-3</v>
      </c>
      <c r="AH145" s="29">
        <v>0</v>
      </c>
      <c r="AJ145" s="22">
        <v>44690</v>
      </c>
      <c r="AK145" s="26">
        <f t="shared" ca="1" si="8"/>
        <v>0.40371763748530598</v>
      </c>
      <c r="AL145" s="29">
        <v>0</v>
      </c>
      <c r="AN145" s="22">
        <v>44690</v>
      </c>
      <c r="AO145" s="26">
        <f t="shared" ca="1" si="9"/>
        <v>0.35103775453610719</v>
      </c>
      <c r="AP145" s="29">
        <v>0</v>
      </c>
      <c r="AR145" s="22">
        <v>44690</v>
      </c>
      <c r="AS145" s="26">
        <f t="shared" ca="1" si="10"/>
        <v>0.20659184823373811</v>
      </c>
      <c r="AT145" s="29">
        <v>0</v>
      </c>
      <c r="AV145" s="22">
        <v>44690</v>
      </c>
      <c r="AW145" s="26">
        <f t="shared" ca="1" si="11"/>
        <v>0.51758708882311866</v>
      </c>
      <c r="AX145" s="29">
        <v>0</v>
      </c>
      <c r="AZ145" s="22">
        <v>44690</v>
      </c>
      <c r="BA145" s="26">
        <f t="shared" ca="1" si="12"/>
        <v>0.33402676615937266</v>
      </c>
      <c r="BB145" s="29">
        <v>0</v>
      </c>
      <c r="BC145"/>
      <c r="BD145" s="25"/>
      <c r="BF145" s="22">
        <v>44690</v>
      </c>
      <c r="BG145" s="26">
        <f t="shared" ca="1" si="13"/>
        <v>0.3445208481850589</v>
      </c>
      <c r="BH145" s="29">
        <v>0</v>
      </c>
      <c r="BJ145" s="22">
        <v>44690</v>
      </c>
      <c r="BK145" s="26">
        <f t="shared" ca="1" si="14"/>
        <v>2.6232082317042771E-2</v>
      </c>
      <c r="BL145" s="29">
        <v>0</v>
      </c>
      <c r="BN145" s="22">
        <v>44690</v>
      </c>
      <c r="BO145" s="26">
        <f t="shared" ca="1" si="15"/>
        <v>0.79592729043887345</v>
      </c>
      <c r="BP145" s="29">
        <v>0</v>
      </c>
      <c r="BR145" s="22">
        <v>44690</v>
      </c>
      <c r="BS145" s="26">
        <f t="shared" ca="1" si="16"/>
        <v>0.47283783277258129</v>
      </c>
      <c r="BT145" s="29">
        <v>0</v>
      </c>
      <c r="BV145" s="22">
        <v>44690</v>
      </c>
      <c r="BW145" s="26">
        <f t="shared" ca="1" si="17"/>
        <v>0.86571530976193423</v>
      </c>
      <c r="BX145" s="29">
        <v>0</v>
      </c>
    </row>
    <row r="146" spans="2:76" ht="12.75" x14ac:dyDescent="0.2">
      <c r="B146" s="22">
        <v>44691</v>
      </c>
      <c r="C146" s="26">
        <f t="shared" ca="1" si="0"/>
        <v>0.88925605174638211</v>
      </c>
      <c r="D146" s="29">
        <f t="shared" ref="D146:D203" ca="1" si="24">ROUNDUP(_xlfn.NORM.INV(C146,C$10,C$12),0)</f>
        <v>100</v>
      </c>
      <c r="F146" s="22">
        <v>44691</v>
      </c>
      <c r="G146" s="26">
        <f t="shared" ca="1" si="1"/>
        <v>0.87575835878543751</v>
      </c>
      <c r="H146" s="29">
        <f t="shared" ca="1" si="23"/>
        <v>232</v>
      </c>
      <c r="J146" s="22">
        <v>44691</v>
      </c>
      <c r="K146" s="26">
        <f t="shared" ca="1" si="2"/>
        <v>0.70368221393217489</v>
      </c>
      <c r="L146" s="29">
        <v>0</v>
      </c>
      <c r="N146" s="22">
        <v>44691</v>
      </c>
      <c r="O146" s="26">
        <f t="shared" ca="1" si="3"/>
        <v>0.51145339298834136</v>
      </c>
      <c r="P146" s="29">
        <v>0</v>
      </c>
      <c r="R146" s="22">
        <v>44691</v>
      </c>
      <c r="S146" s="26">
        <f t="shared" ca="1" si="4"/>
        <v>0.7733853270170683</v>
      </c>
      <c r="T146" s="29">
        <v>0</v>
      </c>
      <c r="V146" s="22">
        <v>44691</v>
      </c>
      <c r="W146" s="26">
        <f t="shared" ca="1" si="5"/>
        <v>5.3448167528818424E-2</v>
      </c>
      <c r="X146" s="29">
        <v>0</v>
      </c>
      <c r="Z146" s="22">
        <v>44691</v>
      </c>
      <c r="AA146" s="26">
        <f t="shared" ca="1" si="6"/>
        <v>0.99795658767702022</v>
      </c>
      <c r="AB146" s="29">
        <v>0</v>
      </c>
      <c r="AC146"/>
      <c r="AD146" s="25"/>
      <c r="AF146" s="22">
        <v>44691</v>
      </c>
      <c r="AG146" s="26">
        <f t="shared" ca="1" si="7"/>
        <v>0.9705298600297606</v>
      </c>
      <c r="AH146" s="29">
        <v>0</v>
      </c>
      <c r="AJ146" s="22">
        <v>44691</v>
      </c>
      <c r="AK146" s="26">
        <f t="shared" ca="1" si="8"/>
        <v>0.5354801204873797</v>
      </c>
      <c r="AL146" s="29">
        <v>0</v>
      </c>
      <c r="AN146" s="22">
        <v>44691</v>
      </c>
      <c r="AO146" s="26">
        <f t="shared" ca="1" si="9"/>
        <v>0.13586929399705916</v>
      </c>
      <c r="AP146" s="29">
        <v>0</v>
      </c>
      <c r="AR146" s="22">
        <v>44691</v>
      </c>
      <c r="AS146" s="26">
        <f t="shared" ca="1" si="10"/>
        <v>0.33483364250072201</v>
      </c>
      <c r="AT146" s="29">
        <v>0</v>
      </c>
      <c r="AV146" s="22">
        <v>44691</v>
      </c>
      <c r="AW146" s="26">
        <f t="shared" ca="1" si="11"/>
        <v>0.98805064882281912</v>
      </c>
      <c r="AX146" s="29">
        <v>0</v>
      </c>
      <c r="AZ146" s="22">
        <v>44691</v>
      </c>
      <c r="BA146" s="26">
        <f t="shared" ca="1" si="12"/>
        <v>0.65559731727656056</v>
      </c>
      <c r="BB146" s="29">
        <v>0</v>
      </c>
      <c r="BC146"/>
      <c r="BD146" s="25"/>
      <c r="BF146" s="22">
        <v>44691</v>
      </c>
      <c r="BG146" s="26">
        <f t="shared" ca="1" si="13"/>
        <v>0.63686756903598485</v>
      </c>
      <c r="BH146" s="29">
        <v>0</v>
      </c>
      <c r="BJ146" s="22">
        <v>44691</v>
      </c>
      <c r="BK146" s="26">
        <f t="shared" ca="1" si="14"/>
        <v>0.49415539458741087</v>
      </c>
      <c r="BL146" s="29">
        <v>0</v>
      </c>
      <c r="BN146" s="22">
        <v>44691</v>
      </c>
      <c r="BO146" s="26">
        <f t="shared" ca="1" si="15"/>
        <v>0.2573899314753233</v>
      </c>
      <c r="BP146" s="29">
        <v>0</v>
      </c>
      <c r="BR146" s="22">
        <v>44691</v>
      </c>
      <c r="BS146" s="26">
        <f t="shared" ca="1" si="16"/>
        <v>0.80598792809679298</v>
      </c>
      <c r="BT146" s="29">
        <v>0</v>
      </c>
      <c r="BV146" s="22">
        <v>44691</v>
      </c>
      <c r="BW146" s="26">
        <f t="shared" ca="1" si="17"/>
        <v>0.35712728578527575</v>
      </c>
      <c r="BX146" s="29">
        <v>0</v>
      </c>
    </row>
    <row r="147" spans="2:76" ht="12.75" x14ac:dyDescent="0.2">
      <c r="B147" s="22">
        <v>44692</v>
      </c>
      <c r="C147" s="26">
        <f t="shared" ca="1" si="0"/>
        <v>0.18364202923042494</v>
      </c>
      <c r="D147" s="29">
        <f t="shared" ca="1" si="24"/>
        <v>57</v>
      </c>
      <c r="F147" s="22">
        <v>44692</v>
      </c>
      <c r="G147" s="26">
        <f t="shared" ca="1" si="1"/>
        <v>0.12439224208186883</v>
      </c>
      <c r="H147" s="29">
        <f t="shared" ca="1" si="23"/>
        <v>199</v>
      </c>
      <c r="J147" s="22">
        <v>44692</v>
      </c>
      <c r="K147" s="26">
        <f t="shared" ca="1" si="2"/>
        <v>0.56739349540040573</v>
      </c>
      <c r="L147" s="29">
        <v>0</v>
      </c>
      <c r="N147" s="22">
        <v>44692</v>
      </c>
      <c r="O147" s="26">
        <f t="shared" ca="1" si="3"/>
        <v>0.86751284296337206</v>
      </c>
      <c r="P147" s="29">
        <v>0</v>
      </c>
      <c r="R147" s="22">
        <v>44692</v>
      </c>
      <c r="S147" s="26">
        <f t="shared" ca="1" si="4"/>
        <v>0.30681107411597242</v>
      </c>
      <c r="T147" s="29">
        <v>0</v>
      </c>
      <c r="V147" s="22">
        <v>44692</v>
      </c>
      <c r="W147" s="26">
        <f t="shared" ca="1" si="5"/>
        <v>0.95105975611384663</v>
      </c>
      <c r="X147" s="29">
        <v>0</v>
      </c>
      <c r="Z147" s="22">
        <v>44692</v>
      </c>
      <c r="AA147" s="26">
        <f t="shared" ca="1" si="6"/>
        <v>0.47708575109730456</v>
      </c>
      <c r="AB147" s="29">
        <v>0</v>
      </c>
      <c r="AC147"/>
      <c r="AD147" s="25"/>
      <c r="AF147" s="22">
        <v>44692</v>
      </c>
      <c r="AG147" s="26">
        <f t="shared" ca="1" si="7"/>
        <v>0.28827701600449129</v>
      </c>
      <c r="AH147" s="29">
        <v>0</v>
      </c>
      <c r="AJ147" s="22">
        <v>44692</v>
      </c>
      <c r="AK147" s="26">
        <f t="shared" ca="1" si="8"/>
        <v>0.9378205745479492</v>
      </c>
      <c r="AL147" s="29">
        <v>0</v>
      </c>
      <c r="AN147" s="22">
        <v>44692</v>
      </c>
      <c r="AO147" s="26">
        <f t="shared" ca="1" si="9"/>
        <v>0.62313831291953514</v>
      </c>
      <c r="AP147" s="29">
        <v>0</v>
      </c>
      <c r="AR147" s="22">
        <v>44692</v>
      </c>
      <c r="AS147" s="26">
        <f t="shared" ca="1" si="10"/>
        <v>0.5934492576262389</v>
      </c>
      <c r="AT147" s="29">
        <v>0</v>
      </c>
      <c r="AV147" s="22">
        <v>44692</v>
      </c>
      <c r="AW147" s="26">
        <f t="shared" ca="1" si="11"/>
        <v>0.23650836156161059</v>
      </c>
      <c r="AX147" s="29">
        <v>0</v>
      </c>
      <c r="AZ147" s="22">
        <v>44692</v>
      </c>
      <c r="BA147" s="26">
        <f t="shared" ca="1" si="12"/>
        <v>0.6429313036000327</v>
      </c>
      <c r="BB147" s="29">
        <v>0</v>
      </c>
      <c r="BC147"/>
      <c r="BD147" s="25"/>
      <c r="BF147" s="22">
        <v>44692</v>
      </c>
      <c r="BG147" s="26">
        <f t="shared" ca="1" si="13"/>
        <v>0.44383521986506713</v>
      </c>
      <c r="BH147" s="29">
        <v>0</v>
      </c>
      <c r="BJ147" s="22">
        <v>44692</v>
      </c>
      <c r="BK147" s="26">
        <f t="shared" ca="1" si="14"/>
        <v>9.5743476422189056E-2</v>
      </c>
      <c r="BL147" s="29">
        <v>0</v>
      </c>
      <c r="BN147" s="22">
        <v>44692</v>
      </c>
      <c r="BO147" s="26">
        <f t="shared" ca="1" si="15"/>
        <v>0.76904442034713905</v>
      </c>
      <c r="BP147" s="29">
        <v>0</v>
      </c>
      <c r="BR147" s="22">
        <v>44692</v>
      </c>
      <c r="BS147" s="26">
        <f t="shared" ca="1" si="16"/>
        <v>0.28309704357348697</v>
      </c>
      <c r="BT147" s="29">
        <v>0</v>
      </c>
      <c r="BV147" s="22">
        <v>44692</v>
      </c>
      <c r="BW147" s="26">
        <f t="shared" ca="1" si="17"/>
        <v>0.9687563647156312</v>
      </c>
      <c r="BX147" s="29">
        <v>0</v>
      </c>
    </row>
    <row r="148" spans="2:76" ht="12.75" x14ac:dyDescent="0.2">
      <c r="B148" s="22">
        <v>44693</v>
      </c>
      <c r="C148" s="26">
        <f t="shared" ca="1" si="0"/>
        <v>0.14070761227020367</v>
      </c>
      <c r="D148" s="29">
        <f t="shared" ca="1" si="24"/>
        <v>54</v>
      </c>
      <c r="F148" s="22">
        <v>44693</v>
      </c>
      <c r="G148" s="26">
        <f t="shared" ca="1" si="1"/>
        <v>8.8017937125291601E-2</v>
      </c>
      <c r="H148" s="29">
        <f t="shared" ref="H148:H203" ca="1" si="25">ROUNDUP(_xlfn.NORM.INV(G148,G$10,G$12),0)</f>
        <v>196</v>
      </c>
      <c r="J148" s="22">
        <v>44693</v>
      </c>
      <c r="K148" s="26">
        <f t="shared" ca="1" si="2"/>
        <v>0.50181975596254802</v>
      </c>
      <c r="L148" s="29">
        <v>0</v>
      </c>
      <c r="N148" s="22">
        <v>44693</v>
      </c>
      <c r="O148" s="26">
        <f t="shared" ca="1" si="3"/>
        <v>0.96227499823641716</v>
      </c>
      <c r="P148" s="29">
        <v>0</v>
      </c>
      <c r="R148" s="22">
        <v>44693</v>
      </c>
      <c r="S148" s="26">
        <f t="shared" ca="1" si="4"/>
        <v>0.77137284827121255</v>
      </c>
      <c r="T148" s="29">
        <v>0</v>
      </c>
      <c r="V148" s="22">
        <v>44693</v>
      </c>
      <c r="W148" s="26">
        <f t="shared" ca="1" si="5"/>
        <v>0.91521986826287893</v>
      </c>
      <c r="X148" s="29">
        <v>0</v>
      </c>
      <c r="Z148" s="22">
        <v>44693</v>
      </c>
      <c r="AA148" s="26">
        <f t="shared" ca="1" si="6"/>
        <v>0.95727659043936042</v>
      </c>
      <c r="AB148" s="29">
        <v>0</v>
      </c>
      <c r="AC148"/>
      <c r="AD148" s="25"/>
      <c r="AF148" s="22">
        <v>44693</v>
      </c>
      <c r="AG148" s="26">
        <f t="shared" ca="1" si="7"/>
        <v>0.37497721474466994</v>
      </c>
      <c r="AH148" s="29">
        <v>0</v>
      </c>
      <c r="AJ148" s="22">
        <v>44693</v>
      </c>
      <c r="AK148" s="26">
        <f t="shared" ca="1" si="8"/>
        <v>0.61269884738939118</v>
      </c>
      <c r="AL148" s="29">
        <v>0</v>
      </c>
      <c r="AN148" s="22">
        <v>44693</v>
      </c>
      <c r="AO148" s="26">
        <f t="shared" ca="1" si="9"/>
        <v>0.85122745045887682</v>
      </c>
      <c r="AP148" s="29">
        <v>0</v>
      </c>
      <c r="AR148" s="22">
        <v>44693</v>
      </c>
      <c r="AS148" s="26">
        <f t="shared" ca="1" si="10"/>
        <v>0.13834898487640968</v>
      </c>
      <c r="AT148" s="29">
        <v>0</v>
      </c>
      <c r="AV148" s="22">
        <v>44693</v>
      </c>
      <c r="AW148" s="26">
        <f t="shared" ca="1" si="11"/>
        <v>0.3411232958340924</v>
      </c>
      <c r="AX148" s="29">
        <v>0</v>
      </c>
      <c r="AZ148" s="22">
        <v>44693</v>
      </c>
      <c r="BA148" s="26">
        <f t="shared" ca="1" si="12"/>
        <v>0.83520918530594701</v>
      </c>
      <c r="BB148" s="29">
        <v>0</v>
      </c>
      <c r="BC148"/>
      <c r="BD148" s="25"/>
      <c r="BF148" s="22">
        <v>44693</v>
      </c>
      <c r="BG148" s="26">
        <f t="shared" ca="1" si="13"/>
        <v>0.35460181220581821</v>
      </c>
      <c r="BH148" s="29">
        <v>0</v>
      </c>
      <c r="BJ148" s="22">
        <v>44693</v>
      </c>
      <c r="BK148" s="26">
        <f t="shared" ca="1" si="14"/>
        <v>9.5379942034058085E-2</v>
      </c>
      <c r="BL148" s="29">
        <v>0</v>
      </c>
      <c r="BN148" s="22">
        <v>44693</v>
      </c>
      <c r="BO148" s="26">
        <f t="shared" ca="1" si="15"/>
        <v>0.40002137749438105</v>
      </c>
      <c r="BP148" s="29">
        <v>0</v>
      </c>
      <c r="BR148" s="22">
        <v>44693</v>
      </c>
      <c r="BS148" s="26">
        <f t="shared" ca="1" si="16"/>
        <v>0.62440645453242705</v>
      </c>
      <c r="BT148" s="29">
        <v>0</v>
      </c>
      <c r="BV148" s="22">
        <v>44693</v>
      </c>
      <c r="BW148" s="26">
        <f t="shared" ca="1" si="17"/>
        <v>1.2954605099729677E-2</v>
      </c>
      <c r="BX148" s="29">
        <v>0</v>
      </c>
    </row>
    <row r="149" spans="2:76" ht="12.75" x14ac:dyDescent="0.2">
      <c r="B149" s="22">
        <v>44694</v>
      </c>
      <c r="C149" s="26">
        <f t="shared" ca="1" si="0"/>
        <v>0.66816009818869526</v>
      </c>
      <c r="D149" s="29">
        <f t="shared" ca="1" si="24"/>
        <v>84</v>
      </c>
      <c r="F149" s="22">
        <v>44694</v>
      </c>
      <c r="G149" s="26">
        <f t="shared" ca="1" si="1"/>
        <v>0.20441196707073739</v>
      </c>
      <c r="H149" s="29">
        <f t="shared" ca="1" si="25"/>
        <v>204</v>
      </c>
      <c r="J149" s="22">
        <v>44694</v>
      </c>
      <c r="K149" s="26">
        <f t="shared" ca="1" si="2"/>
        <v>0.35271798898443874</v>
      </c>
      <c r="L149" s="29">
        <v>0</v>
      </c>
      <c r="N149" s="22">
        <v>44694</v>
      </c>
      <c r="O149" s="26">
        <f t="shared" ca="1" si="3"/>
        <v>0.44484176954231247</v>
      </c>
      <c r="P149" s="29">
        <v>0</v>
      </c>
      <c r="R149" s="22">
        <v>44694</v>
      </c>
      <c r="S149" s="26">
        <f t="shared" ca="1" si="4"/>
        <v>0.10390970607198902</v>
      </c>
      <c r="T149" s="29">
        <v>0</v>
      </c>
      <c r="V149" s="22">
        <v>44694</v>
      </c>
      <c r="W149" s="26">
        <f t="shared" ca="1" si="5"/>
        <v>0.942987105420931</v>
      </c>
      <c r="X149" s="29">
        <v>0</v>
      </c>
      <c r="Z149" s="22">
        <v>44694</v>
      </c>
      <c r="AA149" s="26">
        <f t="shared" ca="1" si="6"/>
        <v>0.48154113791375219</v>
      </c>
      <c r="AB149" s="29">
        <v>0</v>
      </c>
      <c r="AC149"/>
      <c r="AD149" s="25"/>
      <c r="AF149" s="22">
        <v>44694</v>
      </c>
      <c r="AG149" s="26">
        <f t="shared" ca="1" si="7"/>
        <v>0.8618589008208688</v>
      </c>
      <c r="AH149" s="29">
        <v>0</v>
      </c>
      <c r="AJ149" s="22">
        <v>44694</v>
      </c>
      <c r="AK149" s="26">
        <f t="shared" ca="1" si="8"/>
        <v>0.19251569465417839</v>
      </c>
      <c r="AL149" s="29">
        <v>0</v>
      </c>
      <c r="AN149" s="22">
        <v>44694</v>
      </c>
      <c r="AO149" s="26">
        <f t="shared" ca="1" si="9"/>
        <v>0.75843925515517485</v>
      </c>
      <c r="AP149" s="29">
        <v>0</v>
      </c>
      <c r="AR149" s="22">
        <v>44694</v>
      </c>
      <c r="AS149" s="26">
        <f t="shared" ca="1" si="10"/>
        <v>0.46791386180134176</v>
      </c>
      <c r="AT149" s="29">
        <v>0</v>
      </c>
      <c r="AV149" s="22">
        <v>44694</v>
      </c>
      <c r="AW149" s="26">
        <f t="shared" ca="1" si="11"/>
        <v>0.38012608652765378</v>
      </c>
      <c r="AX149" s="29">
        <v>0</v>
      </c>
      <c r="AZ149" s="22">
        <v>44694</v>
      </c>
      <c r="BA149" s="26">
        <f t="shared" ca="1" si="12"/>
        <v>9.963590945984091E-3</v>
      </c>
      <c r="BB149" s="29">
        <v>0</v>
      </c>
      <c r="BC149"/>
      <c r="BD149" s="25"/>
      <c r="BF149" s="22">
        <v>44694</v>
      </c>
      <c r="BG149" s="26">
        <f t="shared" ca="1" si="13"/>
        <v>0.30769287606970797</v>
      </c>
      <c r="BH149" s="29">
        <v>0</v>
      </c>
      <c r="BJ149" s="22">
        <v>44694</v>
      </c>
      <c r="BK149" s="26">
        <f t="shared" ca="1" si="14"/>
        <v>0.78872891260601863</v>
      </c>
      <c r="BL149" s="29">
        <v>0</v>
      </c>
      <c r="BN149" s="22">
        <v>44694</v>
      </c>
      <c r="BO149" s="26">
        <f t="shared" ca="1" si="15"/>
        <v>0.93268011730312761</v>
      </c>
      <c r="BP149" s="29">
        <v>0</v>
      </c>
      <c r="BR149" s="22">
        <v>44694</v>
      </c>
      <c r="BS149" s="26">
        <f t="shared" ca="1" si="16"/>
        <v>4.8289411504301216E-2</v>
      </c>
      <c r="BT149" s="29">
        <v>0</v>
      </c>
      <c r="BV149" s="22">
        <v>44694</v>
      </c>
      <c r="BW149" s="26">
        <f t="shared" ca="1" si="17"/>
        <v>2.6038515169299226E-2</v>
      </c>
      <c r="BX149" s="29">
        <v>0</v>
      </c>
    </row>
    <row r="150" spans="2:76" ht="12.75" x14ac:dyDescent="0.2">
      <c r="B150" s="22">
        <v>44695</v>
      </c>
      <c r="C150" s="26">
        <f t="shared" ca="1" si="0"/>
        <v>9.0164663520453048E-2</v>
      </c>
      <c r="D150" s="29">
        <f t="shared" ca="1" si="24"/>
        <v>49</v>
      </c>
      <c r="F150" s="22">
        <v>44695</v>
      </c>
      <c r="G150" s="26">
        <f t="shared" ca="1" si="1"/>
        <v>0.72512949106261793</v>
      </c>
      <c r="H150" s="29">
        <f t="shared" ca="1" si="25"/>
        <v>224</v>
      </c>
      <c r="J150" s="22">
        <v>44695</v>
      </c>
      <c r="K150" s="26">
        <f t="shared" ca="1" si="2"/>
        <v>0.89521071231617755</v>
      </c>
      <c r="L150" s="29">
        <v>0</v>
      </c>
      <c r="N150" s="22">
        <v>44695</v>
      </c>
      <c r="O150" s="26">
        <f t="shared" ca="1" si="3"/>
        <v>0.99194849256366147</v>
      </c>
      <c r="P150" s="29">
        <v>0</v>
      </c>
      <c r="R150" s="22">
        <v>44695</v>
      </c>
      <c r="S150" s="26">
        <f t="shared" ca="1" si="4"/>
        <v>0.87873353430687151</v>
      </c>
      <c r="T150" s="29">
        <v>0</v>
      </c>
      <c r="V150" s="22">
        <v>44695</v>
      </c>
      <c r="W150" s="26">
        <f t="shared" ca="1" si="5"/>
        <v>5.8467486270376123E-2</v>
      </c>
      <c r="X150" s="29">
        <v>0</v>
      </c>
      <c r="Z150" s="22">
        <v>44695</v>
      </c>
      <c r="AA150" s="26">
        <f t="shared" ca="1" si="6"/>
        <v>0.1776537601130016</v>
      </c>
      <c r="AB150" s="29">
        <v>0</v>
      </c>
      <c r="AC150"/>
      <c r="AD150" s="25"/>
      <c r="AF150" s="22">
        <v>44695</v>
      </c>
      <c r="AG150" s="26">
        <f t="shared" ca="1" si="7"/>
        <v>0.55824640134487358</v>
      </c>
      <c r="AH150" s="29">
        <v>0</v>
      </c>
      <c r="AJ150" s="22">
        <v>44695</v>
      </c>
      <c r="AK150" s="26">
        <f t="shared" ca="1" si="8"/>
        <v>0.74591365401995047</v>
      </c>
      <c r="AL150" s="29">
        <v>0</v>
      </c>
      <c r="AN150" s="22">
        <v>44695</v>
      </c>
      <c r="AO150" s="26">
        <f t="shared" ca="1" si="9"/>
        <v>0.54862506737780936</v>
      </c>
      <c r="AP150" s="29">
        <v>0</v>
      </c>
      <c r="AR150" s="22">
        <v>44695</v>
      </c>
      <c r="AS150" s="26">
        <f t="shared" ca="1" si="10"/>
        <v>0.51600367550493242</v>
      </c>
      <c r="AT150" s="29">
        <v>0</v>
      </c>
      <c r="AV150" s="22">
        <v>44695</v>
      </c>
      <c r="AW150" s="26">
        <f t="shared" ca="1" si="11"/>
        <v>0.44976421723594007</v>
      </c>
      <c r="AX150" s="29">
        <v>0</v>
      </c>
      <c r="AZ150" s="22">
        <v>44695</v>
      </c>
      <c r="BA150" s="26">
        <f t="shared" ca="1" si="12"/>
        <v>0.54187301942198396</v>
      </c>
      <c r="BB150" s="29">
        <v>0</v>
      </c>
      <c r="BC150"/>
      <c r="BD150" s="25"/>
      <c r="BF150" s="22">
        <v>44695</v>
      </c>
      <c r="BG150" s="26">
        <f t="shared" ca="1" si="13"/>
        <v>0.30895760224377644</v>
      </c>
      <c r="BH150" s="29">
        <v>0</v>
      </c>
      <c r="BJ150" s="22">
        <v>44695</v>
      </c>
      <c r="BK150" s="26">
        <f t="shared" ca="1" si="14"/>
        <v>6.6705814795681273E-2</v>
      </c>
      <c r="BL150" s="29">
        <v>0</v>
      </c>
      <c r="BN150" s="22">
        <v>44695</v>
      </c>
      <c r="BO150" s="26">
        <f t="shared" ca="1" si="15"/>
        <v>0.79530675464111844</v>
      </c>
      <c r="BP150" s="29">
        <v>0</v>
      </c>
      <c r="BR150" s="22">
        <v>44695</v>
      </c>
      <c r="BS150" s="26">
        <f t="shared" ca="1" si="16"/>
        <v>5.8447117878304367E-2</v>
      </c>
      <c r="BT150" s="29">
        <v>0</v>
      </c>
      <c r="BV150" s="22">
        <v>44695</v>
      </c>
      <c r="BW150" s="26">
        <f t="shared" ca="1" si="17"/>
        <v>0.61299986854207</v>
      </c>
      <c r="BX150" s="29">
        <v>0</v>
      </c>
    </row>
    <row r="151" spans="2:76" ht="12.75" x14ac:dyDescent="0.2">
      <c r="B151" s="22">
        <v>44696</v>
      </c>
      <c r="C151" s="26">
        <f t="shared" ca="1" si="0"/>
        <v>0.16367424866656266</v>
      </c>
      <c r="D151" s="29">
        <f t="shared" ca="1" si="24"/>
        <v>56</v>
      </c>
      <c r="F151" s="22">
        <v>44696</v>
      </c>
      <c r="G151" s="26">
        <f t="shared" ca="1" si="1"/>
        <v>0.12506598831898652</v>
      </c>
      <c r="H151" s="29">
        <f t="shared" ca="1" si="25"/>
        <v>199</v>
      </c>
      <c r="J151" s="22">
        <v>44696</v>
      </c>
      <c r="K151" s="26">
        <f t="shared" ca="1" si="2"/>
        <v>0.72694656107613642</v>
      </c>
      <c r="L151" s="29">
        <v>0</v>
      </c>
      <c r="N151" s="22">
        <v>44696</v>
      </c>
      <c r="O151" s="26">
        <f t="shared" ca="1" si="3"/>
        <v>0.57383052230589859</v>
      </c>
      <c r="P151" s="29">
        <v>0</v>
      </c>
      <c r="R151" s="22">
        <v>44696</v>
      </c>
      <c r="S151" s="26">
        <f t="shared" ca="1" si="4"/>
        <v>0.74500278067132375</v>
      </c>
      <c r="T151" s="29">
        <v>0</v>
      </c>
      <c r="V151" s="22">
        <v>44696</v>
      </c>
      <c r="W151" s="26">
        <f t="shared" ca="1" si="5"/>
        <v>0.74049142026691328</v>
      </c>
      <c r="X151" s="29">
        <v>0</v>
      </c>
      <c r="Z151" s="22">
        <v>44696</v>
      </c>
      <c r="AA151" s="26">
        <f t="shared" ca="1" si="6"/>
        <v>0.95580779868388122</v>
      </c>
      <c r="AB151" s="29">
        <v>0</v>
      </c>
      <c r="AC151"/>
      <c r="AD151" s="25"/>
      <c r="AF151" s="22">
        <v>44696</v>
      </c>
      <c r="AG151" s="26">
        <f t="shared" ca="1" si="7"/>
        <v>0.90884223461132452</v>
      </c>
      <c r="AH151" s="29">
        <v>0</v>
      </c>
      <c r="AJ151" s="22">
        <v>44696</v>
      </c>
      <c r="AK151" s="26">
        <f t="shared" ca="1" si="8"/>
        <v>4.0752385343272302E-3</v>
      </c>
      <c r="AL151" s="29">
        <v>0</v>
      </c>
      <c r="AN151" s="22">
        <v>44696</v>
      </c>
      <c r="AO151" s="26">
        <f t="shared" ca="1" si="9"/>
        <v>0.69781121096013199</v>
      </c>
      <c r="AP151" s="29">
        <v>0</v>
      </c>
      <c r="AR151" s="22">
        <v>44696</v>
      </c>
      <c r="AS151" s="26">
        <f t="shared" ca="1" si="10"/>
        <v>0.39690632308872453</v>
      </c>
      <c r="AT151" s="29">
        <v>0</v>
      </c>
      <c r="AV151" s="22">
        <v>44696</v>
      </c>
      <c r="AW151" s="26">
        <f t="shared" ca="1" si="11"/>
        <v>0.26574269679293971</v>
      </c>
      <c r="AX151" s="29">
        <v>0</v>
      </c>
      <c r="AZ151" s="22">
        <v>44696</v>
      </c>
      <c r="BA151" s="26">
        <f t="shared" ca="1" si="12"/>
        <v>0.92646479077011212</v>
      </c>
      <c r="BB151" s="29">
        <v>0</v>
      </c>
      <c r="BC151"/>
      <c r="BD151" s="25"/>
      <c r="BF151" s="22">
        <v>44696</v>
      </c>
      <c r="BG151" s="26">
        <f t="shared" ca="1" si="13"/>
        <v>0.4956939994106262</v>
      </c>
      <c r="BH151" s="29">
        <v>0</v>
      </c>
      <c r="BJ151" s="22">
        <v>44696</v>
      </c>
      <c r="BK151" s="26">
        <f t="shared" ca="1" si="14"/>
        <v>0.84584369612683175</v>
      </c>
      <c r="BL151" s="29">
        <v>0</v>
      </c>
      <c r="BN151" s="22">
        <v>44696</v>
      </c>
      <c r="BO151" s="26">
        <f t="shared" ca="1" si="15"/>
        <v>0.65437579192433626</v>
      </c>
      <c r="BP151" s="29">
        <v>0</v>
      </c>
      <c r="BR151" s="22">
        <v>44696</v>
      </c>
      <c r="BS151" s="26">
        <f t="shared" ca="1" si="16"/>
        <v>0.97997185496818928</v>
      </c>
      <c r="BT151" s="29">
        <v>0</v>
      </c>
      <c r="BV151" s="22">
        <v>44696</v>
      </c>
      <c r="BW151" s="26">
        <f t="shared" ca="1" si="17"/>
        <v>0.203064479793302</v>
      </c>
      <c r="BX151" s="29">
        <v>0</v>
      </c>
    </row>
    <row r="152" spans="2:76" ht="12.75" x14ac:dyDescent="0.2">
      <c r="B152" s="22">
        <v>44697</v>
      </c>
      <c r="C152" s="26">
        <f t="shared" ca="1" si="0"/>
        <v>0.38125497755647109</v>
      </c>
      <c r="D152" s="29">
        <f t="shared" ca="1" si="24"/>
        <v>69</v>
      </c>
      <c r="F152" s="22">
        <v>44697</v>
      </c>
      <c r="G152" s="26">
        <f t="shared" ca="1" si="1"/>
        <v>0.85867977773303328</v>
      </c>
      <c r="H152" s="29">
        <f t="shared" ca="1" si="25"/>
        <v>231</v>
      </c>
      <c r="J152" s="22">
        <v>44697</v>
      </c>
      <c r="K152" s="26">
        <f t="shared" ca="1" si="2"/>
        <v>7.1945871704128028E-2</v>
      </c>
      <c r="L152" s="29">
        <v>0</v>
      </c>
      <c r="N152" s="22">
        <v>44697</v>
      </c>
      <c r="O152" s="26">
        <f t="shared" ca="1" si="3"/>
        <v>1.0225414368343455E-2</v>
      </c>
      <c r="P152" s="29">
        <v>0</v>
      </c>
      <c r="R152" s="22">
        <v>44697</v>
      </c>
      <c r="S152" s="26">
        <f t="shared" ca="1" si="4"/>
        <v>0.17028253527077408</v>
      </c>
      <c r="T152" s="29">
        <v>0</v>
      </c>
      <c r="V152" s="22">
        <v>44697</v>
      </c>
      <c r="W152" s="26">
        <f t="shared" ca="1" si="5"/>
        <v>0.66743836015012081</v>
      </c>
      <c r="X152" s="29">
        <v>0</v>
      </c>
      <c r="Z152" s="22">
        <v>44697</v>
      </c>
      <c r="AA152" s="26">
        <f t="shared" ca="1" si="6"/>
        <v>0.81159823363927397</v>
      </c>
      <c r="AB152" s="29">
        <v>0</v>
      </c>
      <c r="AC152"/>
      <c r="AD152" s="25"/>
      <c r="AF152" s="22">
        <v>44697</v>
      </c>
      <c r="AG152" s="26">
        <f t="shared" ca="1" si="7"/>
        <v>0.82267327328790063</v>
      </c>
      <c r="AH152" s="29">
        <v>0</v>
      </c>
      <c r="AJ152" s="22">
        <v>44697</v>
      </c>
      <c r="AK152" s="26">
        <f t="shared" ca="1" si="8"/>
        <v>9.1521743296376412E-2</v>
      </c>
      <c r="AL152" s="29">
        <v>0</v>
      </c>
      <c r="AN152" s="22">
        <v>44697</v>
      </c>
      <c r="AO152" s="26">
        <f t="shared" ca="1" si="9"/>
        <v>0.39960258154837291</v>
      </c>
      <c r="AP152" s="29">
        <v>0</v>
      </c>
      <c r="AR152" s="22">
        <v>44697</v>
      </c>
      <c r="AS152" s="26">
        <f t="shared" ca="1" si="10"/>
        <v>0.38259894633902269</v>
      </c>
      <c r="AT152" s="29">
        <v>0</v>
      </c>
      <c r="AV152" s="22">
        <v>44697</v>
      </c>
      <c r="AW152" s="26">
        <f t="shared" ca="1" si="11"/>
        <v>0.38258922398003159</v>
      </c>
      <c r="AX152" s="29">
        <v>0</v>
      </c>
      <c r="AZ152" s="22">
        <v>44697</v>
      </c>
      <c r="BA152" s="26">
        <f t="shared" ca="1" si="12"/>
        <v>0.93904092406920059</v>
      </c>
      <c r="BB152" s="29">
        <v>0</v>
      </c>
      <c r="BC152"/>
      <c r="BD152" s="25"/>
      <c r="BF152" s="22">
        <v>44697</v>
      </c>
      <c r="BG152" s="26">
        <f t="shared" ca="1" si="13"/>
        <v>0.74610799721658949</v>
      </c>
      <c r="BH152" s="29">
        <v>0</v>
      </c>
      <c r="BJ152" s="22">
        <v>44697</v>
      </c>
      <c r="BK152" s="26">
        <f t="shared" ca="1" si="14"/>
        <v>0.50951388857390234</v>
      </c>
      <c r="BL152" s="29">
        <v>0</v>
      </c>
      <c r="BN152" s="22">
        <v>44697</v>
      </c>
      <c r="BO152" s="26">
        <f t="shared" ca="1" si="15"/>
        <v>0.21752184615620107</v>
      </c>
      <c r="BP152" s="29">
        <v>0</v>
      </c>
      <c r="BR152" s="22">
        <v>44697</v>
      </c>
      <c r="BS152" s="26">
        <f t="shared" ca="1" si="16"/>
        <v>0.81952014864957179</v>
      </c>
      <c r="BT152" s="29">
        <v>0</v>
      </c>
      <c r="BV152" s="22">
        <v>44697</v>
      </c>
      <c r="BW152" s="26">
        <f t="shared" ca="1" si="17"/>
        <v>0.15149565287450895</v>
      </c>
      <c r="BX152" s="29">
        <v>0</v>
      </c>
    </row>
    <row r="153" spans="2:76" ht="12.75" x14ac:dyDescent="0.2">
      <c r="B153" s="22">
        <v>44698</v>
      </c>
      <c r="C153" s="26">
        <f t="shared" ca="1" si="0"/>
        <v>0.93750549286125806</v>
      </c>
      <c r="D153" s="29">
        <f t="shared" ca="1" si="24"/>
        <v>106</v>
      </c>
      <c r="F153" s="22">
        <v>44698</v>
      </c>
      <c r="G153" s="26">
        <f t="shared" ca="1" si="1"/>
        <v>3.2060593205030297E-2</v>
      </c>
      <c r="H153" s="29">
        <f t="shared" ca="1" si="25"/>
        <v>189</v>
      </c>
      <c r="J153" s="22">
        <v>44698</v>
      </c>
      <c r="K153" s="26">
        <f t="shared" ca="1" si="2"/>
        <v>0.1599224300662947</v>
      </c>
      <c r="L153" s="29">
        <v>0</v>
      </c>
      <c r="N153" s="22">
        <v>44698</v>
      </c>
      <c r="O153" s="26">
        <f t="shared" ca="1" si="3"/>
        <v>2.2937654798965812E-2</v>
      </c>
      <c r="P153" s="29">
        <v>0</v>
      </c>
      <c r="R153" s="22">
        <v>44698</v>
      </c>
      <c r="S153" s="26">
        <f t="shared" ca="1" si="4"/>
        <v>0.71887846853625259</v>
      </c>
      <c r="T153" s="29">
        <v>0</v>
      </c>
      <c r="V153" s="22">
        <v>44698</v>
      </c>
      <c r="W153" s="26">
        <f t="shared" ca="1" si="5"/>
        <v>0.14719990182663856</v>
      </c>
      <c r="X153" s="29">
        <v>0</v>
      </c>
      <c r="Z153" s="22">
        <v>44698</v>
      </c>
      <c r="AA153" s="26">
        <f t="shared" ca="1" si="6"/>
        <v>0.40914062015445973</v>
      </c>
      <c r="AB153" s="29">
        <v>0</v>
      </c>
      <c r="AC153"/>
      <c r="AD153" s="25"/>
      <c r="AF153" s="22">
        <v>44698</v>
      </c>
      <c r="AG153" s="26">
        <f t="shared" ca="1" si="7"/>
        <v>0.96311054086023529</v>
      </c>
      <c r="AH153" s="29">
        <v>0</v>
      </c>
      <c r="AJ153" s="22">
        <v>44698</v>
      </c>
      <c r="AK153" s="26">
        <f t="shared" ca="1" si="8"/>
        <v>0.2767369540458634</v>
      </c>
      <c r="AL153" s="29">
        <v>0</v>
      </c>
      <c r="AN153" s="22">
        <v>44698</v>
      </c>
      <c r="AO153" s="26">
        <f t="shared" ca="1" si="9"/>
        <v>7.5618802171988797E-2</v>
      </c>
      <c r="AP153" s="29">
        <v>0</v>
      </c>
      <c r="AR153" s="22">
        <v>44698</v>
      </c>
      <c r="AS153" s="26">
        <f t="shared" ca="1" si="10"/>
        <v>0.42419395891343936</v>
      </c>
      <c r="AT153" s="29">
        <v>0</v>
      </c>
      <c r="AV153" s="22">
        <v>44698</v>
      </c>
      <c r="AW153" s="26">
        <f t="shared" ca="1" si="11"/>
        <v>0.12637249609376033</v>
      </c>
      <c r="AX153" s="29">
        <v>0</v>
      </c>
      <c r="AZ153" s="22">
        <v>44698</v>
      </c>
      <c r="BA153" s="26">
        <f t="shared" ca="1" si="12"/>
        <v>0.80336146385734353</v>
      </c>
      <c r="BB153" s="29">
        <v>0</v>
      </c>
      <c r="BC153"/>
      <c r="BD153" s="25"/>
      <c r="BF153" s="22">
        <v>44698</v>
      </c>
      <c r="BG153" s="26">
        <f t="shared" ca="1" si="13"/>
        <v>0.72922501344814694</v>
      </c>
      <c r="BH153" s="29">
        <v>0</v>
      </c>
      <c r="BJ153" s="22">
        <v>44698</v>
      </c>
      <c r="BK153" s="26">
        <f t="shared" ca="1" si="14"/>
        <v>4.1049198040633228E-2</v>
      </c>
      <c r="BL153" s="29">
        <v>0</v>
      </c>
      <c r="BN153" s="22">
        <v>44698</v>
      </c>
      <c r="BO153" s="26">
        <f t="shared" ca="1" si="15"/>
        <v>0.55059241838155293</v>
      </c>
      <c r="BP153" s="29">
        <v>0</v>
      </c>
      <c r="BR153" s="22">
        <v>44698</v>
      </c>
      <c r="BS153" s="26">
        <f t="shared" ca="1" si="16"/>
        <v>0.27444446981553217</v>
      </c>
      <c r="BT153" s="29">
        <v>0</v>
      </c>
      <c r="BV153" s="22">
        <v>44698</v>
      </c>
      <c r="BW153" s="26">
        <f t="shared" ca="1" si="17"/>
        <v>0.99727433640376384</v>
      </c>
      <c r="BX153" s="29">
        <v>0</v>
      </c>
    </row>
    <row r="154" spans="2:76" ht="12.75" x14ac:dyDescent="0.2">
      <c r="B154" s="22">
        <v>44699</v>
      </c>
      <c r="C154" s="26">
        <f t="shared" ca="1" si="0"/>
        <v>0.49359079083772872</v>
      </c>
      <c r="D154" s="29">
        <f t="shared" ca="1" si="24"/>
        <v>75</v>
      </c>
      <c r="F154" s="22">
        <v>44699</v>
      </c>
      <c r="G154" s="26">
        <f t="shared" ca="1" si="1"/>
        <v>0.61055692753586543</v>
      </c>
      <c r="H154" s="29">
        <f t="shared" ca="1" si="25"/>
        <v>220</v>
      </c>
      <c r="J154" s="22">
        <v>44699</v>
      </c>
      <c r="K154" s="26">
        <f t="shared" ca="1" si="2"/>
        <v>0.94744525264878798</v>
      </c>
      <c r="L154" s="29">
        <v>0</v>
      </c>
      <c r="N154" s="22">
        <v>44699</v>
      </c>
      <c r="O154" s="26">
        <f t="shared" ca="1" si="3"/>
        <v>0.69879613817229558</v>
      </c>
      <c r="P154" s="29">
        <v>0</v>
      </c>
      <c r="R154" s="22">
        <v>44699</v>
      </c>
      <c r="S154" s="26">
        <f t="shared" ca="1" si="4"/>
        <v>0.71629602967611505</v>
      </c>
      <c r="T154" s="29">
        <v>0</v>
      </c>
      <c r="V154" s="22">
        <v>44699</v>
      </c>
      <c r="W154" s="26">
        <f t="shared" ca="1" si="5"/>
        <v>0.45308157719104525</v>
      </c>
      <c r="X154" s="29">
        <v>0</v>
      </c>
      <c r="Z154" s="22">
        <v>44699</v>
      </c>
      <c r="AA154" s="26">
        <f t="shared" ca="1" si="6"/>
        <v>0.54678501837219351</v>
      </c>
      <c r="AB154" s="29">
        <v>0</v>
      </c>
      <c r="AC154"/>
      <c r="AD154" s="25"/>
      <c r="AF154" s="22">
        <v>44699</v>
      </c>
      <c r="AG154" s="26">
        <f t="shared" ca="1" si="7"/>
        <v>0.72137948902533855</v>
      </c>
      <c r="AH154" s="29">
        <v>0</v>
      </c>
      <c r="AJ154" s="22">
        <v>44699</v>
      </c>
      <c r="AK154" s="26">
        <f t="shared" ca="1" si="8"/>
        <v>0.99606749789634408</v>
      </c>
      <c r="AL154" s="29">
        <v>0</v>
      </c>
      <c r="AN154" s="22">
        <v>44699</v>
      </c>
      <c r="AO154" s="26">
        <f t="shared" ca="1" si="9"/>
        <v>0.7513861141091055</v>
      </c>
      <c r="AP154" s="29">
        <v>0</v>
      </c>
      <c r="AR154" s="22">
        <v>44699</v>
      </c>
      <c r="AS154" s="26">
        <f t="shared" ca="1" si="10"/>
        <v>0.66100697230488437</v>
      </c>
      <c r="AT154" s="29">
        <v>0</v>
      </c>
      <c r="AV154" s="22">
        <v>44699</v>
      </c>
      <c r="AW154" s="26">
        <f t="shared" ca="1" si="11"/>
        <v>0.80314846086512626</v>
      </c>
      <c r="AX154" s="29">
        <v>0</v>
      </c>
      <c r="AZ154" s="22">
        <v>44699</v>
      </c>
      <c r="BA154" s="26">
        <f t="shared" ca="1" si="12"/>
        <v>0.45639924418534294</v>
      </c>
      <c r="BB154" s="29">
        <v>0</v>
      </c>
      <c r="BC154"/>
      <c r="BD154" s="25"/>
      <c r="BF154" s="22">
        <v>44699</v>
      </c>
      <c r="BG154" s="26">
        <f t="shared" ca="1" si="13"/>
        <v>0.30860080833188319</v>
      </c>
      <c r="BH154" s="29">
        <v>0</v>
      </c>
      <c r="BJ154" s="22">
        <v>44699</v>
      </c>
      <c r="BK154" s="26">
        <f t="shared" ca="1" si="14"/>
        <v>0.41386774013974503</v>
      </c>
      <c r="BL154" s="29">
        <v>0</v>
      </c>
      <c r="BN154" s="22">
        <v>44699</v>
      </c>
      <c r="BO154" s="26">
        <f t="shared" ca="1" si="15"/>
        <v>0.96959068900488499</v>
      </c>
      <c r="BP154" s="29">
        <v>0</v>
      </c>
      <c r="BR154" s="22">
        <v>44699</v>
      </c>
      <c r="BS154" s="26">
        <f t="shared" ca="1" si="16"/>
        <v>0.79782774200516637</v>
      </c>
      <c r="BT154" s="29">
        <v>0</v>
      </c>
      <c r="BV154" s="22">
        <v>44699</v>
      </c>
      <c r="BW154" s="26">
        <f t="shared" ca="1" si="17"/>
        <v>0.1799678019514076</v>
      </c>
      <c r="BX154" s="29">
        <v>0</v>
      </c>
    </row>
    <row r="155" spans="2:76" ht="12.75" x14ac:dyDescent="0.2">
      <c r="B155" s="22">
        <v>44700</v>
      </c>
      <c r="C155" s="26">
        <f t="shared" ca="1" si="0"/>
        <v>0.1816102078328371</v>
      </c>
      <c r="D155" s="29">
        <f t="shared" ca="1" si="24"/>
        <v>57</v>
      </c>
      <c r="F155" s="22">
        <v>44700</v>
      </c>
      <c r="G155" s="26">
        <f t="shared" ca="1" si="1"/>
        <v>0.46492781852774068</v>
      </c>
      <c r="H155" s="29">
        <f t="shared" ca="1" si="25"/>
        <v>215</v>
      </c>
      <c r="J155" s="22">
        <v>44700</v>
      </c>
      <c r="K155" s="26">
        <f t="shared" ca="1" si="2"/>
        <v>0.74732167527489246</v>
      </c>
      <c r="L155" s="29">
        <v>0</v>
      </c>
      <c r="N155" s="22">
        <v>44700</v>
      </c>
      <c r="O155" s="26">
        <f t="shared" ca="1" si="3"/>
        <v>0.93511942354808952</v>
      </c>
      <c r="P155" s="29">
        <v>0</v>
      </c>
      <c r="R155" s="22">
        <v>44700</v>
      </c>
      <c r="S155" s="26">
        <f t="shared" ca="1" si="4"/>
        <v>0.85873821501435388</v>
      </c>
      <c r="T155" s="29">
        <v>0</v>
      </c>
      <c r="V155" s="22">
        <v>44700</v>
      </c>
      <c r="W155" s="26">
        <f t="shared" ca="1" si="5"/>
        <v>0.75489594450624264</v>
      </c>
      <c r="X155" s="29">
        <v>0</v>
      </c>
      <c r="Z155" s="22">
        <v>44700</v>
      </c>
      <c r="AA155" s="26">
        <f t="shared" ca="1" si="6"/>
        <v>0.20902635404072911</v>
      </c>
      <c r="AB155" s="29">
        <v>0</v>
      </c>
      <c r="AC155"/>
      <c r="AD155" s="25"/>
      <c r="AF155" s="22">
        <v>44700</v>
      </c>
      <c r="AG155" s="26">
        <f t="shared" ca="1" si="7"/>
        <v>0.85432645268943186</v>
      </c>
      <c r="AH155" s="29">
        <v>0</v>
      </c>
      <c r="AJ155" s="22">
        <v>44700</v>
      </c>
      <c r="AK155" s="26">
        <f t="shared" ca="1" si="8"/>
        <v>0.39703339397265391</v>
      </c>
      <c r="AL155" s="29">
        <v>0</v>
      </c>
      <c r="AN155" s="22">
        <v>44700</v>
      </c>
      <c r="AO155" s="26">
        <f t="shared" ca="1" si="9"/>
        <v>0.28664905014849118</v>
      </c>
      <c r="AP155" s="29">
        <v>0</v>
      </c>
      <c r="AR155" s="22">
        <v>44700</v>
      </c>
      <c r="AS155" s="26">
        <f t="shared" ca="1" si="10"/>
        <v>0.19278874958631453</v>
      </c>
      <c r="AT155" s="29">
        <v>0</v>
      </c>
      <c r="AV155" s="22">
        <v>44700</v>
      </c>
      <c r="AW155" s="26">
        <f t="shared" ca="1" si="11"/>
        <v>0.2284528636768195</v>
      </c>
      <c r="AX155" s="29">
        <v>0</v>
      </c>
      <c r="AZ155" s="22">
        <v>44700</v>
      </c>
      <c r="BA155" s="26">
        <f t="shared" ca="1" si="12"/>
        <v>0.75415782036812595</v>
      </c>
      <c r="BB155" s="29">
        <v>0</v>
      </c>
      <c r="BC155"/>
      <c r="BD155" s="25"/>
      <c r="BF155" s="22">
        <v>44700</v>
      </c>
      <c r="BG155" s="26">
        <f t="shared" ca="1" si="13"/>
        <v>0.67100271027264824</v>
      </c>
      <c r="BH155" s="29">
        <v>0</v>
      </c>
      <c r="BJ155" s="22">
        <v>44700</v>
      </c>
      <c r="BK155" s="26">
        <f t="shared" ca="1" si="14"/>
        <v>0.53109183942684701</v>
      </c>
      <c r="BL155" s="29">
        <v>0</v>
      </c>
      <c r="BN155" s="22">
        <v>44700</v>
      </c>
      <c r="BO155" s="26">
        <f t="shared" ca="1" si="15"/>
        <v>0.34181986401915221</v>
      </c>
      <c r="BP155" s="29">
        <v>0</v>
      </c>
      <c r="BR155" s="22">
        <v>44700</v>
      </c>
      <c r="BS155" s="26">
        <f t="shared" ca="1" si="16"/>
        <v>0.45935960015052801</v>
      </c>
      <c r="BT155" s="29">
        <v>0</v>
      </c>
      <c r="BV155" s="22">
        <v>44700</v>
      </c>
      <c r="BW155" s="26">
        <f t="shared" ca="1" si="17"/>
        <v>0.96434784257778916</v>
      </c>
      <c r="BX155" s="29">
        <v>0</v>
      </c>
    </row>
    <row r="156" spans="2:76" ht="12.75" x14ac:dyDescent="0.2">
      <c r="B156" s="22">
        <v>44701</v>
      </c>
      <c r="C156" s="26">
        <f t="shared" ca="1" si="0"/>
        <v>0.92739236333009423</v>
      </c>
      <c r="D156" s="29">
        <f t="shared" ca="1" si="24"/>
        <v>105</v>
      </c>
      <c r="F156" s="22">
        <v>44701</v>
      </c>
      <c r="G156" s="26">
        <f t="shared" ca="1" si="1"/>
        <v>0.19327653213353546</v>
      </c>
      <c r="H156" s="29">
        <f t="shared" ca="1" si="25"/>
        <v>203</v>
      </c>
      <c r="J156" s="22">
        <v>44701</v>
      </c>
      <c r="K156" s="26">
        <f t="shared" ca="1" si="2"/>
        <v>0.62459699075012787</v>
      </c>
      <c r="L156" s="29">
        <v>0</v>
      </c>
      <c r="N156" s="22">
        <v>44701</v>
      </c>
      <c r="O156" s="26">
        <f t="shared" ca="1" si="3"/>
        <v>0.71117944825003621</v>
      </c>
      <c r="P156" s="29">
        <v>0</v>
      </c>
      <c r="R156" s="22">
        <v>44701</v>
      </c>
      <c r="S156" s="26">
        <f t="shared" ca="1" si="4"/>
        <v>0.54943769983699364</v>
      </c>
      <c r="T156" s="29">
        <v>0</v>
      </c>
      <c r="V156" s="22">
        <v>44701</v>
      </c>
      <c r="W156" s="26">
        <f t="shared" ca="1" si="5"/>
        <v>0.8651246926954379</v>
      </c>
      <c r="X156" s="29">
        <v>0</v>
      </c>
      <c r="Z156" s="22">
        <v>44701</v>
      </c>
      <c r="AA156" s="26">
        <f t="shared" ca="1" si="6"/>
        <v>0.35801293445171123</v>
      </c>
      <c r="AB156" s="29">
        <v>0</v>
      </c>
      <c r="AC156"/>
      <c r="AD156" s="25"/>
      <c r="AF156" s="22">
        <v>44701</v>
      </c>
      <c r="AG156" s="26">
        <f t="shared" ca="1" si="7"/>
        <v>0.7682318736137651</v>
      </c>
      <c r="AH156" s="29">
        <v>0</v>
      </c>
      <c r="AJ156" s="22">
        <v>44701</v>
      </c>
      <c r="AK156" s="26">
        <f t="shared" ca="1" si="8"/>
        <v>0.32547291323700922</v>
      </c>
      <c r="AL156" s="29">
        <v>0</v>
      </c>
      <c r="AN156" s="22">
        <v>44701</v>
      </c>
      <c r="AO156" s="26">
        <f t="shared" ca="1" si="9"/>
        <v>0.37312501703154655</v>
      </c>
      <c r="AP156" s="29">
        <v>0</v>
      </c>
      <c r="AR156" s="22">
        <v>44701</v>
      </c>
      <c r="AS156" s="26">
        <f t="shared" ca="1" si="10"/>
        <v>4.7458399720163635E-2</v>
      </c>
      <c r="AT156" s="29">
        <v>0</v>
      </c>
      <c r="AV156" s="22">
        <v>44701</v>
      </c>
      <c r="AW156" s="26">
        <f t="shared" ca="1" si="11"/>
        <v>0.24665271554681112</v>
      </c>
      <c r="AX156" s="29">
        <v>0</v>
      </c>
      <c r="AZ156" s="22">
        <v>44701</v>
      </c>
      <c r="BA156" s="26">
        <f t="shared" ca="1" si="12"/>
        <v>0.77372764279780804</v>
      </c>
      <c r="BB156" s="29">
        <v>0</v>
      </c>
      <c r="BC156"/>
      <c r="BD156" s="25"/>
      <c r="BF156" s="22">
        <v>44701</v>
      </c>
      <c r="BG156" s="26">
        <f t="shared" ca="1" si="13"/>
        <v>0.55481618445684422</v>
      </c>
      <c r="BH156" s="29">
        <v>0</v>
      </c>
      <c r="BJ156" s="22">
        <v>44701</v>
      </c>
      <c r="BK156" s="26">
        <f t="shared" ca="1" si="14"/>
        <v>0.13017419945670705</v>
      </c>
      <c r="BL156" s="29">
        <v>0</v>
      </c>
      <c r="BN156" s="22">
        <v>44701</v>
      </c>
      <c r="BO156" s="26">
        <f t="shared" ca="1" si="15"/>
        <v>0.90500241265561265</v>
      </c>
      <c r="BP156" s="29">
        <v>0</v>
      </c>
      <c r="BR156" s="22">
        <v>44701</v>
      </c>
      <c r="BS156" s="26">
        <f t="shared" ca="1" si="16"/>
        <v>0.52402910038773765</v>
      </c>
      <c r="BT156" s="29">
        <v>0</v>
      </c>
      <c r="BV156" s="22">
        <v>44701</v>
      </c>
      <c r="BW156" s="26">
        <f t="shared" ca="1" si="17"/>
        <v>0.6430620875869193</v>
      </c>
      <c r="BX156" s="29">
        <v>0</v>
      </c>
    </row>
    <row r="157" spans="2:76" ht="12.75" x14ac:dyDescent="0.2">
      <c r="B157" s="22">
        <v>44702</v>
      </c>
      <c r="C157" s="26">
        <f t="shared" ca="1" si="0"/>
        <v>0.30897211278631598</v>
      </c>
      <c r="D157" s="29">
        <f t="shared" ca="1" si="24"/>
        <v>66</v>
      </c>
      <c r="F157" s="22">
        <v>44702</v>
      </c>
      <c r="G157" s="26">
        <f t="shared" ca="1" si="1"/>
        <v>0.13872158115907895</v>
      </c>
      <c r="H157" s="29">
        <f t="shared" ca="1" si="25"/>
        <v>200</v>
      </c>
      <c r="J157" s="22">
        <v>44702</v>
      </c>
      <c r="K157" s="26">
        <f t="shared" ca="1" si="2"/>
        <v>0.16793537104560374</v>
      </c>
      <c r="L157" s="29">
        <v>0</v>
      </c>
      <c r="N157" s="22">
        <v>44702</v>
      </c>
      <c r="O157" s="26">
        <f t="shared" ca="1" si="3"/>
        <v>0.57155406972441058</v>
      </c>
      <c r="P157" s="29">
        <v>0</v>
      </c>
      <c r="R157" s="22">
        <v>44702</v>
      </c>
      <c r="S157" s="26">
        <f t="shared" ca="1" si="4"/>
        <v>0.87270443844945467</v>
      </c>
      <c r="T157" s="29">
        <v>0</v>
      </c>
      <c r="V157" s="22">
        <v>44702</v>
      </c>
      <c r="W157" s="26">
        <f t="shared" ca="1" si="5"/>
        <v>0.20052295503209294</v>
      </c>
      <c r="X157" s="29">
        <v>0</v>
      </c>
      <c r="Z157" s="22">
        <v>44702</v>
      </c>
      <c r="AA157" s="26">
        <f t="shared" ca="1" si="6"/>
        <v>3.8565037686501213E-2</v>
      </c>
      <c r="AB157" s="29">
        <v>0</v>
      </c>
      <c r="AC157"/>
      <c r="AD157" s="25"/>
      <c r="AF157" s="22">
        <v>44702</v>
      </c>
      <c r="AG157" s="26">
        <f t="shared" ca="1" si="7"/>
        <v>0.65935427421082027</v>
      </c>
      <c r="AH157" s="29">
        <v>0</v>
      </c>
      <c r="AJ157" s="22">
        <v>44702</v>
      </c>
      <c r="AK157" s="26">
        <f t="shared" ca="1" si="8"/>
        <v>0.63145590875198521</v>
      </c>
      <c r="AL157" s="29">
        <v>0</v>
      </c>
      <c r="AN157" s="22">
        <v>44702</v>
      </c>
      <c r="AO157" s="26">
        <f t="shared" ca="1" si="9"/>
        <v>2.2086012465271532E-2</v>
      </c>
      <c r="AP157" s="29">
        <v>0</v>
      </c>
      <c r="AR157" s="22">
        <v>44702</v>
      </c>
      <c r="AS157" s="26">
        <f t="shared" ca="1" si="10"/>
        <v>0.51481902135481994</v>
      </c>
      <c r="AT157" s="29">
        <v>0</v>
      </c>
      <c r="AV157" s="22">
        <v>44702</v>
      </c>
      <c r="AW157" s="26">
        <f t="shared" ca="1" si="11"/>
        <v>0.51788422926638289</v>
      </c>
      <c r="AX157" s="29">
        <v>0</v>
      </c>
      <c r="AZ157" s="22">
        <v>44702</v>
      </c>
      <c r="BA157" s="26">
        <f t="shared" ca="1" si="12"/>
        <v>0.97023525649079412</v>
      </c>
      <c r="BB157" s="29">
        <v>0</v>
      </c>
      <c r="BC157"/>
      <c r="BD157" s="25"/>
      <c r="BF157" s="22">
        <v>44702</v>
      </c>
      <c r="BG157" s="26">
        <f t="shared" ca="1" si="13"/>
        <v>0.34154724483152077</v>
      </c>
      <c r="BH157" s="29">
        <v>0</v>
      </c>
      <c r="BJ157" s="22">
        <v>44702</v>
      </c>
      <c r="BK157" s="26">
        <f t="shared" ca="1" si="14"/>
        <v>0.20867904722895403</v>
      </c>
      <c r="BL157" s="29">
        <v>0</v>
      </c>
      <c r="BN157" s="22">
        <v>44702</v>
      </c>
      <c r="BO157" s="26">
        <f t="shared" ca="1" si="15"/>
        <v>0.37617178982616606</v>
      </c>
      <c r="BP157" s="29">
        <v>0</v>
      </c>
      <c r="BR157" s="22">
        <v>44702</v>
      </c>
      <c r="BS157" s="26">
        <f t="shared" ca="1" si="16"/>
        <v>0.34876260679534876</v>
      </c>
      <c r="BT157" s="29">
        <v>0</v>
      </c>
      <c r="BV157" s="22">
        <v>44702</v>
      </c>
      <c r="BW157" s="26">
        <f t="shared" ca="1" si="17"/>
        <v>0.17944861399353629</v>
      </c>
      <c r="BX157" s="29">
        <v>0</v>
      </c>
    </row>
    <row r="158" spans="2:76" ht="12.75" x14ac:dyDescent="0.2">
      <c r="B158" s="22">
        <v>44703</v>
      </c>
      <c r="C158" s="26">
        <f t="shared" ca="1" si="0"/>
        <v>0.92686119529079425</v>
      </c>
      <c r="D158" s="29">
        <f t="shared" ca="1" si="24"/>
        <v>105</v>
      </c>
      <c r="F158" s="22">
        <v>44703</v>
      </c>
      <c r="G158" s="26">
        <f t="shared" ca="1" si="1"/>
        <v>0.77462038911801834</v>
      </c>
      <c r="H158" s="29">
        <f t="shared" ca="1" si="25"/>
        <v>227</v>
      </c>
      <c r="J158" s="22">
        <v>44703</v>
      </c>
      <c r="K158" s="26">
        <f t="shared" ca="1" si="2"/>
        <v>0.93376876709436296</v>
      </c>
      <c r="L158" s="29">
        <v>0</v>
      </c>
      <c r="N158" s="22">
        <v>44703</v>
      </c>
      <c r="O158" s="26">
        <f t="shared" ca="1" si="3"/>
        <v>0.46048785952516957</v>
      </c>
      <c r="P158" s="29">
        <v>0</v>
      </c>
      <c r="R158" s="22">
        <v>44703</v>
      </c>
      <c r="S158" s="26">
        <f t="shared" ca="1" si="4"/>
        <v>0.66650409150969869</v>
      </c>
      <c r="T158" s="29">
        <v>0</v>
      </c>
      <c r="V158" s="22">
        <v>44703</v>
      </c>
      <c r="W158" s="26">
        <f t="shared" ca="1" si="5"/>
        <v>0.16709551244886678</v>
      </c>
      <c r="X158" s="29">
        <v>0</v>
      </c>
      <c r="Z158" s="22">
        <v>44703</v>
      </c>
      <c r="AA158" s="26">
        <f t="shared" ca="1" si="6"/>
        <v>0.72078935714447512</v>
      </c>
      <c r="AB158" s="29">
        <v>0</v>
      </c>
      <c r="AC158"/>
      <c r="AD158" s="25"/>
      <c r="AF158" s="22">
        <v>44703</v>
      </c>
      <c r="AG158" s="26">
        <f t="shared" ca="1" si="7"/>
        <v>0.62627072467835965</v>
      </c>
      <c r="AH158" s="29">
        <v>0</v>
      </c>
      <c r="AJ158" s="22">
        <v>44703</v>
      </c>
      <c r="AK158" s="26">
        <f t="shared" ca="1" si="8"/>
        <v>0.38884859339464783</v>
      </c>
      <c r="AL158" s="29">
        <v>0</v>
      </c>
      <c r="AN158" s="22">
        <v>44703</v>
      </c>
      <c r="AO158" s="26">
        <f t="shared" ca="1" si="9"/>
        <v>0.15084913231853248</v>
      </c>
      <c r="AP158" s="29">
        <v>0</v>
      </c>
      <c r="AR158" s="22">
        <v>44703</v>
      </c>
      <c r="AS158" s="26">
        <f t="shared" ca="1" si="10"/>
        <v>0.13912136823296939</v>
      </c>
      <c r="AT158" s="29">
        <v>0</v>
      </c>
      <c r="AV158" s="22">
        <v>44703</v>
      </c>
      <c r="AW158" s="26">
        <f t="shared" ca="1" si="11"/>
        <v>0.65591272115389276</v>
      </c>
      <c r="AX158" s="29">
        <v>0</v>
      </c>
      <c r="AZ158" s="22">
        <v>44703</v>
      </c>
      <c r="BA158" s="26">
        <f t="shared" ca="1" si="12"/>
        <v>0.56988583916409163</v>
      </c>
      <c r="BB158" s="29">
        <v>0</v>
      </c>
      <c r="BC158"/>
      <c r="BD158" s="25"/>
      <c r="BF158" s="22">
        <v>44703</v>
      </c>
      <c r="BG158" s="26">
        <f t="shared" ca="1" si="13"/>
        <v>0.97846526716039939</v>
      </c>
      <c r="BH158" s="29">
        <v>0</v>
      </c>
      <c r="BJ158" s="22">
        <v>44703</v>
      </c>
      <c r="BK158" s="26">
        <f t="shared" ca="1" si="14"/>
        <v>0.18013621606482899</v>
      </c>
      <c r="BL158" s="29">
        <v>0</v>
      </c>
      <c r="BN158" s="22">
        <v>44703</v>
      </c>
      <c r="BO158" s="26">
        <f t="shared" ca="1" si="15"/>
        <v>0.88452295113009372</v>
      </c>
      <c r="BP158" s="29">
        <v>0</v>
      </c>
      <c r="BR158" s="22">
        <v>44703</v>
      </c>
      <c r="BS158" s="26">
        <f t="shared" ca="1" si="16"/>
        <v>0.51596330039445937</v>
      </c>
      <c r="BT158" s="29">
        <v>0</v>
      </c>
      <c r="BV158" s="22">
        <v>44703</v>
      </c>
      <c r="BW158" s="26">
        <f t="shared" ca="1" si="17"/>
        <v>0.61249473261462728</v>
      </c>
      <c r="BX158" s="29">
        <v>0</v>
      </c>
    </row>
    <row r="159" spans="2:76" ht="12.75" x14ac:dyDescent="0.2">
      <c r="B159" s="22">
        <v>44704</v>
      </c>
      <c r="C159" s="26">
        <f t="shared" ca="1" si="0"/>
        <v>0.23466212496541972</v>
      </c>
      <c r="D159" s="29">
        <f t="shared" ca="1" si="24"/>
        <v>61</v>
      </c>
      <c r="F159" s="22">
        <v>44704</v>
      </c>
      <c r="G159" s="26">
        <f t="shared" ca="1" si="1"/>
        <v>0.74560901732117479</v>
      </c>
      <c r="H159" s="29">
        <f t="shared" ca="1" si="25"/>
        <v>225</v>
      </c>
      <c r="J159" s="22">
        <v>44704</v>
      </c>
      <c r="K159" s="26">
        <f t="shared" ca="1" si="2"/>
        <v>4.233808145542195E-2</v>
      </c>
      <c r="L159" s="29">
        <v>0</v>
      </c>
      <c r="N159" s="22">
        <v>44704</v>
      </c>
      <c r="O159" s="26">
        <f t="shared" ca="1" si="3"/>
        <v>0.83534353652123794</v>
      </c>
      <c r="P159" s="29">
        <v>0</v>
      </c>
      <c r="R159" s="22">
        <v>44704</v>
      </c>
      <c r="S159" s="26">
        <f t="shared" ca="1" si="4"/>
        <v>0.43739143856732265</v>
      </c>
      <c r="T159" s="29">
        <v>0</v>
      </c>
      <c r="V159" s="22">
        <v>44704</v>
      </c>
      <c r="W159" s="26">
        <f t="shared" ca="1" si="5"/>
        <v>0.92786124038532614</v>
      </c>
      <c r="X159" s="29">
        <v>0</v>
      </c>
      <c r="Z159" s="22">
        <v>44704</v>
      </c>
      <c r="AA159" s="26">
        <f t="shared" ca="1" si="6"/>
        <v>0.66520173197054233</v>
      </c>
      <c r="AB159" s="29">
        <v>0</v>
      </c>
      <c r="AC159"/>
      <c r="AD159" s="25"/>
      <c r="AF159" s="22">
        <v>44704</v>
      </c>
      <c r="AG159" s="26">
        <f t="shared" ca="1" si="7"/>
        <v>0.71374020601979538</v>
      </c>
      <c r="AH159" s="29">
        <v>0</v>
      </c>
      <c r="AJ159" s="22">
        <v>44704</v>
      </c>
      <c r="AK159" s="26">
        <f t="shared" ca="1" si="8"/>
        <v>0.74434138251396453</v>
      </c>
      <c r="AL159" s="29">
        <v>0</v>
      </c>
      <c r="AN159" s="22">
        <v>44704</v>
      </c>
      <c r="AO159" s="26">
        <f t="shared" ca="1" si="9"/>
        <v>0.27027491078987942</v>
      </c>
      <c r="AP159" s="29">
        <v>0</v>
      </c>
      <c r="AR159" s="22">
        <v>44704</v>
      </c>
      <c r="AS159" s="26">
        <f t="shared" ca="1" si="10"/>
        <v>0.41287986107023733</v>
      </c>
      <c r="AT159" s="29">
        <v>0</v>
      </c>
      <c r="AV159" s="22">
        <v>44704</v>
      </c>
      <c r="AW159" s="26">
        <f t="shared" ca="1" si="11"/>
        <v>0.45402153620215402</v>
      </c>
      <c r="AX159" s="29">
        <v>0</v>
      </c>
      <c r="AZ159" s="22">
        <v>44704</v>
      </c>
      <c r="BA159" s="26">
        <f t="shared" ca="1" si="12"/>
        <v>0.62275217404192496</v>
      </c>
      <c r="BB159" s="29">
        <v>0</v>
      </c>
      <c r="BC159"/>
      <c r="BD159" s="25"/>
      <c r="BF159" s="22">
        <v>44704</v>
      </c>
      <c r="BG159" s="26">
        <f t="shared" ca="1" si="13"/>
        <v>0.72567081806254585</v>
      </c>
      <c r="BH159" s="29">
        <v>0</v>
      </c>
      <c r="BJ159" s="22">
        <v>44704</v>
      </c>
      <c r="BK159" s="26">
        <f t="shared" ca="1" si="14"/>
        <v>0.908546102314015</v>
      </c>
      <c r="BL159" s="29">
        <v>0</v>
      </c>
      <c r="BN159" s="22">
        <v>44704</v>
      </c>
      <c r="BO159" s="26">
        <f t="shared" ca="1" si="15"/>
        <v>0.15139937229641831</v>
      </c>
      <c r="BP159" s="29">
        <v>0</v>
      </c>
      <c r="BR159" s="22">
        <v>44704</v>
      </c>
      <c r="BS159" s="26">
        <f t="shared" ca="1" si="16"/>
        <v>0.81838072223563629</v>
      </c>
      <c r="BT159" s="29">
        <v>0</v>
      </c>
      <c r="BV159" s="22">
        <v>44704</v>
      </c>
      <c r="BW159" s="26">
        <f t="shared" ca="1" si="17"/>
        <v>0.92209567281410032</v>
      </c>
      <c r="BX159" s="29">
        <v>0</v>
      </c>
    </row>
    <row r="160" spans="2:76" ht="12.75" x14ac:dyDescent="0.2">
      <c r="B160" s="22">
        <v>44705</v>
      </c>
      <c r="C160" s="26">
        <f t="shared" ca="1" si="0"/>
        <v>0.10167035525352663</v>
      </c>
      <c r="D160" s="29">
        <f t="shared" ca="1" si="24"/>
        <v>50</v>
      </c>
      <c r="F160" s="22">
        <v>44705</v>
      </c>
      <c r="G160" s="26">
        <f t="shared" ca="1" si="1"/>
        <v>4.7713921626122424E-2</v>
      </c>
      <c r="H160" s="29">
        <f t="shared" ca="1" si="25"/>
        <v>192</v>
      </c>
      <c r="J160" s="22">
        <v>44705</v>
      </c>
      <c r="K160" s="26">
        <f t="shared" ca="1" si="2"/>
        <v>0.4613666891457211</v>
      </c>
      <c r="L160" s="29">
        <v>0</v>
      </c>
      <c r="N160" s="22">
        <v>44705</v>
      </c>
      <c r="O160" s="26">
        <f t="shared" ca="1" si="3"/>
        <v>0.75437953192580764</v>
      </c>
      <c r="P160" s="29">
        <v>0</v>
      </c>
      <c r="R160" s="22">
        <v>44705</v>
      </c>
      <c r="S160" s="26">
        <f t="shared" ca="1" si="4"/>
        <v>0.63293234570417434</v>
      </c>
      <c r="T160" s="29">
        <v>0</v>
      </c>
      <c r="V160" s="22">
        <v>44705</v>
      </c>
      <c r="W160" s="26">
        <f t="shared" ca="1" si="5"/>
        <v>0.28390931241839623</v>
      </c>
      <c r="X160" s="29">
        <v>0</v>
      </c>
      <c r="Z160" s="22">
        <v>44705</v>
      </c>
      <c r="AA160" s="26">
        <f t="shared" ca="1" si="6"/>
        <v>0.23137424771626003</v>
      </c>
      <c r="AB160" s="29">
        <v>0</v>
      </c>
      <c r="AC160"/>
      <c r="AD160" s="25"/>
      <c r="AF160" s="22">
        <v>44705</v>
      </c>
      <c r="AG160" s="26">
        <f t="shared" ca="1" si="7"/>
        <v>9.1951195777571382E-2</v>
      </c>
      <c r="AH160" s="29">
        <v>0</v>
      </c>
      <c r="AJ160" s="22">
        <v>44705</v>
      </c>
      <c r="AK160" s="26">
        <f t="shared" ca="1" si="8"/>
        <v>0.35263119590889402</v>
      </c>
      <c r="AL160" s="29">
        <v>0</v>
      </c>
      <c r="AN160" s="22">
        <v>44705</v>
      </c>
      <c r="AO160" s="26">
        <f t="shared" ca="1" si="9"/>
        <v>0.23051486688821732</v>
      </c>
      <c r="AP160" s="29">
        <v>0</v>
      </c>
      <c r="AR160" s="22">
        <v>44705</v>
      </c>
      <c r="AS160" s="26">
        <f t="shared" ca="1" si="10"/>
        <v>0.36268949710517262</v>
      </c>
      <c r="AT160" s="29">
        <v>0</v>
      </c>
      <c r="AV160" s="22">
        <v>44705</v>
      </c>
      <c r="AW160" s="26">
        <f t="shared" ca="1" si="11"/>
        <v>0.18785782614433133</v>
      </c>
      <c r="AX160" s="29">
        <v>0</v>
      </c>
      <c r="AZ160" s="22">
        <v>44705</v>
      </c>
      <c r="BA160" s="26">
        <f t="shared" ca="1" si="12"/>
        <v>0.82577437225166173</v>
      </c>
      <c r="BB160" s="29">
        <v>0</v>
      </c>
      <c r="BC160"/>
      <c r="BD160" s="25"/>
      <c r="BF160" s="22">
        <v>44705</v>
      </c>
      <c r="BG160" s="26">
        <f t="shared" ca="1" si="13"/>
        <v>0.49143333197794692</v>
      </c>
      <c r="BH160" s="29">
        <v>0</v>
      </c>
      <c r="BJ160" s="22">
        <v>44705</v>
      </c>
      <c r="BK160" s="26">
        <f t="shared" ca="1" si="14"/>
        <v>0.12448889879629244</v>
      </c>
      <c r="BL160" s="29">
        <v>0</v>
      </c>
      <c r="BN160" s="22">
        <v>44705</v>
      </c>
      <c r="BO160" s="26">
        <f t="shared" ca="1" si="15"/>
        <v>0.93910691041506056</v>
      </c>
      <c r="BP160" s="29">
        <v>0</v>
      </c>
      <c r="BR160" s="22">
        <v>44705</v>
      </c>
      <c r="BS160" s="26">
        <f t="shared" ca="1" si="16"/>
        <v>0.10315492713995988</v>
      </c>
      <c r="BT160" s="29">
        <v>0</v>
      </c>
      <c r="BV160" s="22">
        <v>44705</v>
      </c>
      <c r="BW160" s="26">
        <f t="shared" ca="1" si="17"/>
        <v>0.35639489510323119</v>
      </c>
      <c r="BX160" s="29">
        <v>0</v>
      </c>
    </row>
    <row r="161" spans="2:77" ht="12.75" x14ac:dyDescent="0.2">
      <c r="B161" s="22">
        <v>44706</v>
      </c>
      <c r="C161" s="26">
        <f t="shared" ca="1" si="0"/>
        <v>0.47265200940493701</v>
      </c>
      <c r="D161" s="29">
        <f t="shared" ca="1" si="24"/>
        <v>74</v>
      </c>
      <c r="F161" s="22">
        <v>44706</v>
      </c>
      <c r="G161" s="26">
        <f t="shared" ca="1" si="1"/>
        <v>0.90078539308426031</v>
      </c>
      <c r="H161" s="29">
        <f t="shared" ca="1" si="25"/>
        <v>234</v>
      </c>
      <c r="J161" s="22">
        <v>44706</v>
      </c>
      <c r="K161" s="26">
        <f t="shared" ca="1" si="2"/>
        <v>0.1642616725807694</v>
      </c>
      <c r="L161" s="29">
        <v>0</v>
      </c>
      <c r="N161" s="22">
        <v>44706</v>
      </c>
      <c r="O161" s="26">
        <f t="shared" ca="1" si="3"/>
        <v>0.16231585647722468</v>
      </c>
      <c r="P161" s="29">
        <v>0</v>
      </c>
      <c r="R161" s="22">
        <v>44706</v>
      </c>
      <c r="S161" s="26">
        <f t="shared" ca="1" si="4"/>
        <v>0.93009517897247829</v>
      </c>
      <c r="T161" s="29">
        <v>0</v>
      </c>
      <c r="V161" s="22">
        <v>44706</v>
      </c>
      <c r="W161" s="26">
        <f t="shared" ca="1" si="5"/>
        <v>0.71769466958977612</v>
      </c>
      <c r="X161" s="29">
        <v>0</v>
      </c>
      <c r="Z161" s="22">
        <v>44706</v>
      </c>
      <c r="AA161" s="26">
        <f t="shared" ca="1" si="6"/>
        <v>0.10362643816448136</v>
      </c>
      <c r="AB161" s="29">
        <v>0</v>
      </c>
      <c r="AC161"/>
      <c r="AD161" s="25"/>
      <c r="AF161" s="22">
        <v>44706</v>
      </c>
      <c r="AG161" s="26">
        <f t="shared" ca="1" si="7"/>
        <v>2.2904167277631782E-2</v>
      </c>
      <c r="AH161" s="29">
        <v>0</v>
      </c>
      <c r="AJ161" s="22">
        <v>44706</v>
      </c>
      <c r="AK161" s="26">
        <f t="shared" ca="1" si="8"/>
        <v>0.39334091187834208</v>
      </c>
      <c r="AL161" s="29">
        <v>0</v>
      </c>
      <c r="AN161" s="22">
        <v>44706</v>
      </c>
      <c r="AO161" s="26">
        <f t="shared" ca="1" si="9"/>
        <v>0.8661233573917303</v>
      </c>
      <c r="AP161" s="29">
        <v>0</v>
      </c>
      <c r="AR161" s="22">
        <v>44706</v>
      </c>
      <c r="AS161" s="26">
        <f t="shared" ca="1" si="10"/>
        <v>0.48888949681616034</v>
      </c>
      <c r="AT161" s="29">
        <v>0</v>
      </c>
      <c r="AV161" s="22">
        <v>44706</v>
      </c>
      <c r="AW161" s="26">
        <f t="shared" ca="1" si="11"/>
        <v>0.61876569113871871</v>
      </c>
      <c r="AX161" s="29">
        <v>0</v>
      </c>
      <c r="AZ161" s="22">
        <v>44706</v>
      </c>
      <c r="BA161" s="26">
        <f t="shared" ca="1" si="12"/>
        <v>0.10217350334042097</v>
      </c>
      <c r="BB161" s="29">
        <v>0</v>
      </c>
      <c r="BC161"/>
      <c r="BD161" s="25"/>
      <c r="BF161" s="22">
        <v>44706</v>
      </c>
      <c r="BG161" s="26">
        <f t="shared" ca="1" si="13"/>
        <v>0.73061393614365411</v>
      </c>
      <c r="BH161" s="29">
        <v>0</v>
      </c>
      <c r="BJ161" s="22">
        <v>44706</v>
      </c>
      <c r="BK161" s="26">
        <f t="shared" ca="1" si="14"/>
        <v>6.4955116423056736E-2</v>
      </c>
      <c r="BL161" s="29">
        <v>0</v>
      </c>
      <c r="BN161" s="22">
        <v>44706</v>
      </c>
      <c r="BO161" s="26">
        <f t="shared" ca="1" si="15"/>
        <v>0.1768003911613969</v>
      </c>
      <c r="BP161" s="29">
        <v>0</v>
      </c>
      <c r="BR161" s="22">
        <v>44706</v>
      </c>
      <c r="BS161" s="26">
        <f t="shared" ca="1" si="16"/>
        <v>0.71156862475153881</v>
      </c>
      <c r="BT161" s="29">
        <v>0</v>
      </c>
      <c r="BV161" s="22">
        <v>44706</v>
      </c>
      <c r="BW161" s="26">
        <f t="shared" ca="1" si="17"/>
        <v>0.69433718637277042</v>
      </c>
      <c r="BX161" s="29">
        <v>0</v>
      </c>
    </row>
    <row r="162" spans="2:77" ht="12.75" x14ac:dyDescent="0.2">
      <c r="B162" s="22">
        <v>44707</v>
      </c>
      <c r="C162" s="26">
        <f t="shared" ca="1" si="0"/>
        <v>6.269858875054779E-2</v>
      </c>
      <c r="D162" s="29">
        <f t="shared" ca="1" si="24"/>
        <v>45</v>
      </c>
      <c r="F162" s="22">
        <v>44707</v>
      </c>
      <c r="G162" s="26">
        <f t="shared" ca="1" si="1"/>
        <v>0.75821689198845543</v>
      </c>
      <c r="H162" s="29">
        <f t="shared" ca="1" si="25"/>
        <v>226</v>
      </c>
      <c r="J162" s="22">
        <v>44707</v>
      </c>
      <c r="K162" s="26">
        <f t="shared" ca="1" si="2"/>
        <v>0.3114821895794021</v>
      </c>
      <c r="L162" s="29">
        <v>0</v>
      </c>
      <c r="N162" s="22">
        <v>44707</v>
      </c>
      <c r="O162" s="26">
        <f t="shared" ca="1" si="3"/>
        <v>0.65978441088274653</v>
      </c>
      <c r="P162" s="29">
        <v>0</v>
      </c>
      <c r="R162" s="22">
        <v>44707</v>
      </c>
      <c r="S162" s="26">
        <f t="shared" ca="1" si="4"/>
        <v>0.48183692151139845</v>
      </c>
      <c r="T162" s="29">
        <v>0</v>
      </c>
      <c r="V162" s="22">
        <v>44707</v>
      </c>
      <c r="W162" s="26">
        <f t="shared" ca="1" si="5"/>
        <v>0.92446014139288624</v>
      </c>
      <c r="X162" s="29">
        <v>0</v>
      </c>
      <c r="Z162" s="22">
        <v>44707</v>
      </c>
      <c r="AA162" s="26">
        <f t="shared" ca="1" si="6"/>
        <v>0.87730867539197932</v>
      </c>
      <c r="AB162" s="29">
        <v>0</v>
      </c>
      <c r="AC162"/>
      <c r="AD162" s="25"/>
      <c r="AF162" s="22">
        <v>44707</v>
      </c>
      <c r="AG162" s="26">
        <f t="shared" ca="1" si="7"/>
        <v>0.2720273557931947</v>
      </c>
      <c r="AH162" s="29">
        <v>0</v>
      </c>
      <c r="AJ162" s="22">
        <v>44707</v>
      </c>
      <c r="AK162" s="26">
        <f t="shared" ca="1" si="8"/>
        <v>3.7568822461031104E-2</v>
      </c>
      <c r="AL162" s="29">
        <v>0</v>
      </c>
      <c r="AN162" s="22">
        <v>44707</v>
      </c>
      <c r="AO162" s="26">
        <f t="shared" ca="1" si="9"/>
        <v>0.87865414534213726</v>
      </c>
      <c r="AP162" s="29">
        <v>0</v>
      </c>
      <c r="AR162" s="22">
        <v>44707</v>
      </c>
      <c r="AS162" s="26">
        <f t="shared" ca="1" si="10"/>
        <v>3.1390769262336859E-2</v>
      </c>
      <c r="AT162" s="29">
        <v>0</v>
      </c>
      <c r="AV162" s="22">
        <v>44707</v>
      </c>
      <c r="AW162" s="26">
        <f t="shared" ca="1" si="11"/>
        <v>0.10542636265325445</v>
      </c>
      <c r="AX162" s="29">
        <v>0</v>
      </c>
      <c r="AZ162" s="22">
        <v>44707</v>
      </c>
      <c r="BA162" s="26">
        <f t="shared" ca="1" si="12"/>
        <v>0.62801489271641064</v>
      </c>
      <c r="BB162" s="29">
        <v>0</v>
      </c>
      <c r="BC162"/>
      <c r="BD162" s="25"/>
      <c r="BF162" s="22">
        <v>44707</v>
      </c>
      <c r="BG162" s="26">
        <f t="shared" ca="1" si="13"/>
        <v>2.2037046256524473E-2</v>
      </c>
      <c r="BH162" s="29">
        <v>0</v>
      </c>
      <c r="BJ162" s="22">
        <v>44707</v>
      </c>
      <c r="BK162" s="26">
        <f t="shared" ca="1" si="14"/>
        <v>0.97384139563736205</v>
      </c>
      <c r="BL162" s="29">
        <v>0</v>
      </c>
      <c r="BN162" s="22">
        <v>44707</v>
      </c>
      <c r="BO162" s="26">
        <f t="shared" ca="1" si="15"/>
        <v>0.34988280742362687</v>
      </c>
      <c r="BP162" s="29">
        <v>0</v>
      </c>
      <c r="BR162" s="22">
        <v>44707</v>
      </c>
      <c r="BS162" s="26">
        <f t="shared" ca="1" si="16"/>
        <v>0.87907369352345632</v>
      </c>
      <c r="BT162" s="29">
        <v>0</v>
      </c>
      <c r="BV162" s="22">
        <v>44707</v>
      </c>
      <c r="BW162" s="26">
        <f t="shared" ca="1" si="17"/>
        <v>0.34047032342729489</v>
      </c>
      <c r="BX162" s="29">
        <v>0</v>
      </c>
    </row>
    <row r="163" spans="2:77" ht="12.75" x14ac:dyDescent="0.2">
      <c r="B163" s="22">
        <v>44708</v>
      </c>
      <c r="C163" s="26">
        <f t="shared" ca="1" si="0"/>
        <v>0.44271261960468911</v>
      </c>
      <c r="D163" s="29">
        <f t="shared" ca="1" si="24"/>
        <v>73</v>
      </c>
      <c r="F163" s="22">
        <v>44708</v>
      </c>
      <c r="G163" s="26">
        <f t="shared" ca="1" si="1"/>
        <v>3.8144731312846014E-2</v>
      </c>
      <c r="H163" s="29">
        <f t="shared" ca="1" si="25"/>
        <v>190</v>
      </c>
      <c r="J163" s="22">
        <v>44708</v>
      </c>
      <c r="K163" s="26">
        <f t="shared" ca="1" si="2"/>
        <v>0.93669525238382434</v>
      </c>
      <c r="L163" s="29">
        <v>0</v>
      </c>
      <c r="N163" s="22">
        <v>44708</v>
      </c>
      <c r="O163" s="26">
        <f t="shared" ca="1" si="3"/>
        <v>9.5948511689844085E-2</v>
      </c>
      <c r="P163" s="29">
        <v>0</v>
      </c>
      <c r="R163" s="22">
        <v>44708</v>
      </c>
      <c r="S163" s="26">
        <f t="shared" ca="1" si="4"/>
        <v>0.10163960816256734</v>
      </c>
      <c r="T163" s="29">
        <v>0</v>
      </c>
      <c r="V163" s="22">
        <v>44708</v>
      </c>
      <c r="W163" s="26">
        <f t="shared" ca="1" si="5"/>
        <v>0.37125764801443895</v>
      </c>
      <c r="X163" s="29">
        <v>0</v>
      </c>
      <c r="Z163" s="22">
        <v>44708</v>
      </c>
      <c r="AA163" s="26">
        <f t="shared" ca="1" si="6"/>
        <v>0.32464551327782298</v>
      </c>
      <c r="AB163" s="29">
        <v>0</v>
      </c>
      <c r="AC163"/>
      <c r="AD163" s="25"/>
      <c r="AF163" s="22">
        <v>44708</v>
      </c>
      <c r="AG163" s="26">
        <f t="shared" ca="1" si="7"/>
        <v>0.23132069500770724</v>
      </c>
      <c r="AH163" s="29">
        <v>0</v>
      </c>
      <c r="AJ163" s="22">
        <v>44708</v>
      </c>
      <c r="AK163" s="26">
        <f t="shared" ca="1" si="8"/>
        <v>2.0340909210034952E-2</v>
      </c>
      <c r="AL163" s="29">
        <v>0</v>
      </c>
      <c r="AN163" s="22">
        <v>44708</v>
      </c>
      <c r="AO163" s="26">
        <f t="shared" ca="1" si="9"/>
        <v>0.95423782990984807</v>
      </c>
      <c r="AP163" s="29">
        <v>0</v>
      </c>
      <c r="AR163" s="22">
        <v>44708</v>
      </c>
      <c r="AS163" s="26">
        <f t="shared" ca="1" si="10"/>
        <v>0.25683166684640213</v>
      </c>
      <c r="AT163" s="29">
        <v>0</v>
      </c>
      <c r="AV163" s="22">
        <v>44708</v>
      </c>
      <c r="AW163" s="26">
        <f t="shared" ca="1" si="11"/>
        <v>0.3070068107411692</v>
      </c>
      <c r="AX163" s="29">
        <v>0</v>
      </c>
      <c r="AZ163" s="22">
        <v>44708</v>
      </c>
      <c r="BA163" s="26">
        <f t="shared" ca="1" si="12"/>
        <v>0.3313822362877924</v>
      </c>
      <c r="BB163" s="29">
        <v>0</v>
      </c>
      <c r="BC163"/>
      <c r="BD163" s="25"/>
      <c r="BF163" s="22">
        <v>44708</v>
      </c>
      <c r="BG163" s="26">
        <f t="shared" ca="1" si="13"/>
        <v>0.9978386227935111</v>
      </c>
      <c r="BH163" s="29">
        <v>0</v>
      </c>
      <c r="BJ163" s="22">
        <v>44708</v>
      </c>
      <c r="BK163" s="26">
        <f t="shared" ca="1" si="14"/>
        <v>0.81912043062170359</v>
      </c>
      <c r="BL163" s="29">
        <v>0</v>
      </c>
      <c r="BN163" s="22">
        <v>44708</v>
      </c>
      <c r="BO163" s="26">
        <f t="shared" ca="1" si="15"/>
        <v>6.0418320257305314E-2</v>
      </c>
      <c r="BP163" s="29">
        <v>0</v>
      </c>
      <c r="BR163" s="22">
        <v>44708</v>
      </c>
      <c r="BS163" s="26">
        <f t="shared" ca="1" si="16"/>
        <v>0.36721993655454399</v>
      </c>
      <c r="BT163" s="29">
        <v>0</v>
      </c>
      <c r="BV163" s="22">
        <v>44708</v>
      </c>
      <c r="BW163" s="26">
        <f t="shared" ca="1" si="17"/>
        <v>0.48975840300068407</v>
      </c>
      <c r="BX163" s="29">
        <v>0</v>
      </c>
    </row>
    <row r="164" spans="2:77" ht="12.75" x14ac:dyDescent="0.2">
      <c r="B164" s="22">
        <v>44709</v>
      </c>
      <c r="C164" s="26">
        <f t="shared" ca="1" si="0"/>
        <v>5.1659456586422126E-2</v>
      </c>
      <c r="D164" s="29">
        <f t="shared" ca="1" si="24"/>
        <v>43</v>
      </c>
      <c r="F164" s="22">
        <v>44709</v>
      </c>
      <c r="G164" s="26">
        <f t="shared" ca="1" si="1"/>
        <v>0.89156496694469611</v>
      </c>
      <c r="H164" s="29">
        <f t="shared" ca="1" si="25"/>
        <v>234</v>
      </c>
      <c r="J164" s="22">
        <v>44709</v>
      </c>
      <c r="K164" s="26">
        <f t="shared" ca="1" si="2"/>
        <v>0.32140917621534626</v>
      </c>
      <c r="L164" s="29">
        <v>0</v>
      </c>
      <c r="N164" s="22">
        <v>44709</v>
      </c>
      <c r="O164" s="26">
        <f t="shared" ca="1" si="3"/>
        <v>0.37201229208111219</v>
      </c>
      <c r="P164" s="29">
        <v>0</v>
      </c>
      <c r="R164" s="22">
        <v>44709</v>
      </c>
      <c r="S164" s="26">
        <f t="shared" ca="1" si="4"/>
        <v>0.87345397658061752</v>
      </c>
      <c r="T164" s="29">
        <v>0</v>
      </c>
      <c r="V164" s="22">
        <v>44709</v>
      </c>
      <c r="W164" s="26">
        <f t="shared" ca="1" si="5"/>
        <v>0.19544816412333366</v>
      </c>
      <c r="X164" s="29">
        <v>0</v>
      </c>
      <c r="Z164" s="22">
        <v>44709</v>
      </c>
      <c r="AA164" s="26">
        <f t="shared" ca="1" si="6"/>
        <v>4.1239347371041069E-2</v>
      </c>
      <c r="AB164" s="29">
        <v>0</v>
      </c>
      <c r="AC164"/>
      <c r="AD164" s="25"/>
      <c r="AF164" s="22">
        <v>44709</v>
      </c>
      <c r="AG164" s="26">
        <f t="shared" ca="1" si="7"/>
        <v>0.1428443461213017</v>
      </c>
      <c r="AH164" s="29">
        <v>0</v>
      </c>
      <c r="AJ164" s="22">
        <v>44709</v>
      </c>
      <c r="AK164" s="26">
        <f t="shared" ca="1" si="8"/>
        <v>0.4004850189514999</v>
      </c>
      <c r="AL164" s="29">
        <v>0</v>
      </c>
      <c r="AN164" s="22">
        <v>44709</v>
      </c>
      <c r="AO164" s="26">
        <f t="shared" ca="1" si="9"/>
        <v>0.67724061642816291</v>
      </c>
      <c r="AP164" s="29">
        <v>0</v>
      </c>
      <c r="AR164" s="22">
        <v>44709</v>
      </c>
      <c r="AS164" s="26">
        <f t="shared" ca="1" si="10"/>
        <v>0.37026652659430659</v>
      </c>
      <c r="AT164" s="29">
        <v>0</v>
      </c>
      <c r="AV164" s="22">
        <v>44709</v>
      </c>
      <c r="AW164" s="26">
        <f t="shared" ca="1" si="11"/>
        <v>7.573964648449405E-2</v>
      </c>
      <c r="AX164" s="29">
        <v>0</v>
      </c>
      <c r="AZ164" s="22">
        <v>44709</v>
      </c>
      <c r="BA164" s="26">
        <f t="shared" ca="1" si="12"/>
        <v>0.87866016919036227</v>
      </c>
      <c r="BB164" s="29">
        <v>0</v>
      </c>
      <c r="BC164"/>
      <c r="BD164" s="25"/>
      <c r="BF164" s="22">
        <v>44709</v>
      </c>
      <c r="BG164" s="26">
        <f t="shared" ca="1" si="13"/>
        <v>0.45013130452375005</v>
      </c>
      <c r="BH164" s="29">
        <v>0</v>
      </c>
      <c r="BJ164" s="22">
        <v>44709</v>
      </c>
      <c r="BK164" s="26">
        <f t="shared" ca="1" si="14"/>
        <v>0.13041247360261876</v>
      </c>
      <c r="BL164" s="29">
        <v>0</v>
      </c>
      <c r="BN164" s="22">
        <v>44709</v>
      </c>
      <c r="BO164" s="26">
        <f t="shared" ca="1" si="15"/>
        <v>0.18542785855872379</v>
      </c>
      <c r="BP164" s="29">
        <v>0</v>
      </c>
      <c r="BR164" s="22">
        <v>44709</v>
      </c>
      <c r="BS164" s="26">
        <f t="shared" ca="1" si="16"/>
        <v>0.55864951209294811</v>
      </c>
      <c r="BT164" s="29">
        <v>0</v>
      </c>
      <c r="BV164" s="22">
        <v>44709</v>
      </c>
      <c r="BW164" s="26">
        <f t="shared" ca="1" si="17"/>
        <v>0.93880290692028523</v>
      </c>
      <c r="BX164" s="29">
        <v>0</v>
      </c>
    </row>
    <row r="165" spans="2:77" ht="12.75" x14ac:dyDescent="0.2">
      <c r="B165" s="22">
        <v>44710</v>
      </c>
      <c r="C165" s="26">
        <f t="shared" ca="1" si="0"/>
        <v>0.28532241546013004</v>
      </c>
      <c r="D165" s="29">
        <f t="shared" ca="1" si="24"/>
        <v>64</v>
      </c>
      <c r="F165" s="22">
        <v>44710</v>
      </c>
      <c r="G165" s="26">
        <f t="shared" ca="1" si="1"/>
        <v>0.98149101189162635</v>
      </c>
      <c r="H165" s="29">
        <f t="shared" ca="1" si="25"/>
        <v>246</v>
      </c>
      <c r="J165" s="22">
        <v>44710</v>
      </c>
      <c r="K165" s="26">
        <f t="shared" ca="1" si="2"/>
        <v>0.10002054484716849</v>
      </c>
      <c r="L165" s="29">
        <v>0</v>
      </c>
      <c r="N165" s="22">
        <v>44710</v>
      </c>
      <c r="O165" s="26">
        <f t="shared" ca="1" si="3"/>
        <v>0.81901199427838101</v>
      </c>
      <c r="P165" s="29">
        <v>0</v>
      </c>
      <c r="R165" s="22">
        <v>44710</v>
      </c>
      <c r="S165" s="26">
        <f t="shared" ca="1" si="4"/>
        <v>0.35359867019066593</v>
      </c>
      <c r="T165" s="29">
        <v>0</v>
      </c>
      <c r="V165" s="22">
        <v>44710</v>
      </c>
      <c r="W165" s="26">
        <f t="shared" ca="1" si="5"/>
        <v>0.24999810917276488</v>
      </c>
      <c r="X165" s="29">
        <v>0</v>
      </c>
      <c r="Z165" s="22">
        <v>44710</v>
      </c>
      <c r="AA165" s="26">
        <f t="shared" ca="1" si="6"/>
        <v>0.6194259700899708</v>
      </c>
      <c r="AB165" s="29">
        <v>0</v>
      </c>
      <c r="AC165"/>
      <c r="AD165" s="25"/>
      <c r="AF165" s="22">
        <v>44710</v>
      </c>
      <c r="AG165" s="26">
        <f t="shared" ca="1" si="7"/>
        <v>0.28297219938162776</v>
      </c>
      <c r="AH165" s="29">
        <v>0</v>
      </c>
      <c r="AJ165" s="22">
        <v>44710</v>
      </c>
      <c r="AK165" s="26">
        <f t="shared" ca="1" si="8"/>
        <v>0.45165273370513603</v>
      </c>
      <c r="AL165" s="29">
        <v>0</v>
      </c>
      <c r="AN165" s="22">
        <v>44710</v>
      </c>
      <c r="AO165" s="26">
        <f t="shared" ca="1" si="9"/>
        <v>0.46773332738232265</v>
      </c>
      <c r="AP165" s="29">
        <v>0</v>
      </c>
      <c r="AR165" s="22">
        <v>44710</v>
      </c>
      <c r="AS165" s="26">
        <f t="shared" ca="1" si="10"/>
        <v>0.71881876801431521</v>
      </c>
      <c r="AT165" s="29">
        <v>0</v>
      </c>
      <c r="AV165" s="22">
        <v>44710</v>
      </c>
      <c r="AW165" s="26">
        <f t="shared" ca="1" si="11"/>
        <v>0.38648181860626707</v>
      </c>
      <c r="AX165" s="29">
        <v>0</v>
      </c>
      <c r="AZ165" s="22">
        <v>44710</v>
      </c>
      <c r="BA165" s="26">
        <f t="shared" ca="1" si="12"/>
        <v>0.35378374614783914</v>
      </c>
      <c r="BB165" s="29">
        <v>0</v>
      </c>
      <c r="BC165"/>
      <c r="BD165" s="25"/>
      <c r="BF165" s="22">
        <v>44710</v>
      </c>
      <c r="BG165" s="26">
        <f t="shared" ca="1" si="13"/>
        <v>6.0397917306322935E-2</v>
      </c>
      <c r="BH165" s="29">
        <v>0</v>
      </c>
      <c r="BJ165" s="22">
        <v>44710</v>
      </c>
      <c r="BK165" s="26">
        <f t="shared" ca="1" si="14"/>
        <v>0.69995185025494278</v>
      </c>
      <c r="BL165" s="29">
        <v>0</v>
      </c>
      <c r="BN165" s="22">
        <v>44710</v>
      </c>
      <c r="BO165" s="26">
        <f t="shared" ca="1" si="15"/>
        <v>0.28641024250159708</v>
      </c>
      <c r="BP165" s="29">
        <v>0</v>
      </c>
      <c r="BR165" s="22">
        <v>44710</v>
      </c>
      <c r="BS165" s="26">
        <f t="shared" ca="1" si="16"/>
        <v>0.54278525939723021</v>
      </c>
      <c r="BT165" s="29">
        <v>0</v>
      </c>
      <c r="BV165" s="22">
        <v>44710</v>
      </c>
      <c r="BW165" s="26">
        <f t="shared" ca="1" si="17"/>
        <v>7.9460014100227405E-2</v>
      </c>
      <c r="BX165" s="29">
        <v>0</v>
      </c>
    </row>
    <row r="166" spans="2:77" ht="12.75" x14ac:dyDescent="0.2">
      <c r="B166" s="22">
        <v>44711</v>
      </c>
      <c r="C166" s="26">
        <f t="shared" ca="1" si="0"/>
        <v>0.71369460047392952</v>
      </c>
      <c r="D166" s="29">
        <f t="shared" ca="1" si="24"/>
        <v>87</v>
      </c>
      <c r="F166" s="22">
        <v>44711</v>
      </c>
      <c r="G166" s="26">
        <f t="shared" ca="1" si="1"/>
        <v>0.78711406494784031</v>
      </c>
      <c r="H166" s="29">
        <f t="shared" ca="1" si="25"/>
        <v>227</v>
      </c>
      <c r="J166" s="22">
        <v>44711</v>
      </c>
      <c r="K166" s="26">
        <f t="shared" ca="1" si="2"/>
        <v>0.2988280796899514</v>
      </c>
      <c r="L166" s="29">
        <v>0</v>
      </c>
      <c r="N166" s="22">
        <v>44711</v>
      </c>
      <c r="O166" s="26">
        <f t="shared" ca="1" si="3"/>
        <v>0.15419875383543802</v>
      </c>
      <c r="P166" s="29">
        <v>0</v>
      </c>
      <c r="R166" s="22">
        <v>44711</v>
      </c>
      <c r="S166" s="26">
        <f t="shared" ca="1" si="4"/>
        <v>0.97435250647808747</v>
      </c>
      <c r="T166" s="29">
        <v>0</v>
      </c>
      <c r="V166" s="22">
        <v>44711</v>
      </c>
      <c r="W166" s="26">
        <f t="shared" ca="1" si="5"/>
        <v>0.79608520227355284</v>
      </c>
      <c r="X166" s="29">
        <v>0</v>
      </c>
      <c r="Z166" s="22">
        <v>44711</v>
      </c>
      <c r="AA166" s="26">
        <f t="shared" ca="1" si="6"/>
        <v>6.6037726432826904E-2</v>
      </c>
      <c r="AB166" s="29">
        <v>0</v>
      </c>
      <c r="AC166"/>
      <c r="AD166" s="25"/>
      <c r="AF166" s="22">
        <v>44711</v>
      </c>
      <c r="AG166" s="26">
        <f t="shared" ca="1" si="7"/>
        <v>0.14277110009876293</v>
      </c>
      <c r="AH166" s="29">
        <v>0</v>
      </c>
      <c r="AJ166" s="22">
        <v>44711</v>
      </c>
      <c r="AK166" s="26">
        <f t="shared" ca="1" si="8"/>
        <v>0.81658917392623231</v>
      </c>
      <c r="AL166" s="29">
        <v>0</v>
      </c>
      <c r="AN166" s="22">
        <v>44711</v>
      </c>
      <c r="AO166" s="26">
        <f t="shared" ca="1" si="9"/>
        <v>0.78734569465921889</v>
      </c>
      <c r="AP166" s="29">
        <v>0</v>
      </c>
      <c r="AR166" s="22">
        <v>44711</v>
      </c>
      <c r="AS166" s="26">
        <f t="shared" ca="1" si="10"/>
        <v>0.10512100784637068</v>
      </c>
      <c r="AT166" s="29">
        <v>0</v>
      </c>
      <c r="AV166" s="22">
        <v>44711</v>
      </c>
      <c r="AW166" s="26">
        <f t="shared" ca="1" si="11"/>
        <v>0.89118492380675896</v>
      </c>
      <c r="AX166" s="29">
        <v>0</v>
      </c>
      <c r="AZ166" s="22">
        <v>44711</v>
      </c>
      <c r="BA166" s="26">
        <f t="shared" ca="1" si="12"/>
        <v>0.37854460172676863</v>
      </c>
      <c r="BB166" s="29">
        <v>0</v>
      </c>
      <c r="BC166"/>
      <c r="BD166" s="25"/>
      <c r="BF166" s="22">
        <v>44711</v>
      </c>
      <c r="BG166" s="26">
        <f t="shared" ca="1" si="13"/>
        <v>0.17191627534376364</v>
      </c>
      <c r="BH166" s="29">
        <v>0</v>
      </c>
      <c r="BJ166" s="22">
        <v>44711</v>
      </c>
      <c r="BK166" s="26">
        <f t="shared" ca="1" si="14"/>
        <v>0.50527101492130133</v>
      </c>
      <c r="BL166" s="29">
        <v>0</v>
      </c>
      <c r="BN166" s="22">
        <v>44711</v>
      </c>
      <c r="BO166" s="26">
        <f t="shared" ca="1" si="15"/>
        <v>0.20939956848829622</v>
      </c>
      <c r="BP166" s="29">
        <v>0</v>
      </c>
      <c r="BR166" s="22">
        <v>44711</v>
      </c>
      <c r="BS166" s="26">
        <f t="shared" ca="1" si="16"/>
        <v>0.43492392808927915</v>
      </c>
      <c r="BT166" s="29">
        <v>0</v>
      </c>
      <c r="BV166" s="22">
        <v>44711</v>
      </c>
      <c r="BW166" s="26">
        <f t="shared" ca="1" si="17"/>
        <v>0.73189830372602693</v>
      </c>
      <c r="BX166" s="29">
        <v>0</v>
      </c>
    </row>
    <row r="167" spans="2:77" ht="12.75" x14ac:dyDescent="0.2">
      <c r="B167" s="22">
        <v>44712</v>
      </c>
      <c r="C167" s="26">
        <f t="shared" ca="1" si="0"/>
        <v>0.7635621438075596</v>
      </c>
      <c r="D167" s="29">
        <f t="shared" ca="1" si="24"/>
        <v>90</v>
      </c>
      <c r="E167">
        <v>2461</v>
      </c>
      <c r="F167" s="22">
        <v>44712</v>
      </c>
      <c r="G167" s="26">
        <f t="shared" ca="1" si="1"/>
        <v>9.2484965218099346E-2</v>
      </c>
      <c r="H167" s="29">
        <f t="shared" ca="1" si="25"/>
        <v>197</v>
      </c>
      <c r="I167">
        <v>6457</v>
      </c>
      <c r="J167" s="22">
        <v>44712</v>
      </c>
      <c r="K167" s="26">
        <f t="shared" ca="1" si="2"/>
        <v>0.5430493005468664</v>
      </c>
      <c r="L167" s="29">
        <v>0</v>
      </c>
      <c r="M167">
        <v>0</v>
      </c>
      <c r="N167" s="22">
        <v>44712</v>
      </c>
      <c r="O167" s="26">
        <f t="shared" ca="1" si="3"/>
        <v>0.68438556563642483</v>
      </c>
      <c r="P167" s="29">
        <v>0</v>
      </c>
      <c r="Q167">
        <v>0</v>
      </c>
      <c r="R167" s="22">
        <v>44712</v>
      </c>
      <c r="S167" s="26">
        <f t="shared" ca="1" si="4"/>
        <v>0.82102151068241225</v>
      </c>
      <c r="T167" s="29">
        <v>0</v>
      </c>
      <c r="U167">
        <v>0</v>
      </c>
      <c r="V167" s="22">
        <v>44712</v>
      </c>
      <c r="W167" s="26">
        <f t="shared" ca="1" si="5"/>
        <v>0.84080125078377255</v>
      </c>
      <c r="X167" s="29">
        <v>0</v>
      </c>
      <c r="Y167">
        <v>0</v>
      </c>
      <c r="Z167" s="22">
        <v>44712</v>
      </c>
      <c r="AA167" s="26">
        <f t="shared" ca="1" si="6"/>
        <v>0.40557382347405035</v>
      </c>
      <c r="AB167" s="29">
        <v>0</v>
      </c>
      <c r="AC167">
        <v>0</v>
      </c>
      <c r="AD167" s="25"/>
      <c r="AF167" s="22">
        <v>44712</v>
      </c>
      <c r="AG167" s="26">
        <f t="shared" ca="1" si="7"/>
        <v>0.6183294195607929</v>
      </c>
      <c r="AH167" s="29">
        <v>0</v>
      </c>
      <c r="AI167">
        <v>0</v>
      </c>
      <c r="AJ167" s="22">
        <v>44712</v>
      </c>
      <c r="AK167" s="26">
        <f t="shared" ca="1" si="8"/>
        <v>0.67943316530644926</v>
      </c>
      <c r="AL167" s="29">
        <v>0</v>
      </c>
      <c r="AM167">
        <v>0</v>
      </c>
      <c r="AN167" s="22">
        <v>44712</v>
      </c>
      <c r="AO167" s="26">
        <f t="shared" ca="1" si="9"/>
        <v>0.93977606704670991</v>
      </c>
      <c r="AP167" s="29">
        <v>0</v>
      </c>
      <c r="AQ167">
        <v>0</v>
      </c>
      <c r="AR167" s="22">
        <v>44712</v>
      </c>
      <c r="AS167" s="26">
        <f t="shared" ca="1" si="10"/>
        <v>0.79516975702454262</v>
      </c>
      <c r="AT167" s="29">
        <v>0</v>
      </c>
      <c r="AU167">
        <v>0</v>
      </c>
      <c r="AV167" s="22">
        <v>44712</v>
      </c>
      <c r="AW167" s="26">
        <f t="shared" ca="1" si="11"/>
        <v>0.90446945809323576</v>
      </c>
      <c r="AX167" s="29">
        <v>0</v>
      </c>
      <c r="AY167">
        <v>0</v>
      </c>
      <c r="AZ167" s="22">
        <v>44712</v>
      </c>
      <c r="BA167" s="26">
        <f t="shared" ca="1" si="12"/>
        <v>9.0846005700170318E-2</v>
      </c>
      <c r="BB167" s="29">
        <v>0</v>
      </c>
      <c r="BC167">
        <v>0</v>
      </c>
      <c r="BD167" s="25"/>
      <c r="BF167" s="22">
        <v>44712</v>
      </c>
      <c r="BG167" s="26">
        <f t="shared" ca="1" si="13"/>
        <v>0.70253902478647356</v>
      </c>
      <c r="BH167" s="29">
        <v>0</v>
      </c>
      <c r="BI167">
        <v>0</v>
      </c>
      <c r="BJ167" s="22">
        <v>44712</v>
      </c>
      <c r="BK167" s="26">
        <f t="shared" ca="1" si="14"/>
        <v>0.76546697370848038</v>
      </c>
      <c r="BL167" s="29">
        <v>0</v>
      </c>
      <c r="BM167">
        <v>0</v>
      </c>
      <c r="BN167" s="22">
        <v>44712</v>
      </c>
      <c r="BO167" s="26">
        <f t="shared" ca="1" si="15"/>
        <v>0.59135745087964442</v>
      </c>
      <c r="BP167" s="29">
        <v>0</v>
      </c>
      <c r="BQ167">
        <v>0</v>
      </c>
      <c r="BR167" s="22">
        <v>44712</v>
      </c>
      <c r="BS167" s="26">
        <f t="shared" ca="1" si="16"/>
        <v>0.31037927726038494</v>
      </c>
      <c r="BT167" s="29">
        <v>0</v>
      </c>
      <c r="BU167">
        <v>0</v>
      </c>
      <c r="BV167" s="22">
        <v>44712</v>
      </c>
      <c r="BW167" s="26">
        <f t="shared" ca="1" si="17"/>
        <v>0.62982932098202871</v>
      </c>
      <c r="BX167" s="29">
        <v>0</v>
      </c>
      <c r="BY167">
        <v>0</v>
      </c>
    </row>
    <row r="168" spans="2:77" ht="12.75" x14ac:dyDescent="0.2">
      <c r="B168" s="22">
        <v>44713</v>
      </c>
      <c r="C168" s="26">
        <f t="shared" ca="1" si="0"/>
        <v>0.39786947007689022</v>
      </c>
      <c r="D168" s="29">
        <f ca="1">ROUNDUP(_xlfn.NORM.INV(C167,C$10,C$12),0)</f>
        <v>90</v>
      </c>
      <c r="F168" s="22">
        <v>44713</v>
      </c>
      <c r="G168" s="26">
        <f t="shared" ca="1" si="1"/>
        <v>0.45806661808097571</v>
      </c>
      <c r="H168" s="29">
        <f ca="1">ROUNDUP(_xlfn.NORM.INV(G167,G$10,G$12),0)</f>
        <v>197</v>
      </c>
      <c r="J168" s="22">
        <v>44713</v>
      </c>
      <c r="K168" s="26">
        <f t="shared" ca="1" si="2"/>
        <v>0.19557897094696819</v>
      </c>
      <c r="L168" s="29">
        <v>0</v>
      </c>
      <c r="N168" s="22">
        <v>44713</v>
      </c>
      <c r="O168" s="26">
        <f t="shared" ca="1" si="3"/>
        <v>4.0377347039052491E-2</v>
      </c>
      <c r="P168" s="29">
        <v>0</v>
      </c>
      <c r="R168" s="22">
        <v>44713</v>
      </c>
      <c r="S168" s="26">
        <f t="shared" ca="1" si="4"/>
        <v>0.75782413676530802</v>
      </c>
      <c r="T168" s="29">
        <v>0</v>
      </c>
      <c r="V168" s="22">
        <v>44713</v>
      </c>
      <c r="W168" s="26">
        <f t="shared" ca="1" si="5"/>
        <v>0.80088627989524297</v>
      </c>
      <c r="X168" s="29">
        <v>0</v>
      </c>
      <c r="Z168" s="22">
        <v>44713</v>
      </c>
      <c r="AA168" s="26">
        <f t="shared" ca="1" si="6"/>
        <v>0.26224659480097245</v>
      </c>
      <c r="AB168" s="29">
        <v>0</v>
      </c>
      <c r="AC168"/>
      <c r="AD168" s="25"/>
      <c r="AF168" s="22">
        <v>44713</v>
      </c>
      <c r="AG168" s="26">
        <f t="shared" ca="1" si="7"/>
        <v>2.2269662087188169E-2</v>
      </c>
      <c r="AH168" s="29">
        <v>0</v>
      </c>
      <c r="AJ168" s="22">
        <v>44713</v>
      </c>
      <c r="AK168" s="26">
        <f t="shared" ca="1" si="8"/>
        <v>0.73673926374373966</v>
      </c>
      <c r="AL168" s="29">
        <v>0</v>
      </c>
      <c r="AN168" s="22">
        <v>44713</v>
      </c>
      <c r="AO168" s="26">
        <f t="shared" ca="1" si="9"/>
        <v>0.53556525284921364</v>
      </c>
      <c r="AP168" s="29">
        <v>0</v>
      </c>
      <c r="AR168" s="22">
        <v>44713</v>
      </c>
      <c r="AS168" s="26">
        <f t="shared" ca="1" si="10"/>
        <v>0.23633141838172222</v>
      </c>
      <c r="AT168" s="29">
        <v>0</v>
      </c>
      <c r="AV168" s="22">
        <v>44713</v>
      </c>
      <c r="AW168" s="26">
        <f t="shared" ca="1" si="11"/>
        <v>0.58770448748157222</v>
      </c>
      <c r="AX168" s="29">
        <v>0</v>
      </c>
      <c r="AZ168" s="22">
        <v>44713</v>
      </c>
      <c r="BA168" s="26">
        <f t="shared" ca="1" si="12"/>
        <v>0.43771991942966182</v>
      </c>
      <c r="BB168" s="29">
        <v>0</v>
      </c>
      <c r="BC168"/>
      <c r="BD168" s="25"/>
      <c r="BF168" s="22">
        <v>44713</v>
      </c>
      <c r="BG168" s="26">
        <f t="shared" ca="1" si="13"/>
        <v>0.14208138077514731</v>
      </c>
      <c r="BH168" s="29">
        <v>0</v>
      </c>
      <c r="BJ168" s="22">
        <v>44713</v>
      </c>
      <c r="BK168" s="26">
        <f t="shared" ca="1" si="14"/>
        <v>0.33389220955351995</v>
      </c>
      <c r="BL168" s="29">
        <v>0</v>
      </c>
      <c r="BN168" s="22">
        <v>44713</v>
      </c>
      <c r="BO168" s="26">
        <f t="shared" ca="1" si="15"/>
        <v>0.72068791106267771</v>
      </c>
      <c r="BP168" s="29">
        <v>0</v>
      </c>
      <c r="BR168" s="22">
        <v>44713</v>
      </c>
      <c r="BS168" s="26">
        <f t="shared" ca="1" si="16"/>
        <v>0.74577544446380128</v>
      </c>
      <c r="BT168" s="29">
        <v>0</v>
      </c>
      <c r="BV168" s="22">
        <v>44713</v>
      </c>
      <c r="BW168" s="26">
        <f t="shared" ca="1" si="17"/>
        <v>0.9061975314054993</v>
      </c>
      <c r="BX168" s="29">
        <v>0</v>
      </c>
    </row>
    <row r="169" spans="2:77" ht="12.75" x14ac:dyDescent="0.2">
      <c r="B169" s="22">
        <v>44714</v>
      </c>
      <c r="C169" s="26">
        <f t="shared" ca="1" si="0"/>
        <v>0.97944486683787346</v>
      </c>
      <c r="D169" s="29">
        <f t="shared" ca="1" si="24"/>
        <v>116</v>
      </c>
      <c r="F169" s="22">
        <v>44714</v>
      </c>
      <c r="G169" s="26">
        <f t="shared" ca="1" si="1"/>
        <v>0.66522373824755854</v>
      </c>
      <c r="H169" s="29">
        <f t="shared" ca="1" si="25"/>
        <v>222</v>
      </c>
      <c r="J169" s="22">
        <v>44714</v>
      </c>
      <c r="K169" s="26">
        <f t="shared" ca="1" si="2"/>
        <v>0.14441352008730024</v>
      </c>
      <c r="L169" s="29">
        <v>0</v>
      </c>
      <c r="N169" s="22">
        <v>44714</v>
      </c>
      <c r="O169" s="26">
        <f t="shared" ca="1" si="3"/>
        <v>0.35729764565899491</v>
      </c>
      <c r="P169" s="29">
        <v>0</v>
      </c>
      <c r="R169" s="22">
        <v>44714</v>
      </c>
      <c r="S169" s="26">
        <f t="shared" ca="1" si="4"/>
        <v>0.28334087619412651</v>
      </c>
      <c r="T169" s="29">
        <v>0</v>
      </c>
      <c r="V169" s="22">
        <v>44714</v>
      </c>
      <c r="W169" s="26">
        <f t="shared" ca="1" si="5"/>
        <v>0.87674210309681022</v>
      </c>
      <c r="X169" s="29">
        <v>0</v>
      </c>
      <c r="Z169" s="22">
        <v>44714</v>
      </c>
      <c r="AA169" s="26">
        <f t="shared" ca="1" si="6"/>
        <v>0.48259349807749774</v>
      </c>
      <c r="AB169" s="29">
        <v>0</v>
      </c>
      <c r="AC169"/>
      <c r="AD169" s="25"/>
      <c r="AF169" s="22">
        <v>44714</v>
      </c>
      <c r="AG169" s="26">
        <f t="shared" ca="1" si="7"/>
        <v>0.62541927589915791</v>
      </c>
      <c r="AH169" s="29">
        <v>0</v>
      </c>
      <c r="AJ169" s="22">
        <v>44714</v>
      </c>
      <c r="AK169" s="26">
        <f t="shared" ca="1" si="8"/>
        <v>0.29132624846095367</v>
      </c>
      <c r="AL169" s="29">
        <v>0</v>
      </c>
      <c r="AN169" s="22">
        <v>44714</v>
      </c>
      <c r="AO169" s="26">
        <f t="shared" ca="1" si="9"/>
        <v>1.2202590926918555E-2</v>
      </c>
      <c r="AP169" s="29">
        <v>0</v>
      </c>
      <c r="AR169" s="22">
        <v>44714</v>
      </c>
      <c r="AS169" s="26">
        <f t="shared" ca="1" si="10"/>
        <v>0.16231221187204603</v>
      </c>
      <c r="AT169" s="29">
        <v>0</v>
      </c>
      <c r="AV169" s="22">
        <v>44714</v>
      </c>
      <c r="AW169" s="26">
        <f t="shared" ca="1" si="11"/>
        <v>3.1962803737261125E-2</v>
      </c>
      <c r="AX169" s="29">
        <v>0</v>
      </c>
      <c r="AZ169" s="22">
        <v>44714</v>
      </c>
      <c r="BA169" s="26">
        <f t="shared" ca="1" si="12"/>
        <v>0.14488341174146691</v>
      </c>
      <c r="BB169" s="29">
        <v>0</v>
      </c>
      <c r="BC169"/>
      <c r="BD169" s="25"/>
      <c r="BF169" s="22">
        <v>44714</v>
      </c>
      <c r="BG169" s="26">
        <f t="shared" ca="1" si="13"/>
        <v>0.30700721310021528</v>
      </c>
      <c r="BH169" s="29">
        <v>0</v>
      </c>
      <c r="BJ169" s="22">
        <v>44714</v>
      </c>
      <c r="BK169" s="26">
        <f t="shared" ca="1" si="14"/>
        <v>0.71270262518745409</v>
      </c>
      <c r="BL169" s="29">
        <v>0</v>
      </c>
      <c r="BN169" s="22">
        <v>44714</v>
      </c>
      <c r="BO169" s="26">
        <f t="shared" ca="1" si="15"/>
        <v>0.58361956246481717</v>
      </c>
      <c r="BP169" s="29">
        <v>0</v>
      </c>
      <c r="BR169" s="22">
        <v>44714</v>
      </c>
      <c r="BS169" s="26">
        <f t="shared" ca="1" si="16"/>
        <v>0.7565022989262552</v>
      </c>
      <c r="BT169" s="29">
        <v>0</v>
      </c>
      <c r="BV169" s="22">
        <v>44714</v>
      </c>
      <c r="BW169" s="26">
        <f t="shared" ca="1" si="17"/>
        <v>0.55314169795081491</v>
      </c>
      <c r="BX169" s="29">
        <v>0</v>
      </c>
    </row>
    <row r="170" spans="2:77" ht="12.75" x14ac:dyDescent="0.2">
      <c r="B170" s="22">
        <v>44715</v>
      </c>
      <c r="C170" s="26">
        <f t="shared" ca="1" si="0"/>
        <v>1.9971598997170714E-2</v>
      </c>
      <c r="D170" s="29">
        <f t="shared" ca="1" si="24"/>
        <v>34</v>
      </c>
      <c r="F170" s="22">
        <v>44715</v>
      </c>
      <c r="G170" s="26">
        <f t="shared" ca="1" si="1"/>
        <v>6.069717581898959E-2</v>
      </c>
      <c r="H170" s="29">
        <f t="shared" ca="1" si="25"/>
        <v>194</v>
      </c>
      <c r="J170" s="22">
        <v>44715</v>
      </c>
      <c r="K170" s="26">
        <f t="shared" ca="1" si="2"/>
        <v>0.6838689525980397</v>
      </c>
      <c r="L170" s="29">
        <v>0</v>
      </c>
      <c r="N170" s="22">
        <v>44715</v>
      </c>
      <c r="O170" s="26">
        <f t="shared" ca="1" si="3"/>
        <v>0.42191337724576206</v>
      </c>
      <c r="P170" s="29">
        <v>0</v>
      </c>
      <c r="R170" s="22">
        <v>44715</v>
      </c>
      <c r="S170" s="26">
        <f t="shared" ca="1" si="4"/>
        <v>0.59946332827923132</v>
      </c>
      <c r="T170" s="29">
        <v>0</v>
      </c>
      <c r="V170" s="22">
        <v>44715</v>
      </c>
      <c r="W170" s="26">
        <f t="shared" ca="1" si="5"/>
        <v>0.50468135460650043</v>
      </c>
      <c r="X170" s="29">
        <v>0</v>
      </c>
      <c r="Z170" s="22">
        <v>44715</v>
      </c>
      <c r="AA170" s="26">
        <f t="shared" ca="1" si="6"/>
        <v>0.10958990257980616</v>
      </c>
      <c r="AB170" s="29">
        <v>0</v>
      </c>
      <c r="AC170"/>
      <c r="AD170" s="25"/>
      <c r="AF170" s="22">
        <v>44715</v>
      </c>
      <c r="AG170" s="26">
        <f t="shared" ca="1" si="7"/>
        <v>0.44807864836832068</v>
      </c>
      <c r="AH170" s="29">
        <v>0</v>
      </c>
      <c r="AJ170" s="22">
        <v>44715</v>
      </c>
      <c r="AK170" s="26">
        <f t="shared" ca="1" si="8"/>
        <v>0.93546538319136507</v>
      </c>
      <c r="AL170" s="29">
        <v>0</v>
      </c>
      <c r="AN170" s="22">
        <v>44715</v>
      </c>
      <c r="AO170" s="26">
        <f t="shared" ca="1" si="9"/>
        <v>0.75702167704972434</v>
      </c>
      <c r="AP170" s="29">
        <v>0</v>
      </c>
      <c r="AR170" s="22">
        <v>44715</v>
      </c>
      <c r="AS170" s="26">
        <f t="shared" ca="1" si="10"/>
        <v>0.77222257111004255</v>
      </c>
      <c r="AT170" s="29">
        <v>0</v>
      </c>
      <c r="AV170" s="22">
        <v>44715</v>
      </c>
      <c r="AW170" s="26">
        <f t="shared" ca="1" si="11"/>
        <v>8.8612398049539576E-2</v>
      </c>
      <c r="AX170" s="29">
        <v>0</v>
      </c>
      <c r="AZ170" s="22">
        <v>44715</v>
      </c>
      <c r="BA170" s="26">
        <f t="shared" ca="1" si="12"/>
        <v>0.46128201143438363</v>
      </c>
      <c r="BB170" s="29">
        <v>0</v>
      </c>
      <c r="BC170"/>
      <c r="BD170" s="25"/>
      <c r="BF170" s="22">
        <v>44715</v>
      </c>
      <c r="BG170" s="26">
        <f t="shared" ca="1" si="13"/>
        <v>0.41829954756150123</v>
      </c>
      <c r="BH170" s="29">
        <v>0</v>
      </c>
      <c r="BJ170" s="22">
        <v>44715</v>
      </c>
      <c r="BK170" s="26">
        <f t="shared" ca="1" si="14"/>
        <v>0.123586580743969</v>
      </c>
      <c r="BL170" s="29">
        <v>0</v>
      </c>
      <c r="BN170" s="22">
        <v>44715</v>
      </c>
      <c r="BO170" s="26">
        <f t="shared" ca="1" si="15"/>
        <v>0.9865332513523325</v>
      </c>
      <c r="BP170" s="29">
        <v>0</v>
      </c>
      <c r="BR170" s="22">
        <v>44715</v>
      </c>
      <c r="BS170" s="26">
        <f t="shared" ca="1" si="16"/>
        <v>0.92509520376759491</v>
      </c>
      <c r="BT170" s="29">
        <v>0</v>
      </c>
      <c r="BV170" s="22">
        <v>44715</v>
      </c>
      <c r="BW170" s="26">
        <f t="shared" ca="1" si="17"/>
        <v>1.5363883480921103E-2</v>
      </c>
      <c r="BX170" s="29">
        <v>0</v>
      </c>
    </row>
    <row r="171" spans="2:77" ht="12.75" x14ac:dyDescent="0.2">
      <c r="B171" s="22">
        <v>44716</v>
      </c>
      <c r="C171" s="26">
        <f t="shared" ca="1" si="0"/>
        <v>0.9860919408367218</v>
      </c>
      <c r="D171" s="29">
        <f t="shared" ca="1" si="24"/>
        <v>119</v>
      </c>
      <c r="F171" s="22">
        <v>44716</v>
      </c>
      <c r="G171" s="26">
        <f t="shared" ca="1" si="1"/>
        <v>0.32585187870018018</v>
      </c>
      <c r="H171" s="29">
        <f t="shared" ca="1" si="25"/>
        <v>209</v>
      </c>
      <c r="J171" s="22">
        <v>44716</v>
      </c>
      <c r="K171" s="26">
        <f t="shared" ca="1" si="2"/>
        <v>0.90689806980586785</v>
      </c>
      <c r="L171" s="29">
        <v>0</v>
      </c>
      <c r="N171" s="22">
        <v>44716</v>
      </c>
      <c r="O171" s="26">
        <f t="shared" ca="1" si="3"/>
        <v>0.22528564157088471</v>
      </c>
      <c r="P171" s="29">
        <v>0</v>
      </c>
      <c r="R171" s="22">
        <v>44716</v>
      </c>
      <c r="S171" s="26">
        <f t="shared" ca="1" si="4"/>
        <v>0.23229092249260352</v>
      </c>
      <c r="T171" s="29">
        <v>0</v>
      </c>
      <c r="V171" s="22">
        <v>44716</v>
      </c>
      <c r="W171" s="26">
        <f t="shared" ca="1" si="5"/>
        <v>0.68024680837788132</v>
      </c>
      <c r="X171" s="29">
        <v>0</v>
      </c>
      <c r="Z171" s="22">
        <v>44716</v>
      </c>
      <c r="AA171" s="26">
        <f t="shared" ca="1" si="6"/>
        <v>0.15287773288879547</v>
      </c>
      <c r="AB171" s="29">
        <v>0</v>
      </c>
      <c r="AC171"/>
      <c r="AD171" s="25"/>
      <c r="AF171" s="22">
        <v>44716</v>
      </c>
      <c r="AG171" s="26">
        <f t="shared" ca="1" si="7"/>
        <v>0.26729097519397638</v>
      </c>
      <c r="AH171" s="29">
        <v>0</v>
      </c>
      <c r="AJ171" s="22">
        <v>44716</v>
      </c>
      <c r="AK171" s="26">
        <f t="shared" ca="1" si="8"/>
        <v>0.12769963866808864</v>
      </c>
      <c r="AL171" s="29">
        <v>0</v>
      </c>
      <c r="AN171" s="22">
        <v>44716</v>
      </c>
      <c r="AO171" s="26">
        <f t="shared" ca="1" si="9"/>
        <v>0.39179206923240817</v>
      </c>
      <c r="AP171" s="29">
        <v>0</v>
      </c>
      <c r="AR171" s="22">
        <v>44716</v>
      </c>
      <c r="AS171" s="26">
        <f t="shared" ca="1" si="10"/>
        <v>0.43672521109715634</v>
      </c>
      <c r="AT171" s="29">
        <v>0</v>
      </c>
      <c r="AV171" s="22">
        <v>44716</v>
      </c>
      <c r="AW171" s="26">
        <f t="shared" ca="1" si="11"/>
        <v>8.8075956061032579E-2</v>
      </c>
      <c r="AX171" s="29">
        <v>0</v>
      </c>
      <c r="AZ171" s="22">
        <v>44716</v>
      </c>
      <c r="BA171" s="26">
        <f t="shared" ca="1" si="12"/>
        <v>0.5075787559132523</v>
      </c>
      <c r="BB171" s="29">
        <v>0</v>
      </c>
      <c r="BC171"/>
      <c r="BD171" s="25"/>
      <c r="BF171" s="22">
        <v>44716</v>
      </c>
      <c r="BG171" s="26">
        <f t="shared" ca="1" si="13"/>
        <v>0.75784719393099143</v>
      </c>
      <c r="BH171" s="29">
        <v>0</v>
      </c>
      <c r="BJ171" s="22">
        <v>44716</v>
      </c>
      <c r="BK171" s="26">
        <f t="shared" ca="1" si="14"/>
        <v>0.45859136822737356</v>
      </c>
      <c r="BL171" s="29">
        <v>0</v>
      </c>
      <c r="BN171" s="22">
        <v>44716</v>
      </c>
      <c r="BO171" s="26">
        <f t="shared" ca="1" si="15"/>
        <v>0.27250821812961867</v>
      </c>
      <c r="BP171" s="29">
        <v>0</v>
      </c>
      <c r="BR171" s="22">
        <v>44716</v>
      </c>
      <c r="BS171" s="26">
        <f t="shared" ca="1" si="16"/>
        <v>0.93451443604397455</v>
      </c>
      <c r="BT171" s="29">
        <v>0</v>
      </c>
      <c r="BV171" s="22">
        <v>44716</v>
      </c>
      <c r="BW171" s="26">
        <f t="shared" ca="1" si="17"/>
        <v>0.33692504131746293</v>
      </c>
      <c r="BX171" s="29">
        <v>0</v>
      </c>
    </row>
    <row r="172" spans="2:77" ht="12.75" x14ac:dyDescent="0.2">
      <c r="B172" s="22">
        <v>44717</v>
      </c>
      <c r="C172" s="26">
        <f t="shared" ca="1" si="0"/>
        <v>0.61890926575010963</v>
      </c>
      <c r="D172" s="29">
        <f t="shared" ca="1" si="24"/>
        <v>82</v>
      </c>
      <c r="F172" s="22">
        <v>44717</v>
      </c>
      <c r="G172" s="26">
        <f t="shared" ca="1" si="1"/>
        <v>0.6812348603536188</v>
      </c>
      <c r="H172" s="29">
        <f t="shared" ca="1" si="25"/>
        <v>223</v>
      </c>
      <c r="J172" s="22">
        <v>44717</v>
      </c>
      <c r="K172" s="26">
        <f t="shared" ca="1" si="2"/>
        <v>0.60541779622426373</v>
      </c>
      <c r="L172" s="29">
        <v>0</v>
      </c>
      <c r="N172" s="22">
        <v>44717</v>
      </c>
      <c r="O172" s="26">
        <f t="shared" ca="1" si="3"/>
        <v>0.56633572484942374</v>
      </c>
      <c r="P172" s="29">
        <v>0</v>
      </c>
      <c r="R172" s="22">
        <v>44717</v>
      </c>
      <c r="S172" s="26">
        <f t="shared" ca="1" si="4"/>
        <v>0.16878468575755379</v>
      </c>
      <c r="T172" s="29">
        <v>0</v>
      </c>
      <c r="V172" s="22">
        <v>44717</v>
      </c>
      <c r="W172" s="26">
        <f t="shared" ca="1" si="5"/>
        <v>4.3079053981976312E-2</v>
      </c>
      <c r="X172" s="29">
        <v>0</v>
      </c>
      <c r="Z172" s="22">
        <v>44717</v>
      </c>
      <c r="AA172" s="26">
        <f t="shared" ca="1" si="6"/>
        <v>1.3923002214250801E-2</v>
      </c>
      <c r="AB172" s="29">
        <v>0</v>
      </c>
      <c r="AC172"/>
      <c r="AD172" s="25"/>
      <c r="AF172" s="22">
        <v>44717</v>
      </c>
      <c r="AG172" s="26">
        <f t="shared" ca="1" si="7"/>
        <v>0.57643980322072608</v>
      </c>
      <c r="AH172" s="29">
        <v>0</v>
      </c>
      <c r="AJ172" s="22">
        <v>44717</v>
      </c>
      <c r="AK172" s="26">
        <f t="shared" ca="1" si="8"/>
        <v>3.5903718724515588E-2</v>
      </c>
      <c r="AL172" s="29">
        <v>0</v>
      </c>
      <c r="AN172" s="22">
        <v>44717</v>
      </c>
      <c r="AO172" s="26">
        <f t="shared" ca="1" si="9"/>
        <v>0.62581477164676591</v>
      </c>
      <c r="AP172" s="29">
        <v>0</v>
      </c>
      <c r="AR172" s="22">
        <v>44717</v>
      </c>
      <c r="AS172" s="26">
        <f t="shared" ca="1" si="10"/>
        <v>0.64174553113965838</v>
      </c>
      <c r="AT172" s="29">
        <v>0</v>
      </c>
      <c r="AV172" s="22">
        <v>44717</v>
      </c>
      <c r="AW172" s="26">
        <f t="shared" ca="1" si="11"/>
        <v>0.89036759657985942</v>
      </c>
      <c r="AX172" s="29">
        <v>0</v>
      </c>
      <c r="AZ172" s="22">
        <v>44717</v>
      </c>
      <c r="BA172" s="26">
        <f t="shared" ca="1" si="12"/>
        <v>0.43566555610383395</v>
      </c>
      <c r="BB172" s="29">
        <v>0</v>
      </c>
      <c r="BC172"/>
      <c r="BD172" s="25"/>
      <c r="BF172" s="22">
        <v>44717</v>
      </c>
      <c r="BG172" s="26">
        <f t="shared" ca="1" si="13"/>
        <v>0.40390378454807507</v>
      </c>
      <c r="BH172" s="29">
        <v>0</v>
      </c>
      <c r="BJ172" s="22">
        <v>44717</v>
      </c>
      <c r="BK172" s="26">
        <f t="shared" ca="1" si="14"/>
        <v>0.26591002501727856</v>
      </c>
      <c r="BL172" s="29">
        <v>0</v>
      </c>
      <c r="BN172" s="22">
        <v>44717</v>
      </c>
      <c r="BO172" s="26">
        <f t="shared" ca="1" si="15"/>
        <v>0.96938940473792712</v>
      </c>
      <c r="BP172" s="29">
        <v>0</v>
      </c>
      <c r="BR172" s="22">
        <v>44717</v>
      </c>
      <c r="BS172" s="26">
        <f t="shared" ca="1" si="16"/>
        <v>0.23663297617476764</v>
      </c>
      <c r="BT172" s="29">
        <v>0</v>
      </c>
      <c r="BV172" s="22">
        <v>44717</v>
      </c>
      <c r="BW172" s="26">
        <f t="shared" ca="1" si="17"/>
        <v>0.88957210082299543</v>
      </c>
      <c r="BX172" s="29">
        <v>0</v>
      </c>
    </row>
    <row r="173" spans="2:77" ht="12.75" x14ac:dyDescent="0.2">
      <c r="B173" s="22">
        <v>44718</v>
      </c>
      <c r="C173" s="26">
        <f t="shared" ca="1" si="0"/>
        <v>0.13394188224784287</v>
      </c>
      <c r="D173" s="29">
        <f t="shared" ca="1" si="24"/>
        <v>53</v>
      </c>
      <c r="F173" s="22">
        <v>44718</v>
      </c>
      <c r="G173" s="26">
        <f t="shared" ca="1" si="1"/>
        <v>6.8373801905730724E-2</v>
      </c>
      <c r="H173" s="29">
        <f t="shared" ca="1" si="25"/>
        <v>195</v>
      </c>
      <c r="J173" s="22">
        <v>44718</v>
      </c>
      <c r="K173" s="26">
        <f t="shared" ca="1" si="2"/>
        <v>0.55932543204298557</v>
      </c>
      <c r="L173" s="29">
        <v>0</v>
      </c>
      <c r="N173" s="22">
        <v>44718</v>
      </c>
      <c r="O173" s="26">
        <f t="shared" ca="1" si="3"/>
        <v>4.3348513302122749E-2</v>
      </c>
      <c r="P173" s="29">
        <v>0</v>
      </c>
      <c r="R173" s="22">
        <v>44718</v>
      </c>
      <c r="S173" s="26">
        <f t="shared" ca="1" si="4"/>
        <v>0.90301872179016118</v>
      </c>
      <c r="T173" s="29">
        <v>0</v>
      </c>
      <c r="V173" s="22">
        <v>44718</v>
      </c>
      <c r="W173" s="26">
        <f t="shared" ca="1" si="5"/>
        <v>0.45914146761975272</v>
      </c>
      <c r="X173" s="29">
        <v>0</v>
      </c>
      <c r="Z173" s="22">
        <v>44718</v>
      </c>
      <c r="AA173" s="26">
        <f t="shared" ca="1" si="6"/>
        <v>0.38046114690279631</v>
      </c>
      <c r="AB173" s="29">
        <v>0</v>
      </c>
      <c r="AC173"/>
      <c r="AD173" s="25"/>
      <c r="AF173" s="22">
        <v>44718</v>
      </c>
      <c r="AG173" s="26">
        <f t="shared" ca="1" si="7"/>
        <v>0.73200263407480293</v>
      </c>
      <c r="AH173" s="29">
        <v>0</v>
      </c>
      <c r="AJ173" s="22">
        <v>44718</v>
      </c>
      <c r="AK173" s="26">
        <f t="shared" ca="1" si="8"/>
        <v>0.11610806088575576</v>
      </c>
      <c r="AL173" s="29">
        <v>0</v>
      </c>
      <c r="AN173" s="22">
        <v>44718</v>
      </c>
      <c r="AO173" s="26">
        <f t="shared" ca="1" si="9"/>
        <v>0.78298631744812719</v>
      </c>
      <c r="AP173" s="29">
        <v>0</v>
      </c>
      <c r="AR173" s="22">
        <v>44718</v>
      </c>
      <c r="AS173" s="26">
        <f t="shared" ca="1" si="10"/>
        <v>0.42693459347445284</v>
      </c>
      <c r="AT173" s="29">
        <v>0</v>
      </c>
      <c r="AV173" s="22">
        <v>44718</v>
      </c>
      <c r="AW173" s="26">
        <f t="shared" ca="1" si="11"/>
        <v>0.43519660655653936</v>
      </c>
      <c r="AX173" s="29">
        <v>0</v>
      </c>
      <c r="AZ173" s="22">
        <v>44718</v>
      </c>
      <c r="BA173" s="26">
        <f t="shared" ca="1" si="12"/>
        <v>0.90699364106882319</v>
      </c>
      <c r="BB173" s="29">
        <v>0</v>
      </c>
      <c r="BC173"/>
      <c r="BD173" s="25"/>
      <c r="BF173" s="22">
        <v>44718</v>
      </c>
      <c r="BG173" s="26">
        <f t="shared" ca="1" si="13"/>
        <v>0.40573402130225289</v>
      </c>
      <c r="BH173" s="29">
        <v>0</v>
      </c>
      <c r="BJ173" s="22">
        <v>44718</v>
      </c>
      <c r="BK173" s="26">
        <f t="shared" ca="1" si="14"/>
        <v>0.53918883184551425</v>
      </c>
      <c r="BL173" s="29">
        <v>0</v>
      </c>
      <c r="BN173" s="22">
        <v>44718</v>
      </c>
      <c r="BO173" s="26">
        <f t="shared" ca="1" si="15"/>
        <v>0.77620207284228071</v>
      </c>
      <c r="BP173" s="29">
        <v>0</v>
      </c>
      <c r="BR173" s="22">
        <v>44718</v>
      </c>
      <c r="BS173" s="26">
        <f t="shared" ca="1" si="16"/>
        <v>0.50541125202226156</v>
      </c>
      <c r="BT173" s="29">
        <v>0</v>
      </c>
      <c r="BV173" s="22">
        <v>44718</v>
      </c>
      <c r="BW173" s="26">
        <f t="shared" ca="1" si="17"/>
        <v>2.0044158603129913E-2</v>
      </c>
      <c r="BX173" s="29">
        <v>0</v>
      </c>
    </row>
    <row r="174" spans="2:77" ht="12.75" x14ac:dyDescent="0.2">
      <c r="B174" s="22">
        <v>44719</v>
      </c>
      <c r="C174" s="26">
        <f t="shared" ca="1" si="0"/>
        <v>0.46987502976815243</v>
      </c>
      <c r="D174" s="29">
        <f t="shared" ca="1" si="24"/>
        <v>74</v>
      </c>
      <c r="F174" s="22">
        <v>44719</v>
      </c>
      <c r="G174" s="26">
        <f t="shared" ca="1" si="1"/>
        <v>0.44760545221755144</v>
      </c>
      <c r="H174" s="29">
        <f t="shared" ca="1" si="25"/>
        <v>214</v>
      </c>
      <c r="J174" s="22">
        <v>44719</v>
      </c>
      <c r="K174" s="26">
        <f t="shared" ca="1" si="2"/>
        <v>0.30176070040331338</v>
      </c>
      <c r="L174" s="29">
        <v>0</v>
      </c>
      <c r="N174" s="22">
        <v>44719</v>
      </c>
      <c r="O174" s="26">
        <f t="shared" ca="1" si="3"/>
        <v>0.45172663937356128</v>
      </c>
      <c r="P174" s="29">
        <v>0</v>
      </c>
      <c r="R174" s="22">
        <v>44719</v>
      </c>
      <c r="S174" s="26">
        <f t="shared" ca="1" si="4"/>
        <v>2.02572593983944E-2</v>
      </c>
      <c r="T174" s="29">
        <v>0</v>
      </c>
      <c r="V174" s="22">
        <v>44719</v>
      </c>
      <c r="W174" s="26">
        <f t="shared" ca="1" si="5"/>
        <v>0.21991019118097577</v>
      </c>
      <c r="X174" s="29">
        <v>0</v>
      </c>
      <c r="Z174" s="22">
        <v>44719</v>
      </c>
      <c r="AA174" s="26">
        <f t="shared" ca="1" si="6"/>
        <v>0.87093884966102297</v>
      </c>
      <c r="AB174" s="29">
        <v>0</v>
      </c>
      <c r="AC174"/>
      <c r="AD174" s="25"/>
      <c r="AF174" s="22">
        <v>44719</v>
      </c>
      <c r="AG174" s="26">
        <f t="shared" ca="1" si="7"/>
        <v>0.74716808432356641</v>
      </c>
      <c r="AH174" s="29">
        <v>0</v>
      </c>
      <c r="AJ174" s="22">
        <v>44719</v>
      </c>
      <c r="AK174" s="26">
        <f t="shared" ca="1" si="8"/>
        <v>0.53853114075205355</v>
      </c>
      <c r="AL174" s="29">
        <v>0</v>
      </c>
      <c r="AN174" s="22">
        <v>44719</v>
      </c>
      <c r="AO174" s="26">
        <f t="shared" ca="1" si="9"/>
        <v>2.5688983087713169E-2</v>
      </c>
      <c r="AP174" s="29">
        <v>0</v>
      </c>
      <c r="AR174" s="22">
        <v>44719</v>
      </c>
      <c r="AS174" s="26">
        <f t="shared" ca="1" si="10"/>
        <v>0.58322572027909403</v>
      </c>
      <c r="AT174" s="29">
        <v>0</v>
      </c>
      <c r="AV174" s="22">
        <v>44719</v>
      </c>
      <c r="AW174" s="26">
        <f t="shared" ca="1" si="11"/>
        <v>0.85596339484408213</v>
      </c>
      <c r="AX174" s="29">
        <v>0</v>
      </c>
      <c r="AZ174" s="22">
        <v>44719</v>
      </c>
      <c r="BA174" s="26">
        <f t="shared" ca="1" si="12"/>
        <v>0.38949192844421587</v>
      </c>
      <c r="BB174" s="29">
        <v>0</v>
      </c>
      <c r="BC174"/>
      <c r="BD174" s="25"/>
      <c r="BF174" s="22">
        <v>44719</v>
      </c>
      <c r="BG174" s="26">
        <f t="shared" ca="1" si="13"/>
        <v>0.38359246734563979</v>
      </c>
      <c r="BH174" s="29">
        <v>0</v>
      </c>
      <c r="BJ174" s="22">
        <v>44719</v>
      </c>
      <c r="BK174" s="26">
        <f t="shared" ca="1" si="14"/>
        <v>0.56360245401909026</v>
      </c>
      <c r="BL174" s="29">
        <v>0</v>
      </c>
      <c r="BN174" s="22">
        <v>44719</v>
      </c>
      <c r="BO174" s="26">
        <f t="shared" ca="1" si="15"/>
        <v>0.29710795499134157</v>
      </c>
      <c r="BP174" s="29">
        <v>0</v>
      </c>
      <c r="BR174" s="22">
        <v>44719</v>
      </c>
      <c r="BS174" s="26">
        <f t="shared" ca="1" si="16"/>
        <v>0.91972389666212861</v>
      </c>
      <c r="BT174" s="29">
        <v>0</v>
      </c>
      <c r="BV174" s="22">
        <v>44719</v>
      </c>
      <c r="BW174" s="26">
        <f t="shared" ca="1" si="17"/>
        <v>0.21382053317729466</v>
      </c>
      <c r="BX174" s="29">
        <v>0</v>
      </c>
    </row>
    <row r="175" spans="2:77" ht="12.75" x14ac:dyDescent="0.2">
      <c r="B175" s="22">
        <v>44720</v>
      </c>
      <c r="C175" s="26">
        <f t="shared" ca="1" si="0"/>
        <v>0.22864146804881058</v>
      </c>
      <c r="D175" s="29">
        <f t="shared" ca="1" si="24"/>
        <v>61</v>
      </c>
      <c r="F175" s="22">
        <v>44720</v>
      </c>
      <c r="G175" s="26">
        <f t="shared" ca="1" si="1"/>
        <v>0.2889611494934804</v>
      </c>
      <c r="H175" s="29">
        <f t="shared" ca="1" si="25"/>
        <v>208</v>
      </c>
      <c r="J175" s="22">
        <v>44720</v>
      </c>
      <c r="K175" s="26">
        <f t="shared" ca="1" si="2"/>
        <v>0.78918130436575529</v>
      </c>
      <c r="L175" s="29">
        <v>0</v>
      </c>
      <c r="N175" s="22">
        <v>44720</v>
      </c>
      <c r="O175" s="26">
        <f t="shared" ca="1" si="3"/>
        <v>0.5641048438615538</v>
      </c>
      <c r="P175" s="29">
        <v>0</v>
      </c>
      <c r="R175" s="22">
        <v>44720</v>
      </c>
      <c r="S175" s="26">
        <f t="shared" ca="1" si="4"/>
        <v>0.95617424213622348</v>
      </c>
      <c r="T175" s="29">
        <v>0</v>
      </c>
      <c r="V175" s="22">
        <v>44720</v>
      </c>
      <c r="W175" s="26">
        <f t="shared" ca="1" si="5"/>
        <v>0.63053827288846764</v>
      </c>
      <c r="X175" s="29">
        <v>0</v>
      </c>
      <c r="Z175" s="22">
        <v>44720</v>
      </c>
      <c r="AA175" s="26">
        <f t="shared" ca="1" si="6"/>
        <v>0.21777199762745902</v>
      </c>
      <c r="AB175" s="29">
        <v>0</v>
      </c>
      <c r="AC175"/>
      <c r="AD175" s="25"/>
      <c r="AF175" s="22">
        <v>44720</v>
      </c>
      <c r="AG175" s="26">
        <f t="shared" ca="1" si="7"/>
        <v>0.47652802253971782</v>
      </c>
      <c r="AH175" s="29">
        <v>0</v>
      </c>
      <c r="AJ175" s="22">
        <v>44720</v>
      </c>
      <c r="AK175" s="26">
        <f t="shared" ca="1" si="8"/>
        <v>0.83811252037704753</v>
      </c>
      <c r="AL175" s="29">
        <v>0</v>
      </c>
      <c r="AN175" s="22">
        <v>44720</v>
      </c>
      <c r="AO175" s="26">
        <f t="shared" ca="1" si="9"/>
        <v>0.4579110150379252</v>
      </c>
      <c r="AP175" s="29">
        <v>0</v>
      </c>
      <c r="AR175" s="22">
        <v>44720</v>
      </c>
      <c r="AS175" s="26">
        <f t="shared" ca="1" si="10"/>
        <v>0.23981569547545589</v>
      </c>
      <c r="AT175" s="29">
        <v>0</v>
      </c>
      <c r="AV175" s="22">
        <v>44720</v>
      </c>
      <c r="AW175" s="26">
        <f t="shared" ca="1" si="11"/>
        <v>0.59370723200735998</v>
      </c>
      <c r="AX175" s="29">
        <v>0</v>
      </c>
      <c r="AZ175" s="22">
        <v>44720</v>
      </c>
      <c r="BA175" s="26">
        <f t="shared" ca="1" si="12"/>
        <v>0.46486940708853064</v>
      </c>
      <c r="BB175" s="29">
        <v>0</v>
      </c>
      <c r="BC175"/>
      <c r="BD175" s="25"/>
      <c r="BF175" s="22">
        <v>44720</v>
      </c>
      <c r="BG175" s="26">
        <f t="shared" ca="1" si="13"/>
        <v>0.96390627775418569</v>
      </c>
      <c r="BH175" s="29">
        <v>0</v>
      </c>
      <c r="BJ175" s="22">
        <v>44720</v>
      </c>
      <c r="BK175" s="26">
        <f t="shared" ca="1" si="14"/>
        <v>0.63004958352498375</v>
      </c>
      <c r="BL175" s="29">
        <v>0</v>
      </c>
      <c r="BN175" s="22">
        <v>44720</v>
      </c>
      <c r="BO175" s="26">
        <f t="shared" ca="1" si="15"/>
        <v>0.16968758164506004</v>
      </c>
      <c r="BP175" s="29">
        <v>0</v>
      </c>
      <c r="BR175" s="22">
        <v>44720</v>
      </c>
      <c r="BS175" s="26">
        <f t="shared" ca="1" si="16"/>
        <v>1.7027096397665309E-2</v>
      </c>
      <c r="BT175" s="29">
        <v>0</v>
      </c>
      <c r="BV175" s="22">
        <v>44720</v>
      </c>
      <c r="BW175" s="26">
        <f t="shared" ca="1" si="17"/>
        <v>0.28371973286517682</v>
      </c>
      <c r="BX175" s="29">
        <v>0</v>
      </c>
    </row>
    <row r="176" spans="2:77" ht="12.75" x14ac:dyDescent="0.2">
      <c r="B176" s="22">
        <v>44721</v>
      </c>
      <c r="C176" s="26">
        <f t="shared" ca="1" si="0"/>
        <v>0.72656961455490332</v>
      </c>
      <c r="D176" s="29">
        <f t="shared" ca="1" si="24"/>
        <v>88</v>
      </c>
      <c r="F176" s="22">
        <v>44721</v>
      </c>
      <c r="G176" s="26">
        <f t="shared" ca="1" si="1"/>
        <v>0.5350454103694442</v>
      </c>
      <c r="H176" s="29">
        <f t="shared" ca="1" si="25"/>
        <v>217</v>
      </c>
      <c r="J176" s="22">
        <v>44721</v>
      </c>
      <c r="K176" s="26">
        <f t="shared" ca="1" si="2"/>
        <v>0.36573570319910997</v>
      </c>
      <c r="L176" s="29">
        <v>0</v>
      </c>
      <c r="N176" s="22">
        <v>44721</v>
      </c>
      <c r="O176" s="26">
        <f t="shared" ca="1" si="3"/>
        <v>0.71968631663897376</v>
      </c>
      <c r="P176" s="29">
        <v>0</v>
      </c>
      <c r="R176" s="22">
        <v>44721</v>
      </c>
      <c r="S176" s="26">
        <f t="shared" ca="1" si="4"/>
        <v>4.8496962323815174E-3</v>
      </c>
      <c r="T176" s="29">
        <v>0</v>
      </c>
      <c r="V176" s="22">
        <v>44721</v>
      </c>
      <c r="W176" s="26">
        <f t="shared" ca="1" si="5"/>
        <v>0.92480787252793095</v>
      </c>
      <c r="X176" s="29">
        <v>0</v>
      </c>
      <c r="Z176" s="22">
        <v>44721</v>
      </c>
      <c r="AA176" s="26">
        <f t="shared" ca="1" si="6"/>
        <v>0.63521523902554011</v>
      </c>
      <c r="AB176" s="29">
        <v>0</v>
      </c>
      <c r="AC176"/>
      <c r="AD176" s="25"/>
      <c r="AF176" s="22">
        <v>44721</v>
      </c>
      <c r="AG176" s="26">
        <f t="shared" ca="1" si="7"/>
        <v>0.89338756931037366</v>
      </c>
      <c r="AH176" s="29">
        <v>0</v>
      </c>
      <c r="AJ176" s="22">
        <v>44721</v>
      </c>
      <c r="AK176" s="26">
        <f t="shared" ca="1" si="8"/>
        <v>0.44194162625076971</v>
      </c>
      <c r="AL176" s="29">
        <v>0</v>
      </c>
      <c r="AN176" s="22">
        <v>44721</v>
      </c>
      <c r="AO176" s="26">
        <f t="shared" ca="1" si="9"/>
        <v>0.69002712231638508</v>
      </c>
      <c r="AP176" s="29">
        <v>0</v>
      </c>
      <c r="AR176" s="22">
        <v>44721</v>
      </c>
      <c r="AS176" s="26">
        <f t="shared" ca="1" si="10"/>
        <v>0.15482642681327063</v>
      </c>
      <c r="AT176" s="29">
        <v>0</v>
      </c>
      <c r="AV176" s="22">
        <v>44721</v>
      </c>
      <c r="AW176" s="26">
        <f t="shared" ca="1" si="11"/>
        <v>0.48120346027758365</v>
      </c>
      <c r="AX176" s="29">
        <v>0</v>
      </c>
      <c r="AZ176" s="22">
        <v>44721</v>
      </c>
      <c r="BA176" s="26">
        <f t="shared" ca="1" si="12"/>
        <v>0.68644244160657275</v>
      </c>
      <c r="BB176" s="29">
        <v>0</v>
      </c>
      <c r="BC176"/>
      <c r="BD176" s="25"/>
      <c r="BF176" s="22">
        <v>44721</v>
      </c>
      <c r="BG176" s="26">
        <f t="shared" ca="1" si="13"/>
        <v>0.34998154921523406</v>
      </c>
      <c r="BH176" s="29">
        <v>0</v>
      </c>
      <c r="BJ176" s="22">
        <v>44721</v>
      </c>
      <c r="BK176" s="26">
        <f t="shared" ca="1" si="14"/>
        <v>0.33539988597680825</v>
      </c>
      <c r="BL176" s="29">
        <v>0</v>
      </c>
      <c r="BN176" s="22">
        <v>44721</v>
      </c>
      <c r="BO176" s="26">
        <f t="shared" ca="1" si="15"/>
        <v>0.71636104957768409</v>
      </c>
      <c r="BP176" s="29">
        <v>0</v>
      </c>
      <c r="BR176" s="22">
        <v>44721</v>
      </c>
      <c r="BS176" s="26">
        <f t="shared" ca="1" si="16"/>
        <v>0.11189015511727818</v>
      </c>
      <c r="BT176" s="29">
        <v>0</v>
      </c>
      <c r="BV176" s="22">
        <v>44721</v>
      </c>
      <c r="BW176" s="26">
        <f t="shared" ca="1" si="17"/>
        <v>0.83827005826553014</v>
      </c>
      <c r="BX176" s="29">
        <v>0</v>
      </c>
    </row>
    <row r="177" spans="2:76" ht="12.75" x14ac:dyDescent="0.2">
      <c r="B177" s="22">
        <v>44722</v>
      </c>
      <c r="C177" s="26">
        <f t="shared" ca="1" si="0"/>
        <v>0.43588403784287355</v>
      </c>
      <c r="D177" s="29">
        <f t="shared" ca="1" si="24"/>
        <v>72</v>
      </c>
      <c r="F177" s="22">
        <v>44722</v>
      </c>
      <c r="G177" s="26">
        <f t="shared" ca="1" si="1"/>
        <v>0.27612622529893138</v>
      </c>
      <c r="H177" s="29">
        <f t="shared" ca="1" si="25"/>
        <v>207</v>
      </c>
      <c r="J177" s="22">
        <v>44722</v>
      </c>
      <c r="K177" s="26">
        <f t="shared" ca="1" si="2"/>
        <v>0.22842168515585803</v>
      </c>
      <c r="L177" s="29">
        <v>0</v>
      </c>
      <c r="N177" s="22">
        <v>44722</v>
      </c>
      <c r="O177" s="26">
        <f t="shared" ca="1" si="3"/>
        <v>0.56772134754860626</v>
      </c>
      <c r="P177" s="29">
        <v>0</v>
      </c>
      <c r="R177" s="22">
        <v>44722</v>
      </c>
      <c r="S177" s="26">
        <f t="shared" ca="1" si="4"/>
        <v>0.47029250490438312</v>
      </c>
      <c r="T177" s="29">
        <v>0</v>
      </c>
      <c r="V177" s="22">
        <v>44722</v>
      </c>
      <c r="W177" s="26">
        <f t="shared" ca="1" si="5"/>
        <v>0.66735832488176805</v>
      </c>
      <c r="X177" s="29">
        <v>0</v>
      </c>
      <c r="Z177" s="22">
        <v>44722</v>
      </c>
      <c r="AA177" s="26">
        <f t="shared" ca="1" si="6"/>
        <v>0.75014261062106136</v>
      </c>
      <c r="AB177" s="29">
        <v>0</v>
      </c>
      <c r="AC177"/>
      <c r="AD177" s="25"/>
      <c r="AF177" s="22">
        <v>44722</v>
      </c>
      <c r="AG177" s="26">
        <f t="shared" ca="1" si="7"/>
        <v>0.75672106839852027</v>
      </c>
      <c r="AH177" s="29">
        <v>0</v>
      </c>
      <c r="AJ177" s="22">
        <v>44722</v>
      </c>
      <c r="AK177" s="26">
        <f t="shared" ca="1" si="8"/>
        <v>0.79612019932643574</v>
      </c>
      <c r="AL177" s="29">
        <v>0</v>
      </c>
      <c r="AN177" s="22">
        <v>44722</v>
      </c>
      <c r="AO177" s="26">
        <f t="shared" ca="1" si="9"/>
        <v>0.77934652920793401</v>
      </c>
      <c r="AP177" s="29">
        <v>0</v>
      </c>
      <c r="AR177" s="22">
        <v>44722</v>
      </c>
      <c r="AS177" s="26">
        <f t="shared" ca="1" si="10"/>
        <v>0.32695562793767041</v>
      </c>
      <c r="AT177" s="29">
        <v>0</v>
      </c>
      <c r="AV177" s="22">
        <v>44722</v>
      </c>
      <c r="AW177" s="26">
        <f t="shared" ca="1" si="11"/>
        <v>7.7967096129231361E-2</v>
      </c>
      <c r="AX177" s="29">
        <v>0</v>
      </c>
      <c r="AZ177" s="22">
        <v>44722</v>
      </c>
      <c r="BA177" s="26">
        <f t="shared" ca="1" si="12"/>
        <v>0.22146666342923504</v>
      </c>
      <c r="BB177" s="29">
        <v>0</v>
      </c>
      <c r="BC177"/>
      <c r="BD177" s="25"/>
      <c r="BF177" s="22">
        <v>44722</v>
      </c>
      <c r="BG177" s="26">
        <f t="shared" ca="1" si="13"/>
        <v>0.55396566282960402</v>
      </c>
      <c r="BH177" s="29">
        <v>0</v>
      </c>
      <c r="BJ177" s="22">
        <v>44722</v>
      </c>
      <c r="BK177" s="26">
        <f t="shared" ca="1" si="14"/>
        <v>0.52690526411144156</v>
      </c>
      <c r="BL177" s="29">
        <v>0</v>
      </c>
      <c r="BN177" s="22">
        <v>44722</v>
      </c>
      <c r="BO177" s="26">
        <f t="shared" ca="1" si="15"/>
        <v>0.35736589462295165</v>
      </c>
      <c r="BP177" s="29">
        <v>0</v>
      </c>
      <c r="BR177" s="22">
        <v>44722</v>
      </c>
      <c r="BS177" s="26">
        <f t="shared" ca="1" si="16"/>
        <v>8.380887844609719E-2</v>
      </c>
      <c r="BT177" s="29">
        <v>0</v>
      </c>
      <c r="BV177" s="22">
        <v>44722</v>
      </c>
      <c r="BW177" s="26">
        <f t="shared" ca="1" si="17"/>
        <v>0.63637062316324089</v>
      </c>
      <c r="BX177" s="29">
        <v>0</v>
      </c>
    </row>
    <row r="178" spans="2:76" ht="12.75" x14ac:dyDescent="0.2">
      <c r="B178" s="22">
        <v>44723</v>
      </c>
      <c r="C178" s="26">
        <f t="shared" ca="1" si="0"/>
        <v>0.82824373353604541</v>
      </c>
      <c r="D178" s="29">
        <f t="shared" ca="1" si="24"/>
        <v>94</v>
      </c>
      <c r="F178" s="22">
        <v>44723</v>
      </c>
      <c r="G178" s="26">
        <f t="shared" ca="1" si="1"/>
        <v>0.67579810482260394</v>
      </c>
      <c r="H178" s="29">
        <f t="shared" ca="1" si="25"/>
        <v>222</v>
      </c>
      <c r="J178" s="22">
        <v>44723</v>
      </c>
      <c r="K178" s="26">
        <f t="shared" ca="1" si="2"/>
        <v>0.58715606603003612</v>
      </c>
      <c r="L178" s="29">
        <v>0</v>
      </c>
      <c r="N178" s="22">
        <v>44723</v>
      </c>
      <c r="O178" s="26">
        <f t="shared" ca="1" si="3"/>
        <v>0.75336492775566088</v>
      </c>
      <c r="P178" s="29">
        <v>0</v>
      </c>
      <c r="R178" s="22">
        <v>44723</v>
      </c>
      <c r="S178" s="26">
        <f t="shared" ca="1" si="4"/>
        <v>0.78244321788562055</v>
      </c>
      <c r="T178" s="29">
        <v>0</v>
      </c>
      <c r="V178" s="22">
        <v>44723</v>
      </c>
      <c r="W178" s="26">
        <f t="shared" ca="1" si="5"/>
        <v>0.82350582998015021</v>
      </c>
      <c r="X178" s="29">
        <v>0</v>
      </c>
      <c r="Z178" s="22">
        <v>44723</v>
      </c>
      <c r="AA178" s="26">
        <f t="shared" ca="1" si="6"/>
        <v>0.32844955448061564</v>
      </c>
      <c r="AB178" s="29">
        <v>0</v>
      </c>
      <c r="AC178"/>
      <c r="AD178" s="25"/>
      <c r="AF178" s="22">
        <v>44723</v>
      </c>
      <c r="AG178" s="26">
        <f t="shared" ca="1" si="7"/>
        <v>0.83321485393022598</v>
      </c>
      <c r="AH178" s="29">
        <v>0</v>
      </c>
      <c r="AJ178" s="22">
        <v>44723</v>
      </c>
      <c r="AK178" s="26">
        <f t="shared" ca="1" si="8"/>
        <v>0.37118090287040129</v>
      </c>
      <c r="AL178" s="29">
        <v>0</v>
      </c>
      <c r="AN178" s="22">
        <v>44723</v>
      </c>
      <c r="AO178" s="26">
        <f t="shared" ca="1" si="9"/>
        <v>0.5936834860620922</v>
      </c>
      <c r="AP178" s="29">
        <v>0</v>
      </c>
      <c r="AR178" s="22">
        <v>44723</v>
      </c>
      <c r="AS178" s="26">
        <f t="shared" ca="1" si="10"/>
        <v>0.38909732085390036</v>
      </c>
      <c r="AT178" s="29">
        <v>0</v>
      </c>
      <c r="AV178" s="22">
        <v>44723</v>
      </c>
      <c r="AW178" s="26">
        <f t="shared" ca="1" si="11"/>
        <v>0.75960097272298899</v>
      </c>
      <c r="AX178" s="29">
        <v>0</v>
      </c>
      <c r="AZ178" s="22">
        <v>44723</v>
      </c>
      <c r="BA178" s="26">
        <f t="shared" ca="1" si="12"/>
        <v>0.6598326418060505</v>
      </c>
      <c r="BB178" s="29">
        <v>0</v>
      </c>
      <c r="BC178"/>
      <c r="BD178" s="25"/>
      <c r="BF178" s="22">
        <v>44723</v>
      </c>
      <c r="BG178" s="26">
        <f t="shared" ca="1" si="13"/>
        <v>0.10251601129945498</v>
      </c>
      <c r="BH178" s="29">
        <v>0</v>
      </c>
      <c r="BJ178" s="22">
        <v>44723</v>
      </c>
      <c r="BK178" s="26">
        <f t="shared" ca="1" si="14"/>
        <v>0.42123691009723629</v>
      </c>
      <c r="BL178" s="29">
        <v>0</v>
      </c>
      <c r="BN178" s="22">
        <v>44723</v>
      </c>
      <c r="BO178" s="26">
        <f t="shared" ca="1" si="15"/>
        <v>6.8639774088264938E-2</v>
      </c>
      <c r="BP178" s="29">
        <v>0</v>
      </c>
      <c r="BR178" s="22">
        <v>44723</v>
      </c>
      <c r="BS178" s="26">
        <f t="shared" ca="1" si="16"/>
        <v>0.18056787364573779</v>
      </c>
      <c r="BT178" s="29">
        <v>0</v>
      </c>
      <c r="BV178" s="22">
        <v>44723</v>
      </c>
      <c r="BW178" s="26">
        <f t="shared" ca="1" si="17"/>
        <v>0.25114117153997573</v>
      </c>
      <c r="BX178" s="29">
        <v>0</v>
      </c>
    </row>
    <row r="179" spans="2:76" ht="12.75" x14ac:dyDescent="0.2">
      <c r="B179" s="22">
        <v>44724</v>
      </c>
      <c r="C179" s="26">
        <f t="shared" ca="1" si="0"/>
        <v>0.52401912323437705</v>
      </c>
      <c r="D179" s="29">
        <f t="shared" ca="1" si="24"/>
        <v>77</v>
      </c>
      <c r="F179" s="22">
        <v>44724</v>
      </c>
      <c r="G179" s="26">
        <f t="shared" ca="1" si="1"/>
        <v>9.2255344601518741E-2</v>
      </c>
      <c r="H179" s="29">
        <f t="shared" ca="1" si="25"/>
        <v>197</v>
      </c>
      <c r="J179" s="22">
        <v>44724</v>
      </c>
      <c r="K179" s="26">
        <f t="shared" ca="1" si="2"/>
        <v>0.53331786740644183</v>
      </c>
      <c r="L179" s="29">
        <v>0</v>
      </c>
      <c r="N179" s="22">
        <v>44724</v>
      </c>
      <c r="O179" s="26">
        <f t="shared" ca="1" si="3"/>
        <v>0.57415457313104823</v>
      </c>
      <c r="P179" s="29">
        <v>0</v>
      </c>
      <c r="R179" s="22">
        <v>44724</v>
      </c>
      <c r="S179" s="26">
        <f t="shared" ca="1" si="4"/>
        <v>0.77727499993100724</v>
      </c>
      <c r="T179" s="29">
        <v>0</v>
      </c>
      <c r="V179" s="22">
        <v>44724</v>
      </c>
      <c r="W179" s="26">
        <f t="shared" ca="1" si="5"/>
        <v>0.29643942988293781</v>
      </c>
      <c r="X179" s="29">
        <v>0</v>
      </c>
      <c r="Z179" s="22">
        <v>44724</v>
      </c>
      <c r="AA179" s="26">
        <f t="shared" ca="1" si="6"/>
        <v>0.79360372086466902</v>
      </c>
      <c r="AB179" s="29">
        <v>0</v>
      </c>
      <c r="AC179"/>
      <c r="AD179" s="25"/>
      <c r="AF179" s="22">
        <v>44724</v>
      </c>
      <c r="AG179" s="26">
        <f t="shared" ca="1" si="7"/>
        <v>6.4863743586459743E-2</v>
      </c>
      <c r="AH179" s="29">
        <v>0</v>
      </c>
      <c r="AJ179" s="22">
        <v>44724</v>
      </c>
      <c r="AK179" s="26">
        <f t="shared" ca="1" si="8"/>
        <v>0.71925475204219635</v>
      </c>
      <c r="AL179" s="29">
        <v>0</v>
      </c>
      <c r="AN179" s="22">
        <v>44724</v>
      </c>
      <c r="AO179" s="26">
        <f t="shared" ca="1" si="9"/>
        <v>0.77283911428277008</v>
      </c>
      <c r="AP179" s="29">
        <v>0</v>
      </c>
      <c r="AR179" s="22">
        <v>44724</v>
      </c>
      <c r="AS179" s="26">
        <f t="shared" ca="1" si="10"/>
        <v>0.1468857753704611</v>
      </c>
      <c r="AT179" s="29">
        <v>0</v>
      </c>
      <c r="AV179" s="22">
        <v>44724</v>
      </c>
      <c r="AW179" s="26">
        <f t="shared" ca="1" si="11"/>
        <v>0.21827291218798262</v>
      </c>
      <c r="AX179" s="29">
        <v>0</v>
      </c>
      <c r="AZ179" s="22">
        <v>44724</v>
      </c>
      <c r="BA179" s="26">
        <f t="shared" ca="1" si="12"/>
        <v>0.94633305559569358</v>
      </c>
      <c r="BB179" s="29">
        <v>0</v>
      </c>
      <c r="BC179"/>
      <c r="BD179" s="25"/>
      <c r="BF179" s="22">
        <v>44724</v>
      </c>
      <c r="BG179" s="26">
        <f t="shared" ca="1" si="13"/>
        <v>0.27838898350006924</v>
      </c>
      <c r="BH179" s="29">
        <v>0</v>
      </c>
      <c r="BJ179" s="22">
        <v>44724</v>
      </c>
      <c r="BK179" s="26">
        <f t="shared" ca="1" si="14"/>
        <v>0.57889580564793564</v>
      </c>
      <c r="BL179" s="29">
        <v>0</v>
      </c>
      <c r="BN179" s="22">
        <v>44724</v>
      </c>
      <c r="BO179" s="26">
        <f t="shared" ca="1" si="15"/>
        <v>0.85383530612297753</v>
      </c>
      <c r="BP179" s="29">
        <v>0</v>
      </c>
      <c r="BR179" s="22">
        <v>44724</v>
      </c>
      <c r="BS179" s="26">
        <f t="shared" ca="1" si="16"/>
        <v>0.66138012081916697</v>
      </c>
      <c r="BT179" s="29">
        <v>0</v>
      </c>
      <c r="BV179" s="22">
        <v>44724</v>
      </c>
      <c r="BW179" s="26">
        <f t="shared" ca="1" si="17"/>
        <v>0.62578173332974862</v>
      </c>
      <c r="BX179" s="29">
        <v>0</v>
      </c>
    </row>
    <row r="180" spans="2:76" ht="12.75" x14ac:dyDescent="0.2">
      <c r="B180" s="22">
        <v>44725</v>
      </c>
      <c r="C180" s="26">
        <f t="shared" ca="1" si="0"/>
        <v>0.901909305350724</v>
      </c>
      <c r="D180" s="29">
        <f t="shared" ca="1" si="24"/>
        <v>101</v>
      </c>
      <c r="F180" s="22">
        <v>44725</v>
      </c>
      <c r="G180" s="26">
        <f t="shared" ca="1" si="1"/>
        <v>0.82097130231705695</v>
      </c>
      <c r="H180" s="29">
        <f t="shared" ca="1" si="25"/>
        <v>229</v>
      </c>
      <c r="J180" s="22">
        <v>44725</v>
      </c>
      <c r="K180" s="26">
        <f t="shared" ca="1" si="2"/>
        <v>0.75514868572592408</v>
      </c>
      <c r="L180" s="29">
        <v>0</v>
      </c>
      <c r="N180" s="22">
        <v>44725</v>
      </c>
      <c r="O180" s="26">
        <f t="shared" ca="1" si="3"/>
        <v>0.75443658534498304</v>
      </c>
      <c r="P180" s="29">
        <v>0</v>
      </c>
      <c r="R180" s="22">
        <v>44725</v>
      </c>
      <c r="S180" s="26">
        <f t="shared" ca="1" si="4"/>
        <v>0.45764263355690671</v>
      </c>
      <c r="T180" s="29">
        <v>0</v>
      </c>
      <c r="V180" s="22">
        <v>44725</v>
      </c>
      <c r="W180" s="26">
        <f t="shared" ca="1" si="5"/>
        <v>0.28772578044805441</v>
      </c>
      <c r="X180" s="29">
        <v>0</v>
      </c>
      <c r="Z180" s="22">
        <v>44725</v>
      </c>
      <c r="AA180" s="26">
        <f t="shared" ca="1" si="6"/>
        <v>0.2628377963478099</v>
      </c>
      <c r="AB180" s="29">
        <v>0</v>
      </c>
      <c r="AC180"/>
      <c r="AD180" s="25"/>
      <c r="AF180" s="22">
        <v>44725</v>
      </c>
      <c r="AG180" s="26">
        <f t="shared" ca="1" si="7"/>
        <v>0.17984697324800392</v>
      </c>
      <c r="AH180" s="29">
        <v>0</v>
      </c>
      <c r="AJ180" s="22">
        <v>44725</v>
      </c>
      <c r="AK180" s="26">
        <f t="shared" ca="1" si="8"/>
        <v>0.33922987357736734</v>
      </c>
      <c r="AL180" s="29">
        <v>0</v>
      </c>
      <c r="AN180" s="22">
        <v>44725</v>
      </c>
      <c r="AO180" s="26">
        <f t="shared" ca="1" si="9"/>
        <v>0.7188429700232869</v>
      </c>
      <c r="AP180" s="29">
        <v>0</v>
      </c>
      <c r="AR180" s="22">
        <v>44725</v>
      </c>
      <c r="AS180" s="26">
        <f t="shared" ca="1" si="10"/>
        <v>0.3243881067959562</v>
      </c>
      <c r="AT180" s="29">
        <v>0</v>
      </c>
      <c r="AV180" s="22">
        <v>44725</v>
      </c>
      <c r="AW180" s="26">
        <f t="shared" ca="1" si="11"/>
        <v>0.39332439165711119</v>
      </c>
      <c r="AX180" s="29">
        <v>0</v>
      </c>
      <c r="AZ180" s="22">
        <v>44725</v>
      </c>
      <c r="BA180" s="26">
        <f t="shared" ca="1" si="12"/>
        <v>0.46849840391871056</v>
      </c>
      <c r="BB180" s="29">
        <v>0</v>
      </c>
      <c r="BC180"/>
      <c r="BD180" s="25"/>
      <c r="BF180" s="22">
        <v>44725</v>
      </c>
      <c r="BG180" s="26">
        <f t="shared" ca="1" si="13"/>
        <v>0.34315831653128581</v>
      </c>
      <c r="BH180" s="29">
        <v>0</v>
      </c>
      <c r="BJ180" s="22">
        <v>44725</v>
      </c>
      <c r="BK180" s="26">
        <f t="shared" ca="1" si="14"/>
        <v>0.13326661607648715</v>
      </c>
      <c r="BL180" s="29">
        <v>0</v>
      </c>
      <c r="BN180" s="22">
        <v>44725</v>
      </c>
      <c r="BO180" s="26">
        <f t="shared" ca="1" si="15"/>
        <v>0.52426519957246021</v>
      </c>
      <c r="BP180" s="29">
        <v>0</v>
      </c>
      <c r="BR180" s="22">
        <v>44725</v>
      </c>
      <c r="BS180" s="26">
        <f t="shared" ca="1" si="16"/>
        <v>0.28176293058540691</v>
      </c>
      <c r="BT180" s="29">
        <v>0</v>
      </c>
      <c r="BV180" s="22">
        <v>44725</v>
      </c>
      <c r="BW180" s="26">
        <f t="shared" ca="1" si="17"/>
        <v>0.18927579792746008</v>
      </c>
      <c r="BX180" s="29">
        <v>0</v>
      </c>
    </row>
    <row r="181" spans="2:76" ht="12.75" x14ac:dyDescent="0.2">
      <c r="B181" s="22">
        <v>44726</v>
      </c>
      <c r="C181" s="26">
        <f t="shared" ca="1" si="0"/>
        <v>0.90143597157653566</v>
      </c>
      <c r="D181" s="29">
        <f t="shared" ca="1" si="24"/>
        <v>101</v>
      </c>
      <c r="F181" s="22">
        <v>44726</v>
      </c>
      <c r="G181" s="26">
        <f t="shared" ca="1" si="1"/>
        <v>0.86516020689196083</v>
      </c>
      <c r="H181" s="29">
        <f t="shared" ca="1" si="25"/>
        <v>232</v>
      </c>
      <c r="J181" s="22">
        <v>44726</v>
      </c>
      <c r="K181" s="26">
        <f t="shared" ca="1" si="2"/>
        <v>0.6855592882876973</v>
      </c>
      <c r="L181" s="29">
        <v>0</v>
      </c>
      <c r="N181" s="22">
        <v>44726</v>
      </c>
      <c r="O181" s="26">
        <f t="shared" ca="1" si="3"/>
        <v>0.19181813537250203</v>
      </c>
      <c r="P181" s="29">
        <v>0</v>
      </c>
      <c r="R181" s="22">
        <v>44726</v>
      </c>
      <c r="S181" s="26">
        <f t="shared" ca="1" si="4"/>
        <v>0.64058825036685418</v>
      </c>
      <c r="T181" s="29">
        <v>0</v>
      </c>
      <c r="V181" s="22">
        <v>44726</v>
      </c>
      <c r="W181" s="26">
        <f t="shared" ca="1" si="5"/>
        <v>0.49213128180299603</v>
      </c>
      <c r="X181" s="29">
        <v>0</v>
      </c>
      <c r="Z181" s="22">
        <v>44726</v>
      </c>
      <c r="AA181" s="26">
        <f t="shared" ca="1" si="6"/>
        <v>0.31394007717906436</v>
      </c>
      <c r="AB181" s="29">
        <v>0</v>
      </c>
      <c r="AC181"/>
      <c r="AD181" s="25"/>
      <c r="AF181" s="22">
        <v>44726</v>
      </c>
      <c r="AG181" s="26">
        <f t="shared" ca="1" si="7"/>
        <v>0.38768199115073143</v>
      </c>
      <c r="AH181" s="29">
        <v>0</v>
      </c>
      <c r="AJ181" s="22">
        <v>44726</v>
      </c>
      <c r="AK181" s="26">
        <f t="shared" ca="1" si="8"/>
        <v>0.82222385680810939</v>
      </c>
      <c r="AL181" s="29">
        <v>0</v>
      </c>
      <c r="AN181" s="22">
        <v>44726</v>
      </c>
      <c r="AO181" s="26">
        <f t="shared" ca="1" si="9"/>
        <v>0.9024186912479828</v>
      </c>
      <c r="AP181" s="29">
        <v>0</v>
      </c>
      <c r="AR181" s="22">
        <v>44726</v>
      </c>
      <c r="AS181" s="26">
        <f t="shared" ca="1" si="10"/>
        <v>0.38302958586687086</v>
      </c>
      <c r="AT181" s="29">
        <v>0</v>
      </c>
      <c r="AV181" s="22">
        <v>44726</v>
      </c>
      <c r="AW181" s="26">
        <f t="shared" ca="1" si="11"/>
        <v>0.55813521019847601</v>
      </c>
      <c r="AX181" s="29">
        <v>0</v>
      </c>
      <c r="AZ181" s="22">
        <v>44726</v>
      </c>
      <c r="BA181" s="26">
        <f t="shared" ca="1" si="12"/>
        <v>0.98631265003839452</v>
      </c>
      <c r="BB181" s="29">
        <v>0</v>
      </c>
      <c r="BC181"/>
      <c r="BD181" s="25"/>
      <c r="BF181" s="22">
        <v>44726</v>
      </c>
      <c r="BG181" s="26">
        <f t="shared" ca="1" si="13"/>
        <v>0.34082594977638814</v>
      </c>
      <c r="BH181" s="29">
        <v>0</v>
      </c>
      <c r="BJ181" s="22">
        <v>44726</v>
      </c>
      <c r="BK181" s="26">
        <f t="shared" ca="1" si="14"/>
        <v>4.9298671906433222E-2</v>
      </c>
      <c r="BL181" s="29">
        <v>0</v>
      </c>
      <c r="BN181" s="22">
        <v>44726</v>
      </c>
      <c r="BO181" s="26">
        <f t="shared" ca="1" si="15"/>
        <v>0.67229772387989906</v>
      </c>
      <c r="BP181" s="29">
        <v>0</v>
      </c>
      <c r="BR181" s="22">
        <v>44726</v>
      </c>
      <c r="BS181" s="26">
        <f t="shared" ca="1" si="16"/>
        <v>0.79542050610217296</v>
      </c>
      <c r="BT181" s="29">
        <v>0</v>
      </c>
      <c r="BV181" s="22">
        <v>44726</v>
      </c>
      <c r="BW181" s="26">
        <f t="shared" ca="1" si="17"/>
        <v>0.5056789562496069</v>
      </c>
      <c r="BX181" s="29">
        <v>0</v>
      </c>
    </row>
    <row r="182" spans="2:76" ht="12.75" x14ac:dyDescent="0.2">
      <c r="B182" s="22">
        <v>44727</v>
      </c>
      <c r="C182" s="26">
        <f t="shared" ca="1" si="0"/>
        <v>0.48760121934229439</v>
      </c>
      <c r="D182" s="29">
        <f t="shared" ca="1" si="24"/>
        <v>75</v>
      </c>
      <c r="F182" s="22">
        <v>44727</v>
      </c>
      <c r="G182" s="26">
        <f t="shared" ca="1" si="1"/>
        <v>0.83425960531205923</v>
      </c>
      <c r="H182" s="29">
        <f t="shared" ca="1" si="25"/>
        <v>230</v>
      </c>
      <c r="J182" s="22">
        <v>44727</v>
      </c>
      <c r="K182" s="26">
        <f t="shared" ca="1" si="2"/>
        <v>0.44341395511098913</v>
      </c>
      <c r="L182" s="29">
        <v>0</v>
      </c>
      <c r="N182" s="22">
        <v>44727</v>
      </c>
      <c r="O182" s="26">
        <f t="shared" ca="1" si="3"/>
        <v>0.57605043788175225</v>
      </c>
      <c r="P182" s="29">
        <v>0</v>
      </c>
      <c r="R182" s="22">
        <v>44727</v>
      </c>
      <c r="S182" s="26">
        <f t="shared" ca="1" si="4"/>
        <v>0.34739695992283526</v>
      </c>
      <c r="T182" s="29">
        <v>0</v>
      </c>
      <c r="V182" s="22">
        <v>44727</v>
      </c>
      <c r="W182" s="26">
        <f t="shared" ca="1" si="5"/>
        <v>0.69341162162795533</v>
      </c>
      <c r="X182" s="29">
        <v>0</v>
      </c>
      <c r="Z182" s="22">
        <v>44727</v>
      </c>
      <c r="AA182" s="26">
        <f t="shared" ca="1" si="6"/>
        <v>0.78537914746339899</v>
      </c>
      <c r="AB182" s="29">
        <v>0</v>
      </c>
      <c r="AC182"/>
      <c r="AD182" s="25"/>
      <c r="AF182" s="22">
        <v>44727</v>
      </c>
      <c r="AG182" s="26">
        <f t="shared" ca="1" si="7"/>
        <v>0.96577927427857857</v>
      </c>
      <c r="AH182" s="29">
        <v>0</v>
      </c>
      <c r="AJ182" s="22">
        <v>44727</v>
      </c>
      <c r="AK182" s="26">
        <f t="shared" ca="1" si="8"/>
        <v>0.21077708716832333</v>
      </c>
      <c r="AL182" s="29">
        <v>0</v>
      </c>
      <c r="AN182" s="22">
        <v>44727</v>
      </c>
      <c r="AO182" s="26">
        <f t="shared" ca="1" si="9"/>
        <v>0.63327345181655115</v>
      </c>
      <c r="AP182" s="29">
        <v>0</v>
      </c>
      <c r="AR182" s="22">
        <v>44727</v>
      </c>
      <c r="AS182" s="26">
        <f t="shared" ca="1" si="10"/>
        <v>0.94330149369079097</v>
      </c>
      <c r="AT182" s="29">
        <v>0</v>
      </c>
      <c r="AV182" s="22">
        <v>44727</v>
      </c>
      <c r="AW182" s="26">
        <f t="shared" ca="1" si="11"/>
        <v>0.30107867089618723</v>
      </c>
      <c r="AX182" s="29">
        <v>0</v>
      </c>
      <c r="AZ182" s="22">
        <v>44727</v>
      </c>
      <c r="BA182" s="26">
        <f t="shared" ca="1" si="12"/>
        <v>0.71324860212385466</v>
      </c>
      <c r="BB182" s="29">
        <v>0</v>
      </c>
      <c r="BC182"/>
      <c r="BD182" s="25"/>
      <c r="BF182" s="22">
        <v>44727</v>
      </c>
      <c r="BG182" s="26">
        <f t="shared" ca="1" si="13"/>
        <v>0.3975999230613253</v>
      </c>
      <c r="BH182" s="29">
        <v>0</v>
      </c>
      <c r="BJ182" s="22">
        <v>44727</v>
      </c>
      <c r="BK182" s="26">
        <f t="shared" ca="1" si="14"/>
        <v>0.6717898199529706</v>
      </c>
      <c r="BL182" s="29">
        <v>0</v>
      </c>
      <c r="BN182" s="22">
        <v>44727</v>
      </c>
      <c r="BO182" s="26">
        <f t="shared" ca="1" si="15"/>
        <v>0.96718496769491469</v>
      </c>
      <c r="BP182" s="29">
        <v>0</v>
      </c>
      <c r="BR182" s="22">
        <v>44727</v>
      </c>
      <c r="BS182" s="26">
        <f t="shared" ca="1" si="16"/>
        <v>0.27422453542076008</v>
      </c>
      <c r="BT182" s="29">
        <v>0</v>
      </c>
      <c r="BV182" s="22">
        <v>44727</v>
      </c>
      <c r="BW182" s="26">
        <f t="shared" ca="1" si="17"/>
        <v>0.56435988498475942</v>
      </c>
      <c r="BX182" s="29">
        <v>0</v>
      </c>
    </row>
    <row r="183" spans="2:76" ht="12.75" x14ac:dyDescent="0.2">
      <c r="B183" s="22">
        <v>44728</v>
      </c>
      <c r="C183" s="26">
        <f t="shared" ca="1" si="0"/>
        <v>0.28948000062605705</v>
      </c>
      <c r="D183" s="29">
        <f t="shared" ca="1" si="24"/>
        <v>64</v>
      </c>
      <c r="F183" s="22">
        <v>44728</v>
      </c>
      <c r="G183" s="26">
        <f t="shared" ca="1" si="1"/>
        <v>0.35767327915874192</v>
      </c>
      <c r="H183" s="29">
        <f t="shared" ca="1" si="25"/>
        <v>211</v>
      </c>
      <c r="J183" s="22">
        <v>44728</v>
      </c>
      <c r="K183" s="26">
        <f t="shared" ca="1" si="2"/>
        <v>0.2144579742135474</v>
      </c>
      <c r="L183" s="29">
        <v>0</v>
      </c>
      <c r="N183" s="22">
        <v>44728</v>
      </c>
      <c r="O183" s="26">
        <f t="shared" ca="1" si="3"/>
        <v>0.40107068554936065</v>
      </c>
      <c r="P183" s="29">
        <v>0</v>
      </c>
      <c r="R183" s="22">
        <v>44728</v>
      </c>
      <c r="S183" s="26">
        <f t="shared" ca="1" si="4"/>
        <v>0.8980454045678129</v>
      </c>
      <c r="T183" s="29">
        <v>0</v>
      </c>
      <c r="V183" s="22">
        <v>44728</v>
      </c>
      <c r="W183" s="26">
        <f t="shared" ca="1" si="5"/>
        <v>0.11999314726592203</v>
      </c>
      <c r="X183" s="29">
        <v>0</v>
      </c>
      <c r="Z183" s="22">
        <v>44728</v>
      </c>
      <c r="AA183" s="26">
        <f t="shared" ca="1" si="6"/>
        <v>0.65985312958519604</v>
      </c>
      <c r="AB183" s="29">
        <v>0</v>
      </c>
      <c r="AC183"/>
      <c r="AD183" s="25"/>
      <c r="AF183" s="22">
        <v>44728</v>
      </c>
      <c r="AG183" s="26">
        <f t="shared" ca="1" si="7"/>
        <v>0.26939529521530559</v>
      </c>
      <c r="AH183" s="29">
        <v>0</v>
      </c>
      <c r="AJ183" s="22">
        <v>44728</v>
      </c>
      <c r="AK183" s="26">
        <f t="shared" ca="1" si="8"/>
        <v>0.88030124577825763</v>
      </c>
      <c r="AL183" s="29">
        <v>0</v>
      </c>
      <c r="AN183" s="22">
        <v>44728</v>
      </c>
      <c r="AO183" s="26">
        <f t="shared" ca="1" si="9"/>
        <v>0.10445758665422933</v>
      </c>
      <c r="AP183" s="29">
        <v>0</v>
      </c>
      <c r="AR183" s="22">
        <v>44728</v>
      </c>
      <c r="AS183" s="26">
        <f t="shared" ca="1" si="10"/>
        <v>0.18013301030644657</v>
      </c>
      <c r="AT183" s="29">
        <v>0</v>
      </c>
      <c r="AV183" s="22">
        <v>44728</v>
      </c>
      <c r="AW183" s="26">
        <f t="shared" ca="1" si="11"/>
        <v>1.3883953920491021E-2</v>
      </c>
      <c r="AX183" s="29">
        <v>0</v>
      </c>
      <c r="AZ183" s="22">
        <v>44728</v>
      </c>
      <c r="BA183" s="26">
        <f t="shared" ca="1" si="12"/>
        <v>0.29376933195805377</v>
      </c>
      <c r="BB183" s="29">
        <v>0</v>
      </c>
      <c r="BC183"/>
      <c r="BD183" s="25"/>
      <c r="BF183" s="22">
        <v>44728</v>
      </c>
      <c r="BG183" s="26">
        <f t="shared" ca="1" si="13"/>
        <v>0.44412494076226072</v>
      </c>
      <c r="BH183" s="29">
        <v>0</v>
      </c>
      <c r="BJ183" s="22">
        <v>44728</v>
      </c>
      <c r="BK183" s="26">
        <f t="shared" ca="1" si="14"/>
        <v>0.73801434392014054</v>
      </c>
      <c r="BL183" s="29">
        <v>0</v>
      </c>
      <c r="BN183" s="22">
        <v>44728</v>
      </c>
      <c r="BO183" s="26">
        <f t="shared" ca="1" si="15"/>
        <v>0.82730559552582439</v>
      </c>
      <c r="BP183" s="29">
        <v>0</v>
      </c>
      <c r="BR183" s="22">
        <v>44728</v>
      </c>
      <c r="BS183" s="26">
        <f t="shared" ca="1" si="16"/>
        <v>0.32158603453557</v>
      </c>
      <c r="BT183" s="29">
        <v>0</v>
      </c>
      <c r="BV183" s="22">
        <v>44728</v>
      </c>
      <c r="BW183" s="26">
        <f t="shared" ca="1" si="17"/>
        <v>0.85947110021837769</v>
      </c>
      <c r="BX183" s="29">
        <v>0</v>
      </c>
    </row>
    <row r="184" spans="2:76" ht="12.75" x14ac:dyDescent="0.2">
      <c r="B184" s="22">
        <v>44729</v>
      </c>
      <c r="C184" s="26">
        <f t="shared" ca="1" si="0"/>
        <v>0.88186142497727205</v>
      </c>
      <c r="D184" s="29">
        <f t="shared" ca="1" si="24"/>
        <v>99</v>
      </c>
      <c r="F184" s="22">
        <v>44729</v>
      </c>
      <c r="G184" s="26">
        <f t="shared" ca="1" si="1"/>
        <v>0.88317147603754353</v>
      </c>
      <c r="H184" s="29">
        <f t="shared" ca="1" si="25"/>
        <v>233</v>
      </c>
      <c r="J184" s="22">
        <v>44729</v>
      </c>
      <c r="K184" s="26">
        <f t="shared" ca="1" si="2"/>
        <v>0.45044241890775194</v>
      </c>
      <c r="L184" s="29">
        <v>0</v>
      </c>
      <c r="N184" s="22">
        <v>44729</v>
      </c>
      <c r="O184" s="26">
        <f t="shared" ca="1" si="3"/>
        <v>0.62650610205911894</v>
      </c>
      <c r="P184" s="29">
        <v>0</v>
      </c>
      <c r="R184" s="22">
        <v>44729</v>
      </c>
      <c r="S184" s="26">
        <f t="shared" ca="1" si="4"/>
        <v>0.29515993512691674</v>
      </c>
      <c r="T184" s="29">
        <v>0</v>
      </c>
      <c r="V184" s="22">
        <v>44729</v>
      </c>
      <c r="W184" s="26">
        <f t="shared" ca="1" si="5"/>
        <v>0.67442173655053206</v>
      </c>
      <c r="X184" s="29">
        <v>0</v>
      </c>
      <c r="Z184" s="22">
        <v>44729</v>
      </c>
      <c r="AA184" s="26">
        <f t="shared" ca="1" si="6"/>
        <v>4.8248218994148995E-2</v>
      </c>
      <c r="AB184" s="29">
        <v>0</v>
      </c>
      <c r="AC184"/>
      <c r="AD184" s="25"/>
      <c r="AF184" s="22">
        <v>44729</v>
      </c>
      <c r="AG184" s="26">
        <f t="shared" ca="1" si="7"/>
        <v>0.51394341933835241</v>
      </c>
      <c r="AH184" s="29">
        <v>0</v>
      </c>
      <c r="AJ184" s="22">
        <v>44729</v>
      </c>
      <c r="AK184" s="26">
        <f t="shared" ca="1" si="8"/>
        <v>0.46528400803920422</v>
      </c>
      <c r="AL184" s="29">
        <v>0</v>
      </c>
      <c r="AN184" s="22">
        <v>44729</v>
      </c>
      <c r="AO184" s="26">
        <f t="shared" ca="1" si="9"/>
        <v>0.3456485988691772</v>
      </c>
      <c r="AP184" s="29">
        <v>0</v>
      </c>
      <c r="AR184" s="22">
        <v>44729</v>
      </c>
      <c r="AS184" s="26">
        <f t="shared" ca="1" si="10"/>
        <v>6.6187237024661005E-2</v>
      </c>
      <c r="AT184" s="29">
        <v>0</v>
      </c>
      <c r="AV184" s="22">
        <v>44729</v>
      </c>
      <c r="AW184" s="26">
        <f t="shared" ca="1" si="11"/>
        <v>0.6801404668594887</v>
      </c>
      <c r="AX184" s="29">
        <v>0</v>
      </c>
      <c r="AZ184" s="22">
        <v>44729</v>
      </c>
      <c r="BA184" s="26">
        <f t="shared" ca="1" si="12"/>
        <v>0.7992235361572062</v>
      </c>
      <c r="BB184" s="29">
        <v>0</v>
      </c>
      <c r="BC184"/>
      <c r="BD184" s="25"/>
      <c r="BF184" s="22">
        <v>44729</v>
      </c>
      <c r="BG184" s="26">
        <f t="shared" ca="1" si="13"/>
        <v>0.79664214158049562</v>
      </c>
      <c r="BH184" s="29">
        <v>0</v>
      </c>
      <c r="BJ184" s="22">
        <v>44729</v>
      </c>
      <c r="BK184" s="26">
        <f t="shared" ca="1" si="14"/>
        <v>0.91464735996344837</v>
      </c>
      <c r="BL184" s="29">
        <v>0</v>
      </c>
      <c r="BN184" s="22">
        <v>44729</v>
      </c>
      <c r="BO184" s="26">
        <f t="shared" ca="1" si="15"/>
        <v>5.5291172235204078E-2</v>
      </c>
      <c r="BP184" s="29">
        <v>0</v>
      </c>
      <c r="BR184" s="22">
        <v>44729</v>
      </c>
      <c r="BS184" s="26">
        <f t="shared" ca="1" si="16"/>
        <v>0.81956036968726409</v>
      </c>
      <c r="BT184" s="29">
        <v>0</v>
      </c>
      <c r="BV184" s="22">
        <v>44729</v>
      </c>
      <c r="BW184" s="26">
        <f t="shared" ca="1" si="17"/>
        <v>0.45544158699226711</v>
      </c>
      <c r="BX184" s="29">
        <v>0</v>
      </c>
    </row>
    <row r="185" spans="2:76" ht="12.75" x14ac:dyDescent="0.2">
      <c r="B185" s="22">
        <v>44730</v>
      </c>
      <c r="C185" s="26">
        <f t="shared" ca="1" si="0"/>
        <v>0.30297436986568294</v>
      </c>
      <c r="D185" s="29">
        <f t="shared" ca="1" si="24"/>
        <v>65</v>
      </c>
      <c r="F185" s="22">
        <v>44730</v>
      </c>
      <c r="G185" s="26">
        <f t="shared" ca="1" si="1"/>
        <v>0.99397206360855206</v>
      </c>
      <c r="H185" s="29">
        <f t="shared" ca="1" si="25"/>
        <v>252</v>
      </c>
      <c r="J185" s="22">
        <v>44730</v>
      </c>
      <c r="K185" s="26">
        <f t="shared" ca="1" si="2"/>
        <v>0.81204700990160872</v>
      </c>
      <c r="L185" s="29">
        <v>0</v>
      </c>
      <c r="N185" s="22">
        <v>44730</v>
      </c>
      <c r="O185" s="26">
        <f t="shared" ca="1" si="3"/>
        <v>0.85243153517111425</v>
      </c>
      <c r="P185" s="29">
        <v>0</v>
      </c>
      <c r="R185" s="22">
        <v>44730</v>
      </c>
      <c r="S185" s="26">
        <f t="shared" ca="1" si="4"/>
        <v>0.94059018008507356</v>
      </c>
      <c r="T185" s="29">
        <v>0</v>
      </c>
      <c r="V185" s="22">
        <v>44730</v>
      </c>
      <c r="W185" s="26">
        <f t="shared" ca="1" si="5"/>
        <v>0.53249686060253243</v>
      </c>
      <c r="X185" s="29">
        <v>0</v>
      </c>
      <c r="Z185" s="22">
        <v>44730</v>
      </c>
      <c r="AA185" s="26">
        <f t="shared" ca="1" si="6"/>
        <v>0.48989376814892105</v>
      </c>
      <c r="AB185" s="29">
        <v>0</v>
      </c>
      <c r="AC185"/>
      <c r="AD185" s="25"/>
      <c r="AF185" s="22">
        <v>44730</v>
      </c>
      <c r="AG185" s="26">
        <f t="shared" ca="1" si="7"/>
        <v>0.53020169849425358</v>
      </c>
      <c r="AH185" s="29">
        <v>0</v>
      </c>
      <c r="AJ185" s="22">
        <v>44730</v>
      </c>
      <c r="AK185" s="26">
        <f t="shared" ca="1" si="8"/>
        <v>0.86923519161643858</v>
      </c>
      <c r="AL185" s="29">
        <v>0</v>
      </c>
      <c r="AN185" s="22">
        <v>44730</v>
      </c>
      <c r="AO185" s="26">
        <f t="shared" ca="1" si="9"/>
        <v>1.0413294254891681E-2</v>
      </c>
      <c r="AP185" s="29">
        <v>0</v>
      </c>
      <c r="AR185" s="22">
        <v>44730</v>
      </c>
      <c r="AS185" s="26">
        <f t="shared" ca="1" si="10"/>
        <v>0.77927132593891202</v>
      </c>
      <c r="AT185" s="29">
        <v>0</v>
      </c>
      <c r="AV185" s="22">
        <v>44730</v>
      </c>
      <c r="AW185" s="26">
        <f t="shared" ca="1" si="11"/>
        <v>0.2481593314219297</v>
      </c>
      <c r="AX185" s="29">
        <v>0</v>
      </c>
      <c r="AZ185" s="22">
        <v>44730</v>
      </c>
      <c r="BA185" s="26">
        <f t="shared" ca="1" si="12"/>
        <v>0.48011510752773368</v>
      </c>
      <c r="BB185" s="29">
        <v>0</v>
      </c>
      <c r="BC185"/>
      <c r="BD185" s="25"/>
      <c r="BF185" s="22">
        <v>44730</v>
      </c>
      <c r="BG185" s="26">
        <f t="shared" ca="1" si="13"/>
        <v>0.42340046977734014</v>
      </c>
      <c r="BH185" s="29">
        <v>0</v>
      </c>
      <c r="BJ185" s="22">
        <v>44730</v>
      </c>
      <c r="BK185" s="26">
        <f t="shared" ca="1" si="14"/>
        <v>0.45173400439450273</v>
      </c>
      <c r="BL185" s="29">
        <v>0</v>
      </c>
      <c r="BN185" s="22">
        <v>44730</v>
      </c>
      <c r="BO185" s="26">
        <f t="shared" ca="1" si="15"/>
        <v>0.96647864121756566</v>
      </c>
      <c r="BP185" s="29">
        <v>0</v>
      </c>
      <c r="BR185" s="22">
        <v>44730</v>
      </c>
      <c r="BS185" s="26">
        <f t="shared" ca="1" si="16"/>
        <v>0.61905835035334833</v>
      </c>
      <c r="BT185" s="29">
        <v>0</v>
      </c>
      <c r="BV185" s="22">
        <v>44730</v>
      </c>
      <c r="BW185" s="26">
        <f t="shared" ca="1" si="17"/>
        <v>0.89842889736547182</v>
      </c>
      <c r="BX185" s="29">
        <v>0</v>
      </c>
    </row>
    <row r="186" spans="2:76" ht="12.75" x14ac:dyDescent="0.2">
      <c r="B186" s="22">
        <v>44731</v>
      </c>
      <c r="C186" s="26">
        <f t="shared" ca="1" si="0"/>
        <v>0.88572243280214824</v>
      </c>
      <c r="D186" s="29">
        <f t="shared" ca="1" si="24"/>
        <v>100</v>
      </c>
      <c r="F186" s="22">
        <v>44731</v>
      </c>
      <c r="G186" s="26">
        <f t="shared" ca="1" si="1"/>
        <v>0.87441196811214716</v>
      </c>
      <c r="H186" s="29">
        <f t="shared" ca="1" si="25"/>
        <v>232</v>
      </c>
      <c r="J186" s="22">
        <v>44731</v>
      </c>
      <c r="K186" s="26">
        <f t="shared" ca="1" si="2"/>
        <v>0.27181296521711629</v>
      </c>
      <c r="L186" s="29">
        <v>0</v>
      </c>
      <c r="N186" s="22">
        <v>44731</v>
      </c>
      <c r="O186" s="26">
        <f t="shared" ca="1" si="3"/>
        <v>0.63925438274623314</v>
      </c>
      <c r="P186" s="29">
        <v>0</v>
      </c>
      <c r="R186" s="22">
        <v>44731</v>
      </c>
      <c r="S186" s="26">
        <f t="shared" ca="1" si="4"/>
        <v>0.23276236385620552</v>
      </c>
      <c r="T186" s="29">
        <v>0</v>
      </c>
      <c r="V186" s="22">
        <v>44731</v>
      </c>
      <c r="W186" s="26">
        <f t="shared" ca="1" si="5"/>
        <v>0.68927103063511341</v>
      </c>
      <c r="X186" s="29">
        <v>0</v>
      </c>
      <c r="Z186" s="22">
        <v>44731</v>
      </c>
      <c r="AA186" s="26">
        <f t="shared" ca="1" si="6"/>
        <v>0.67757844898045916</v>
      </c>
      <c r="AB186" s="29">
        <v>0</v>
      </c>
      <c r="AC186"/>
      <c r="AD186" s="25"/>
      <c r="AF186" s="22">
        <v>44731</v>
      </c>
      <c r="AG186" s="26">
        <f t="shared" ca="1" si="7"/>
        <v>0.56137094276710531</v>
      </c>
      <c r="AH186" s="29">
        <v>0</v>
      </c>
      <c r="AJ186" s="22">
        <v>44731</v>
      </c>
      <c r="AK186" s="26">
        <f t="shared" ca="1" si="8"/>
        <v>0.77427973146206563</v>
      </c>
      <c r="AL186" s="29">
        <v>0</v>
      </c>
      <c r="AN186" s="22">
        <v>44731</v>
      </c>
      <c r="AO186" s="26">
        <f t="shared" ca="1" si="9"/>
        <v>0.93380417816287675</v>
      </c>
      <c r="AP186" s="29">
        <v>0</v>
      </c>
      <c r="AR186" s="22">
        <v>44731</v>
      </c>
      <c r="AS186" s="26">
        <f t="shared" ca="1" si="10"/>
        <v>0.21086891849476608</v>
      </c>
      <c r="AT186" s="29">
        <v>0</v>
      </c>
      <c r="AV186" s="22">
        <v>44731</v>
      </c>
      <c r="AW186" s="26">
        <f t="shared" ca="1" si="11"/>
        <v>0.28153005622115335</v>
      </c>
      <c r="AX186" s="29">
        <v>0</v>
      </c>
      <c r="AZ186" s="22">
        <v>44731</v>
      </c>
      <c r="BA186" s="26">
        <f t="shared" ca="1" si="12"/>
        <v>2.7742469331781483E-2</v>
      </c>
      <c r="BB186" s="29">
        <v>0</v>
      </c>
      <c r="BC186"/>
      <c r="BD186" s="25"/>
      <c r="BF186" s="22">
        <v>44731</v>
      </c>
      <c r="BG186" s="26">
        <f t="shared" ca="1" si="13"/>
        <v>0.58589438782125125</v>
      </c>
      <c r="BH186" s="29">
        <v>0</v>
      </c>
      <c r="BJ186" s="22">
        <v>44731</v>
      </c>
      <c r="BK186" s="26">
        <f t="shared" ca="1" si="14"/>
        <v>0.55638738581356384</v>
      </c>
      <c r="BL186" s="29">
        <v>0</v>
      </c>
      <c r="BN186" s="22">
        <v>44731</v>
      </c>
      <c r="BO186" s="26">
        <f t="shared" ca="1" si="15"/>
        <v>0.19875131410522118</v>
      </c>
      <c r="BP186" s="29">
        <v>0</v>
      </c>
      <c r="BR186" s="22">
        <v>44731</v>
      </c>
      <c r="BS186" s="26">
        <f t="shared" ca="1" si="16"/>
        <v>0.84792234369302322</v>
      </c>
      <c r="BT186" s="29">
        <v>0</v>
      </c>
      <c r="BV186" s="22">
        <v>44731</v>
      </c>
      <c r="BW186" s="26">
        <f t="shared" ca="1" si="17"/>
        <v>0.62480637341597089</v>
      </c>
      <c r="BX186" s="29">
        <v>0</v>
      </c>
    </row>
    <row r="187" spans="2:76" ht="12.75" x14ac:dyDescent="0.2">
      <c r="B187" s="22">
        <v>44732</v>
      </c>
      <c r="C187" s="26">
        <f t="shared" ca="1" si="0"/>
        <v>0.3673535371126192</v>
      </c>
      <c r="D187" s="29">
        <f t="shared" ca="1" si="24"/>
        <v>69</v>
      </c>
      <c r="F187" s="22">
        <v>44732</v>
      </c>
      <c r="G187" s="26">
        <f t="shared" ca="1" si="1"/>
        <v>0.4752601815250922</v>
      </c>
      <c r="H187" s="29">
        <f t="shared" ca="1" si="25"/>
        <v>215</v>
      </c>
      <c r="J187" s="22">
        <v>44732</v>
      </c>
      <c r="K187" s="26">
        <f t="shared" ca="1" si="2"/>
        <v>0.83107222469710673</v>
      </c>
      <c r="L187" s="29">
        <v>0</v>
      </c>
      <c r="N187" s="22">
        <v>44732</v>
      </c>
      <c r="O187" s="26">
        <f t="shared" ca="1" si="3"/>
        <v>4.7715965861208076E-3</v>
      </c>
      <c r="P187" s="29">
        <v>0</v>
      </c>
      <c r="R187" s="22">
        <v>44732</v>
      </c>
      <c r="S187" s="26">
        <f t="shared" ca="1" si="4"/>
        <v>0.58313873551554263</v>
      </c>
      <c r="T187" s="29">
        <v>0</v>
      </c>
      <c r="V187" s="22">
        <v>44732</v>
      </c>
      <c r="W187" s="26">
        <f t="shared" ca="1" si="5"/>
        <v>2.9138537955756716E-2</v>
      </c>
      <c r="X187" s="29">
        <v>0</v>
      </c>
      <c r="Z187" s="22">
        <v>44732</v>
      </c>
      <c r="AA187" s="26">
        <f t="shared" ca="1" si="6"/>
        <v>0.73659262594972152</v>
      </c>
      <c r="AB187" s="29">
        <v>0</v>
      </c>
      <c r="AC187"/>
      <c r="AD187" s="25"/>
      <c r="AF187" s="22">
        <v>44732</v>
      </c>
      <c r="AG187" s="26">
        <f t="shared" ca="1" si="7"/>
        <v>0.46807849932783596</v>
      </c>
      <c r="AH187" s="29">
        <v>0</v>
      </c>
      <c r="AJ187" s="22">
        <v>44732</v>
      </c>
      <c r="AK187" s="26">
        <f t="shared" ca="1" si="8"/>
        <v>0.3116412414990406</v>
      </c>
      <c r="AL187" s="29">
        <v>0</v>
      </c>
      <c r="AN187" s="22">
        <v>44732</v>
      </c>
      <c r="AO187" s="26">
        <f t="shared" ca="1" si="9"/>
        <v>0.90510430575714873</v>
      </c>
      <c r="AP187" s="29">
        <v>0</v>
      </c>
      <c r="AR187" s="22">
        <v>44732</v>
      </c>
      <c r="AS187" s="26">
        <f t="shared" ca="1" si="10"/>
        <v>0.98103170494006031</v>
      </c>
      <c r="AT187" s="29">
        <v>0</v>
      </c>
      <c r="AV187" s="22">
        <v>44732</v>
      </c>
      <c r="AW187" s="26">
        <f t="shared" ca="1" si="11"/>
        <v>2.5538768667821565E-2</v>
      </c>
      <c r="AX187" s="29">
        <v>0</v>
      </c>
      <c r="AZ187" s="22">
        <v>44732</v>
      </c>
      <c r="BA187" s="26">
        <f t="shared" ca="1" si="12"/>
        <v>0.83787928173786097</v>
      </c>
      <c r="BB187" s="29">
        <v>0</v>
      </c>
      <c r="BC187"/>
      <c r="BD187" s="25"/>
      <c r="BF187" s="22">
        <v>44732</v>
      </c>
      <c r="BG187" s="26">
        <f t="shared" ca="1" si="13"/>
        <v>0.72699278840142734</v>
      </c>
      <c r="BH187" s="29">
        <v>0</v>
      </c>
      <c r="BJ187" s="22">
        <v>44732</v>
      </c>
      <c r="BK187" s="26">
        <f t="shared" ca="1" si="14"/>
        <v>0.68531601226896788</v>
      </c>
      <c r="BL187" s="29">
        <v>0</v>
      </c>
      <c r="BN187" s="22">
        <v>44732</v>
      </c>
      <c r="BO187" s="26">
        <f t="shared" ca="1" si="15"/>
        <v>0.19701435500429654</v>
      </c>
      <c r="BP187" s="29">
        <v>0</v>
      </c>
      <c r="BR187" s="22">
        <v>44732</v>
      </c>
      <c r="BS187" s="26">
        <f t="shared" ca="1" si="16"/>
        <v>2.2579691964530468E-3</v>
      </c>
      <c r="BT187" s="29">
        <v>0</v>
      </c>
      <c r="BV187" s="22">
        <v>44732</v>
      </c>
      <c r="BW187" s="26">
        <f t="shared" ca="1" si="17"/>
        <v>0.18325534083008377</v>
      </c>
      <c r="BX187" s="29">
        <v>0</v>
      </c>
    </row>
    <row r="188" spans="2:76" ht="12.75" x14ac:dyDescent="0.2">
      <c r="B188" s="22">
        <v>44733</v>
      </c>
      <c r="C188" s="26">
        <f t="shared" ca="1" si="0"/>
        <v>2.9782524098599494E-2</v>
      </c>
      <c r="D188" s="29">
        <f t="shared" ca="1" si="24"/>
        <v>38</v>
      </c>
      <c r="F188" s="22">
        <v>44733</v>
      </c>
      <c r="G188" s="26">
        <f t="shared" ca="1" si="1"/>
        <v>1.5447325413571966E-2</v>
      </c>
      <c r="H188" s="29">
        <f t="shared" ca="1" si="25"/>
        <v>185</v>
      </c>
      <c r="J188" s="22">
        <v>44733</v>
      </c>
      <c r="K188" s="26">
        <f t="shared" ca="1" si="2"/>
        <v>0.81100792405187061</v>
      </c>
      <c r="L188" s="29">
        <v>0</v>
      </c>
      <c r="N188" s="22">
        <v>44733</v>
      </c>
      <c r="O188" s="26">
        <f t="shared" ca="1" si="3"/>
        <v>0.98139662829087926</v>
      </c>
      <c r="P188" s="29">
        <v>0</v>
      </c>
      <c r="R188" s="22">
        <v>44733</v>
      </c>
      <c r="S188" s="26">
        <f t="shared" ca="1" si="4"/>
        <v>0.57777822453547245</v>
      </c>
      <c r="T188" s="29">
        <v>0</v>
      </c>
      <c r="V188" s="22">
        <v>44733</v>
      </c>
      <c r="W188" s="26">
        <f t="shared" ca="1" si="5"/>
        <v>0.57027842056837996</v>
      </c>
      <c r="X188" s="29">
        <v>0</v>
      </c>
      <c r="Z188" s="22">
        <v>44733</v>
      </c>
      <c r="AA188" s="26">
        <f t="shared" ca="1" si="6"/>
        <v>0.81313286640514482</v>
      </c>
      <c r="AB188" s="29">
        <v>0</v>
      </c>
      <c r="AC188"/>
      <c r="AD188" s="25"/>
      <c r="AF188" s="22">
        <v>44733</v>
      </c>
      <c r="AG188" s="26">
        <f t="shared" ca="1" si="7"/>
        <v>0.54673334510895566</v>
      </c>
      <c r="AH188" s="29">
        <v>0</v>
      </c>
      <c r="AJ188" s="22">
        <v>44733</v>
      </c>
      <c r="AK188" s="26">
        <f t="shared" ca="1" si="8"/>
        <v>0.50257905627237731</v>
      </c>
      <c r="AL188" s="29">
        <v>0</v>
      </c>
      <c r="AN188" s="22">
        <v>44733</v>
      </c>
      <c r="AO188" s="26">
        <f t="shared" ca="1" si="9"/>
        <v>0.17917176681475888</v>
      </c>
      <c r="AP188" s="29">
        <v>0</v>
      </c>
      <c r="AR188" s="22">
        <v>44733</v>
      </c>
      <c r="AS188" s="26">
        <f t="shared" ca="1" si="10"/>
        <v>5.5341152916970726E-2</v>
      </c>
      <c r="AT188" s="29">
        <v>0</v>
      </c>
      <c r="AV188" s="22">
        <v>44733</v>
      </c>
      <c r="AW188" s="26">
        <f t="shared" ca="1" si="11"/>
        <v>0.8607314435027692</v>
      </c>
      <c r="AX188" s="29">
        <v>0</v>
      </c>
      <c r="AZ188" s="22">
        <v>44733</v>
      </c>
      <c r="BA188" s="26">
        <f t="shared" ca="1" si="12"/>
        <v>0.39434386198854765</v>
      </c>
      <c r="BB188" s="29">
        <v>0</v>
      </c>
      <c r="BC188"/>
      <c r="BD188" s="25"/>
      <c r="BF188" s="22">
        <v>44733</v>
      </c>
      <c r="BG188" s="26">
        <f t="shared" ca="1" si="13"/>
        <v>0.87534834247408455</v>
      </c>
      <c r="BH188" s="29">
        <v>0</v>
      </c>
      <c r="BJ188" s="22">
        <v>44733</v>
      </c>
      <c r="BK188" s="26">
        <f t="shared" ca="1" si="14"/>
        <v>1.7973591318677373E-2</v>
      </c>
      <c r="BL188" s="29">
        <v>0</v>
      </c>
      <c r="BN188" s="22">
        <v>44733</v>
      </c>
      <c r="BO188" s="26">
        <f t="shared" ca="1" si="15"/>
        <v>0.57220007238086701</v>
      </c>
      <c r="BP188" s="29">
        <v>0</v>
      </c>
      <c r="BR188" s="22">
        <v>44733</v>
      </c>
      <c r="BS188" s="26">
        <f t="shared" ca="1" si="16"/>
        <v>0.88515529666521464</v>
      </c>
      <c r="BT188" s="29">
        <v>0</v>
      </c>
      <c r="BV188" s="22">
        <v>44733</v>
      </c>
      <c r="BW188" s="26">
        <f t="shared" ca="1" si="17"/>
        <v>0.17044273565625567</v>
      </c>
      <c r="BX188" s="29">
        <v>0</v>
      </c>
    </row>
    <row r="189" spans="2:76" ht="12.75" x14ac:dyDescent="0.2">
      <c r="B189" s="22">
        <v>44734</v>
      </c>
      <c r="C189" s="26">
        <f t="shared" ca="1" si="0"/>
        <v>0.59379584401523611</v>
      </c>
      <c r="D189" s="29">
        <f t="shared" ca="1" si="24"/>
        <v>80</v>
      </c>
      <c r="F189" s="22">
        <v>44734</v>
      </c>
      <c r="G189" s="26">
        <f t="shared" ca="1" si="1"/>
        <v>0.9300622244684883</v>
      </c>
      <c r="H189" s="29">
        <f t="shared" ca="1" si="25"/>
        <v>237</v>
      </c>
      <c r="J189" s="22">
        <v>44734</v>
      </c>
      <c r="K189" s="26">
        <f t="shared" ca="1" si="2"/>
        <v>0.12912795735432658</v>
      </c>
      <c r="L189" s="29">
        <v>0</v>
      </c>
      <c r="N189" s="22">
        <v>44734</v>
      </c>
      <c r="O189" s="26">
        <f t="shared" ca="1" si="3"/>
        <v>0.56443043006813942</v>
      </c>
      <c r="P189" s="29">
        <v>0</v>
      </c>
      <c r="R189" s="22">
        <v>44734</v>
      </c>
      <c r="S189" s="26">
        <f t="shared" ca="1" si="4"/>
        <v>0.49758891669930516</v>
      </c>
      <c r="T189" s="29">
        <v>0</v>
      </c>
      <c r="V189" s="22">
        <v>44734</v>
      </c>
      <c r="W189" s="26">
        <f t="shared" ca="1" si="5"/>
        <v>0.43027595822711162</v>
      </c>
      <c r="X189" s="29">
        <v>0</v>
      </c>
      <c r="Z189" s="22">
        <v>44734</v>
      </c>
      <c r="AA189" s="26">
        <f t="shared" ca="1" si="6"/>
        <v>0.14346308866881574</v>
      </c>
      <c r="AB189" s="29">
        <v>0</v>
      </c>
      <c r="AC189"/>
      <c r="AD189" s="25"/>
      <c r="AF189" s="22">
        <v>44734</v>
      </c>
      <c r="AG189" s="26">
        <f t="shared" ca="1" si="7"/>
        <v>0.55251477554634076</v>
      </c>
      <c r="AH189" s="29">
        <v>0</v>
      </c>
      <c r="AJ189" s="22">
        <v>44734</v>
      </c>
      <c r="AK189" s="26">
        <f t="shared" ca="1" si="8"/>
        <v>0.92820362994597583</v>
      </c>
      <c r="AL189" s="29">
        <v>0</v>
      </c>
      <c r="AN189" s="22">
        <v>44734</v>
      </c>
      <c r="AO189" s="26">
        <f t="shared" ca="1" si="9"/>
        <v>0.37511219634742532</v>
      </c>
      <c r="AP189" s="29">
        <v>0</v>
      </c>
      <c r="AR189" s="22">
        <v>44734</v>
      </c>
      <c r="AS189" s="26">
        <f t="shared" ca="1" si="10"/>
        <v>0.90535912364955728</v>
      </c>
      <c r="AT189" s="29">
        <v>0</v>
      </c>
      <c r="AV189" s="22">
        <v>44734</v>
      </c>
      <c r="AW189" s="26">
        <f t="shared" ca="1" si="11"/>
        <v>0.40142543494741512</v>
      </c>
      <c r="AX189" s="29">
        <v>0</v>
      </c>
      <c r="AZ189" s="22">
        <v>44734</v>
      </c>
      <c r="BA189" s="26">
        <f t="shared" ca="1" si="12"/>
        <v>0.13475522377949523</v>
      </c>
      <c r="BB189" s="29">
        <v>0</v>
      </c>
      <c r="BC189"/>
      <c r="BD189" s="25"/>
      <c r="BF189" s="22">
        <v>44734</v>
      </c>
      <c r="BG189" s="26">
        <f t="shared" ca="1" si="13"/>
        <v>0.68150969664308503</v>
      </c>
      <c r="BH189" s="29">
        <v>0</v>
      </c>
      <c r="BJ189" s="22">
        <v>44734</v>
      </c>
      <c r="BK189" s="26">
        <f t="shared" ca="1" si="14"/>
        <v>0.91028758757622619</v>
      </c>
      <c r="BL189" s="29">
        <v>0</v>
      </c>
      <c r="BN189" s="22">
        <v>44734</v>
      </c>
      <c r="BO189" s="26">
        <f t="shared" ca="1" si="15"/>
        <v>0.55761539998718745</v>
      </c>
      <c r="BP189" s="29">
        <v>0</v>
      </c>
      <c r="BR189" s="22">
        <v>44734</v>
      </c>
      <c r="BS189" s="26">
        <f t="shared" ca="1" si="16"/>
        <v>0.93782110623279236</v>
      </c>
      <c r="BT189" s="29">
        <v>0</v>
      </c>
      <c r="BV189" s="22">
        <v>44734</v>
      </c>
      <c r="BW189" s="26">
        <f t="shared" ca="1" si="17"/>
        <v>0.54875958771851252</v>
      </c>
      <c r="BX189" s="29">
        <v>0</v>
      </c>
    </row>
    <row r="190" spans="2:76" ht="12.75" x14ac:dyDescent="0.2">
      <c r="B190" s="22">
        <v>44735</v>
      </c>
      <c r="C190" s="26">
        <f t="shared" ca="1" si="0"/>
        <v>0.21972008289731015</v>
      </c>
      <c r="D190" s="29">
        <f t="shared" ca="1" si="24"/>
        <v>60</v>
      </c>
      <c r="F190" s="22">
        <v>44735</v>
      </c>
      <c r="G190" s="26">
        <f t="shared" ca="1" si="1"/>
        <v>0.77477937992740231</v>
      </c>
      <c r="H190" s="29">
        <f t="shared" ca="1" si="25"/>
        <v>227</v>
      </c>
      <c r="J190" s="22">
        <v>44735</v>
      </c>
      <c r="K190" s="26">
        <f t="shared" ca="1" si="2"/>
        <v>0.36202900621335254</v>
      </c>
      <c r="L190" s="29">
        <v>0</v>
      </c>
      <c r="N190" s="22">
        <v>44735</v>
      </c>
      <c r="O190" s="26">
        <f t="shared" ca="1" si="3"/>
        <v>0.56492219508429531</v>
      </c>
      <c r="P190" s="29">
        <v>0</v>
      </c>
      <c r="R190" s="22">
        <v>44735</v>
      </c>
      <c r="S190" s="26">
        <f t="shared" ca="1" si="4"/>
        <v>0.89742581305234059</v>
      </c>
      <c r="T190" s="29">
        <v>0</v>
      </c>
      <c r="V190" s="22">
        <v>44735</v>
      </c>
      <c r="W190" s="26">
        <f t="shared" ca="1" si="5"/>
        <v>0.85566877308356204</v>
      </c>
      <c r="X190" s="29">
        <v>0</v>
      </c>
      <c r="Z190" s="22">
        <v>44735</v>
      </c>
      <c r="AA190" s="26">
        <f t="shared" ca="1" si="6"/>
        <v>0.61186859960849205</v>
      </c>
      <c r="AB190" s="29">
        <v>0</v>
      </c>
      <c r="AC190"/>
      <c r="AD190" s="25"/>
      <c r="AF190" s="22">
        <v>44735</v>
      </c>
      <c r="AG190" s="26">
        <f t="shared" ca="1" si="7"/>
        <v>0.45860611570475873</v>
      </c>
      <c r="AH190" s="29">
        <v>0</v>
      </c>
      <c r="AJ190" s="22">
        <v>44735</v>
      </c>
      <c r="AK190" s="26">
        <f t="shared" ca="1" si="8"/>
        <v>0.4393255036461059</v>
      </c>
      <c r="AL190" s="29">
        <v>0</v>
      </c>
      <c r="AN190" s="22">
        <v>44735</v>
      </c>
      <c r="AO190" s="26">
        <f t="shared" ca="1" si="9"/>
        <v>0.69083064072401235</v>
      </c>
      <c r="AP190" s="29">
        <v>0</v>
      </c>
      <c r="AR190" s="22">
        <v>44735</v>
      </c>
      <c r="AS190" s="26">
        <f t="shared" ca="1" si="10"/>
        <v>0.30153572401779105</v>
      </c>
      <c r="AT190" s="29">
        <v>0</v>
      </c>
      <c r="AV190" s="22">
        <v>44735</v>
      </c>
      <c r="AW190" s="26">
        <f t="shared" ca="1" si="11"/>
        <v>0.69023146175640404</v>
      </c>
      <c r="AX190" s="29">
        <v>0</v>
      </c>
      <c r="AZ190" s="22">
        <v>44735</v>
      </c>
      <c r="BA190" s="26">
        <f t="shared" ca="1" si="12"/>
        <v>0.1546511232106812</v>
      </c>
      <c r="BB190" s="29">
        <v>0</v>
      </c>
      <c r="BC190"/>
      <c r="BD190" s="25"/>
      <c r="BF190" s="22">
        <v>44735</v>
      </c>
      <c r="BG190" s="26">
        <f t="shared" ca="1" si="13"/>
        <v>9.7398081301749762E-2</v>
      </c>
      <c r="BH190" s="29">
        <v>0</v>
      </c>
      <c r="BJ190" s="22">
        <v>44735</v>
      </c>
      <c r="BK190" s="26">
        <f t="shared" ca="1" si="14"/>
        <v>0.46581177765053106</v>
      </c>
      <c r="BL190" s="29">
        <v>0</v>
      </c>
      <c r="BN190" s="22">
        <v>44735</v>
      </c>
      <c r="BO190" s="26">
        <f t="shared" ca="1" si="15"/>
        <v>0.75993296190915616</v>
      </c>
      <c r="BP190" s="29">
        <v>0</v>
      </c>
      <c r="BR190" s="22">
        <v>44735</v>
      </c>
      <c r="BS190" s="26">
        <f t="shared" ca="1" si="16"/>
        <v>0.66178979732167564</v>
      </c>
      <c r="BT190" s="29">
        <v>0</v>
      </c>
      <c r="BV190" s="22">
        <v>44735</v>
      </c>
      <c r="BW190" s="26">
        <f t="shared" ca="1" si="17"/>
        <v>0.75074958092765465</v>
      </c>
      <c r="BX190" s="29">
        <v>0</v>
      </c>
    </row>
    <row r="191" spans="2:76" ht="12.75" x14ac:dyDescent="0.2">
      <c r="B191" s="22">
        <v>44736</v>
      </c>
      <c r="C191" s="26">
        <f t="shared" ca="1" si="0"/>
        <v>0.15570328124517707</v>
      </c>
      <c r="D191" s="29">
        <f t="shared" ca="1" si="24"/>
        <v>55</v>
      </c>
      <c r="F191" s="22">
        <v>44736</v>
      </c>
      <c r="G191" s="26">
        <f t="shared" ca="1" si="1"/>
        <v>0.34224531038936223</v>
      </c>
      <c r="H191" s="29">
        <f t="shared" ca="1" si="25"/>
        <v>210</v>
      </c>
      <c r="J191" s="22">
        <v>44736</v>
      </c>
      <c r="K191" s="26">
        <f t="shared" ca="1" si="2"/>
        <v>0.99841411645598355</v>
      </c>
      <c r="L191" s="29">
        <v>0</v>
      </c>
      <c r="N191" s="22">
        <v>44736</v>
      </c>
      <c r="O191" s="26">
        <f t="shared" ca="1" si="3"/>
        <v>0.15187357551224823</v>
      </c>
      <c r="P191" s="29">
        <v>0</v>
      </c>
      <c r="R191" s="22">
        <v>44736</v>
      </c>
      <c r="S191" s="26">
        <f t="shared" ca="1" si="4"/>
        <v>0.45563158828716599</v>
      </c>
      <c r="T191" s="29">
        <v>0</v>
      </c>
      <c r="V191" s="22">
        <v>44736</v>
      </c>
      <c r="W191" s="26">
        <f t="shared" ca="1" si="5"/>
        <v>8.2566701197636094E-2</v>
      </c>
      <c r="X191" s="29">
        <v>0</v>
      </c>
      <c r="Z191" s="22">
        <v>44736</v>
      </c>
      <c r="AA191" s="26">
        <f t="shared" ca="1" si="6"/>
        <v>0.75501512776761726</v>
      </c>
      <c r="AB191" s="29">
        <v>0</v>
      </c>
      <c r="AC191"/>
      <c r="AD191" s="25"/>
      <c r="AF191" s="22">
        <v>44736</v>
      </c>
      <c r="AG191" s="26">
        <f t="shared" ca="1" si="7"/>
        <v>0.45814946693440595</v>
      </c>
      <c r="AH191" s="29">
        <v>0</v>
      </c>
      <c r="AJ191" s="22">
        <v>44736</v>
      </c>
      <c r="AK191" s="26">
        <f t="shared" ca="1" si="8"/>
        <v>0.14001964033885972</v>
      </c>
      <c r="AL191" s="29">
        <v>0</v>
      </c>
      <c r="AN191" s="22">
        <v>44736</v>
      </c>
      <c r="AO191" s="26">
        <f t="shared" ca="1" si="9"/>
        <v>0.66896809354898157</v>
      </c>
      <c r="AP191" s="29">
        <v>0</v>
      </c>
      <c r="AR191" s="22">
        <v>44736</v>
      </c>
      <c r="AS191" s="26">
        <f t="shared" ca="1" si="10"/>
        <v>0.47885815148808464</v>
      </c>
      <c r="AT191" s="29">
        <v>0</v>
      </c>
      <c r="AV191" s="22">
        <v>44736</v>
      </c>
      <c r="AW191" s="26">
        <f t="shared" ca="1" si="11"/>
        <v>0.52950239515232622</v>
      </c>
      <c r="AX191" s="29">
        <v>0</v>
      </c>
      <c r="AZ191" s="22">
        <v>44736</v>
      </c>
      <c r="BA191" s="26">
        <f t="shared" ca="1" si="12"/>
        <v>0.81453581689755028</v>
      </c>
      <c r="BB191" s="29">
        <v>0</v>
      </c>
      <c r="BC191"/>
      <c r="BD191" s="25"/>
      <c r="BF191" s="22">
        <v>44736</v>
      </c>
      <c r="BG191" s="26">
        <f t="shared" ca="1" si="13"/>
        <v>0.51295750669395779</v>
      </c>
      <c r="BH191" s="29">
        <v>0</v>
      </c>
      <c r="BJ191" s="22">
        <v>44736</v>
      </c>
      <c r="BK191" s="26">
        <f t="shared" ca="1" si="14"/>
        <v>0.79342490395905074</v>
      </c>
      <c r="BL191" s="29">
        <v>0</v>
      </c>
      <c r="BN191" s="22">
        <v>44736</v>
      </c>
      <c r="BO191" s="26">
        <f t="shared" ca="1" si="15"/>
        <v>0.51514960990346348</v>
      </c>
      <c r="BP191" s="29">
        <v>0</v>
      </c>
      <c r="BR191" s="22">
        <v>44736</v>
      </c>
      <c r="BS191" s="26">
        <f t="shared" ca="1" si="16"/>
        <v>0.18715907923547881</v>
      </c>
      <c r="BT191" s="29">
        <v>0</v>
      </c>
      <c r="BV191" s="22">
        <v>44736</v>
      </c>
      <c r="BW191" s="26">
        <f t="shared" ca="1" si="17"/>
        <v>0.49359187227366852</v>
      </c>
      <c r="BX191" s="29">
        <v>0</v>
      </c>
    </row>
    <row r="192" spans="2:76" ht="12.75" x14ac:dyDescent="0.2">
      <c r="B192" s="22">
        <v>44737</v>
      </c>
      <c r="C192" s="26">
        <f t="shared" ca="1" si="0"/>
        <v>0.49628244728466986</v>
      </c>
      <c r="D192" s="29">
        <f t="shared" ca="1" si="24"/>
        <v>75</v>
      </c>
      <c r="F192" s="22">
        <v>44737</v>
      </c>
      <c r="G192" s="26">
        <f t="shared" ca="1" si="1"/>
        <v>0.14425195977985328</v>
      </c>
      <c r="H192" s="29">
        <f t="shared" ca="1" si="25"/>
        <v>201</v>
      </c>
      <c r="J192" s="22">
        <v>44737</v>
      </c>
      <c r="K192" s="26">
        <f t="shared" ca="1" si="2"/>
        <v>0.1515194468811214</v>
      </c>
      <c r="L192" s="29">
        <v>0</v>
      </c>
      <c r="N192" s="22">
        <v>44737</v>
      </c>
      <c r="O192" s="26">
        <f t="shared" ca="1" si="3"/>
        <v>0.21612965987641175</v>
      </c>
      <c r="P192" s="29">
        <v>0</v>
      </c>
      <c r="R192" s="22">
        <v>44737</v>
      </c>
      <c r="S192" s="26">
        <f t="shared" ca="1" si="4"/>
        <v>0.71685139421494637</v>
      </c>
      <c r="T192" s="29">
        <v>0</v>
      </c>
      <c r="V192" s="22">
        <v>44737</v>
      </c>
      <c r="W192" s="26">
        <f t="shared" ca="1" si="5"/>
        <v>0.14985041351750106</v>
      </c>
      <c r="X192" s="29">
        <v>0</v>
      </c>
      <c r="Z192" s="22">
        <v>44737</v>
      </c>
      <c r="AA192" s="26">
        <f t="shared" ca="1" si="6"/>
        <v>6.5993507629569681E-2</v>
      </c>
      <c r="AB192" s="29">
        <v>0</v>
      </c>
      <c r="AC192"/>
      <c r="AD192" s="25"/>
      <c r="AF192" s="22">
        <v>44737</v>
      </c>
      <c r="AG192" s="26">
        <f t="shared" ca="1" si="7"/>
        <v>0.75837809311244431</v>
      </c>
      <c r="AH192" s="29">
        <v>0</v>
      </c>
      <c r="AJ192" s="22">
        <v>44737</v>
      </c>
      <c r="AK192" s="26">
        <f t="shared" ca="1" si="8"/>
        <v>0.74633403297562884</v>
      </c>
      <c r="AL192" s="29">
        <v>0</v>
      </c>
      <c r="AN192" s="22">
        <v>44737</v>
      </c>
      <c r="AO192" s="26">
        <f t="shared" ca="1" si="9"/>
        <v>0.60910100067802209</v>
      </c>
      <c r="AP192" s="29">
        <v>0</v>
      </c>
      <c r="AR192" s="22">
        <v>44737</v>
      </c>
      <c r="AS192" s="26">
        <f t="shared" ca="1" si="10"/>
        <v>0.30434634204905198</v>
      </c>
      <c r="AT192" s="29">
        <v>0</v>
      </c>
      <c r="AV192" s="22">
        <v>44737</v>
      </c>
      <c r="AW192" s="26">
        <f t="shared" ca="1" si="11"/>
        <v>1.5277258516449455E-2</v>
      </c>
      <c r="AX192" s="29">
        <v>0</v>
      </c>
      <c r="AZ192" s="22">
        <v>44737</v>
      </c>
      <c r="BA192" s="26">
        <f t="shared" ca="1" si="12"/>
        <v>0.71770542626861489</v>
      </c>
      <c r="BB192" s="29">
        <v>0</v>
      </c>
      <c r="BC192"/>
      <c r="BD192" s="25"/>
      <c r="BF192" s="22">
        <v>44737</v>
      </c>
      <c r="BG192" s="26">
        <f t="shared" ca="1" si="13"/>
        <v>0.88039610002452662</v>
      </c>
      <c r="BH192" s="29">
        <v>0</v>
      </c>
      <c r="BJ192" s="22">
        <v>44737</v>
      </c>
      <c r="BK192" s="26">
        <f t="shared" ca="1" si="14"/>
        <v>0.43420366732079485</v>
      </c>
      <c r="BL192" s="29">
        <v>0</v>
      </c>
      <c r="BN192" s="22">
        <v>44737</v>
      </c>
      <c r="BO192" s="26">
        <f t="shared" ca="1" si="15"/>
        <v>7.2863791838586489E-2</v>
      </c>
      <c r="BP192" s="29">
        <v>0</v>
      </c>
      <c r="BR192" s="22">
        <v>44737</v>
      </c>
      <c r="BS192" s="26">
        <f t="shared" ca="1" si="16"/>
        <v>0.57162448503699104</v>
      </c>
      <c r="BT192" s="29">
        <v>0</v>
      </c>
      <c r="BV192" s="22">
        <v>44737</v>
      </c>
      <c r="BW192" s="26">
        <f t="shared" ca="1" si="17"/>
        <v>0.16350006362362779</v>
      </c>
      <c r="BX192" s="29">
        <v>0</v>
      </c>
    </row>
    <row r="193" spans="2:77" ht="12.75" x14ac:dyDescent="0.2">
      <c r="B193" s="22">
        <v>44738</v>
      </c>
      <c r="C193" s="26">
        <f t="shared" ca="1" si="0"/>
        <v>0.14385290831124109</v>
      </c>
      <c r="D193" s="29">
        <f t="shared" ca="1" si="24"/>
        <v>54</v>
      </c>
      <c r="F193" s="22">
        <v>44738</v>
      </c>
      <c r="G193" s="26">
        <f t="shared" ca="1" si="1"/>
        <v>0.47495670201554285</v>
      </c>
      <c r="H193" s="29">
        <f t="shared" ca="1" si="25"/>
        <v>215</v>
      </c>
      <c r="J193" s="22">
        <v>44738</v>
      </c>
      <c r="K193" s="26">
        <f t="shared" ca="1" si="2"/>
        <v>0.62843194328491447</v>
      </c>
      <c r="L193" s="29">
        <v>0</v>
      </c>
      <c r="N193" s="22">
        <v>44738</v>
      </c>
      <c r="O193" s="26">
        <f t="shared" ca="1" si="3"/>
        <v>9.404593411174611E-2</v>
      </c>
      <c r="P193" s="29">
        <v>0</v>
      </c>
      <c r="R193" s="22">
        <v>44738</v>
      </c>
      <c r="S193" s="26">
        <f t="shared" ca="1" si="4"/>
        <v>0.85681672245822937</v>
      </c>
      <c r="T193" s="29">
        <v>0</v>
      </c>
      <c r="V193" s="22">
        <v>44738</v>
      </c>
      <c r="W193" s="26">
        <f t="shared" ca="1" si="5"/>
        <v>0.82349814162299273</v>
      </c>
      <c r="X193" s="29">
        <v>0</v>
      </c>
      <c r="Z193" s="22">
        <v>44738</v>
      </c>
      <c r="AA193" s="26">
        <f t="shared" ca="1" si="6"/>
        <v>0.98655354621254976</v>
      </c>
      <c r="AB193" s="29">
        <v>0</v>
      </c>
      <c r="AC193"/>
      <c r="AD193" s="25"/>
      <c r="AF193" s="22">
        <v>44738</v>
      </c>
      <c r="AG193" s="26">
        <f t="shared" ca="1" si="7"/>
        <v>0.52639349442648709</v>
      </c>
      <c r="AH193" s="29">
        <v>0</v>
      </c>
      <c r="AJ193" s="22">
        <v>44738</v>
      </c>
      <c r="AK193" s="26">
        <f t="shared" ca="1" si="8"/>
        <v>2.7586784446570256E-2</v>
      </c>
      <c r="AL193" s="29">
        <v>0</v>
      </c>
      <c r="AN193" s="22">
        <v>44738</v>
      </c>
      <c r="AO193" s="26">
        <f t="shared" ca="1" si="9"/>
        <v>0.59207056273776215</v>
      </c>
      <c r="AP193" s="29">
        <v>0</v>
      </c>
      <c r="AR193" s="22">
        <v>44738</v>
      </c>
      <c r="AS193" s="26">
        <f t="shared" ca="1" si="10"/>
        <v>0.36184751124431636</v>
      </c>
      <c r="AT193" s="29">
        <v>0</v>
      </c>
      <c r="AV193" s="22">
        <v>44738</v>
      </c>
      <c r="AW193" s="26">
        <f t="shared" ca="1" si="11"/>
        <v>0.18590284695005077</v>
      </c>
      <c r="AX193" s="29">
        <v>0</v>
      </c>
      <c r="AZ193" s="22">
        <v>44738</v>
      </c>
      <c r="BA193" s="26">
        <f t="shared" ca="1" si="12"/>
        <v>0.90417495527537395</v>
      </c>
      <c r="BB193" s="29">
        <v>0</v>
      </c>
      <c r="BC193"/>
      <c r="BD193" s="25"/>
      <c r="BF193" s="22">
        <v>44738</v>
      </c>
      <c r="BG193" s="26">
        <f t="shared" ca="1" si="13"/>
        <v>0.97993035602674272</v>
      </c>
      <c r="BH193" s="29">
        <v>0</v>
      </c>
      <c r="BJ193" s="22">
        <v>44738</v>
      </c>
      <c r="BK193" s="26">
        <f t="shared" ca="1" si="14"/>
        <v>8.2854603394520665E-2</v>
      </c>
      <c r="BL193" s="29">
        <v>0</v>
      </c>
      <c r="BN193" s="22">
        <v>44738</v>
      </c>
      <c r="BO193" s="26">
        <f t="shared" ca="1" si="15"/>
        <v>0.42807481685314686</v>
      </c>
      <c r="BP193" s="29">
        <v>0</v>
      </c>
      <c r="BR193" s="22">
        <v>44738</v>
      </c>
      <c r="BS193" s="26">
        <f t="shared" ca="1" si="16"/>
        <v>0.74719197831172446</v>
      </c>
      <c r="BT193" s="29">
        <v>0</v>
      </c>
      <c r="BV193" s="22">
        <v>44738</v>
      </c>
      <c r="BW193" s="26">
        <f t="shared" ca="1" si="17"/>
        <v>0.6008504371751926</v>
      </c>
      <c r="BX193" s="29">
        <v>0</v>
      </c>
    </row>
    <row r="194" spans="2:77" ht="12.75" x14ac:dyDescent="0.2">
      <c r="B194" s="22">
        <v>44739</v>
      </c>
      <c r="C194" s="26">
        <f t="shared" ca="1" si="0"/>
        <v>0.8258216904309118</v>
      </c>
      <c r="D194" s="29">
        <f t="shared" ca="1" si="24"/>
        <v>94</v>
      </c>
      <c r="F194" s="22">
        <v>44739</v>
      </c>
      <c r="G194" s="26">
        <f t="shared" ca="1" si="1"/>
        <v>0.14098512149510267</v>
      </c>
      <c r="H194" s="29">
        <f t="shared" ca="1" si="25"/>
        <v>200</v>
      </c>
      <c r="J194" s="22">
        <v>44739</v>
      </c>
      <c r="K194" s="26">
        <f t="shared" ca="1" si="2"/>
        <v>0.35422562620965992</v>
      </c>
      <c r="L194" s="29">
        <v>0</v>
      </c>
      <c r="N194" s="22">
        <v>44739</v>
      </c>
      <c r="O194" s="26">
        <f t="shared" ca="1" si="3"/>
        <v>0.71709105675491758</v>
      </c>
      <c r="P194" s="29">
        <v>0</v>
      </c>
      <c r="R194" s="22">
        <v>44739</v>
      </c>
      <c r="S194" s="26">
        <f t="shared" ca="1" si="4"/>
        <v>0.46661568819680366</v>
      </c>
      <c r="T194" s="29">
        <v>0</v>
      </c>
      <c r="V194" s="22">
        <v>44739</v>
      </c>
      <c r="W194" s="26">
        <f t="shared" ca="1" si="5"/>
        <v>0.86602539710498694</v>
      </c>
      <c r="X194" s="29">
        <v>0</v>
      </c>
      <c r="Z194" s="22">
        <v>44739</v>
      </c>
      <c r="AA194" s="26">
        <f t="shared" ca="1" si="6"/>
        <v>0.58409496384474258</v>
      </c>
      <c r="AB194" s="29">
        <v>0</v>
      </c>
      <c r="AC194"/>
      <c r="AD194" s="25"/>
      <c r="AF194" s="22">
        <v>44739</v>
      </c>
      <c r="AG194" s="26">
        <f t="shared" ca="1" si="7"/>
        <v>0.94515150552062044</v>
      </c>
      <c r="AH194" s="29">
        <v>0</v>
      </c>
      <c r="AJ194" s="22">
        <v>44739</v>
      </c>
      <c r="AK194" s="26">
        <f t="shared" ca="1" si="8"/>
        <v>0.22242618275609349</v>
      </c>
      <c r="AL194" s="29">
        <v>0</v>
      </c>
      <c r="AN194" s="22">
        <v>44739</v>
      </c>
      <c r="AO194" s="26">
        <f t="shared" ca="1" si="9"/>
        <v>0.48297480716415242</v>
      </c>
      <c r="AP194" s="29">
        <v>0</v>
      </c>
      <c r="AR194" s="22">
        <v>44739</v>
      </c>
      <c r="AS194" s="26">
        <f t="shared" ca="1" si="10"/>
        <v>0.49743981852140617</v>
      </c>
      <c r="AT194" s="29">
        <v>0</v>
      </c>
      <c r="AV194" s="22">
        <v>44739</v>
      </c>
      <c r="AW194" s="26">
        <f t="shared" ca="1" si="11"/>
        <v>0.66961097603060638</v>
      </c>
      <c r="AX194" s="29">
        <v>0</v>
      </c>
      <c r="AZ194" s="22">
        <v>44739</v>
      </c>
      <c r="BA194" s="26">
        <f t="shared" ca="1" si="12"/>
        <v>0.19418647612724327</v>
      </c>
      <c r="BB194" s="29">
        <v>0</v>
      </c>
      <c r="BC194"/>
      <c r="BD194" s="25"/>
      <c r="BF194" s="22">
        <v>44739</v>
      </c>
      <c r="BG194" s="26">
        <f t="shared" ca="1" si="13"/>
        <v>0.22881498965397096</v>
      </c>
      <c r="BH194" s="29">
        <v>0</v>
      </c>
      <c r="BJ194" s="22">
        <v>44739</v>
      </c>
      <c r="BK194" s="26">
        <f t="shared" ca="1" si="14"/>
        <v>0.25702860588276433</v>
      </c>
      <c r="BL194" s="29">
        <v>0</v>
      </c>
      <c r="BN194" s="22">
        <v>44739</v>
      </c>
      <c r="BO194" s="26">
        <f t="shared" ca="1" si="15"/>
        <v>0.40930971736052446</v>
      </c>
      <c r="BP194" s="29">
        <v>0</v>
      </c>
      <c r="BR194" s="22">
        <v>44739</v>
      </c>
      <c r="BS194" s="26">
        <f t="shared" ca="1" si="16"/>
        <v>0.19809590928198417</v>
      </c>
      <c r="BT194" s="29">
        <v>0</v>
      </c>
      <c r="BV194" s="22">
        <v>44739</v>
      </c>
      <c r="BW194" s="26">
        <f t="shared" ca="1" si="17"/>
        <v>3.6394054785405361E-2</v>
      </c>
      <c r="BX194" s="29">
        <v>0</v>
      </c>
    </row>
    <row r="195" spans="2:77" ht="12.75" x14ac:dyDescent="0.2">
      <c r="B195" s="22">
        <v>44740</v>
      </c>
      <c r="C195" s="26">
        <f t="shared" ca="1" si="0"/>
        <v>0.91451592760732126</v>
      </c>
      <c r="D195" s="29">
        <f t="shared" ca="1" si="24"/>
        <v>103</v>
      </c>
      <c r="F195" s="22">
        <v>44740</v>
      </c>
      <c r="G195" s="26">
        <f t="shared" ca="1" si="1"/>
        <v>0.35109241292866511</v>
      </c>
      <c r="H195" s="29">
        <f t="shared" ca="1" si="25"/>
        <v>210</v>
      </c>
      <c r="J195" s="22">
        <v>44740</v>
      </c>
      <c r="K195" s="26">
        <f t="shared" ca="1" si="2"/>
        <v>0.19673937761217197</v>
      </c>
      <c r="L195" s="29">
        <v>0</v>
      </c>
      <c r="N195" s="22">
        <v>44740</v>
      </c>
      <c r="O195" s="26">
        <f t="shared" ca="1" si="3"/>
        <v>0.81755928395691391</v>
      </c>
      <c r="P195" s="29">
        <v>0</v>
      </c>
      <c r="R195" s="22">
        <v>44740</v>
      </c>
      <c r="S195" s="26">
        <f t="shared" ca="1" si="4"/>
        <v>0.53912464082962519</v>
      </c>
      <c r="T195" s="29">
        <v>0</v>
      </c>
      <c r="V195" s="22">
        <v>44740</v>
      </c>
      <c r="W195" s="26">
        <f t="shared" ca="1" si="5"/>
        <v>0.1727503437824055</v>
      </c>
      <c r="X195" s="29">
        <v>0</v>
      </c>
      <c r="Z195" s="22">
        <v>44740</v>
      </c>
      <c r="AA195" s="26">
        <f t="shared" ca="1" si="6"/>
        <v>0.2587120074004633</v>
      </c>
      <c r="AB195" s="29">
        <v>0</v>
      </c>
      <c r="AC195"/>
      <c r="AD195" s="25"/>
      <c r="AF195" s="22">
        <v>44740</v>
      </c>
      <c r="AG195" s="26">
        <f t="shared" ca="1" si="7"/>
        <v>7.1791907544881517E-2</v>
      </c>
      <c r="AH195" s="29">
        <v>0</v>
      </c>
      <c r="AJ195" s="22">
        <v>44740</v>
      </c>
      <c r="AK195" s="26">
        <f t="shared" ca="1" si="8"/>
        <v>0.68619894475669707</v>
      </c>
      <c r="AL195" s="29">
        <v>0</v>
      </c>
      <c r="AN195" s="22">
        <v>44740</v>
      </c>
      <c r="AO195" s="26">
        <f t="shared" ca="1" si="9"/>
        <v>0.13217232986504635</v>
      </c>
      <c r="AP195" s="29">
        <v>0</v>
      </c>
      <c r="AR195" s="22">
        <v>44740</v>
      </c>
      <c r="AS195" s="26">
        <f t="shared" ca="1" si="10"/>
        <v>0.86943420094202417</v>
      </c>
      <c r="AT195" s="29">
        <v>0</v>
      </c>
      <c r="AV195" s="22">
        <v>44740</v>
      </c>
      <c r="AW195" s="26">
        <f t="shared" ca="1" si="11"/>
        <v>0.9629255917850329</v>
      </c>
      <c r="AX195" s="29">
        <v>0</v>
      </c>
      <c r="AZ195" s="22">
        <v>44740</v>
      </c>
      <c r="BA195" s="26">
        <f t="shared" ca="1" si="12"/>
        <v>0.33998791424666619</v>
      </c>
      <c r="BB195" s="29">
        <v>0</v>
      </c>
      <c r="BC195"/>
      <c r="BD195" s="25"/>
      <c r="BF195" s="22">
        <v>44740</v>
      </c>
      <c r="BG195" s="26">
        <f t="shared" ca="1" si="13"/>
        <v>0.43368825138117562</v>
      </c>
      <c r="BH195" s="29">
        <v>0</v>
      </c>
      <c r="BJ195" s="22">
        <v>44740</v>
      </c>
      <c r="BK195" s="26">
        <f t="shared" ca="1" si="14"/>
        <v>0.49297696493283183</v>
      </c>
      <c r="BL195" s="29">
        <v>0</v>
      </c>
      <c r="BN195" s="22">
        <v>44740</v>
      </c>
      <c r="BO195" s="26">
        <f t="shared" ca="1" si="15"/>
        <v>0.17751328461518356</v>
      </c>
      <c r="BP195" s="29">
        <v>0</v>
      </c>
      <c r="BR195" s="22">
        <v>44740</v>
      </c>
      <c r="BS195" s="26">
        <f t="shared" ca="1" si="16"/>
        <v>0.32792200866096521</v>
      </c>
      <c r="BT195" s="29">
        <v>0</v>
      </c>
      <c r="BV195" s="22">
        <v>44740</v>
      </c>
      <c r="BW195" s="26">
        <f t="shared" ca="1" si="17"/>
        <v>0.70161151459092252</v>
      </c>
      <c r="BX195" s="29">
        <v>0</v>
      </c>
    </row>
    <row r="196" spans="2:77" ht="12.75" x14ac:dyDescent="0.2">
      <c r="B196" s="22">
        <v>44741</v>
      </c>
      <c r="C196" s="26">
        <f t="shared" ca="1" si="0"/>
        <v>0.87511856313846004</v>
      </c>
      <c r="D196" s="29">
        <f t="shared" ca="1" si="24"/>
        <v>99</v>
      </c>
      <c r="F196" s="22">
        <v>44741</v>
      </c>
      <c r="G196" s="26">
        <f t="shared" ca="1" si="1"/>
        <v>0.7172855490590081</v>
      </c>
      <c r="H196" s="29">
        <f t="shared" ca="1" si="25"/>
        <v>224</v>
      </c>
      <c r="J196" s="22">
        <v>44741</v>
      </c>
      <c r="K196" s="26">
        <f t="shared" ca="1" si="2"/>
        <v>0.61539562298786477</v>
      </c>
      <c r="L196" s="29">
        <v>0</v>
      </c>
      <c r="N196" s="22">
        <v>44741</v>
      </c>
      <c r="O196" s="26">
        <f t="shared" ca="1" si="3"/>
        <v>6.0987175133277005E-2</v>
      </c>
      <c r="P196" s="29">
        <v>0</v>
      </c>
      <c r="R196" s="22">
        <v>44741</v>
      </c>
      <c r="S196" s="26">
        <f t="shared" ca="1" si="4"/>
        <v>0.36439397456781497</v>
      </c>
      <c r="T196" s="29">
        <v>0</v>
      </c>
      <c r="V196" s="22">
        <v>44741</v>
      </c>
      <c r="W196" s="26">
        <f t="shared" ca="1" si="5"/>
        <v>0.70938335220585214</v>
      </c>
      <c r="X196" s="29">
        <v>0</v>
      </c>
      <c r="Z196" s="22">
        <v>44741</v>
      </c>
      <c r="AA196" s="26">
        <f t="shared" ca="1" si="6"/>
        <v>0.59783043750605713</v>
      </c>
      <c r="AB196" s="29">
        <v>0</v>
      </c>
      <c r="AC196"/>
      <c r="AD196" s="25"/>
      <c r="AF196" s="22">
        <v>44741</v>
      </c>
      <c r="AG196" s="26">
        <f t="shared" ca="1" si="7"/>
        <v>0.25886247833635034</v>
      </c>
      <c r="AH196" s="29">
        <v>0</v>
      </c>
      <c r="AJ196" s="22">
        <v>44741</v>
      </c>
      <c r="AK196" s="26">
        <f t="shared" ca="1" si="8"/>
        <v>0.12906685322041167</v>
      </c>
      <c r="AL196" s="29">
        <v>0</v>
      </c>
      <c r="AN196" s="22">
        <v>44741</v>
      </c>
      <c r="AO196" s="26">
        <f t="shared" ca="1" si="9"/>
        <v>3.9031750549626709E-2</v>
      </c>
      <c r="AP196" s="29">
        <v>0</v>
      </c>
      <c r="AR196" s="22">
        <v>44741</v>
      </c>
      <c r="AS196" s="26">
        <f t="shared" ca="1" si="10"/>
        <v>0.90568581848870211</v>
      </c>
      <c r="AT196" s="29">
        <v>0</v>
      </c>
      <c r="AV196" s="22">
        <v>44741</v>
      </c>
      <c r="AW196" s="26">
        <f t="shared" ca="1" si="11"/>
        <v>4.8647293252521595E-2</v>
      </c>
      <c r="AX196" s="29">
        <v>0</v>
      </c>
      <c r="AZ196" s="22">
        <v>44741</v>
      </c>
      <c r="BA196" s="26">
        <f t="shared" ca="1" si="12"/>
        <v>1.5616339138080138E-2</v>
      </c>
      <c r="BB196" s="29">
        <v>0</v>
      </c>
      <c r="BC196"/>
      <c r="BD196" s="25"/>
      <c r="BF196" s="22">
        <v>44741</v>
      </c>
      <c r="BG196" s="26">
        <f t="shared" ca="1" si="13"/>
        <v>0.14725462149986857</v>
      </c>
      <c r="BH196" s="29">
        <v>0</v>
      </c>
      <c r="BJ196" s="22">
        <v>44741</v>
      </c>
      <c r="BK196" s="26">
        <f t="shared" ca="1" si="14"/>
        <v>0.61554480981466042</v>
      </c>
      <c r="BL196" s="29">
        <v>0</v>
      </c>
      <c r="BN196" s="22">
        <v>44741</v>
      </c>
      <c r="BO196" s="26">
        <f t="shared" ca="1" si="15"/>
        <v>8.970892912722761E-2</v>
      </c>
      <c r="BP196" s="29">
        <v>0</v>
      </c>
      <c r="BR196" s="22">
        <v>44741</v>
      </c>
      <c r="BS196" s="26">
        <f t="shared" ca="1" si="16"/>
        <v>0.7710616457834274</v>
      </c>
      <c r="BT196" s="29">
        <v>0</v>
      </c>
      <c r="BV196" s="22">
        <v>44741</v>
      </c>
      <c r="BW196" s="26">
        <f t="shared" ca="1" si="17"/>
        <v>0.4355669667740808</v>
      </c>
      <c r="BX196" s="29">
        <v>0</v>
      </c>
    </row>
    <row r="197" spans="2:77" ht="12.75" x14ac:dyDescent="0.2">
      <c r="B197" s="22">
        <v>44742</v>
      </c>
      <c r="C197" s="26">
        <f t="shared" ca="1" si="0"/>
        <v>0.84716790701849642</v>
      </c>
      <c r="D197" s="29">
        <f t="shared" ca="1" si="24"/>
        <v>96</v>
      </c>
      <c r="E197">
        <v>2438</v>
      </c>
      <c r="F197" s="22">
        <v>44742</v>
      </c>
      <c r="G197" s="26">
        <f t="shared" ca="1" si="1"/>
        <v>0.85192974673099686</v>
      </c>
      <c r="H197" s="29">
        <f t="shared" ca="1" si="25"/>
        <v>231</v>
      </c>
      <c r="I197">
        <v>6579</v>
      </c>
      <c r="J197" s="22">
        <v>44742</v>
      </c>
      <c r="K197" s="26">
        <f t="shared" ca="1" si="2"/>
        <v>0.79894148419083244</v>
      </c>
      <c r="L197" s="29">
        <v>0</v>
      </c>
      <c r="M197">
        <v>0</v>
      </c>
      <c r="N197" s="22">
        <v>44742</v>
      </c>
      <c r="O197" s="26">
        <f t="shared" ca="1" si="3"/>
        <v>0.5197137684023212</v>
      </c>
      <c r="P197" s="29">
        <v>0</v>
      </c>
      <c r="Q197">
        <v>0</v>
      </c>
      <c r="R197" s="22">
        <v>44742</v>
      </c>
      <c r="S197" s="26">
        <f t="shared" ca="1" si="4"/>
        <v>0.58770102739504282</v>
      </c>
      <c r="T197" s="29">
        <v>0</v>
      </c>
      <c r="U197">
        <v>0</v>
      </c>
      <c r="V197" s="22">
        <v>44742</v>
      </c>
      <c r="W197" s="26">
        <f t="shared" ca="1" si="5"/>
        <v>0.46877690687991191</v>
      </c>
      <c r="X197" s="29">
        <v>0</v>
      </c>
      <c r="Y197">
        <v>0</v>
      </c>
      <c r="Z197" s="22">
        <v>44742</v>
      </c>
      <c r="AA197" s="26">
        <f t="shared" ca="1" si="6"/>
        <v>0.6089203358386871</v>
      </c>
      <c r="AB197" s="29">
        <v>0</v>
      </c>
      <c r="AC197">
        <v>0</v>
      </c>
      <c r="AD197" s="25"/>
      <c r="AF197" s="22">
        <v>44742</v>
      </c>
      <c r="AG197" s="26">
        <f t="shared" ca="1" si="7"/>
        <v>0.52745675110012591</v>
      </c>
      <c r="AH197" s="29">
        <v>0</v>
      </c>
      <c r="AI197">
        <v>0</v>
      </c>
      <c r="AJ197" s="22">
        <v>44742</v>
      </c>
      <c r="AK197" s="26">
        <f t="shared" ca="1" si="8"/>
        <v>0.79956483628808028</v>
      </c>
      <c r="AL197" s="29">
        <v>0</v>
      </c>
      <c r="AM197">
        <v>0</v>
      </c>
      <c r="AN197" s="22">
        <v>44742</v>
      </c>
      <c r="AO197" s="26">
        <f t="shared" ca="1" si="9"/>
        <v>0.87123815051981524</v>
      </c>
      <c r="AP197" s="29">
        <v>0</v>
      </c>
      <c r="AQ197">
        <v>0</v>
      </c>
      <c r="AR197" s="22">
        <v>44742</v>
      </c>
      <c r="AS197" s="26">
        <f t="shared" ca="1" si="10"/>
        <v>0.2426766841895891</v>
      </c>
      <c r="AT197" s="29">
        <v>0</v>
      </c>
      <c r="AU197">
        <v>0</v>
      </c>
      <c r="AV197" s="22">
        <v>44742</v>
      </c>
      <c r="AW197" s="26">
        <f t="shared" ca="1" si="11"/>
        <v>0.69914439067973488</v>
      </c>
      <c r="AX197" s="29">
        <v>0</v>
      </c>
      <c r="AY197">
        <v>0</v>
      </c>
      <c r="AZ197" s="22">
        <v>44742</v>
      </c>
      <c r="BA197" s="26">
        <f t="shared" ca="1" si="12"/>
        <v>0.31385419911494628</v>
      </c>
      <c r="BB197" s="29">
        <v>0</v>
      </c>
      <c r="BC197">
        <v>0</v>
      </c>
      <c r="BD197" s="25"/>
      <c r="BF197" s="22">
        <v>44742</v>
      </c>
      <c r="BG197" s="26">
        <f t="shared" ca="1" si="13"/>
        <v>0.8701568444113531</v>
      </c>
      <c r="BH197" s="29">
        <v>0</v>
      </c>
      <c r="BI197">
        <v>0</v>
      </c>
      <c r="BJ197" s="22">
        <v>44742</v>
      </c>
      <c r="BK197" s="26">
        <f t="shared" ca="1" si="14"/>
        <v>0.73842902965072799</v>
      </c>
      <c r="BL197" s="29">
        <v>0</v>
      </c>
      <c r="BM197">
        <v>0</v>
      </c>
      <c r="BN197" s="22">
        <v>44742</v>
      </c>
      <c r="BO197" s="26">
        <f t="shared" ca="1" si="15"/>
        <v>0.95006728073738045</v>
      </c>
      <c r="BP197" s="29">
        <v>0</v>
      </c>
      <c r="BQ197">
        <v>0</v>
      </c>
      <c r="BR197" s="22">
        <v>44742</v>
      </c>
      <c r="BS197" s="26">
        <f t="shared" ca="1" si="16"/>
        <v>0.88461457095386353</v>
      </c>
      <c r="BT197" s="29">
        <v>0</v>
      </c>
      <c r="BU197">
        <v>0</v>
      </c>
      <c r="BV197" s="22">
        <v>44742</v>
      </c>
      <c r="BW197" s="26">
        <f t="shared" ca="1" si="17"/>
        <v>0.51976655681278339</v>
      </c>
      <c r="BX197" s="29">
        <v>0</v>
      </c>
      <c r="BY197">
        <v>0</v>
      </c>
    </row>
    <row r="198" spans="2:77" ht="12.75" x14ac:dyDescent="0.2">
      <c r="B198" s="22">
        <v>44743</v>
      </c>
      <c r="C198" s="26">
        <f t="shared" ca="1" si="0"/>
        <v>0.62416703370251925</v>
      </c>
      <c r="D198" s="29">
        <f ca="1">ROUNDUP(_xlfn.NORM.INV(C197,C$10,C$12),0)</f>
        <v>96</v>
      </c>
      <c r="F198" s="22">
        <v>44743</v>
      </c>
      <c r="G198" s="26">
        <f t="shared" ca="1" si="1"/>
        <v>0.70081887079681782</v>
      </c>
      <c r="H198" s="29">
        <f ca="1">ROUNDUP(_xlfn.NORM.INV(G197,G$10,G$12),0)</f>
        <v>231</v>
      </c>
      <c r="J198" s="22">
        <v>44743</v>
      </c>
      <c r="K198" s="26">
        <f t="shared" ca="1" si="2"/>
        <v>2.8936321088172789E-2</v>
      </c>
      <c r="L198" s="29">
        <v>0</v>
      </c>
      <c r="N198" s="22">
        <v>44743</v>
      </c>
      <c r="O198" s="26">
        <f t="shared" ca="1" si="3"/>
        <v>0.82207754617044126</v>
      </c>
      <c r="P198" s="29">
        <v>0</v>
      </c>
      <c r="R198" s="22">
        <v>44743</v>
      </c>
      <c r="S198" s="26">
        <f t="shared" ca="1" si="4"/>
        <v>4.7825423802334899E-2</v>
      </c>
      <c r="T198" s="29">
        <v>0</v>
      </c>
      <c r="V198" s="22">
        <v>44743</v>
      </c>
      <c r="W198" s="26">
        <f t="shared" ca="1" si="5"/>
        <v>0.37089738808384443</v>
      </c>
      <c r="X198" s="29">
        <v>0</v>
      </c>
      <c r="Z198" s="22">
        <v>44743</v>
      </c>
      <c r="AA198" s="26">
        <f t="shared" ca="1" si="6"/>
        <v>0.87472105465673</v>
      </c>
      <c r="AB198" s="29">
        <v>0</v>
      </c>
      <c r="AC198"/>
      <c r="AD198" s="25"/>
      <c r="AF198" s="22">
        <v>44743</v>
      </c>
      <c r="AG198" s="26">
        <f t="shared" ca="1" si="7"/>
        <v>0.59828085077859361</v>
      </c>
      <c r="AH198" s="29">
        <v>0</v>
      </c>
      <c r="AJ198" s="22">
        <v>44743</v>
      </c>
      <c r="AK198" s="26">
        <f t="shared" ca="1" si="8"/>
        <v>0.37239943761675409</v>
      </c>
      <c r="AL198" s="29">
        <v>0</v>
      </c>
      <c r="AN198" s="22">
        <v>44743</v>
      </c>
      <c r="AO198" s="26">
        <f t="shared" ca="1" si="9"/>
        <v>0.4649239327290251</v>
      </c>
      <c r="AP198" s="29">
        <v>0</v>
      </c>
      <c r="AR198" s="22">
        <v>44743</v>
      </c>
      <c r="AS198" s="26">
        <f t="shared" ca="1" si="10"/>
        <v>0.30287895493296368</v>
      </c>
      <c r="AT198" s="29">
        <v>0</v>
      </c>
      <c r="AV198" s="22">
        <v>44743</v>
      </c>
      <c r="AW198" s="26">
        <f t="shared" ca="1" si="11"/>
        <v>0.17281060542730486</v>
      </c>
      <c r="AX198" s="29">
        <v>0</v>
      </c>
      <c r="AZ198" s="22">
        <v>44743</v>
      </c>
      <c r="BA198" s="26">
        <f t="shared" ca="1" si="12"/>
        <v>0.40582520993037963</v>
      </c>
      <c r="BB198" s="29">
        <v>0</v>
      </c>
      <c r="BC198"/>
      <c r="BD198" s="25"/>
      <c r="BF198" s="22">
        <v>44743</v>
      </c>
      <c r="BG198" s="26">
        <f t="shared" ca="1" si="13"/>
        <v>0.33113995401505514</v>
      </c>
      <c r="BH198" s="29">
        <v>0</v>
      </c>
      <c r="BJ198" s="22">
        <v>44743</v>
      </c>
      <c r="BK198" s="26">
        <f t="shared" ca="1" si="14"/>
        <v>0.35067341130365604</v>
      </c>
      <c r="BL198" s="29">
        <v>0</v>
      </c>
      <c r="BN198" s="22">
        <v>44743</v>
      </c>
      <c r="BO198" s="26">
        <f t="shared" ca="1" si="15"/>
        <v>0.24430037797757809</v>
      </c>
      <c r="BP198" s="29">
        <v>0</v>
      </c>
      <c r="BR198" s="22">
        <v>44743</v>
      </c>
      <c r="BS198" s="26">
        <f t="shared" ca="1" si="16"/>
        <v>0.58544855918597827</v>
      </c>
      <c r="BT198" s="29">
        <v>0</v>
      </c>
      <c r="BV198" s="22">
        <v>44743</v>
      </c>
      <c r="BW198" s="26">
        <f t="shared" ca="1" si="17"/>
        <v>0.24860797281317959</v>
      </c>
      <c r="BX198" s="29">
        <v>0</v>
      </c>
    </row>
    <row r="199" spans="2:77" ht="12.75" x14ac:dyDescent="0.2">
      <c r="B199" s="22">
        <v>44744</v>
      </c>
      <c r="C199" s="26">
        <f t="shared" ca="1" si="0"/>
        <v>0.88229464703084526</v>
      </c>
      <c r="D199" s="29">
        <f t="shared" ca="1" si="24"/>
        <v>99</v>
      </c>
      <c r="F199" s="22">
        <v>44744</v>
      </c>
      <c r="G199" s="26">
        <f t="shared" ca="1" si="1"/>
        <v>0.23614924183477071</v>
      </c>
      <c r="H199" s="29">
        <f t="shared" ca="1" si="25"/>
        <v>206</v>
      </c>
      <c r="J199" s="22">
        <v>44744</v>
      </c>
      <c r="K199" s="26">
        <f t="shared" ca="1" si="2"/>
        <v>0.47317299310059746</v>
      </c>
      <c r="L199" s="29">
        <v>0</v>
      </c>
      <c r="N199" s="22">
        <v>44744</v>
      </c>
      <c r="O199" s="26">
        <f t="shared" ca="1" si="3"/>
        <v>0.67222978505988984</v>
      </c>
      <c r="P199" s="29">
        <v>0</v>
      </c>
      <c r="R199" s="22">
        <v>44744</v>
      </c>
      <c r="S199" s="26">
        <f t="shared" ca="1" si="4"/>
        <v>0.46839181967247601</v>
      </c>
      <c r="T199" s="29">
        <v>0</v>
      </c>
      <c r="V199" s="22">
        <v>44744</v>
      </c>
      <c r="W199" s="26">
        <f t="shared" ca="1" si="5"/>
        <v>0.20265197697407444</v>
      </c>
      <c r="X199" s="29">
        <v>0</v>
      </c>
      <c r="Z199" s="22">
        <v>44744</v>
      </c>
      <c r="AA199" s="26">
        <f t="shared" ca="1" si="6"/>
        <v>0.35902758077525743</v>
      </c>
      <c r="AB199" s="29">
        <v>0</v>
      </c>
      <c r="AC199"/>
      <c r="AD199" s="25"/>
      <c r="AF199" s="22">
        <v>44744</v>
      </c>
      <c r="AG199" s="26">
        <f t="shared" ca="1" si="7"/>
        <v>0.96497532994018231</v>
      </c>
      <c r="AH199" s="29">
        <v>0</v>
      </c>
      <c r="AJ199" s="22">
        <v>44744</v>
      </c>
      <c r="AK199" s="26">
        <f t="shared" ca="1" si="8"/>
        <v>0.95898939342045952</v>
      </c>
      <c r="AL199" s="29">
        <v>0</v>
      </c>
      <c r="AN199" s="22">
        <v>44744</v>
      </c>
      <c r="AO199" s="26">
        <f t="shared" ca="1" si="9"/>
        <v>5.4997741098440578E-2</v>
      </c>
      <c r="AP199" s="29">
        <v>0</v>
      </c>
      <c r="AR199" s="22">
        <v>44744</v>
      </c>
      <c r="AS199" s="26">
        <f t="shared" ca="1" si="10"/>
        <v>0.28080577508713067</v>
      </c>
      <c r="AT199" s="29">
        <v>0</v>
      </c>
      <c r="AV199" s="22">
        <v>44744</v>
      </c>
      <c r="AW199" s="26">
        <f t="shared" ca="1" si="11"/>
        <v>0.33204865794919314</v>
      </c>
      <c r="AX199" s="29">
        <v>0</v>
      </c>
      <c r="AZ199" s="22">
        <v>44744</v>
      </c>
      <c r="BA199" s="26">
        <f t="shared" ca="1" si="12"/>
        <v>0.8407726412403066</v>
      </c>
      <c r="BB199" s="29">
        <v>0</v>
      </c>
      <c r="BC199"/>
      <c r="BD199" s="25"/>
      <c r="BF199" s="22">
        <v>44744</v>
      </c>
      <c r="BG199" s="26">
        <f t="shared" ca="1" si="13"/>
        <v>0.74899057975806693</v>
      </c>
      <c r="BH199" s="29">
        <v>0</v>
      </c>
      <c r="BJ199" s="22">
        <v>44744</v>
      </c>
      <c r="BK199" s="26">
        <f t="shared" ca="1" si="14"/>
        <v>0.67308267212105277</v>
      </c>
      <c r="BL199" s="29">
        <v>0</v>
      </c>
      <c r="BN199" s="22">
        <v>44744</v>
      </c>
      <c r="BO199" s="26">
        <f t="shared" ca="1" si="15"/>
        <v>0.4947833099798612</v>
      </c>
      <c r="BP199" s="29">
        <v>0</v>
      </c>
      <c r="BR199" s="22">
        <v>44744</v>
      </c>
      <c r="BS199" s="26">
        <f t="shared" ca="1" si="16"/>
        <v>0.69991953818567076</v>
      </c>
      <c r="BT199" s="29">
        <v>0</v>
      </c>
      <c r="BV199" s="22">
        <v>44744</v>
      </c>
      <c r="BW199" s="26">
        <f t="shared" ca="1" si="17"/>
        <v>0.89336408441417303</v>
      </c>
      <c r="BX199" s="29">
        <v>0</v>
      </c>
    </row>
    <row r="200" spans="2:77" ht="12.75" x14ac:dyDescent="0.2">
      <c r="B200" s="22">
        <v>44745</v>
      </c>
      <c r="C200" s="26">
        <f t="shared" ca="1" si="0"/>
        <v>0.95119163805236506</v>
      </c>
      <c r="D200" s="29">
        <f t="shared" ca="1" si="24"/>
        <v>109</v>
      </c>
      <c r="F200" s="22">
        <v>44745</v>
      </c>
      <c r="G200" s="26">
        <f t="shared" ca="1" si="1"/>
        <v>0.7740316454185181</v>
      </c>
      <c r="H200" s="29">
        <f t="shared" ca="1" si="25"/>
        <v>227</v>
      </c>
      <c r="J200" s="22">
        <v>44745</v>
      </c>
      <c r="K200" s="26">
        <f t="shared" ca="1" si="2"/>
        <v>0.18007335224034626</v>
      </c>
      <c r="L200" s="29">
        <v>0</v>
      </c>
      <c r="N200" s="22">
        <v>44745</v>
      </c>
      <c r="O200" s="26">
        <f t="shared" ca="1" si="3"/>
        <v>0.78121733553679085</v>
      </c>
      <c r="P200" s="29">
        <v>0</v>
      </c>
      <c r="R200" s="22">
        <v>44745</v>
      </c>
      <c r="S200" s="26">
        <f t="shared" ca="1" si="4"/>
        <v>0.19893366685543457</v>
      </c>
      <c r="T200" s="29">
        <v>0</v>
      </c>
      <c r="V200" s="22">
        <v>44745</v>
      </c>
      <c r="W200" s="26">
        <f t="shared" ca="1" si="5"/>
        <v>5.5178125308447346E-2</v>
      </c>
      <c r="X200" s="29">
        <v>0</v>
      </c>
      <c r="Z200" s="22">
        <v>44745</v>
      </c>
      <c r="AA200" s="26">
        <f t="shared" ca="1" si="6"/>
        <v>0.14040160918214106</v>
      </c>
      <c r="AB200" s="29">
        <v>0</v>
      </c>
      <c r="AC200"/>
      <c r="AD200" s="25"/>
      <c r="AF200" s="22">
        <v>44745</v>
      </c>
      <c r="AG200" s="26">
        <f t="shared" ca="1" si="7"/>
        <v>0.67935567595138713</v>
      </c>
      <c r="AH200" s="29">
        <v>0</v>
      </c>
      <c r="AJ200" s="22">
        <v>44745</v>
      </c>
      <c r="AK200" s="26">
        <f t="shared" ca="1" si="8"/>
        <v>0.31428871152022275</v>
      </c>
      <c r="AL200" s="29">
        <v>0</v>
      </c>
      <c r="AN200" s="22">
        <v>44745</v>
      </c>
      <c r="AO200" s="26">
        <f t="shared" ca="1" si="9"/>
        <v>0.47346355261593276</v>
      </c>
      <c r="AP200" s="29">
        <v>0</v>
      </c>
      <c r="AR200" s="22">
        <v>44745</v>
      </c>
      <c r="AS200" s="26">
        <f t="shared" ca="1" si="10"/>
        <v>0.16008727955948354</v>
      </c>
      <c r="AT200" s="29">
        <v>0</v>
      </c>
      <c r="AV200" s="22">
        <v>44745</v>
      </c>
      <c r="AW200" s="26">
        <f t="shared" ca="1" si="11"/>
        <v>0.78628844394593678</v>
      </c>
      <c r="AX200" s="29">
        <v>0</v>
      </c>
      <c r="AZ200" s="22">
        <v>44745</v>
      </c>
      <c r="BA200" s="26">
        <f t="shared" ca="1" si="12"/>
        <v>0.92072394912103361</v>
      </c>
      <c r="BB200" s="29">
        <v>0</v>
      </c>
      <c r="BC200"/>
      <c r="BD200" s="25"/>
      <c r="BF200" s="22">
        <v>44745</v>
      </c>
      <c r="BG200" s="26">
        <f t="shared" ca="1" si="13"/>
        <v>0.86352939678296958</v>
      </c>
      <c r="BH200" s="29">
        <v>0</v>
      </c>
      <c r="BJ200" s="22">
        <v>44745</v>
      </c>
      <c r="BK200" s="26">
        <f t="shared" ca="1" si="14"/>
        <v>0.38012500379156966</v>
      </c>
      <c r="BL200" s="29">
        <v>0</v>
      </c>
      <c r="BN200" s="22">
        <v>44745</v>
      </c>
      <c r="BO200" s="26">
        <f t="shared" ca="1" si="15"/>
        <v>0.12776328476732846</v>
      </c>
      <c r="BP200" s="29">
        <v>0</v>
      </c>
      <c r="BR200" s="22">
        <v>44745</v>
      </c>
      <c r="BS200" s="26">
        <f t="shared" ca="1" si="16"/>
        <v>0.98621493855598985</v>
      </c>
      <c r="BT200" s="29">
        <v>0</v>
      </c>
      <c r="BV200" s="22">
        <v>44745</v>
      </c>
      <c r="BW200" s="26">
        <f t="shared" ca="1" si="17"/>
        <v>0.52285553778964911</v>
      </c>
      <c r="BX200" s="29">
        <v>0</v>
      </c>
    </row>
    <row r="201" spans="2:77" ht="12.75" x14ac:dyDescent="0.2">
      <c r="B201" s="22">
        <v>44746</v>
      </c>
      <c r="C201" s="26">
        <f t="shared" ca="1" si="0"/>
        <v>0.21563459497665527</v>
      </c>
      <c r="D201" s="29">
        <f t="shared" ca="1" si="24"/>
        <v>60</v>
      </c>
      <c r="F201" s="22">
        <v>44746</v>
      </c>
      <c r="G201" s="26">
        <f t="shared" ca="1" si="1"/>
        <v>0.69133134594669809</v>
      </c>
      <c r="H201" s="29">
        <f t="shared" ca="1" si="25"/>
        <v>223</v>
      </c>
      <c r="J201" s="22">
        <v>44746</v>
      </c>
      <c r="K201" s="26">
        <f t="shared" ca="1" si="2"/>
        <v>0.74372977751186431</v>
      </c>
      <c r="L201" s="29">
        <v>0</v>
      </c>
      <c r="N201" s="22">
        <v>44746</v>
      </c>
      <c r="O201" s="26">
        <f t="shared" ca="1" si="3"/>
        <v>3.0720614703368065E-2</v>
      </c>
      <c r="P201" s="29">
        <v>0</v>
      </c>
      <c r="R201" s="22">
        <v>44746</v>
      </c>
      <c r="S201" s="26">
        <f t="shared" ca="1" si="4"/>
        <v>0.95569833468102605</v>
      </c>
      <c r="T201" s="29">
        <v>0</v>
      </c>
      <c r="V201" s="22">
        <v>44746</v>
      </c>
      <c r="W201" s="26">
        <f t="shared" ca="1" si="5"/>
        <v>2.9595090980417793E-2</v>
      </c>
      <c r="X201" s="29">
        <v>0</v>
      </c>
      <c r="Z201" s="22">
        <v>44746</v>
      </c>
      <c r="AA201" s="26">
        <f t="shared" ca="1" si="6"/>
        <v>0.64989231407710824</v>
      </c>
      <c r="AB201" s="29">
        <v>0</v>
      </c>
      <c r="AC201"/>
      <c r="AD201" s="25"/>
      <c r="AF201" s="22">
        <v>44746</v>
      </c>
      <c r="AG201" s="26">
        <f t="shared" ca="1" si="7"/>
        <v>0.66521363290285851</v>
      </c>
      <c r="AH201" s="29">
        <v>0</v>
      </c>
      <c r="AJ201" s="22">
        <v>44746</v>
      </c>
      <c r="AK201" s="26">
        <f t="shared" ca="1" si="8"/>
        <v>0.83732532119281722</v>
      </c>
      <c r="AL201" s="29">
        <v>0</v>
      </c>
      <c r="AN201" s="22">
        <v>44746</v>
      </c>
      <c r="AO201" s="26">
        <f t="shared" ca="1" si="9"/>
        <v>0.58297235844950668</v>
      </c>
      <c r="AP201" s="29">
        <v>0</v>
      </c>
      <c r="AR201" s="22">
        <v>44746</v>
      </c>
      <c r="AS201" s="26">
        <f t="shared" ca="1" si="10"/>
        <v>7.2541973280179528E-2</v>
      </c>
      <c r="AT201" s="29">
        <v>0</v>
      </c>
      <c r="AV201" s="22">
        <v>44746</v>
      </c>
      <c r="AW201" s="26">
        <f t="shared" ca="1" si="11"/>
        <v>0.13835614542024355</v>
      </c>
      <c r="AX201" s="29">
        <v>0</v>
      </c>
      <c r="AZ201" s="22">
        <v>44746</v>
      </c>
      <c r="BA201" s="26">
        <f t="shared" ca="1" si="12"/>
        <v>0.88017909947952788</v>
      </c>
      <c r="BB201" s="29">
        <v>0</v>
      </c>
      <c r="BC201"/>
      <c r="BD201" s="25"/>
      <c r="BF201" s="22">
        <v>44746</v>
      </c>
      <c r="BG201" s="26">
        <f t="shared" ca="1" si="13"/>
        <v>0.4614187518294689</v>
      </c>
      <c r="BH201" s="29">
        <v>0</v>
      </c>
      <c r="BJ201" s="22">
        <v>44746</v>
      </c>
      <c r="BK201" s="26">
        <f t="shared" ca="1" si="14"/>
        <v>7.9115429029535833E-2</v>
      </c>
      <c r="BL201" s="29">
        <v>0</v>
      </c>
      <c r="BN201" s="22">
        <v>44746</v>
      </c>
      <c r="BO201" s="26">
        <f t="shared" ca="1" si="15"/>
        <v>6.9068684474871134E-4</v>
      </c>
      <c r="BP201" s="29">
        <v>0</v>
      </c>
      <c r="BR201" s="22">
        <v>44746</v>
      </c>
      <c r="BS201" s="26">
        <f t="shared" ca="1" si="16"/>
        <v>0.41576000331310903</v>
      </c>
      <c r="BT201" s="29">
        <v>0</v>
      </c>
      <c r="BV201" s="22">
        <v>44746</v>
      </c>
      <c r="BW201" s="26">
        <f t="shared" ca="1" si="17"/>
        <v>0.29955944703250903</v>
      </c>
      <c r="BX201" s="29">
        <v>0</v>
      </c>
    </row>
    <row r="202" spans="2:77" ht="12.75" x14ac:dyDescent="0.2">
      <c r="B202" s="22">
        <v>44747</v>
      </c>
      <c r="C202" s="26">
        <f t="shared" ca="1" si="0"/>
        <v>0.16869296047214288</v>
      </c>
      <c r="D202" s="29">
        <f t="shared" ca="1" si="24"/>
        <v>56</v>
      </c>
      <c r="F202" s="22">
        <v>44747</v>
      </c>
      <c r="G202" s="26">
        <f t="shared" ca="1" si="1"/>
        <v>0.82810567412643987</v>
      </c>
      <c r="H202" s="29">
        <f t="shared" ca="1" si="25"/>
        <v>229</v>
      </c>
      <c r="J202" s="22">
        <v>44747</v>
      </c>
      <c r="K202" s="26">
        <f t="shared" ca="1" si="2"/>
        <v>0.55622587176074834</v>
      </c>
      <c r="L202" s="29">
        <v>0</v>
      </c>
      <c r="N202" s="22">
        <v>44747</v>
      </c>
      <c r="O202" s="26">
        <f t="shared" ca="1" si="3"/>
        <v>0.74104092491349771</v>
      </c>
      <c r="P202" s="29">
        <v>0</v>
      </c>
      <c r="R202" s="22">
        <v>44747</v>
      </c>
      <c r="S202" s="26">
        <f t="shared" ca="1" si="4"/>
        <v>0.11925782468050006</v>
      </c>
      <c r="T202" s="29">
        <v>0</v>
      </c>
      <c r="V202" s="22">
        <v>44747</v>
      </c>
      <c r="W202" s="26">
        <f t="shared" ca="1" si="5"/>
        <v>0.67384061204158308</v>
      </c>
      <c r="X202" s="29">
        <v>0</v>
      </c>
      <c r="Z202" s="22">
        <v>44747</v>
      </c>
      <c r="AA202" s="26">
        <f t="shared" ca="1" si="6"/>
        <v>0.19423088584475812</v>
      </c>
      <c r="AB202" s="29">
        <v>0</v>
      </c>
      <c r="AC202"/>
      <c r="AD202" s="25"/>
      <c r="AF202" s="22">
        <v>44747</v>
      </c>
      <c r="AG202" s="26">
        <f t="shared" ca="1" si="7"/>
        <v>0.35302482109157407</v>
      </c>
      <c r="AH202" s="29">
        <v>0</v>
      </c>
      <c r="AJ202" s="22">
        <v>44747</v>
      </c>
      <c r="AK202" s="26">
        <f t="shared" ca="1" si="8"/>
        <v>0.55525970170278172</v>
      </c>
      <c r="AL202" s="29">
        <v>0</v>
      </c>
      <c r="AN202" s="22">
        <v>44747</v>
      </c>
      <c r="AO202" s="26">
        <f t="shared" ca="1" si="9"/>
        <v>1.9852929501128047E-2</v>
      </c>
      <c r="AP202" s="29">
        <v>0</v>
      </c>
      <c r="AR202" s="22">
        <v>44747</v>
      </c>
      <c r="AS202" s="26">
        <f t="shared" ca="1" si="10"/>
        <v>0.21818569946905841</v>
      </c>
      <c r="AT202" s="29">
        <v>0</v>
      </c>
      <c r="AV202" s="22">
        <v>44747</v>
      </c>
      <c r="AW202" s="26">
        <f t="shared" ca="1" si="11"/>
        <v>0.45017320678101158</v>
      </c>
      <c r="AX202" s="29">
        <v>0</v>
      </c>
      <c r="AZ202" s="22">
        <v>44747</v>
      </c>
      <c r="BA202" s="26">
        <f t="shared" ca="1" si="12"/>
        <v>0.73935932991532549</v>
      </c>
      <c r="BB202" s="29">
        <v>0</v>
      </c>
      <c r="BC202"/>
      <c r="BD202" s="25"/>
      <c r="BF202" s="22">
        <v>44747</v>
      </c>
      <c r="BG202" s="26">
        <f t="shared" ca="1" si="13"/>
        <v>0.78684560479146459</v>
      </c>
      <c r="BH202" s="29">
        <v>0</v>
      </c>
      <c r="BJ202" s="22">
        <v>44747</v>
      </c>
      <c r="BK202" s="26">
        <f t="shared" ca="1" si="14"/>
        <v>0.35381775091046941</v>
      </c>
      <c r="BL202" s="29">
        <v>0</v>
      </c>
      <c r="BN202" s="22">
        <v>44747</v>
      </c>
      <c r="BO202" s="26">
        <f t="shared" ca="1" si="15"/>
        <v>0.26802499573593208</v>
      </c>
      <c r="BP202" s="29">
        <v>0</v>
      </c>
      <c r="BR202" s="22">
        <v>44747</v>
      </c>
      <c r="BS202" s="26">
        <f t="shared" ca="1" si="16"/>
        <v>0.586156419200065</v>
      </c>
      <c r="BT202" s="29">
        <v>0</v>
      </c>
      <c r="BV202" s="22">
        <v>44747</v>
      </c>
      <c r="BW202" s="26">
        <f t="shared" ca="1" si="17"/>
        <v>0.34403090023645944</v>
      </c>
      <c r="BX202" s="29">
        <v>0</v>
      </c>
    </row>
    <row r="203" spans="2:77" ht="12.75" x14ac:dyDescent="0.2">
      <c r="B203" s="22">
        <v>44748</v>
      </c>
      <c r="C203" s="26">
        <f t="shared" ca="1" si="0"/>
        <v>0.67039638231931986</v>
      </c>
      <c r="D203" s="29">
        <f t="shared" ca="1" si="24"/>
        <v>84</v>
      </c>
      <c r="F203" s="22">
        <v>44748</v>
      </c>
      <c r="G203" s="26">
        <f t="shared" ca="1" si="1"/>
        <v>0.83720502406787234</v>
      </c>
      <c r="H203" s="29">
        <f t="shared" ca="1" si="25"/>
        <v>230</v>
      </c>
      <c r="J203" s="22">
        <v>44748</v>
      </c>
      <c r="K203" s="26">
        <f t="shared" ca="1" si="2"/>
        <v>0.22899212250625989</v>
      </c>
      <c r="L203" s="29">
        <v>0</v>
      </c>
      <c r="N203" s="22">
        <v>44748</v>
      </c>
      <c r="O203" s="26">
        <f t="shared" ca="1" si="3"/>
        <v>0.20802611450180453</v>
      </c>
      <c r="P203" s="29">
        <v>0</v>
      </c>
      <c r="R203" s="22">
        <v>44748</v>
      </c>
      <c r="S203" s="26">
        <f t="shared" ca="1" si="4"/>
        <v>0.19121612815354572</v>
      </c>
      <c r="T203" s="29">
        <v>0</v>
      </c>
      <c r="V203" s="22">
        <v>44748</v>
      </c>
      <c r="W203" s="26">
        <f t="shared" ca="1" si="5"/>
        <v>0.37942182420035031</v>
      </c>
      <c r="X203" s="29">
        <v>0</v>
      </c>
      <c r="Z203" s="22">
        <v>44748</v>
      </c>
      <c r="AA203" s="26">
        <f t="shared" ca="1" si="6"/>
        <v>0.2837189269440622</v>
      </c>
      <c r="AB203" s="29">
        <v>0</v>
      </c>
      <c r="AC203"/>
      <c r="AD203" s="25"/>
      <c r="AF203" s="22">
        <v>44748</v>
      </c>
      <c r="AG203" s="26">
        <f t="shared" ca="1" si="7"/>
        <v>8.9691545975587039E-2</v>
      </c>
      <c r="AH203" s="29">
        <v>0</v>
      </c>
      <c r="AJ203" s="22">
        <v>44748</v>
      </c>
      <c r="AK203" s="26">
        <f t="shared" ca="1" si="8"/>
        <v>0.23707248700107852</v>
      </c>
      <c r="AL203" s="29">
        <v>0</v>
      </c>
      <c r="AN203" s="22">
        <v>44748</v>
      </c>
      <c r="AO203" s="26">
        <f t="shared" ca="1" si="9"/>
        <v>0.38402989930279841</v>
      </c>
      <c r="AP203" s="29">
        <v>0</v>
      </c>
      <c r="AR203" s="22">
        <v>44748</v>
      </c>
      <c r="AS203" s="26">
        <f t="shared" ca="1" si="10"/>
        <v>0.86571672128590649</v>
      </c>
      <c r="AT203" s="29">
        <v>0</v>
      </c>
      <c r="AV203" s="22">
        <v>44748</v>
      </c>
      <c r="AW203" s="26">
        <f t="shared" ca="1" si="11"/>
        <v>9.4461954231521816E-2</v>
      </c>
      <c r="AX203" s="29">
        <v>0</v>
      </c>
      <c r="AZ203" s="22">
        <v>44748</v>
      </c>
      <c r="BA203" s="26">
        <f t="shared" ca="1" si="12"/>
        <v>0.57289102557750837</v>
      </c>
      <c r="BB203" s="29">
        <v>0</v>
      </c>
      <c r="BC203"/>
      <c r="BD203" s="25"/>
      <c r="BF203" s="22">
        <v>44748</v>
      </c>
      <c r="BG203" s="26">
        <f t="shared" ca="1" si="13"/>
        <v>0.92704835827999432</v>
      </c>
      <c r="BH203" s="29">
        <v>0</v>
      </c>
      <c r="BJ203" s="22">
        <v>44748</v>
      </c>
      <c r="BK203" s="26">
        <f t="shared" ca="1" si="14"/>
        <v>0.93238734338812557</v>
      </c>
      <c r="BL203" s="29">
        <v>0</v>
      </c>
      <c r="BN203" s="22">
        <v>44748</v>
      </c>
      <c r="BO203" s="26">
        <f t="shared" ca="1" si="15"/>
        <v>0.30506042741862982</v>
      </c>
      <c r="BP203" s="29">
        <v>0</v>
      </c>
      <c r="BR203" s="22">
        <v>44748</v>
      </c>
      <c r="BS203" s="26">
        <f t="shared" ca="1" si="16"/>
        <v>0.20946314751890283</v>
      </c>
      <c r="BT203" s="29">
        <v>0</v>
      </c>
      <c r="BV203" s="22">
        <v>44748</v>
      </c>
      <c r="BW203" s="26">
        <f t="shared" ca="1" si="17"/>
        <v>0.67818916814340269</v>
      </c>
      <c r="BX203" s="29">
        <v>0</v>
      </c>
    </row>
    <row r="204" spans="2:77" ht="12.75" x14ac:dyDescent="0.2">
      <c r="B204" s="22">
        <v>44749</v>
      </c>
      <c r="C204" s="26">
        <f t="shared" ca="1" si="0"/>
        <v>0.76593144269821056</v>
      </c>
      <c r="D204" s="29">
        <v>0</v>
      </c>
      <c r="F204" s="22">
        <v>44749</v>
      </c>
      <c r="G204" s="26">
        <f t="shared" ca="1" si="1"/>
        <v>4.1666516647909879E-2</v>
      </c>
      <c r="H204" s="29">
        <v>0</v>
      </c>
      <c r="J204" s="22">
        <v>44749</v>
      </c>
      <c r="K204" s="26">
        <f t="shared" ca="1" si="2"/>
        <v>0.98860008384523135</v>
      </c>
      <c r="L204" s="29">
        <v>0</v>
      </c>
      <c r="N204" s="22">
        <v>44749</v>
      </c>
      <c r="O204" s="26">
        <f t="shared" ca="1" si="3"/>
        <v>0.94533331158143585</v>
      </c>
      <c r="P204" s="29">
        <v>0</v>
      </c>
      <c r="R204" s="22">
        <v>44749</v>
      </c>
      <c r="S204" s="26">
        <f t="shared" ca="1" si="4"/>
        <v>0.18369768670996289</v>
      </c>
      <c r="T204" s="29">
        <v>0</v>
      </c>
      <c r="V204" s="22">
        <v>44749</v>
      </c>
      <c r="W204" s="26">
        <f t="shared" ca="1" si="5"/>
        <v>0.79851605909024825</v>
      </c>
      <c r="X204" s="29">
        <v>0</v>
      </c>
      <c r="Z204" s="22">
        <v>44749</v>
      </c>
      <c r="AA204" s="26">
        <f t="shared" ca="1" si="6"/>
        <v>0.36242059513848213</v>
      </c>
      <c r="AB204" s="29">
        <v>0</v>
      </c>
      <c r="AC204"/>
      <c r="AD204" s="25"/>
      <c r="AF204" s="22">
        <v>44749</v>
      </c>
      <c r="AG204" s="26">
        <f t="shared" ca="1" si="7"/>
        <v>0.12096218753434662</v>
      </c>
      <c r="AH204" s="29">
        <v>0</v>
      </c>
      <c r="AJ204" s="22">
        <v>44749</v>
      </c>
      <c r="AK204" s="26">
        <f t="shared" ca="1" si="8"/>
        <v>0.53432406010131772</v>
      </c>
      <c r="AL204" s="29">
        <v>0</v>
      </c>
      <c r="AN204" s="22">
        <v>44749</v>
      </c>
      <c r="AO204" s="26">
        <f t="shared" ca="1" si="9"/>
        <v>0.78379016662971135</v>
      </c>
      <c r="AP204" s="29">
        <v>0</v>
      </c>
      <c r="AR204" s="22">
        <v>44749</v>
      </c>
      <c r="AS204" s="26">
        <f t="shared" ca="1" si="10"/>
        <v>0.4203940021708934</v>
      </c>
      <c r="AT204" s="29">
        <v>0</v>
      </c>
      <c r="AV204" s="22">
        <v>44749</v>
      </c>
      <c r="AW204" s="26">
        <f t="shared" ca="1" si="11"/>
        <v>0.11133310487752068</v>
      </c>
      <c r="AX204" s="29">
        <v>0</v>
      </c>
      <c r="AZ204" s="22">
        <v>44749</v>
      </c>
      <c r="BA204" s="26">
        <f t="shared" ca="1" si="12"/>
        <v>0.39620636249482077</v>
      </c>
      <c r="BB204" s="29">
        <v>0</v>
      </c>
      <c r="BC204"/>
      <c r="BD204" s="25"/>
      <c r="BF204" s="22">
        <v>44749</v>
      </c>
      <c r="BG204" s="26">
        <f t="shared" ca="1" si="13"/>
        <v>0.9499837654014518</v>
      </c>
      <c r="BH204" s="29">
        <v>0</v>
      </c>
      <c r="BJ204" s="22">
        <v>44749</v>
      </c>
      <c r="BK204" s="26">
        <f t="shared" ca="1" si="14"/>
        <v>0.33553870903150296</v>
      </c>
      <c r="BL204" s="29">
        <v>0</v>
      </c>
      <c r="BN204" s="22">
        <v>44749</v>
      </c>
      <c r="BO204" s="26">
        <f t="shared" ca="1" si="15"/>
        <v>0.21751000297205991</v>
      </c>
      <c r="BP204" s="29">
        <v>0</v>
      </c>
      <c r="BR204" s="22">
        <v>44749</v>
      </c>
      <c r="BS204" s="26">
        <f t="shared" ca="1" si="16"/>
        <v>0.48401848850533669</v>
      </c>
      <c r="BT204" s="29">
        <v>0</v>
      </c>
      <c r="BV204" s="22">
        <v>44749</v>
      </c>
      <c r="BW204" s="26">
        <f t="shared" ca="1" si="17"/>
        <v>0.48119950648749299</v>
      </c>
      <c r="BX204" s="29">
        <v>0</v>
      </c>
    </row>
    <row r="205" spans="2:77" ht="12.75" x14ac:dyDescent="0.2">
      <c r="B205" s="22">
        <v>44750</v>
      </c>
      <c r="C205" s="26">
        <f t="shared" ca="1" si="0"/>
        <v>0.48265781254148632</v>
      </c>
      <c r="D205" s="29">
        <v>0</v>
      </c>
      <c r="F205" s="22">
        <v>44750</v>
      </c>
      <c r="G205" s="26">
        <f t="shared" ca="1" si="1"/>
        <v>0.90711042564978794</v>
      </c>
      <c r="H205" s="29">
        <v>0</v>
      </c>
      <c r="J205" s="22">
        <v>44750</v>
      </c>
      <c r="K205" s="26">
        <f t="shared" ca="1" si="2"/>
        <v>0.1841860141050381</v>
      </c>
      <c r="L205" s="29">
        <v>0</v>
      </c>
      <c r="N205" s="22">
        <v>44750</v>
      </c>
      <c r="O205" s="26">
        <f t="shared" ca="1" si="3"/>
        <v>0.94579551199774725</v>
      </c>
      <c r="P205" s="29">
        <v>0</v>
      </c>
      <c r="R205" s="22">
        <v>44750</v>
      </c>
      <c r="S205" s="26">
        <f t="shared" ca="1" si="4"/>
        <v>0.74041815335804129</v>
      </c>
      <c r="T205" s="29">
        <v>0</v>
      </c>
      <c r="V205" s="22">
        <v>44750</v>
      </c>
      <c r="W205" s="26">
        <f t="shared" ca="1" si="5"/>
        <v>0.40550717096211975</v>
      </c>
      <c r="X205" s="29">
        <v>0</v>
      </c>
      <c r="Z205" s="22">
        <v>44750</v>
      </c>
      <c r="AA205" s="26">
        <f t="shared" ca="1" si="6"/>
        <v>0.47184235660875185</v>
      </c>
      <c r="AB205" s="29">
        <v>0</v>
      </c>
      <c r="AC205"/>
      <c r="AD205" s="25"/>
      <c r="AF205" s="22">
        <v>44750</v>
      </c>
      <c r="AG205" s="26">
        <f t="shared" ca="1" si="7"/>
        <v>0.71133608483443589</v>
      </c>
      <c r="AH205" s="29">
        <v>0</v>
      </c>
      <c r="AJ205" s="22">
        <v>44750</v>
      </c>
      <c r="AK205" s="26">
        <f t="shared" ca="1" si="8"/>
        <v>0.57633084496871767</v>
      </c>
      <c r="AL205" s="29">
        <v>0</v>
      </c>
      <c r="AN205" s="22">
        <v>44750</v>
      </c>
      <c r="AO205" s="26">
        <f t="shared" ca="1" si="9"/>
        <v>0.75690068441252678</v>
      </c>
      <c r="AP205" s="29">
        <v>0</v>
      </c>
      <c r="AR205" s="22">
        <v>44750</v>
      </c>
      <c r="AS205" s="26">
        <f t="shared" ca="1" si="10"/>
        <v>0.55871818274586726</v>
      </c>
      <c r="AT205" s="29">
        <v>0</v>
      </c>
      <c r="AV205" s="22">
        <v>44750</v>
      </c>
      <c r="AW205" s="26">
        <f t="shared" ca="1" si="11"/>
        <v>0.17662713126757301</v>
      </c>
      <c r="AX205" s="29">
        <v>0</v>
      </c>
      <c r="AZ205" s="22">
        <v>44750</v>
      </c>
      <c r="BA205" s="26">
        <f t="shared" ca="1" si="12"/>
        <v>0.83930021296088364</v>
      </c>
      <c r="BB205" s="29">
        <v>0</v>
      </c>
      <c r="BC205"/>
      <c r="BD205" s="25"/>
      <c r="BF205" s="22">
        <v>44750</v>
      </c>
      <c r="BG205" s="26">
        <f t="shared" ca="1" si="13"/>
        <v>0.58704557692391901</v>
      </c>
      <c r="BH205" s="29">
        <v>0</v>
      </c>
      <c r="BJ205" s="22">
        <v>44750</v>
      </c>
      <c r="BK205" s="26">
        <f t="shared" ca="1" si="14"/>
        <v>0.32576463102019049</v>
      </c>
      <c r="BL205" s="29">
        <v>0</v>
      </c>
      <c r="BN205" s="22">
        <v>44750</v>
      </c>
      <c r="BO205" s="26">
        <f t="shared" ca="1" si="15"/>
        <v>5.2463548003210625E-2</v>
      </c>
      <c r="BP205" s="29">
        <v>0</v>
      </c>
      <c r="BR205" s="22">
        <v>44750</v>
      </c>
      <c r="BS205" s="26">
        <f t="shared" ca="1" si="16"/>
        <v>0.11139674670591704</v>
      </c>
      <c r="BT205" s="29">
        <v>0</v>
      </c>
      <c r="BV205" s="22">
        <v>44750</v>
      </c>
      <c r="BW205" s="26">
        <f t="shared" ca="1" si="17"/>
        <v>0.56051667668482374</v>
      </c>
      <c r="BX205" s="29">
        <v>0</v>
      </c>
    </row>
    <row r="206" spans="2:77" ht="12.75" x14ac:dyDescent="0.2">
      <c r="B206" s="22">
        <v>44751</v>
      </c>
      <c r="C206" s="26">
        <f t="shared" ca="1" si="0"/>
        <v>0.68478752591800451</v>
      </c>
      <c r="D206" s="29">
        <v>0</v>
      </c>
      <c r="F206" s="22">
        <v>44751</v>
      </c>
      <c r="G206" s="26">
        <f t="shared" ca="1" si="1"/>
        <v>0.47981761247060983</v>
      </c>
      <c r="H206" s="29">
        <v>0</v>
      </c>
      <c r="J206" s="22">
        <v>44751</v>
      </c>
      <c r="K206" s="26">
        <f t="shared" ca="1" si="2"/>
        <v>0.45598900523404484</v>
      </c>
      <c r="L206" s="29">
        <v>0</v>
      </c>
      <c r="N206" s="22">
        <v>44751</v>
      </c>
      <c r="O206" s="26">
        <f t="shared" ca="1" si="3"/>
        <v>0.32071803318027559</v>
      </c>
      <c r="P206" s="29">
        <v>0</v>
      </c>
      <c r="R206" s="22">
        <v>44751</v>
      </c>
      <c r="S206" s="26">
        <f t="shared" ca="1" si="4"/>
        <v>0.74611846011429306</v>
      </c>
      <c r="T206" s="29">
        <v>0</v>
      </c>
      <c r="V206" s="22">
        <v>44751</v>
      </c>
      <c r="W206" s="26">
        <f t="shared" ca="1" si="5"/>
        <v>0.1930757004324104</v>
      </c>
      <c r="X206" s="29">
        <v>0</v>
      </c>
      <c r="Z206" s="22">
        <v>44751</v>
      </c>
      <c r="AA206" s="26">
        <f t="shared" ca="1" si="6"/>
        <v>0.91016196457154364</v>
      </c>
      <c r="AB206" s="29">
        <v>0</v>
      </c>
      <c r="AC206"/>
      <c r="AD206" s="25"/>
      <c r="AF206" s="22">
        <v>44751</v>
      </c>
      <c r="AG206" s="26">
        <f t="shared" ca="1" si="7"/>
        <v>0.9370570897023639</v>
      </c>
      <c r="AH206" s="29">
        <v>0</v>
      </c>
      <c r="AJ206" s="22">
        <v>44751</v>
      </c>
      <c r="AK206" s="26">
        <f t="shared" ca="1" si="8"/>
        <v>0.46245749090773269</v>
      </c>
      <c r="AL206" s="29">
        <v>0</v>
      </c>
      <c r="AN206" s="22">
        <v>44751</v>
      </c>
      <c r="AO206" s="26">
        <f t="shared" ca="1" si="9"/>
        <v>8.5551776170013305E-2</v>
      </c>
      <c r="AP206" s="29">
        <v>0</v>
      </c>
      <c r="AR206" s="22">
        <v>44751</v>
      </c>
      <c r="AS206" s="26">
        <f t="shared" ca="1" si="10"/>
        <v>0.59644415590000943</v>
      </c>
      <c r="AT206" s="29">
        <v>0</v>
      </c>
      <c r="AV206" s="22">
        <v>44751</v>
      </c>
      <c r="AW206" s="26">
        <f t="shared" ca="1" si="11"/>
        <v>0.53492060905738981</v>
      </c>
      <c r="AX206" s="29">
        <v>0</v>
      </c>
      <c r="AZ206" s="22">
        <v>44751</v>
      </c>
      <c r="BA206" s="26">
        <f t="shared" ca="1" si="12"/>
        <v>0.75258447106040194</v>
      </c>
      <c r="BB206" s="29">
        <v>0</v>
      </c>
      <c r="BC206"/>
      <c r="BD206" s="25"/>
      <c r="BF206" s="22">
        <v>44751</v>
      </c>
      <c r="BG206" s="26">
        <f t="shared" ca="1" si="13"/>
        <v>0.52354304088297143</v>
      </c>
      <c r="BH206" s="29">
        <v>0</v>
      </c>
      <c r="BJ206" s="22">
        <v>44751</v>
      </c>
      <c r="BK206" s="26">
        <f t="shared" ca="1" si="14"/>
        <v>0.85175081204155478</v>
      </c>
      <c r="BL206" s="29">
        <v>0</v>
      </c>
      <c r="BN206" s="22">
        <v>44751</v>
      </c>
      <c r="BO206" s="26">
        <f t="shared" ca="1" si="15"/>
        <v>0.8132695259225784</v>
      </c>
      <c r="BP206" s="29">
        <v>0</v>
      </c>
      <c r="BR206" s="22">
        <v>44751</v>
      </c>
      <c r="BS206" s="26">
        <f t="shared" ca="1" si="16"/>
        <v>0.1364414606613682</v>
      </c>
      <c r="BT206" s="29">
        <v>0</v>
      </c>
      <c r="BV206" s="22">
        <v>44751</v>
      </c>
      <c r="BW206" s="26">
        <f t="shared" ca="1" si="17"/>
        <v>8.7422700001383413E-2</v>
      </c>
      <c r="BX206" s="29">
        <v>0</v>
      </c>
    </row>
    <row r="207" spans="2:77" ht="12.75" x14ac:dyDescent="0.2">
      <c r="B207" s="22">
        <v>44752</v>
      </c>
      <c r="C207" s="26">
        <f t="shared" ca="1" si="0"/>
        <v>0.84290049999925698</v>
      </c>
      <c r="D207" s="29">
        <v>0</v>
      </c>
      <c r="F207" s="22">
        <v>44752</v>
      </c>
      <c r="G207" s="26">
        <f t="shared" ca="1" si="1"/>
        <v>0.96746807266835455</v>
      </c>
      <c r="H207" s="29">
        <v>0</v>
      </c>
      <c r="J207" s="22">
        <v>44752</v>
      </c>
      <c r="K207" s="26">
        <f t="shared" ca="1" si="2"/>
        <v>0.64081930851180391</v>
      </c>
      <c r="L207" s="29">
        <v>0</v>
      </c>
      <c r="N207" s="22">
        <v>44752</v>
      </c>
      <c r="O207" s="26">
        <f t="shared" ca="1" si="3"/>
        <v>1.0292194430446489E-2</v>
      </c>
      <c r="P207" s="29">
        <v>0</v>
      </c>
      <c r="R207" s="22">
        <v>44752</v>
      </c>
      <c r="S207" s="26">
        <f t="shared" ca="1" si="4"/>
        <v>0.42955988000976797</v>
      </c>
      <c r="T207" s="29">
        <v>0</v>
      </c>
      <c r="V207" s="22">
        <v>44752</v>
      </c>
      <c r="W207" s="26">
        <f t="shared" ca="1" si="5"/>
        <v>0.24197251021023636</v>
      </c>
      <c r="X207" s="29">
        <v>0</v>
      </c>
      <c r="Z207" s="22">
        <v>44752</v>
      </c>
      <c r="AA207" s="26">
        <f t="shared" ca="1" si="6"/>
        <v>0.54705317015314414</v>
      </c>
      <c r="AB207" s="29">
        <v>0</v>
      </c>
      <c r="AC207"/>
      <c r="AD207" s="25"/>
      <c r="AF207" s="22">
        <v>44752</v>
      </c>
      <c r="AG207" s="26">
        <f t="shared" ca="1" si="7"/>
        <v>0.14895041587831603</v>
      </c>
      <c r="AH207" s="29">
        <v>0</v>
      </c>
      <c r="AJ207" s="22">
        <v>44752</v>
      </c>
      <c r="AK207" s="26">
        <f t="shared" ca="1" si="8"/>
        <v>5.9476605787589176E-2</v>
      </c>
      <c r="AL207" s="29">
        <v>0</v>
      </c>
      <c r="AN207" s="22">
        <v>44752</v>
      </c>
      <c r="AO207" s="26">
        <f t="shared" ca="1" si="9"/>
        <v>0.29343047585519599</v>
      </c>
      <c r="AP207" s="29">
        <v>0</v>
      </c>
      <c r="AR207" s="22">
        <v>44752</v>
      </c>
      <c r="AS207" s="26">
        <f t="shared" ca="1" si="10"/>
        <v>0.41398999592447294</v>
      </c>
      <c r="AT207" s="29">
        <v>0</v>
      </c>
      <c r="AV207" s="22">
        <v>44752</v>
      </c>
      <c r="AW207" s="26">
        <f t="shared" ca="1" si="11"/>
        <v>0.67472757337694467</v>
      </c>
      <c r="AX207" s="29">
        <v>0</v>
      </c>
      <c r="AZ207" s="22">
        <v>44752</v>
      </c>
      <c r="BA207" s="26">
        <f t="shared" ca="1" si="12"/>
        <v>0.77549623233772513</v>
      </c>
      <c r="BB207" s="29">
        <v>0</v>
      </c>
      <c r="BC207"/>
      <c r="BD207" s="25"/>
      <c r="BF207" s="22">
        <v>44752</v>
      </c>
      <c r="BG207" s="26">
        <f t="shared" ca="1" si="13"/>
        <v>0.40061009398995628</v>
      </c>
      <c r="BH207" s="29">
        <v>0</v>
      </c>
      <c r="BJ207" s="22">
        <v>44752</v>
      </c>
      <c r="BK207" s="26">
        <f t="shared" ca="1" si="14"/>
        <v>0.36963474882309733</v>
      </c>
      <c r="BL207" s="29">
        <v>0</v>
      </c>
      <c r="BN207" s="22">
        <v>44752</v>
      </c>
      <c r="BO207" s="26">
        <f t="shared" ca="1" si="15"/>
        <v>0.12689052544827706</v>
      </c>
      <c r="BP207" s="29">
        <v>0</v>
      </c>
      <c r="BR207" s="22">
        <v>44752</v>
      </c>
      <c r="BS207" s="26">
        <f t="shared" ca="1" si="16"/>
        <v>0.88999278156627004</v>
      </c>
      <c r="BT207" s="29">
        <v>0</v>
      </c>
      <c r="BV207" s="22">
        <v>44752</v>
      </c>
      <c r="BW207" s="26">
        <f t="shared" ca="1" si="17"/>
        <v>2.6054424715083901E-2</v>
      </c>
      <c r="BX207" s="29">
        <v>0</v>
      </c>
    </row>
    <row r="208" spans="2:77" ht="12.75" x14ac:dyDescent="0.2">
      <c r="B208" s="22">
        <v>44753</v>
      </c>
      <c r="C208" s="26">
        <f t="shared" ca="1" si="0"/>
        <v>0.12933394528576392</v>
      </c>
      <c r="D208" s="29">
        <v>0</v>
      </c>
      <c r="F208" s="22">
        <v>44753</v>
      </c>
      <c r="G208" s="26">
        <f t="shared" ca="1" si="1"/>
        <v>0.19019051330996395</v>
      </c>
      <c r="H208" s="29">
        <v>0</v>
      </c>
      <c r="J208" s="22">
        <v>44753</v>
      </c>
      <c r="K208" s="26">
        <f t="shared" ca="1" si="2"/>
        <v>0.80297544488782713</v>
      </c>
      <c r="L208" s="29">
        <v>0</v>
      </c>
      <c r="N208" s="22">
        <v>44753</v>
      </c>
      <c r="O208" s="26">
        <f t="shared" ca="1" si="3"/>
        <v>0.694385391687252</v>
      </c>
      <c r="P208" s="29">
        <v>0</v>
      </c>
      <c r="R208" s="22">
        <v>44753</v>
      </c>
      <c r="S208" s="26">
        <f t="shared" ca="1" si="4"/>
        <v>9.4723235132951222E-2</v>
      </c>
      <c r="T208" s="29">
        <v>0</v>
      </c>
      <c r="V208" s="22">
        <v>44753</v>
      </c>
      <c r="W208" s="26">
        <f t="shared" ca="1" si="5"/>
        <v>0.90263818326700351</v>
      </c>
      <c r="X208" s="29">
        <v>0</v>
      </c>
      <c r="Z208" s="22">
        <v>44753</v>
      </c>
      <c r="AA208" s="26">
        <f t="shared" ca="1" si="6"/>
        <v>0.28680168952730978</v>
      </c>
      <c r="AB208" s="29">
        <v>0</v>
      </c>
      <c r="AC208"/>
      <c r="AD208" s="25"/>
      <c r="AF208" s="22">
        <v>44753</v>
      </c>
      <c r="AG208" s="26">
        <f t="shared" ca="1" si="7"/>
        <v>5.9286757253889211E-2</v>
      </c>
      <c r="AH208" s="29">
        <v>0</v>
      </c>
      <c r="AJ208" s="22">
        <v>44753</v>
      </c>
      <c r="AK208" s="26">
        <f t="shared" ca="1" si="8"/>
        <v>0.49076291405057193</v>
      </c>
      <c r="AL208" s="29">
        <v>0</v>
      </c>
      <c r="AN208" s="22">
        <v>44753</v>
      </c>
      <c r="AO208" s="26">
        <f t="shared" ca="1" si="9"/>
        <v>0.75617406774636231</v>
      </c>
      <c r="AP208" s="29">
        <v>0</v>
      </c>
      <c r="AR208" s="22">
        <v>44753</v>
      </c>
      <c r="AS208" s="26">
        <f t="shared" ca="1" si="10"/>
        <v>0.69980206392769939</v>
      </c>
      <c r="AT208" s="29">
        <v>0</v>
      </c>
      <c r="AV208" s="22">
        <v>44753</v>
      </c>
      <c r="AW208" s="26">
        <f t="shared" ca="1" si="11"/>
        <v>2.6084680986575792E-2</v>
      </c>
      <c r="AX208" s="29">
        <v>0</v>
      </c>
      <c r="AZ208" s="22">
        <v>44753</v>
      </c>
      <c r="BA208" s="26">
        <f t="shared" ca="1" si="12"/>
        <v>0.68279415166670487</v>
      </c>
      <c r="BB208" s="29">
        <v>0</v>
      </c>
      <c r="BC208"/>
      <c r="BD208" s="25"/>
      <c r="BF208" s="22">
        <v>44753</v>
      </c>
      <c r="BG208" s="26">
        <f t="shared" ca="1" si="13"/>
        <v>0.58974658511705702</v>
      </c>
      <c r="BH208" s="29">
        <v>0</v>
      </c>
      <c r="BJ208" s="22">
        <v>44753</v>
      </c>
      <c r="BK208" s="26">
        <f t="shared" ca="1" si="14"/>
        <v>0.132531171913297</v>
      </c>
      <c r="BL208" s="29">
        <v>0</v>
      </c>
      <c r="BN208" s="22">
        <v>44753</v>
      </c>
      <c r="BO208" s="26">
        <f t="shared" ca="1" si="15"/>
        <v>0.21432754866892945</v>
      </c>
      <c r="BP208" s="29">
        <v>0</v>
      </c>
      <c r="BR208" s="22">
        <v>44753</v>
      </c>
      <c r="BS208" s="26">
        <f t="shared" ca="1" si="16"/>
        <v>0.52221493051164791</v>
      </c>
      <c r="BT208" s="29">
        <v>0</v>
      </c>
      <c r="BV208" s="22">
        <v>44753</v>
      </c>
      <c r="BW208" s="26">
        <f t="shared" ca="1" si="17"/>
        <v>0.8696479336340931</v>
      </c>
      <c r="BX208" s="29">
        <v>0</v>
      </c>
    </row>
    <row r="209" spans="2:76" ht="12.75" x14ac:dyDescent="0.2">
      <c r="B209" s="22">
        <v>44754</v>
      </c>
      <c r="C209" s="26">
        <f t="shared" ca="1" si="0"/>
        <v>0.67757174204513471</v>
      </c>
      <c r="D209" s="29">
        <v>0</v>
      </c>
      <c r="F209" s="22">
        <v>44754</v>
      </c>
      <c r="G209" s="26">
        <f t="shared" ca="1" si="1"/>
        <v>0.3764387543775809</v>
      </c>
      <c r="H209" s="29">
        <v>0</v>
      </c>
      <c r="J209" s="22">
        <v>44754</v>
      </c>
      <c r="K209" s="26">
        <f t="shared" ca="1" si="2"/>
        <v>0.46558241944315648</v>
      </c>
      <c r="L209" s="29">
        <v>0</v>
      </c>
      <c r="N209" s="22">
        <v>44754</v>
      </c>
      <c r="O209" s="26">
        <f t="shared" ca="1" si="3"/>
        <v>0.3917559140227076</v>
      </c>
      <c r="P209" s="29">
        <v>0</v>
      </c>
      <c r="R209" s="22">
        <v>44754</v>
      </c>
      <c r="S209" s="26">
        <f t="shared" ca="1" si="4"/>
        <v>0.2705029322236443</v>
      </c>
      <c r="T209" s="29">
        <v>0</v>
      </c>
      <c r="V209" s="22">
        <v>44754</v>
      </c>
      <c r="W209" s="26">
        <f t="shared" ca="1" si="5"/>
        <v>0.18247504537040971</v>
      </c>
      <c r="X209" s="29">
        <v>0</v>
      </c>
      <c r="Z209" s="22">
        <v>44754</v>
      </c>
      <c r="AA209" s="26">
        <f t="shared" ca="1" si="6"/>
        <v>3.7427212652367814E-2</v>
      </c>
      <c r="AB209" s="29">
        <v>0</v>
      </c>
      <c r="AC209"/>
      <c r="AD209" s="25"/>
      <c r="AF209" s="22">
        <v>44754</v>
      </c>
      <c r="AG209" s="26">
        <f t="shared" ca="1" si="7"/>
        <v>0.68670984450271166</v>
      </c>
      <c r="AH209" s="29">
        <v>0</v>
      </c>
      <c r="AJ209" s="22">
        <v>44754</v>
      </c>
      <c r="AK209" s="26">
        <f t="shared" ca="1" si="8"/>
        <v>0.62708848012755702</v>
      </c>
      <c r="AL209" s="29">
        <v>0</v>
      </c>
      <c r="AN209" s="22">
        <v>44754</v>
      </c>
      <c r="AO209" s="26">
        <f t="shared" ca="1" si="9"/>
        <v>0.42971286224785166</v>
      </c>
      <c r="AP209" s="29">
        <v>0</v>
      </c>
      <c r="AR209" s="22">
        <v>44754</v>
      </c>
      <c r="AS209" s="26">
        <f t="shared" ca="1" si="10"/>
        <v>0.75555587970546534</v>
      </c>
      <c r="AT209" s="29">
        <v>0</v>
      </c>
      <c r="AV209" s="22">
        <v>44754</v>
      </c>
      <c r="AW209" s="26">
        <f t="shared" ca="1" si="11"/>
        <v>0.46363091633339237</v>
      </c>
      <c r="AX209" s="29">
        <v>0</v>
      </c>
      <c r="AZ209" s="22">
        <v>44754</v>
      </c>
      <c r="BA209" s="26">
        <f t="shared" ca="1" si="12"/>
        <v>0.49463791883054287</v>
      </c>
      <c r="BB209" s="29">
        <v>0</v>
      </c>
      <c r="BC209"/>
      <c r="BD209" s="25"/>
      <c r="BF209" s="22">
        <v>44754</v>
      </c>
      <c r="BG209" s="26">
        <f t="shared" ca="1" si="13"/>
        <v>3.0944841798954403E-2</v>
      </c>
      <c r="BH209" s="29">
        <v>0</v>
      </c>
      <c r="BJ209" s="22">
        <v>44754</v>
      </c>
      <c r="BK209" s="26">
        <f t="shared" ca="1" si="14"/>
        <v>0.35105899852917344</v>
      </c>
      <c r="BL209" s="29">
        <v>0</v>
      </c>
      <c r="BN209" s="22">
        <v>44754</v>
      </c>
      <c r="BO209" s="26">
        <f t="shared" ca="1" si="15"/>
        <v>0.78033474880751008</v>
      </c>
      <c r="BP209" s="29">
        <v>0</v>
      </c>
      <c r="BR209" s="22">
        <v>44754</v>
      </c>
      <c r="BS209" s="26">
        <f t="shared" ca="1" si="16"/>
        <v>0.61276825601203055</v>
      </c>
      <c r="BT209" s="29">
        <v>0</v>
      </c>
      <c r="BV209" s="22">
        <v>44754</v>
      </c>
      <c r="BW209" s="26">
        <f t="shared" ca="1" si="17"/>
        <v>0.44496099396375877</v>
      </c>
      <c r="BX209" s="29">
        <v>0</v>
      </c>
    </row>
    <row r="210" spans="2:76" ht="12.75" x14ac:dyDescent="0.2">
      <c r="B210" s="22">
        <v>44755</v>
      </c>
      <c r="C210" s="26">
        <f t="shared" ca="1" si="0"/>
        <v>0.424275411904389</v>
      </c>
      <c r="D210" s="29">
        <v>0</v>
      </c>
      <c r="F210" s="22">
        <v>44755</v>
      </c>
      <c r="G210" s="26">
        <f t="shared" ca="1" si="1"/>
        <v>0.97985258337970127</v>
      </c>
      <c r="H210" s="29">
        <v>0</v>
      </c>
      <c r="J210" s="22">
        <v>44755</v>
      </c>
      <c r="K210" s="26">
        <f t="shared" ca="1" si="2"/>
        <v>0.21517032041004613</v>
      </c>
      <c r="L210" s="29">
        <v>0</v>
      </c>
      <c r="N210" s="22">
        <v>44755</v>
      </c>
      <c r="O210" s="26">
        <f t="shared" ca="1" si="3"/>
        <v>0.25765534983838301</v>
      </c>
      <c r="P210" s="29">
        <v>0</v>
      </c>
      <c r="R210" s="22">
        <v>44755</v>
      </c>
      <c r="S210" s="26">
        <f t="shared" ca="1" si="4"/>
        <v>0.27594252798297692</v>
      </c>
      <c r="T210" s="29">
        <v>0</v>
      </c>
      <c r="V210" s="22">
        <v>44755</v>
      </c>
      <c r="W210" s="26">
        <f t="shared" ca="1" si="5"/>
        <v>2.0359408150020242E-3</v>
      </c>
      <c r="X210" s="29">
        <v>0</v>
      </c>
      <c r="Z210" s="22">
        <v>44755</v>
      </c>
      <c r="AA210" s="26">
        <f t="shared" ca="1" si="6"/>
        <v>0.49491905388259305</v>
      </c>
      <c r="AB210" s="29">
        <v>0</v>
      </c>
      <c r="AC210"/>
      <c r="AD210" s="25"/>
      <c r="AF210" s="22">
        <v>44755</v>
      </c>
      <c r="AG210" s="26">
        <f t="shared" ca="1" si="7"/>
        <v>6.7161495483563094E-3</v>
      </c>
      <c r="AH210" s="29">
        <v>0</v>
      </c>
      <c r="AJ210" s="22">
        <v>44755</v>
      </c>
      <c r="AK210" s="26">
        <f t="shared" ca="1" si="8"/>
        <v>0.18006144276898972</v>
      </c>
      <c r="AL210" s="29">
        <v>0</v>
      </c>
      <c r="AN210" s="22">
        <v>44755</v>
      </c>
      <c r="AO210" s="26">
        <f t="shared" ca="1" si="9"/>
        <v>0.72173221771144991</v>
      </c>
      <c r="AP210" s="29">
        <v>0</v>
      </c>
      <c r="AR210" s="22">
        <v>44755</v>
      </c>
      <c r="AS210" s="26">
        <f t="shared" ca="1" si="10"/>
        <v>0.17414474780713463</v>
      </c>
      <c r="AT210" s="29">
        <v>0</v>
      </c>
      <c r="AV210" s="22">
        <v>44755</v>
      </c>
      <c r="AW210" s="26">
        <f t="shared" ca="1" si="11"/>
        <v>0.42185187956607062</v>
      </c>
      <c r="AX210" s="29">
        <v>0</v>
      </c>
      <c r="AZ210" s="22">
        <v>44755</v>
      </c>
      <c r="BA210" s="26">
        <f t="shared" ca="1" si="12"/>
        <v>0.14799760230955661</v>
      </c>
      <c r="BB210" s="29">
        <v>0</v>
      </c>
      <c r="BC210"/>
      <c r="BD210" s="25"/>
      <c r="BF210" s="22">
        <v>44755</v>
      </c>
      <c r="BG210" s="26">
        <f t="shared" ca="1" si="13"/>
        <v>0.75042378322005854</v>
      </c>
      <c r="BH210" s="29">
        <v>0</v>
      </c>
      <c r="BJ210" s="22">
        <v>44755</v>
      </c>
      <c r="BK210" s="26">
        <f t="shared" ca="1" si="14"/>
        <v>0.52499699116732701</v>
      </c>
      <c r="BL210" s="29">
        <v>0</v>
      </c>
      <c r="BN210" s="22">
        <v>44755</v>
      </c>
      <c r="BO210" s="26">
        <f t="shared" ca="1" si="15"/>
        <v>0.1238543863354058</v>
      </c>
      <c r="BP210" s="29">
        <v>0</v>
      </c>
      <c r="BR210" s="22">
        <v>44755</v>
      </c>
      <c r="BS210" s="26">
        <f t="shared" ca="1" si="16"/>
        <v>0.78621726825047467</v>
      </c>
      <c r="BT210" s="29">
        <v>0</v>
      </c>
      <c r="BV210" s="22">
        <v>44755</v>
      </c>
      <c r="BW210" s="26">
        <f t="shared" ca="1" si="17"/>
        <v>0.43360043771132506</v>
      </c>
      <c r="BX210" s="29">
        <v>0</v>
      </c>
    </row>
    <row r="211" spans="2:76" ht="12.75" x14ac:dyDescent="0.2">
      <c r="B211" s="22">
        <v>44756</v>
      </c>
      <c r="C211" s="26">
        <f t="shared" ca="1" si="0"/>
        <v>5.7951120312050186E-2</v>
      </c>
      <c r="D211" s="29">
        <v>0</v>
      </c>
      <c r="F211" s="22">
        <v>44756</v>
      </c>
      <c r="G211" s="26">
        <f t="shared" ca="1" si="1"/>
        <v>0.89022207251476204</v>
      </c>
      <c r="H211" s="29">
        <v>0</v>
      </c>
      <c r="J211" s="22">
        <v>44756</v>
      </c>
      <c r="K211" s="26">
        <f t="shared" ca="1" si="2"/>
        <v>0.81912307146821817</v>
      </c>
      <c r="L211" s="29">
        <v>0</v>
      </c>
      <c r="N211" s="22">
        <v>44756</v>
      </c>
      <c r="O211" s="26">
        <f t="shared" ca="1" si="3"/>
        <v>0.22487263384093259</v>
      </c>
      <c r="P211" s="29">
        <v>0</v>
      </c>
      <c r="R211" s="22">
        <v>44756</v>
      </c>
      <c r="S211" s="26">
        <f t="shared" ca="1" si="4"/>
        <v>7.2187707963998426E-2</v>
      </c>
      <c r="T211" s="29">
        <v>0</v>
      </c>
      <c r="V211" s="22">
        <v>44756</v>
      </c>
      <c r="W211" s="26">
        <f t="shared" ca="1" si="5"/>
        <v>0.570378916436867</v>
      </c>
      <c r="X211" s="29">
        <v>0</v>
      </c>
      <c r="Z211" s="22">
        <v>44756</v>
      </c>
      <c r="AA211" s="26">
        <f t="shared" ca="1" si="6"/>
        <v>5.1607263628592248E-2</v>
      </c>
      <c r="AB211" s="29">
        <v>0</v>
      </c>
      <c r="AC211"/>
      <c r="AD211" s="25"/>
      <c r="AF211" s="22">
        <v>44756</v>
      </c>
      <c r="AG211" s="26">
        <f t="shared" ca="1" si="7"/>
        <v>0.96172688802410256</v>
      </c>
      <c r="AH211" s="29">
        <v>0</v>
      </c>
      <c r="AJ211" s="22">
        <v>44756</v>
      </c>
      <c r="AK211" s="26">
        <f t="shared" ca="1" si="8"/>
        <v>0.38209074228305262</v>
      </c>
      <c r="AL211" s="29">
        <v>0</v>
      </c>
      <c r="AN211" s="22">
        <v>44756</v>
      </c>
      <c r="AO211" s="26">
        <f t="shared" ca="1" si="9"/>
        <v>0.84369673805078527</v>
      </c>
      <c r="AP211" s="29">
        <v>0</v>
      </c>
      <c r="AR211" s="22">
        <v>44756</v>
      </c>
      <c r="AS211" s="26">
        <f t="shared" ca="1" si="10"/>
        <v>0.94079557795545932</v>
      </c>
      <c r="AT211" s="29">
        <v>0</v>
      </c>
      <c r="AV211" s="22">
        <v>44756</v>
      </c>
      <c r="AW211" s="26">
        <f t="shared" ca="1" si="11"/>
        <v>0.5631364179045224</v>
      </c>
      <c r="AX211" s="29">
        <v>0</v>
      </c>
      <c r="AZ211" s="22">
        <v>44756</v>
      </c>
      <c r="BA211" s="26">
        <f t="shared" ca="1" si="12"/>
        <v>0.4860121445152531</v>
      </c>
      <c r="BB211" s="29">
        <v>0</v>
      </c>
      <c r="BC211"/>
      <c r="BD211" s="25"/>
      <c r="BF211" s="22">
        <v>44756</v>
      </c>
      <c r="BG211" s="26">
        <f t="shared" ca="1" si="13"/>
        <v>0.74343480944531781</v>
      </c>
      <c r="BH211" s="29">
        <v>0</v>
      </c>
      <c r="BJ211" s="22">
        <v>44756</v>
      </c>
      <c r="BK211" s="26">
        <f t="shared" ca="1" si="14"/>
        <v>0.45642743291938204</v>
      </c>
      <c r="BL211" s="29">
        <v>0</v>
      </c>
      <c r="BN211" s="22">
        <v>44756</v>
      </c>
      <c r="BO211" s="26">
        <f t="shared" ca="1" si="15"/>
        <v>0.78452517650677067</v>
      </c>
      <c r="BP211" s="29">
        <v>0</v>
      </c>
      <c r="BR211" s="22">
        <v>44756</v>
      </c>
      <c r="BS211" s="26">
        <f t="shared" ca="1" si="16"/>
        <v>0.5545777188920521</v>
      </c>
      <c r="BT211" s="29">
        <v>0</v>
      </c>
      <c r="BV211" s="22">
        <v>44756</v>
      </c>
      <c r="BW211" s="26">
        <f t="shared" ca="1" si="17"/>
        <v>0.95984161836016657</v>
      </c>
      <c r="BX211" s="29">
        <v>0</v>
      </c>
    </row>
    <row r="212" spans="2:76" ht="12.75" x14ac:dyDescent="0.2">
      <c r="B212" s="22">
        <v>44757</v>
      </c>
      <c r="C212" s="26">
        <f t="shared" ca="1" si="0"/>
        <v>0.18052650205017873</v>
      </c>
      <c r="D212" s="29">
        <v>0</v>
      </c>
      <c r="F212" s="22">
        <v>44757</v>
      </c>
      <c r="G212" s="26">
        <f t="shared" ca="1" si="1"/>
        <v>0.41833144422602175</v>
      </c>
      <c r="H212" s="29">
        <v>0</v>
      </c>
      <c r="J212" s="22">
        <v>44757</v>
      </c>
      <c r="K212" s="26">
        <f t="shared" ca="1" si="2"/>
        <v>0.5862573386621337</v>
      </c>
      <c r="L212" s="29">
        <v>0</v>
      </c>
      <c r="N212" s="22">
        <v>44757</v>
      </c>
      <c r="O212" s="26">
        <f t="shared" ca="1" si="3"/>
        <v>0.49164046784182014</v>
      </c>
      <c r="P212" s="29">
        <v>0</v>
      </c>
      <c r="R212" s="22">
        <v>44757</v>
      </c>
      <c r="S212" s="26">
        <f t="shared" ca="1" si="4"/>
        <v>0.9642024954171764</v>
      </c>
      <c r="T212" s="29">
        <v>0</v>
      </c>
      <c r="V212" s="22">
        <v>44757</v>
      </c>
      <c r="W212" s="26">
        <f t="shared" ca="1" si="5"/>
        <v>0.93898745479647094</v>
      </c>
      <c r="X212" s="29">
        <v>0</v>
      </c>
      <c r="Z212" s="22">
        <v>44757</v>
      </c>
      <c r="AA212" s="26">
        <f t="shared" ca="1" si="6"/>
        <v>0.83966488084726121</v>
      </c>
      <c r="AB212" s="29">
        <v>0</v>
      </c>
      <c r="AC212"/>
      <c r="AD212" s="25"/>
      <c r="AF212" s="22">
        <v>44757</v>
      </c>
      <c r="AG212" s="26">
        <f t="shared" ca="1" si="7"/>
        <v>0.85025049406313058</v>
      </c>
      <c r="AH212" s="29">
        <v>0</v>
      </c>
      <c r="AJ212" s="22">
        <v>44757</v>
      </c>
      <c r="AK212" s="26">
        <f t="shared" ca="1" si="8"/>
        <v>0.44549057231512135</v>
      </c>
      <c r="AL212" s="29">
        <v>0</v>
      </c>
      <c r="AN212" s="22">
        <v>44757</v>
      </c>
      <c r="AO212" s="26">
        <f t="shared" ca="1" si="9"/>
        <v>0.69677910431868295</v>
      </c>
      <c r="AP212" s="29">
        <v>0</v>
      </c>
      <c r="AR212" s="22">
        <v>44757</v>
      </c>
      <c r="AS212" s="26">
        <f t="shared" ca="1" si="10"/>
        <v>3.2272279423627537E-2</v>
      </c>
      <c r="AT212" s="29">
        <v>0</v>
      </c>
      <c r="AV212" s="22">
        <v>44757</v>
      </c>
      <c r="AW212" s="26">
        <f t="shared" ca="1" si="11"/>
        <v>0.49339539131014376</v>
      </c>
      <c r="AX212" s="29">
        <v>0</v>
      </c>
      <c r="AZ212" s="22">
        <v>44757</v>
      </c>
      <c r="BA212" s="26">
        <f t="shared" ca="1" si="12"/>
        <v>0.98489622177763336</v>
      </c>
      <c r="BB212" s="29">
        <v>0</v>
      </c>
      <c r="BC212"/>
      <c r="BD212" s="25"/>
      <c r="BF212" s="22">
        <v>44757</v>
      </c>
      <c r="BG212" s="26">
        <f t="shared" ca="1" si="13"/>
        <v>0.41155628326551852</v>
      </c>
      <c r="BH212" s="29">
        <v>0</v>
      </c>
      <c r="BJ212" s="22">
        <v>44757</v>
      </c>
      <c r="BK212" s="26">
        <f t="shared" ca="1" si="14"/>
        <v>0.4889655480871733</v>
      </c>
      <c r="BL212" s="29">
        <v>0</v>
      </c>
      <c r="BN212" s="22">
        <v>44757</v>
      </c>
      <c r="BO212" s="26">
        <f t="shared" ca="1" si="15"/>
        <v>0.61867247089310673</v>
      </c>
      <c r="BP212" s="29">
        <v>0</v>
      </c>
      <c r="BR212" s="22">
        <v>44757</v>
      </c>
      <c r="BS212" s="26">
        <f t="shared" ca="1" si="16"/>
        <v>0.40602528832548579</v>
      </c>
      <c r="BT212" s="29">
        <v>0</v>
      </c>
      <c r="BV212" s="22">
        <v>44757</v>
      </c>
      <c r="BW212" s="26">
        <f t="shared" ca="1" si="17"/>
        <v>0.26959395004825581</v>
      </c>
      <c r="BX212" s="29">
        <v>0</v>
      </c>
    </row>
    <row r="213" spans="2:76" ht="12.75" x14ac:dyDescent="0.2">
      <c r="B213" s="22">
        <v>44758</v>
      </c>
      <c r="C213" s="26">
        <f t="shared" ca="1" si="0"/>
        <v>0.74965222273313836</v>
      </c>
      <c r="D213" s="29">
        <v>0</v>
      </c>
      <c r="F213" s="22">
        <v>44758</v>
      </c>
      <c r="G213" s="26">
        <f t="shared" ca="1" si="1"/>
        <v>0.22201068736498331</v>
      </c>
      <c r="H213" s="29">
        <v>0</v>
      </c>
      <c r="J213" s="22">
        <v>44758</v>
      </c>
      <c r="K213" s="26">
        <f t="shared" ca="1" si="2"/>
        <v>0.4923850125582423</v>
      </c>
      <c r="L213" s="29">
        <v>0</v>
      </c>
      <c r="N213" s="22">
        <v>44758</v>
      </c>
      <c r="O213" s="26">
        <f t="shared" ca="1" si="3"/>
        <v>0.33488227884015787</v>
      </c>
      <c r="P213" s="29">
        <v>0</v>
      </c>
      <c r="R213" s="22">
        <v>44758</v>
      </c>
      <c r="S213" s="26">
        <f t="shared" ca="1" si="4"/>
        <v>0.4231310839578668</v>
      </c>
      <c r="T213" s="29">
        <v>0</v>
      </c>
      <c r="V213" s="22">
        <v>44758</v>
      </c>
      <c r="W213" s="26">
        <f t="shared" ca="1" si="5"/>
        <v>0.72823634078258703</v>
      </c>
      <c r="X213" s="29">
        <v>0</v>
      </c>
      <c r="Z213" s="22">
        <v>44758</v>
      </c>
      <c r="AA213" s="26">
        <f t="shared" ca="1" si="6"/>
        <v>0.75180810164886069</v>
      </c>
      <c r="AB213" s="29">
        <v>0</v>
      </c>
      <c r="AC213"/>
      <c r="AD213" s="25"/>
      <c r="AF213" s="22">
        <v>44758</v>
      </c>
      <c r="AG213" s="26">
        <f t="shared" ca="1" si="7"/>
        <v>0.59522097083194225</v>
      </c>
      <c r="AH213" s="29">
        <v>0</v>
      </c>
      <c r="AJ213" s="22">
        <v>44758</v>
      </c>
      <c r="AK213" s="26">
        <f t="shared" ca="1" si="8"/>
        <v>0.17381313896867534</v>
      </c>
      <c r="AL213" s="29">
        <v>0</v>
      </c>
      <c r="AN213" s="22">
        <v>44758</v>
      </c>
      <c r="AO213" s="26">
        <f t="shared" ca="1" si="9"/>
        <v>0.38896143667552929</v>
      </c>
      <c r="AP213" s="29">
        <v>0</v>
      </c>
      <c r="AR213" s="22">
        <v>44758</v>
      </c>
      <c r="AS213" s="26">
        <f t="shared" ca="1" si="10"/>
        <v>0.21140796045076837</v>
      </c>
      <c r="AT213" s="29">
        <v>0</v>
      </c>
      <c r="AV213" s="22">
        <v>44758</v>
      </c>
      <c r="AW213" s="26">
        <f t="shared" ca="1" si="11"/>
        <v>0.39619378987216969</v>
      </c>
      <c r="AX213" s="29">
        <v>0</v>
      </c>
      <c r="AZ213" s="22">
        <v>44758</v>
      </c>
      <c r="BA213" s="26">
        <f t="shared" ca="1" si="12"/>
        <v>0.65897735531873713</v>
      </c>
      <c r="BB213" s="29">
        <v>0</v>
      </c>
      <c r="BC213"/>
      <c r="BD213" s="25"/>
      <c r="BF213" s="22">
        <v>44758</v>
      </c>
      <c r="BG213" s="26">
        <f t="shared" ca="1" si="13"/>
        <v>0.97697879337572746</v>
      </c>
      <c r="BH213" s="29">
        <v>0</v>
      </c>
      <c r="BJ213" s="22">
        <v>44758</v>
      </c>
      <c r="BK213" s="26">
        <f t="shared" ca="1" si="14"/>
        <v>0.76626083200985717</v>
      </c>
      <c r="BL213" s="29">
        <v>0</v>
      </c>
      <c r="BN213" s="22">
        <v>44758</v>
      </c>
      <c r="BO213" s="26">
        <f t="shared" ca="1" si="15"/>
        <v>0.95516429939759073</v>
      </c>
      <c r="BP213" s="29">
        <v>0</v>
      </c>
      <c r="BR213" s="22">
        <v>44758</v>
      </c>
      <c r="BS213" s="26">
        <f t="shared" ca="1" si="16"/>
        <v>0.29787264967818217</v>
      </c>
      <c r="BT213" s="29">
        <v>0</v>
      </c>
      <c r="BV213" s="22">
        <v>44758</v>
      </c>
      <c r="BW213" s="26">
        <f t="shared" ca="1" si="17"/>
        <v>0.1484008785247487</v>
      </c>
      <c r="BX213" s="29">
        <v>0</v>
      </c>
    </row>
    <row r="214" spans="2:76" ht="12.75" x14ac:dyDescent="0.2">
      <c r="B214" s="22">
        <v>44759</v>
      </c>
      <c r="C214" s="26">
        <f t="shared" ca="1" si="0"/>
        <v>0.32194254203206263</v>
      </c>
      <c r="D214" s="29">
        <v>0</v>
      </c>
      <c r="F214" s="22">
        <v>44759</v>
      </c>
      <c r="G214" s="26">
        <f t="shared" ca="1" si="1"/>
        <v>0.63628772115697685</v>
      </c>
      <c r="H214" s="29">
        <v>0</v>
      </c>
      <c r="J214" s="22">
        <v>44759</v>
      </c>
      <c r="K214" s="26">
        <f t="shared" ca="1" si="2"/>
        <v>0.93132880481227354</v>
      </c>
      <c r="L214" s="29">
        <v>0</v>
      </c>
      <c r="N214" s="22">
        <v>44759</v>
      </c>
      <c r="O214" s="26">
        <f t="shared" ca="1" si="3"/>
        <v>3.8188240237551185E-2</v>
      </c>
      <c r="P214" s="29">
        <v>0</v>
      </c>
      <c r="R214" s="22">
        <v>44759</v>
      </c>
      <c r="S214" s="26">
        <f t="shared" ca="1" si="4"/>
        <v>0.5386538767015685</v>
      </c>
      <c r="T214" s="29">
        <v>0</v>
      </c>
      <c r="V214" s="22">
        <v>44759</v>
      </c>
      <c r="W214" s="26">
        <f t="shared" ca="1" si="5"/>
        <v>0.831166096236437</v>
      </c>
      <c r="X214" s="29">
        <v>0</v>
      </c>
      <c r="Z214" s="22">
        <v>44759</v>
      </c>
      <c r="AA214" s="26">
        <f t="shared" ca="1" si="6"/>
        <v>0.42081081143019883</v>
      </c>
      <c r="AB214" s="29">
        <v>0</v>
      </c>
      <c r="AC214"/>
      <c r="AD214" s="25"/>
      <c r="AF214" s="22">
        <v>44759</v>
      </c>
      <c r="AG214" s="26">
        <f t="shared" ca="1" si="7"/>
        <v>0.72823088621938081</v>
      </c>
      <c r="AH214" s="29">
        <v>0</v>
      </c>
      <c r="AJ214" s="22">
        <v>44759</v>
      </c>
      <c r="AK214" s="26">
        <f t="shared" ca="1" si="8"/>
        <v>0.31557283833835259</v>
      </c>
      <c r="AL214" s="29">
        <v>0</v>
      </c>
      <c r="AN214" s="22">
        <v>44759</v>
      </c>
      <c r="AO214" s="26">
        <f t="shared" ca="1" si="9"/>
        <v>0.37671082683996215</v>
      </c>
      <c r="AP214" s="29">
        <v>0</v>
      </c>
      <c r="AR214" s="22">
        <v>44759</v>
      </c>
      <c r="AS214" s="26">
        <f t="shared" ca="1" si="10"/>
        <v>0.43491622189640899</v>
      </c>
      <c r="AT214" s="29">
        <v>0</v>
      </c>
      <c r="AV214" s="22">
        <v>44759</v>
      </c>
      <c r="AW214" s="26">
        <f t="shared" ca="1" si="11"/>
        <v>0.14771013504254238</v>
      </c>
      <c r="AX214" s="29">
        <v>0</v>
      </c>
      <c r="AZ214" s="22">
        <v>44759</v>
      </c>
      <c r="BA214" s="26">
        <f t="shared" ca="1" si="12"/>
        <v>0.46181713343183284</v>
      </c>
      <c r="BB214" s="29">
        <v>0</v>
      </c>
      <c r="BC214"/>
      <c r="BD214" s="25"/>
      <c r="BF214" s="22">
        <v>44759</v>
      </c>
      <c r="BG214" s="26">
        <f t="shared" ca="1" si="13"/>
        <v>0.56345875853803162</v>
      </c>
      <c r="BH214" s="29">
        <v>0</v>
      </c>
      <c r="BJ214" s="22">
        <v>44759</v>
      </c>
      <c r="BK214" s="26">
        <f t="shared" ca="1" si="14"/>
        <v>0.65998978940934094</v>
      </c>
      <c r="BL214" s="29">
        <v>0</v>
      </c>
      <c r="BN214" s="22">
        <v>44759</v>
      </c>
      <c r="BO214" s="26">
        <f t="shared" ca="1" si="15"/>
        <v>0.30708516489949722</v>
      </c>
      <c r="BP214" s="29">
        <v>0</v>
      </c>
      <c r="BR214" s="22">
        <v>44759</v>
      </c>
      <c r="BS214" s="26">
        <f t="shared" ca="1" si="16"/>
        <v>0.65514046108528323</v>
      </c>
      <c r="BT214" s="29">
        <v>0</v>
      </c>
      <c r="BV214" s="22">
        <v>44759</v>
      </c>
      <c r="BW214" s="26">
        <f t="shared" ca="1" si="17"/>
        <v>0.92986782153660541</v>
      </c>
      <c r="BX214" s="29">
        <v>0</v>
      </c>
    </row>
    <row r="215" spans="2:76" ht="12.75" x14ac:dyDescent="0.2">
      <c r="B215" s="22">
        <v>44760</v>
      </c>
      <c r="C215" s="26">
        <f t="shared" ca="1" si="0"/>
        <v>0.40322208719021635</v>
      </c>
      <c r="D215" s="29">
        <v>0</v>
      </c>
      <c r="F215" s="22">
        <v>44760</v>
      </c>
      <c r="G215" s="26">
        <f t="shared" ca="1" si="1"/>
        <v>0.76725955851381489</v>
      </c>
      <c r="H215" s="29">
        <v>0</v>
      </c>
      <c r="J215" s="22">
        <v>44760</v>
      </c>
      <c r="K215" s="26">
        <f t="shared" ca="1" si="2"/>
        <v>0.45719438007184721</v>
      </c>
      <c r="L215" s="29">
        <v>0</v>
      </c>
      <c r="N215" s="22">
        <v>44760</v>
      </c>
      <c r="O215" s="26">
        <f t="shared" ca="1" si="3"/>
        <v>0.30788310025662569</v>
      </c>
      <c r="P215" s="29">
        <v>0</v>
      </c>
      <c r="R215" s="22">
        <v>44760</v>
      </c>
      <c r="S215" s="26">
        <f t="shared" ca="1" si="4"/>
        <v>0.80322354124291184</v>
      </c>
      <c r="T215" s="29">
        <v>0</v>
      </c>
      <c r="V215" s="22">
        <v>44760</v>
      </c>
      <c r="W215" s="26">
        <f t="shared" ca="1" si="5"/>
        <v>0.6529744295498805</v>
      </c>
      <c r="X215" s="29">
        <v>0</v>
      </c>
      <c r="Z215" s="22">
        <v>44760</v>
      </c>
      <c r="AA215" s="26">
        <f t="shared" ca="1" si="6"/>
        <v>0.72058314745696683</v>
      </c>
      <c r="AB215" s="29">
        <v>0</v>
      </c>
      <c r="AC215"/>
      <c r="AD215" s="25"/>
      <c r="AF215" s="22">
        <v>44760</v>
      </c>
      <c r="AG215" s="26">
        <f t="shared" ca="1" si="7"/>
        <v>0.53088258731348226</v>
      </c>
      <c r="AH215" s="29">
        <v>0</v>
      </c>
      <c r="AJ215" s="22">
        <v>44760</v>
      </c>
      <c r="AK215" s="26">
        <f t="shared" ca="1" si="8"/>
        <v>0.43596666461329625</v>
      </c>
      <c r="AL215" s="29">
        <v>0</v>
      </c>
      <c r="AN215" s="22">
        <v>44760</v>
      </c>
      <c r="AO215" s="26">
        <f t="shared" ca="1" si="9"/>
        <v>0.31769123855735326</v>
      </c>
      <c r="AP215" s="29">
        <v>0</v>
      </c>
      <c r="AR215" s="22">
        <v>44760</v>
      </c>
      <c r="AS215" s="26">
        <f t="shared" ca="1" si="10"/>
        <v>0.83405091947188559</v>
      </c>
      <c r="AT215" s="29">
        <v>0</v>
      </c>
      <c r="AV215" s="22">
        <v>44760</v>
      </c>
      <c r="AW215" s="26">
        <f t="shared" ca="1" si="11"/>
        <v>0.82277086893018547</v>
      </c>
      <c r="AX215" s="29">
        <v>0</v>
      </c>
      <c r="AZ215" s="22">
        <v>44760</v>
      </c>
      <c r="BA215" s="26">
        <f t="shared" ca="1" si="12"/>
        <v>0.67752323884533294</v>
      </c>
      <c r="BB215" s="29">
        <v>0</v>
      </c>
      <c r="BC215"/>
      <c r="BD215" s="25"/>
      <c r="BF215" s="22">
        <v>44760</v>
      </c>
      <c r="BG215" s="26">
        <f t="shared" ca="1" si="13"/>
        <v>0.12812243242799992</v>
      </c>
      <c r="BH215" s="29">
        <v>0</v>
      </c>
      <c r="BJ215" s="22">
        <v>44760</v>
      </c>
      <c r="BK215" s="26">
        <f t="shared" ca="1" si="14"/>
        <v>0.627177908197187</v>
      </c>
      <c r="BL215" s="29">
        <v>0</v>
      </c>
      <c r="BN215" s="22">
        <v>44760</v>
      </c>
      <c r="BO215" s="26">
        <f t="shared" ca="1" si="15"/>
        <v>4.1516760948667852E-2</v>
      </c>
      <c r="BP215" s="29">
        <v>0</v>
      </c>
      <c r="BR215" s="22">
        <v>44760</v>
      </c>
      <c r="BS215" s="26">
        <f t="shared" ca="1" si="16"/>
        <v>0.77209302306327121</v>
      </c>
      <c r="BT215" s="29">
        <v>0</v>
      </c>
      <c r="BV215" s="22">
        <v>44760</v>
      </c>
      <c r="BW215" s="26">
        <f t="shared" ca="1" si="17"/>
        <v>0.23951319841089536</v>
      </c>
      <c r="BX215" s="29">
        <v>0</v>
      </c>
    </row>
    <row r="216" spans="2:76" ht="12.75" x14ac:dyDescent="0.2">
      <c r="B216" s="22">
        <v>44761</v>
      </c>
      <c r="C216" s="26">
        <f t="shared" ca="1" si="0"/>
        <v>0.94294834846847975</v>
      </c>
      <c r="D216" s="29">
        <v>0</v>
      </c>
      <c r="F216" s="22">
        <v>44761</v>
      </c>
      <c r="G216" s="26">
        <f t="shared" ca="1" si="1"/>
        <v>4.421499096193382E-2</v>
      </c>
      <c r="H216" s="29">
        <v>0</v>
      </c>
      <c r="J216" s="22">
        <v>44761</v>
      </c>
      <c r="K216" s="26">
        <f t="shared" ca="1" si="2"/>
        <v>0.25225200738890585</v>
      </c>
      <c r="L216" s="29">
        <v>0</v>
      </c>
      <c r="N216" s="22">
        <v>44761</v>
      </c>
      <c r="O216" s="26">
        <f t="shared" ca="1" si="3"/>
        <v>0.36452695537699165</v>
      </c>
      <c r="P216" s="29">
        <v>0</v>
      </c>
      <c r="R216" s="22">
        <v>44761</v>
      </c>
      <c r="S216" s="26">
        <f t="shared" ca="1" si="4"/>
        <v>0.91682393336796986</v>
      </c>
      <c r="T216" s="29">
        <v>0</v>
      </c>
      <c r="V216" s="22">
        <v>44761</v>
      </c>
      <c r="W216" s="26">
        <f t="shared" ca="1" si="5"/>
        <v>0.34931065394207161</v>
      </c>
      <c r="X216" s="29">
        <v>0</v>
      </c>
      <c r="Z216" s="22">
        <v>44761</v>
      </c>
      <c r="AA216" s="26">
        <f t="shared" ca="1" si="6"/>
        <v>0.76973869102222725</v>
      </c>
      <c r="AB216" s="29">
        <v>0</v>
      </c>
      <c r="AC216"/>
      <c r="AD216" s="25"/>
      <c r="AF216" s="22">
        <v>44761</v>
      </c>
      <c r="AG216" s="26">
        <f t="shared" ca="1" si="7"/>
        <v>0.14829539700460892</v>
      </c>
      <c r="AH216" s="29">
        <v>0</v>
      </c>
      <c r="AJ216" s="22">
        <v>44761</v>
      </c>
      <c r="AK216" s="26">
        <f t="shared" ca="1" si="8"/>
        <v>0.28352551109285651</v>
      </c>
      <c r="AL216" s="29">
        <v>0</v>
      </c>
      <c r="AN216" s="22">
        <v>44761</v>
      </c>
      <c r="AO216" s="26">
        <f t="shared" ca="1" si="9"/>
        <v>0.52018931666514956</v>
      </c>
      <c r="AP216" s="29">
        <v>0</v>
      </c>
      <c r="AR216" s="22">
        <v>44761</v>
      </c>
      <c r="AS216" s="26">
        <f t="shared" ca="1" si="10"/>
        <v>0.17335797168897349</v>
      </c>
      <c r="AT216" s="29">
        <v>0</v>
      </c>
      <c r="AV216" s="22">
        <v>44761</v>
      </c>
      <c r="AW216" s="26">
        <f t="shared" ca="1" si="11"/>
        <v>0.69933635050109355</v>
      </c>
      <c r="AX216" s="29">
        <v>0</v>
      </c>
      <c r="AZ216" s="22">
        <v>44761</v>
      </c>
      <c r="BA216" s="26">
        <f t="shared" ca="1" si="12"/>
        <v>0.76628704963405081</v>
      </c>
      <c r="BB216" s="29">
        <v>0</v>
      </c>
      <c r="BC216"/>
      <c r="BD216" s="25"/>
      <c r="BF216" s="22">
        <v>44761</v>
      </c>
      <c r="BG216" s="26">
        <f t="shared" ca="1" si="13"/>
        <v>0.22681604410921719</v>
      </c>
      <c r="BH216" s="29">
        <v>0</v>
      </c>
      <c r="BJ216" s="22">
        <v>44761</v>
      </c>
      <c r="BK216" s="26">
        <f t="shared" ca="1" si="14"/>
        <v>4.6462964415787456E-2</v>
      </c>
      <c r="BL216" s="29">
        <v>0</v>
      </c>
      <c r="BN216" s="22">
        <v>44761</v>
      </c>
      <c r="BO216" s="26">
        <f t="shared" ca="1" si="15"/>
        <v>0.85615815166049436</v>
      </c>
      <c r="BP216" s="29">
        <v>0</v>
      </c>
      <c r="BR216" s="22">
        <v>44761</v>
      </c>
      <c r="BS216" s="26">
        <f t="shared" ca="1" si="16"/>
        <v>0.54141719320282944</v>
      </c>
      <c r="BT216" s="29">
        <v>0</v>
      </c>
      <c r="BV216" s="22">
        <v>44761</v>
      </c>
      <c r="BW216" s="26">
        <f t="shared" ca="1" si="17"/>
        <v>0.11560454083125082</v>
      </c>
      <c r="BX216" s="29">
        <v>0</v>
      </c>
    </row>
    <row r="217" spans="2:76" ht="12.75" x14ac:dyDescent="0.2">
      <c r="B217" s="22">
        <v>44762</v>
      </c>
      <c r="C217" s="26">
        <f t="shared" ca="1" si="0"/>
        <v>0.7377797881786895</v>
      </c>
      <c r="D217" s="29">
        <v>0</v>
      </c>
      <c r="F217" s="22">
        <v>44762</v>
      </c>
      <c r="G217" s="26">
        <f t="shared" ca="1" si="1"/>
        <v>5.9804702812173316E-2</v>
      </c>
      <c r="H217" s="29">
        <v>0</v>
      </c>
      <c r="J217" s="22">
        <v>44762</v>
      </c>
      <c r="K217" s="26">
        <f t="shared" ca="1" si="2"/>
        <v>0.69281796080837676</v>
      </c>
      <c r="L217" s="29">
        <v>0</v>
      </c>
      <c r="N217" s="22">
        <v>44762</v>
      </c>
      <c r="O217" s="26">
        <f t="shared" ca="1" si="3"/>
        <v>0.61006178180494708</v>
      </c>
      <c r="P217" s="29">
        <v>0</v>
      </c>
      <c r="R217" s="22">
        <v>44762</v>
      </c>
      <c r="S217" s="26">
        <f t="shared" ca="1" si="4"/>
        <v>1.8410906283070627E-2</v>
      </c>
      <c r="T217" s="29">
        <v>0</v>
      </c>
      <c r="V217" s="22">
        <v>44762</v>
      </c>
      <c r="W217" s="26">
        <f t="shared" ca="1" si="5"/>
        <v>2.8369553564378092E-2</v>
      </c>
      <c r="X217" s="29">
        <v>0</v>
      </c>
      <c r="Z217" s="22">
        <v>44762</v>
      </c>
      <c r="AA217" s="26">
        <f t="shared" ca="1" si="6"/>
        <v>0.89724341546733954</v>
      </c>
      <c r="AB217" s="29">
        <v>0</v>
      </c>
      <c r="AC217"/>
      <c r="AD217" s="25"/>
      <c r="AF217" s="22">
        <v>44762</v>
      </c>
      <c r="AG217" s="26">
        <f t="shared" ca="1" si="7"/>
        <v>6.7111729830774736E-2</v>
      </c>
      <c r="AH217" s="29">
        <v>0</v>
      </c>
      <c r="AJ217" s="22">
        <v>44762</v>
      </c>
      <c r="AK217" s="26">
        <f t="shared" ca="1" si="8"/>
        <v>0.140704312759665</v>
      </c>
      <c r="AL217" s="29">
        <v>0</v>
      </c>
      <c r="AN217" s="22">
        <v>44762</v>
      </c>
      <c r="AO217" s="26">
        <f t="shared" ca="1" si="9"/>
        <v>4.8010936294998641E-2</v>
      </c>
      <c r="AP217" s="29">
        <v>0</v>
      </c>
      <c r="AR217" s="22">
        <v>44762</v>
      </c>
      <c r="AS217" s="26">
        <f t="shared" ca="1" si="10"/>
        <v>0.95286844604928611</v>
      </c>
      <c r="AT217" s="29">
        <v>0</v>
      </c>
      <c r="AV217" s="22">
        <v>44762</v>
      </c>
      <c r="AW217" s="26">
        <f t="shared" ca="1" si="11"/>
        <v>0.65614263336340961</v>
      </c>
      <c r="AX217" s="29">
        <v>0</v>
      </c>
      <c r="AZ217" s="22">
        <v>44762</v>
      </c>
      <c r="BA217" s="26">
        <f t="shared" ca="1" si="12"/>
        <v>0.60612087784650159</v>
      </c>
      <c r="BB217" s="29">
        <v>0</v>
      </c>
      <c r="BC217"/>
      <c r="BD217" s="25"/>
      <c r="BF217" s="22">
        <v>44762</v>
      </c>
      <c r="BG217" s="26">
        <f t="shared" ca="1" si="13"/>
        <v>0.46863645448276292</v>
      </c>
      <c r="BH217" s="29">
        <v>0</v>
      </c>
      <c r="BJ217" s="22">
        <v>44762</v>
      </c>
      <c r="BK217" s="26">
        <f t="shared" ca="1" si="14"/>
        <v>0.8501877385269978</v>
      </c>
      <c r="BL217" s="29">
        <v>0</v>
      </c>
      <c r="BN217" s="22">
        <v>44762</v>
      </c>
      <c r="BO217" s="26">
        <f t="shared" ca="1" si="15"/>
        <v>0.26569795035749699</v>
      </c>
      <c r="BP217" s="29">
        <v>0</v>
      </c>
      <c r="BR217" s="22">
        <v>44762</v>
      </c>
      <c r="BS217" s="26">
        <f t="shared" ca="1" si="16"/>
        <v>0.43069846679792967</v>
      </c>
      <c r="BT217" s="29">
        <v>0</v>
      </c>
      <c r="BV217" s="22">
        <v>44762</v>
      </c>
      <c r="BW217" s="26">
        <f t="shared" ca="1" si="17"/>
        <v>0.51795050563598821</v>
      </c>
      <c r="BX217" s="29">
        <v>0</v>
      </c>
    </row>
    <row r="218" spans="2:76" ht="12.75" x14ac:dyDescent="0.2">
      <c r="B218" s="22">
        <v>44763</v>
      </c>
      <c r="C218" s="26">
        <f t="shared" ca="1" si="0"/>
        <v>0.14107207474979166</v>
      </c>
      <c r="D218" s="29">
        <v>0</v>
      </c>
      <c r="F218" s="22">
        <v>44763</v>
      </c>
      <c r="G218" s="26">
        <f t="shared" ca="1" si="1"/>
        <v>0.51763127270208187</v>
      </c>
      <c r="H218" s="29">
        <v>0</v>
      </c>
      <c r="J218" s="22">
        <v>44763</v>
      </c>
      <c r="K218" s="26">
        <f t="shared" ca="1" si="2"/>
        <v>0.44639502976513856</v>
      </c>
      <c r="L218" s="29">
        <v>0</v>
      </c>
      <c r="N218" s="22">
        <v>44763</v>
      </c>
      <c r="O218" s="26">
        <f t="shared" ca="1" si="3"/>
        <v>0.26343339532344012</v>
      </c>
      <c r="P218" s="29">
        <v>0</v>
      </c>
      <c r="R218" s="22">
        <v>44763</v>
      </c>
      <c r="S218" s="26">
        <f t="shared" ca="1" si="4"/>
        <v>0.91756396990170086</v>
      </c>
      <c r="T218" s="29">
        <v>0</v>
      </c>
      <c r="V218" s="22">
        <v>44763</v>
      </c>
      <c r="W218" s="26">
        <f t="shared" ca="1" si="5"/>
        <v>0.74801485031064474</v>
      </c>
      <c r="X218" s="29">
        <v>0</v>
      </c>
      <c r="Z218" s="22">
        <v>44763</v>
      </c>
      <c r="AA218" s="26">
        <f t="shared" ca="1" si="6"/>
        <v>0.44148375160981623</v>
      </c>
      <c r="AB218" s="29">
        <v>0</v>
      </c>
      <c r="AC218"/>
      <c r="AD218" s="25"/>
      <c r="AF218" s="22">
        <v>44763</v>
      </c>
      <c r="AG218" s="26">
        <f t="shared" ca="1" si="7"/>
        <v>0.70102185387697058</v>
      </c>
      <c r="AH218" s="29">
        <v>0</v>
      </c>
      <c r="AJ218" s="22">
        <v>44763</v>
      </c>
      <c r="AK218" s="26">
        <f t="shared" ca="1" si="8"/>
        <v>0.69333647908980345</v>
      </c>
      <c r="AL218" s="29">
        <v>0</v>
      </c>
      <c r="AN218" s="22">
        <v>44763</v>
      </c>
      <c r="AO218" s="26">
        <f t="shared" ca="1" si="9"/>
        <v>0.47834565563602938</v>
      </c>
      <c r="AP218" s="29">
        <v>0</v>
      </c>
      <c r="AR218" s="22">
        <v>44763</v>
      </c>
      <c r="AS218" s="26">
        <f t="shared" ca="1" si="10"/>
        <v>0.44423536034029021</v>
      </c>
      <c r="AT218" s="29">
        <v>0</v>
      </c>
      <c r="AV218" s="22">
        <v>44763</v>
      </c>
      <c r="AW218" s="26">
        <f t="shared" ca="1" si="11"/>
        <v>0.34662473686775286</v>
      </c>
      <c r="AX218" s="29">
        <v>0</v>
      </c>
      <c r="AZ218" s="22">
        <v>44763</v>
      </c>
      <c r="BA218" s="26">
        <f t="shared" ca="1" si="12"/>
        <v>0.59941160220066236</v>
      </c>
      <c r="BB218" s="29">
        <v>0</v>
      </c>
      <c r="BC218"/>
      <c r="BD218" s="25"/>
      <c r="BF218" s="22">
        <v>44763</v>
      </c>
      <c r="BG218" s="26">
        <f t="shared" ca="1" si="13"/>
        <v>0.34770378004557012</v>
      </c>
      <c r="BH218" s="29">
        <v>0</v>
      </c>
      <c r="BJ218" s="22">
        <v>44763</v>
      </c>
      <c r="BK218" s="26">
        <f t="shared" ca="1" si="14"/>
        <v>7.6791261845297054E-3</v>
      </c>
      <c r="BL218" s="29">
        <v>0</v>
      </c>
      <c r="BN218" s="22">
        <v>44763</v>
      </c>
      <c r="BO218" s="26">
        <f t="shared" ca="1" si="15"/>
        <v>0.16159288315500231</v>
      </c>
      <c r="BP218" s="29">
        <v>0</v>
      </c>
      <c r="BR218" s="22">
        <v>44763</v>
      </c>
      <c r="BS218" s="26">
        <f t="shared" ca="1" si="16"/>
        <v>0.27614879369606948</v>
      </c>
      <c r="BT218" s="29">
        <v>0</v>
      </c>
      <c r="BV218" s="22">
        <v>44763</v>
      </c>
      <c r="BW218" s="26">
        <f t="shared" ca="1" si="17"/>
        <v>0.17777365812770995</v>
      </c>
      <c r="BX218" s="29">
        <v>0</v>
      </c>
    </row>
    <row r="219" spans="2:76" ht="12.75" x14ac:dyDescent="0.2">
      <c r="B219" s="22">
        <v>44764</v>
      </c>
      <c r="C219" s="26">
        <f t="shared" ca="1" si="0"/>
        <v>0.67084345535679069</v>
      </c>
      <c r="D219" s="29">
        <v>0</v>
      </c>
      <c r="F219" s="22">
        <v>44764</v>
      </c>
      <c r="G219" s="26">
        <f t="shared" ca="1" si="1"/>
        <v>0.32685653288762062</v>
      </c>
      <c r="H219" s="29">
        <v>0</v>
      </c>
      <c r="J219" s="22">
        <v>44764</v>
      </c>
      <c r="K219" s="26">
        <f t="shared" ca="1" si="2"/>
        <v>0.87185948407417924</v>
      </c>
      <c r="L219" s="29">
        <v>0</v>
      </c>
      <c r="N219" s="22">
        <v>44764</v>
      </c>
      <c r="O219" s="26">
        <f t="shared" ca="1" si="3"/>
        <v>0.5100623249858236</v>
      </c>
      <c r="P219" s="29">
        <v>0</v>
      </c>
      <c r="R219" s="22">
        <v>44764</v>
      </c>
      <c r="S219" s="26">
        <f t="shared" ca="1" si="4"/>
        <v>0.23224905454055889</v>
      </c>
      <c r="T219" s="29">
        <v>0</v>
      </c>
      <c r="V219" s="22">
        <v>44764</v>
      </c>
      <c r="W219" s="26">
        <f t="shared" ca="1" si="5"/>
        <v>0.69994927379642391</v>
      </c>
      <c r="X219" s="29">
        <v>0</v>
      </c>
      <c r="Z219" s="22">
        <v>44764</v>
      </c>
      <c r="AA219" s="26">
        <f t="shared" ca="1" si="6"/>
        <v>4.016288846905669E-2</v>
      </c>
      <c r="AB219" s="29">
        <v>0</v>
      </c>
      <c r="AC219"/>
      <c r="AD219" s="25"/>
      <c r="AF219" s="22">
        <v>44764</v>
      </c>
      <c r="AG219" s="26">
        <f t="shared" ca="1" si="7"/>
        <v>0.77660049191148073</v>
      </c>
      <c r="AH219" s="29">
        <v>0</v>
      </c>
      <c r="AJ219" s="22">
        <v>44764</v>
      </c>
      <c r="AK219" s="26">
        <f t="shared" ca="1" si="8"/>
        <v>0.13171832805591899</v>
      </c>
      <c r="AL219" s="29">
        <v>0</v>
      </c>
      <c r="AN219" s="22">
        <v>44764</v>
      </c>
      <c r="AO219" s="26">
        <f t="shared" ca="1" si="9"/>
        <v>0.9093379343779594</v>
      </c>
      <c r="AP219" s="29">
        <v>0</v>
      </c>
      <c r="AR219" s="22">
        <v>44764</v>
      </c>
      <c r="AS219" s="26">
        <f t="shared" ca="1" si="10"/>
        <v>0.51523100578071557</v>
      </c>
      <c r="AT219" s="29">
        <v>0</v>
      </c>
      <c r="AV219" s="22">
        <v>44764</v>
      </c>
      <c r="AW219" s="26">
        <f t="shared" ca="1" si="11"/>
        <v>0.68611122928028212</v>
      </c>
      <c r="AX219" s="29">
        <v>0</v>
      </c>
      <c r="AZ219" s="22">
        <v>44764</v>
      </c>
      <c r="BA219" s="26">
        <f t="shared" ca="1" si="12"/>
        <v>0.85848381914092864</v>
      </c>
      <c r="BB219" s="29">
        <v>0</v>
      </c>
      <c r="BC219"/>
      <c r="BD219" s="25"/>
      <c r="BF219" s="22">
        <v>44764</v>
      </c>
      <c r="BG219" s="26">
        <f t="shared" ca="1" si="13"/>
        <v>0.86928360536815474</v>
      </c>
      <c r="BH219" s="29">
        <v>0</v>
      </c>
      <c r="BJ219" s="22">
        <v>44764</v>
      </c>
      <c r="BK219" s="26">
        <f t="shared" ca="1" si="14"/>
        <v>0.7842908353092497</v>
      </c>
      <c r="BL219" s="29">
        <v>0</v>
      </c>
      <c r="BN219" s="22">
        <v>44764</v>
      </c>
      <c r="BO219" s="26">
        <f t="shared" ca="1" si="15"/>
        <v>0.27920183124177911</v>
      </c>
      <c r="BP219" s="29">
        <v>0</v>
      </c>
      <c r="BR219" s="22">
        <v>44764</v>
      </c>
      <c r="BS219" s="26">
        <f t="shared" ca="1" si="16"/>
        <v>0.34738833153066317</v>
      </c>
      <c r="BT219" s="29">
        <v>0</v>
      </c>
      <c r="BV219" s="22">
        <v>44764</v>
      </c>
      <c r="BW219" s="26">
        <f t="shared" ca="1" si="17"/>
        <v>0.44093683732771571</v>
      </c>
      <c r="BX219" s="29">
        <v>0</v>
      </c>
    </row>
    <row r="220" spans="2:76" ht="12.75" x14ac:dyDescent="0.2">
      <c r="B220" s="22">
        <v>44765</v>
      </c>
      <c r="C220" s="26">
        <f t="shared" ca="1" si="0"/>
        <v>0.57512693653437985</v>
      </c>
      <c r="D220" s="29">
        <v>0</v>
      </c>
      <c r="F220" s="22">
        <v>44765</v>
      </c>
      <c r="G220" s="26">
        <f t="shared" ca="1" si="1"/>
        <v>0.68208416881054901</v>
      </c>
      <c r="H220" s="29">
        <v>0</v>
      </c>
      <c r="J220" s="22">
        <v>44765</v>
      </c>
      <c r="K220" s="26">
        <f t="shared" ca="1" si="2"/>
        <v>0.73124367631378628</v>
      </c>
      <c r="L220" s="29">
        <v>0</v>
      </c>
      <c r="N220" s="22">
        <v>44765</v>
      </c>
      <c r="O220" s="26">
        <f t="shared" ca="1" si="3"/>
        <v>0.40755459423544238</v>
      </c>
      <c r="P220" s="29">
        <v>0</v>
      </c>
      <c r="R220" s="22">
        <v>44765</v>
      </c>
      <c r="S220" s="26">
        <f t="shared" ca="1" si="4"/>
        <v>0.8975454819290809</v>
      </c>
      <c r="T220" s="29">
        <v>0</v>
      </c>
      <c r="V220" s="22">
        <v>44765</v>
      </c>
      <c r="W220" s="26">
        <f t="shared" ca="1" si="5"/>
        <v>0.88339324828454635</v>
      </c>
      <c r="X220" s="29">
        <v>0</v>
      </c>
      <c r="Z220" s="22">
        <v>44765</v>
      </c>
      <c r="AA220" s="26">
        <f t="shared" ca="1" si="6"/>
        <v>0.28098438875895138</v>
      </c>
      <c r="AB220" s="29">
        <v>0</v>
      </c>
      <c r="AC220"/>
      <c r="AD220" s="25"/>
      <c r="AF220" s="22">
        <v>44765</v>
      </c>
      <c r="AG220" s="26">
        <f t="shared" ca="1" si="7"/>
        <v>5.0199707603367782E-2</v>
      </c>
      <c r="AH220" s="29">
        <v>0</v>
      </c>
      <c r="AJ220" s="22">
        <v>44765</v>
      </c>
      <c r="AK220" s="26">
        <f t="shared" ca="1" si="8"/>
        <v>0.2417163003256777</v>
      </c>
      <c r="AL220" s="29">
        <v>0</v>
      </c>
      <c r="AN220" s="22">
        <v>44765</v>
      </c>
      <c r="AO220" s="26">
        <f t="shared" ca="1" si="9"/>
        <v>0.95499834779206993</v>
      </c>
      <c r="AP220" s="29">
        <v>0</v>
      </c>
      <c r="AR220" s="22">
        <v>44765</v>
      </c>
      <c r="AS220" s="26">
        <f t="shared" ca="1" si="10"/>
        <v>8.9321525897837262E-2</v>
      </c>
      <c r="AT220" s="29">
        <v>0</v>
      </c>
      <c r="AV220" s="22">
        <v>44765</v>
      </c>
      <c r="AW220" s="26">
        <f t="shared" ca="1" si="11"/>
        <v>0.84855768472907855</v>
      </c>
      <c r="AX220" s="29">
        <v>0</v>
      </c>
      <c r="AZ220" s="22">
        <v>44765</v>
      </c>
      <c r="BA220" s="26">
        <f t="shared" ca="1" si="12"/>
        <v>0.38645443150628689</v>
      </c>
      <c r="BB220" s="29">
        <v>0</v>
      </c>
      <c r="BC220"/>
      <c r="BD220" s="25"/>
      <c r="BF220" s="22">
        <v>44765</v>
      </c>
      <c r="BG220" s="26">
        <f t="shared" ca="1" si="13"/>
        <v>0.2897635718764241</v>
      </c>
      <c r="BH220" s="29">
        <v>0</v>
      </c>
      <c r="BJ220" s="22">
        <v>44765</v>
      </c>
      <c r="BK220" s="26">
        <f t="shared" ca="1" si="14"/>
        <v>0.25446304754249349</v>
      </c>
      <c r="BL220" s="29">
        <v>0</v>
      </c>
      <c r="BN220" s="22">
        <v>44765</v>
      </c>
      <c r="BO220" s="26">
        <f t="shared" ca="1" si="15"/>
        <v>0.14291924359513342</v>
      </c>
      <c r="BP220" s="29">
        <v>0</v>
      </c>
      <c r="BR220" s="22">
        <v>44765</v>
      </c>
      <c r="BS220" s="26">
        <f t="shared" ca="1" si="16"/>
        <v>7.8974971094040614E-2</v>
      </c>
      <c r="BT220" s="29">
        <v>0</v>
      </c>
      <c r="BV220" s="22">
        <v>44765</v>
      </c>
      <c r="BW220" s="26">
        <f t="shared" ca="1" si="17"/>
        <v>0.43561793042605435</v>
      </c>
      <c r="BX220" s="29">
        <v>0</v>
      </c>
    </row>
    <row r="221" spans="2:76" ht="12.75" x14ac:dyDescent="0.2">
      <c r="B221" s="22">
        <v>44766</v>
      </c>
      <c r="C221" s="26">
        <f t="shared" ca="1" si="0"/>
        <v>0.10150416490723757</v>
      </c>
      <c r="D221" s="29">
        <v>0</v>
      </c>
      <c r="F221" s="22">
        <v>44766</v>
      </c>
      <c r="G221" s="26">
        <f t="shared" ca="1" si="1"/>
        <v>0.40311014748034768</v>
      </c>
      <c r="H221" s="29">
        <v>0</v>
      </c>
      <c r="J221" s="22">
        <v>44766</v>
      </c>
      <c r="K221" s="26">
        <f t="shared" ca="1" si="2"/>
        <v>0.41699393284660191</v>
      </c>
      <c r="L221" s="29">
        <v>0</v>
      </c>
      <c r="N221" s="22">
        <v>44766</v>
      </c>
      <c r="O221" s="26">
        <f t="shared" ca="1" si="3"/>
        <v>0.56659010644700558</v>
      </c>
      <c r="P221" s="29">
        <v>0</v>
      </c>
      <c r="R221" s="22">
        <v>44766</v>
      </c>
      <c r="S221" s="26">
        <f t="shared" ca="1" si="4"/>
        <v>0.49178689402867504</v>
      </c>
      <c r="T221" s="29">
        <v>0</v>
      </c>
      <c r="V221" s="22">
        <v>44766</v>
      </c>
      <c r="W221" s="26">
        <f t="shared" ca="1" si="5"/>
        <v>0.53893548174464412</v>
      </c>
      <c r="X221" s="29">
        <v>0</v>
      </c>
      <c r="Z221" s="22">
        <v>44766</v>
      </c>
      <c r="AA221" s="26">
        <f t="shared" ca="1" si="6"/>
        <v>0.89359649819184173</v>
      </c>
      <c r="AB221" s="29">
        <v>0</v>
      </c>
      <c r="AC221"/>
      <c r="AD221" s="25"/>
      <c r="AF221" s="22">
        <v>44766</v>
      </c>
      <c r="AG221" s="26">
        <f t="shared" ca="1" si="7"/>
        <v>0.80972159310139968</v>
      </c>
      <c r="AH221" s="29">
        <v>0</v>
      </c>
      <c r="AJ221" s="22">
        <v>44766</v>
      </c>
      <c r="AK221" s="26">
        <f t="shared" ca="1" si="8"/>
        <v>0.27949427947253402</v>
      </c>
      <c r="AL221" s="29">
        <v>0</v>
      </c>
      <c r="AN221" s="22">
        <v>44766</v>
      </c>
      <c r="AO221" s="26">
        <f t="shared" ca="1" si="9"/>
        <v>7.9876655521675444E-2</v>
      </c>
      <c r="AP221" s="29">
        <v>0</v>
      </c>
      <c r="AR221" s="22">
        <v>44766</v>
      </c>
      <c r="AS221" s="26">
        <f t="shared" ca="1" si="10"/>
        <v>0.79357848471277415</v>
      </c>
      <c r="AT221" s="29">
        <v>0</v>
      </c>
      <c r="AV221" s="22">
        <v>44766</v>
      </c>
      <c r="AW221" s="26">
        <f t="shared" ca="1" si="11"/>
        <v>0.67372006521979011</v>
      </c>
      <c r="AX221" s="29">
        <v>0</v>
      </c>
      <c r="AZ221" s="22">
        <v>44766</v>
      </c>
      <c r="BA221" s="26">
        <f t="shared" ca="1" si="12"/>
        <v>0.6692213834910391</v>
      </c>
      <c r="BB221" s="29">
        <v>0</v>
      </c>
      <c r="BC221"/>
      <c r="BD221" s="25"/>
      <c r="BF221" s="22">
        <v>44766</v>
      </c>
      <c r="BG221" s="26">
        <f t="shared" ca="1" si="13"/>
        <v>0.27119912183439943</v>
      </c>
      <c r="BH221" s="29">
        <v>0</v>
      </c>
      <c r="BJ221" s="22">
        <v>44766</v>
      </c>
      <c r="BK221" s="26">
        <f t="shared" ca="1" si="14"/>
        <v>4.4580233092506028E-4</v>
      </c>
      <c r="BL221" s="29">
        <v>0</v>
      </c>
      <c r="BN221" s="22">
        <v>44766</v>
      </c>
      <c r="BO221" s="26">
        <f t="shared" ca="1" si="15"/>
        <v>0.15426169984276117</v>
      </c>
      <c r="BP221" s="29">
        <v>0</v>
      </c>
      <c r="BR221" s="22">
        <v>44766</v>
      </c>
      <c r="BS221" s="26">
        <f t="shared" ca="1" si="16"/>
        <v>0.61776968708832292</v>
      </c>
      <c r="BT221" s="29">
        <v>0</v>
      </c>
      <c r="BV221" s="22">
        <v>44766</v>
      </c>
      <c r="BW221" s="26">
        <f t="shared" ca="1" si="17"/>
        <v>0.97971739222665644</v>
      </c>
      <c r="BX221" s="29">
        <v>0</v>
      </c>
    </row>
    <row r="222" spans="2:76" ht="12.75" x14ac:dyDescent="0.2">
      <c r="B222" s="22">
        <v>44767</v>
      </c>
      <c r="C222" s="26">
        <f t="shared" ca="1" si="0"/>
        <v>0.24340898063300787</v>
      </c>
      <c r="D222" s="29">
        <v>0</v>
      </c>
      <c r="F222" s="22">
        <v>44767</v>
      </c>
      <c r="G222" s="26">
        <f t="shared" ca="1" si="1"/>
        <v>0.39119761224707372</v>
      </c>
      <c r="H222" s="29">
        <v>0</v>
      </c>
      <c r="J222" s="22">
        <v>44767</v>
      </c>
      <c r="K222" s="26">
        <f t="shared" ca="1" si="2"/>
        <v>0.32400186578866585</v>
      </c>
      <c r="L222" s="29">
        <v>0</v>
      </c>
      <c r="N222" s="22">
        <v>44767</v>
      </c>
      <c r="O222" s="26">
        <f t="shared" ca="1" si="3"/>
        <v>0.84908315176456328</v>
      </c>
      <c r="P222" s="29">
        <v>0</v>
      </c>
      <c r="R222" s="22">
        <v>44767</v>
      </c>
      <c r="S222" s="26">
        <f t="shared" ca="1" si="4"/>
        <v>0.1875227159446784</v>
      </c>
      <c r="T222" s="29">
        <v>0</v>
      </c>
      <c r="V222" s="22">
        <v>44767</v>
      </c>
      <c r="W222" s="26">
        <f t="shared" ca="1" si="5"/>
        <v>8.3858918416346295E-4</v>
      </c>
      <c r="X222" s="29">
        <v>0</v>
      </c>
      <c r="Z222" s="22">
        <v>44767</v>
      </c>
      <c r="AA222" s="26">
        <f t="shared" ca="1" si="6"/>
        <v>0.97188545475381438</v>
      </c>
      <c r="AB222" s="29">
        <v>0</v>
      </c>
      <c r="AC222"/>
      <c r="AD222" s="25"/>
      <c r="AF222" s="22">
        <v>44767</v>
      </c>
      <c r="AG222" s="26">
        <f t="shared" ca="1" si="7"/>
        <v>1.2842307622651927E-2</v>
      </c>
      <c r="AH222" s="29">
        <v>0</v>
      </c>
      <c r="AJ222" s="22">
        <v>44767</v>
      </c>
      <c r="AK222" s="26">
        <f t="shared" ca="1" si="8"/>
        <v>7.1106729590375894E-2</v>
      </c>
      <c r="AL222" s="29">
        <v>0</v>
      </c>
      <c r="AN222" s="22">
        <v>44767</v>
      </c>
      <c r="AO222" s="26">
        <f t="shared" ca="1" si="9"/>
        <v>0.28972070129851213</v>
      </c>
      <c r="AP222" s="29">
        <v>0</v>
      </c>
      <c r="AR222" s="22">
        <v>44767</v>
      </c>
      <c r="AS222" s="26">
        <f t="shared" ca="1" si="10"/>
        <v>0.58515884907906923</v>
      </c>
      <c r="AT222" s="29">
        <v>0</v>
      </c>
      <c r="AV222" s="22">
        <v>44767</v>
      </c>
      <c r="AW222" s="26">
        <f t="shared" ca="1" si="11"/>
        <v>5.7720410098103136E-2</v>
      </c>
      <c r="AX222" s="29">
        <v>0</v>
      </c>
      <c r="AZ222" s="22">
        <v>44767</v>
      </c>
      <c r="BA222" s="26">
        <f t="shared" ca="1" si="12"/>
        <v>0.16339938141688282</v>
      </c>
      <c r="BB222" s="29">
        <v>0</v>
      </c>
      <c r="BC222"/>
      <c r="BD222" s="25"/>
      <c r="BF222" s="22">
        <v>44767</v>
      </c>
      <c r="BG222" s="26">
        <f t="shared" ca="1" si="13"/>
        <v>0.6430953617441526</v>
      </c>
      <c r="BH222" s="29">
        <v>0</v>
      </c>
      <c r="BJ222" s="22">
        <v>44767</v>
      </c>
      <c r="BK222" s="26">
        <f t="shared" ca="1" si="14"/>
        <v>0.84965420626018595</v>
      </c>
      <c r="BL222" s="29">
        <v>0</v>
      </c>
      <c r="BN222" s="22">
        <v>44767</v>
      </c>
      <c r="BO222" s="26">
        <f t="shared" ca="1" si="15"/>
        <v>0.16227621213371968</v>
      </c>
      <c r="BP222" s="29">
        <v>0</v>
      </c>
      <c r="BR222" s="22">
        <v>44767</v>
      </c>
      <c r="BS222" s="26">
        <f t="shared" ca="1" si="16"/>
        <v>0.63941125390579945</v>
      </c>
      <c r="BT222" s="29">
        <v>0</v>
      </c>
      <c r="BV222" s="22">
        <v>44767</v>
      </c>
      <c r="BW222" s="26">
        <f t="shared" ca="1" si="17"/>
        <v>0.14429463215823135</v>
      </c>
      <c r="BX222" s="29">
        <v>0</v>
      </c>
    </row>
    <row r="223" spans="2:76" ht="12.75" x14ac:dyDescent="0.2">
      <c r="B223" s="22">
        <v>44768</v>
      </c>
      <c r="C223" s="26">
        <f t="shared" ca="1" si="0"/>
        <v>0.51127648391910019</v>
      </c>
      <c r="D223" s="29">
        <v>0</v>
      </c>
      <c r="F223" s="22">
        <v>44768</v>
      </c>
      <c r="G223" s="26">
        <f t="shared" ca="1" si="1"/>
        <v>0.81170582508072353</v>
      </c>
      <c r="H223" s="29">
        <v>0</v>
      </c>
      <c r="J223" s="22">
        <v>44768</v>
      </c>
      <c r="K223" s="26">
        <f t="shared" ca="1" si="2"/>
        <v>0.41678627317171035</v>
      </c>
      <c r="L223" s="29">
        <v>0</v>
      </c>
      <c r="N223" s="22">
        <v>44768</v>
      </c>
      <c r="O223" s="26">
        <f t="shared" ca="1" si="3"/>
        <v>0.78414469053903657</v>
      </c>
      <c r="P223" s="29">
        <v>0</v>
      </c>
      <c r="R223" s="22">
        <v>44768</v>
      </c>
      <c r="S223" s="26">
        <f t="shared" ca="1" si="4"/>
        <v>7.8715136412461195E-2</v>
      </c>
      <c r="T223" s="29">
        <v>0</v>
      </c>
      <c r="V223" s="22">
        <v>44768</v>
      </c>
      <c r="W223" s="26">
        <f t="shared" ca="1" si="5"/>
        <v>0.60092254193078898</v>
      </c>
      <c r="X223" s="29">
        <v>0</v>
      </c>
      <c r="Z223" s="22">
        <v>44768</v>
      </c>
      <c r="AA223" s="26">
        <f t="shared" ca="1" si="6"/>
        <v>5.9996374412548792E-2</v>
      </c>
      <c r="AB223" s="29">
        <v>0</v>
      </c>
      <c r="AC223"/>
      <c r="AD223" s="25"/>
      <c r="AF223" s="22">
        <v>44768</v>
      </c>
      <c r="AG223" s="26">
        <f t="shared" ca="1" si="7"/>
        <v>2.6478796759799805E-2</v>
      </c>
      <c r="AH223" s="29">
        <v>0</v>
      </c>
      <c r="AJ223" s="22">
        <v>44768</v>
      </c>
      <c r="AK223" s="26">
        <f t="shared" ca="1" si="8"/>
        <v>0.78826422208513436</v>
      </c>
      <c r="AL223" s="29">
        <v>0</v>
      </c>
      <c r="AN223" s="22">
        <v>44768</v>
      </c>
      <c r="AO223" s="26">
        <f t="shared" ca="1" si="9"/>
        <v>0.98367943112323109</v>
      </c>
      <c r="AP223" s="29">
        <v>0</v>
      </c>
      <c r="AR223" s="22">
        <v>44768</v>
      </c>
      <c r="AS223" s="26">
        <f t="shared" ca="1" si="10"/>
        <v>0.26042205387419715</v>
      </c>
      <c r="AT223" s="29">
        <v>0</v>
      </c>
      <c r="AV223" s="22">
        <v>44768</v>
      </c>
      <c r="AW223" s="26">
        <f t="shared" ca="1" si="11"/>
        <v>0.62362412050274108</v>
      </c>
      <c r="AX223" s="29">
        <v>0</v>
      </c>
      <c r="AZ223" s="22">
        <v>44768</v>
      </c>
      <c r="BA223" s="26">
        <f t="shared" ca="1" si="12"/>
        <v>0.36120732035994407</v>
      </c>
      <c r="BB223" s="29">
        <v>0</v>
      </c>
      <c r="BC223"/>
      <c r="BD223" s="25"/>
      <c r="BF223" s="22">
        <v>44768</v>
      </c>
      <c r="BG223" s="26">
        <f t="shared" ca="1" si="13"/>
        <v>0.38766255015361906</v>
      </c>
      <c r="BH223" s="29">
        <v>0</v>
      </c>
      <c r="BJ223" s="22">
        <v>44768</v>
      </c>
      <c r="BK223" s="26">
        <f t="shared" ca="1" si="14"/>
        <v>0.24190937246969324</v>
      </c>
      <c r="BL223" s="29">
        <v>0</v>
      </c>
      <c r="BN223" s="22">
        <v>44768</v>
      </c>
      <c r="BO223" s="26">
        <f t="shared" ca="1" si="15"/>
        <v>0.41275093811438968</v>
      </c>
      <c r="BP223" s="29">
        <v>0</v>
      </c>
      <c r="BR223" s="22">
        <v>44768</v>
      </c>
      <c r="BS223" s="26">
        <f t="shared" ca="1" si="16"/>
        <v>0.28901334021761238</v>
      </c>
      <c r="BT223" s="29">
        <v>0</v>
      </c>
      <c r="BV223" s="22">
        <v>44768</v>
      </c>
      <c r="BW223" s="26">
        <f t="shared" ca="1" si="17"/>
        <v>0.61472228539351437</v>
      </c>
      <c r="BX223" s="29">
        <v>0</v>
      </c>
    </row>
    <row r="224" spans="2:76" ht="12.75" x14ac:dyDescent="0.2">
      <c r="B224" s="22">
        <v>44769</v>
      </c>
      <c r="C224" s="26">
        <f t="shared" ca="1" si="0"/>
        <v>0.1083159120800794</v>
      </c>
      <c r="D224" s="29">
        <v>0</v>
      </c>
      <c r="F224" s="22">
        <v>44769</v>
      </c>
      <c r="G224" s="26">
        <f t="shared" ca="1" si="1"/>
        <v>1.4454049463871854E-2</v>
      </c>
      <c r="H224" s="29">
        <v>0</v>
      </c>
      <c r="J224" s="22">
        <v>44769</v>
      </c>
      <c r="K224" s="26">
        <f t="shared" ca="1" si="2"/>
        <v>0.40578858098144521</v>
      </c>
      <c r="L224" s="29">
        <v>0</v>
      </c>
      <c r="N224" s="22">
        <v>44769</v>
      </c>
      <c r="O224" s="26">
        <f t="shared" ca="1" si="3"/>
        <v>0.3660289107643574</v>
      </c>
      <c r="P224" s="29">
        <v>0</v>
      </c>
      <c r="R224" s="22">
        <v>44769</v>
      </c>
      <c r="S224" s="26">
        <f t="shared" ca="1" si="4"/>
        <v>0.86408478855763649</v>
      </c>
      <c r="T224" s="29">
        <v>0</v>
      </c>
      <c r="V224" s="22">
        <v>44769</v>
      </c>
      <c r="W224" s="26">
        <f t="shared" ca="1" si="5"/>
        <v>0.30657283428017013</v>
      </c>
      <c r="X224" s="29">
        <v>0</v>
      </c>
      <c r="Z224" s="22">
        <v>44769</v>
      </c>
      <c r="AA224" s="26">
        <f t="shared" ca="1" si="6"/>
        <v>0.20026832500169067</v>
      </c>
      <c r="AB224" s="29">
        <v>0</v>
      </c>
      <c r="AC224"/>
      <c r="AD224" s="25"/>
      <c r="AF224" s="22">
        <v>44769</v>
      </c>
      <c r="AG224" s="26">
        <f t="shared" ca="1" si="7"/>
        <v>0.40520625033390356</v>
      </c>
      <c r="AH224" s="29">
        <v>0</v>
      </c>
      <c r="AJ224" s="22">
        <v>44769</v>
      </c>
      <c r="AK224" s="26">
        <f t="shared" ca="1" si="8"/>
        <v>0.30628295293211183</v>
      </c>
      <c r="AL224" s="29">
        <v>0</v>
      </c>
      <c r="AN224" s="22">
        <v>44769</v>
      </c>
      <c r="AO224" s="26">
        <f t="shared" ca="1" si="9"/>
        <v>0.41982401392885171</v>
      </c>
      <c r="AP224" s="29">
        <v>0</v>
      </c>
      <c r="AR224" s="22">
        <v>44769</v>
      </c>
      <c r="AS224" s="26">
        <f t="shared" ca="1" si="10"/>
        <v>0.55277659440276183</v>
      </c>
      <c r="AT224" s="29">
        <v>0</v>
      </c>
      <c r="AV224" s="22">
        <v>44769</v>
      </c>
      <c r="AW224" s="26">
        <f t="shared" ca="1" si="11"/>
        <v>0.81295737908582522</v>
      </c>
      <c r="AX224" s="29">
        <v>0</v>
      </c>
      <c r="AZ224" s="22">
        <v>44769</v>
      </c>
      <c r="BA224" s="26">
        <f t="shared" ca="1" si="12"/>
        <v>0.55084764165234934</v>
      </c>
      <c r="BB224" s="29">
        <v>0</v>
      </c>
      <c r="BC224"/>
      <c r="BD224" s="25"/>
      <c r="BF224" s="22">
        <v>44769</v>
      </c>
      <c r="BG224" s="26">
        <f t="shared" ca="1" si="13"/>
        <v>0.55782234993855129</v>
      </c>
      <c r="BH224" s="29">
        <v>0</v>
      </c>
      <c r="BJ224" s="22">
        <v>44769</v>
      </c>
      <c r="BK224" s="26">
        <f t="shared" ca="1" si="14"/>
        <v>0.76994822898554161</v>
      </c>
      <c r="BL224" s="29">
        <v>0</v>
      </c>
      <c r="BN224" s="22">
        <v>44769</v>
      </c>
      <c r="BO224" s="26">
        <f t="shared" ca="1" si="15"/>
        <v>4.2752969637585569E-2</v>
      </c>
      <c r="BP224" s="29">
        <v>0</v>
      </c>
      <c r="BR224" s="22">
        <v>44769</v>
      </c>
      <c r="BS224" s="26">
        <f t="shared" ca="1" si="16"/>
        <v>0.95435175001715067</v>
      </c>
      <c r="BT224" s="29">
        <v>0</v>
      </c>
      <c r="BV224" s="22">
        <v>44769</v>
      </c>
      <c r="BW224" s="26">
        <f t="shared" ca="1" si="17"/>
        <v>0.42426701108271636</v>
      </c>
      <c r="BX224" s="29">
        <v>0</v>
      </c>
    </row>
    <row r="225" spans="2:77" ht="12.75" x14ac:dyDescent="0.2">
      <c r="B225" s="22">
        <v>44770</v>
      </c>
      <c r="C225" s="26">
        <f t="shared" ca="1" si="0"/>
        <v>0.43638112097852932</v>
      </c>
      <c r="D225" s="29">
        <v>0</v>
      </c>
      <c r="F225" s="22">
        <v>44770</v>
      </c>
      <c r="G225" s="26">
        <f t="shared" ca="1" si="1"/>
        <v>0.63461025245599822</v>
      </c>
      <c r="H225" s="29">
        <v>0</v>
      </c>
      <c r="J225" s="22">
        <v>44770</v>
      </c>
      <c r="K225" s="26">
        <f t="shared" ca="1" si="2"/>
        <v>6.098731355611986E-2</v>
      </c>
      <c r="L225" s="29">
        <v>0</v>
      </c>
      <c r="N225" s="22">
        <v>44770</v>
      </c>
      <c r="O225" s="26">
        <f t="shared" ca="1" si="3"/>
        <v>0.54387657296899194</v>
      </c>
      <c r="P225" s="29">
        <v>0</v>
      </c>
      <c r="R225" s="22">
        <v>44770</v>
      </c>
      <c r="S225" s="26">
        <f t="shared" ca="1" si="4"/>
        <v>0.4281657180933276</v>
      </c>
      <c r="T225" s="29">
        <v>0</v>
      </c>
      <c r="V225" s="22">
        <v>44770</v>
      </c>
      <c r="W225" s="26">
        <f t="shared" ca="1" si="5"/>
        <v>8.7161878624367195E-2</v>
      </c>
      <c r="X225" s="29">
        <v>0</v>
      </c>
      <c r="Z225" s="22">
        <v>44770</v>
      </c>
      <c r="AA225" s="26">
        <f t="shared" ca="1" si="6"/>
        <v>6.9453302981324905E-2</v>
      </c>
      <c r="AB225" s="29">
        <v>0</v>
      </c>
      <c r="AC225"/>
      <c r="AD225" s="25"/>
      <c r="AF225" s="22">
        <v>44770</v>
      </c>
      <c r="AG225" s="26">
        <f t="shared" ca="1" si="7"/>
        <v>0.37886282147470418</v>
      </c>
      <c r="AH225" s="29">
        <v>0</v>
      </c>
      <c r="AJ225" s="22">
        <v>44770</v>
      </c>
      <c r="AK225" s="26">
        <f t="shared" ca="1" si="8"/>
        <v>0.73615503863931553</v>
      </c>
      <c r="AL225" s="29">
        <v>0</v>
      </c>
      <c r="AN225" s="22">
        <v>44770</v>
      </c>
      <c r="AO225" s="26">
        <f t="shared" ca="1" si="9"/>
        <v>0.85555281587023357</v>
      </c>
      <c r="AP225" s="29">
        <v>0</v>
      </c>
      <c r="AR225" s="22">
        <v>44770</v>
      </c>
      <c r="AS225" s="26">
        <f t="shared" ca="1" si="10"/>
        <v>0.20854039569747984</v>
      </c>
      <c r="AT225" s="29">
        <v>0</v>
      </c>
      <c r="AV225" s="22">
        <v>44770</v>
      </c>
      <c r="AW225" s="26">
        <f t="shared" ca="1" si="11"/>
        <v>0.23403644566930637</v>
      </c>
      <c r="AX225" s="29">
        <v>0</v>
      </c>
      <c r="AZ225" s="22">
        <v>44770</v>
      </c>
      <c r="BA225" s="26">
        <f t="shared" ca="1" si="12"/>
        <v>0.58735744907323495</v>
      </c>
      <c r="BB225" s="29">
        <v>0</v>
      </c>
      <c r="BC225"/>
      <c r="BD225" s="25"/>
      <c r="BF225" s="22">
        <v>44770</v>
      </c>
      <c r="BG225" s="26">
        <f t="shared" ca="1" si="13"/>
        <v>0.1892404610862215</v>
      </c>
      <c r="BH225" s="29">
        <v>0</v>
      </c>
      <c r="BJ225" s="22">
        <v>44770</v>
      </c>
      <c r="BK225" s="26">
        <f t="shared" ca="1" si="14"/>
        <v>0.85136700986220482</v>
      </c>
      <c r="BL225" s="29">
        <v>0</v>
      </c>
      <c r="BN225" s="22">
        <v>44770</v>
      </c>
      <c r="BO225" s="26">
        <f t="shared" ca="1" si="15"/>
        <v>0.94583900583384006</v>
      </c>
      <c r="BP225" s="29">
        <v>0</v>
      </c>
      <c r="BR225" s="22">
        <v>44770</v>
      </c>
      <c r="BS225" s="26">
        <f t="shared" ca="1" si="16"/>
        <v>0.3489964075555545</v>
      </c>
      <c r="BT225" s="29">
        <v>0</v>
      </c>
      <c r="BV225" s="22">
        <v>44770</v>
      </c>
      <c r="BW225" s="26">
        <f t="shared" ca="1" si="17"/>
        <v>0.82458399111901293</v>
      </c>
      <c r="BX225" s="29">
        <v>0</v>
      </c>
    </row>
    <row r="226" spans="2:77" ht="12.75" x14ac:dyDescent="0.2">
      <c r="B226" s="22">
        <v>44771</v>
      </c>
      <c r="C226" s="26">
        <f t="shared" ca="1" si="0"/>
        <v>0.31479865000416951</v>
      </c>
      <c r="D226" s="29">
        <v>0</v>
      </c>
      <c r="F226" s="22">
        <v>44771</v>
      </c>
      <c r="G226" s="26">
        <f t="shared" ca="1" si="1"/>
        <v>6.4126911643105355E-3</v>
      </c>
      <c r="H226" s="29">
        <v>0</v>
      </c>
      <c r="J226" s="22">
        <v>44771</v>
      </c>
      <c r="K226" s="26">
        <f t="shared" ca="1" si="2"/>
        <v>0.80336494246699464</v>
      </c>
      <c r="L226" s="29">
        <v>0</v>
      </c>
      <c r="N226" s="22">
        <v>44771</v>
      </c>
      <c r="O226" s="26">
        <f t="shared" ca="1" si="3"/>
        <v>0.22263009764389319</v>
      </c>
      <c r="P226" s="29">
        <v>0</v>
      </c>
      <c r="R226" s="22">
        <v>44771</v>
      </c>
      <c r="S226" s="26">
        <f t="shared" ca="1" si="4"/>
        <v>0.61781588762462547</v>
      </c>
      <c r="T226" s="29">
        <v>0</v>
      </c>
      <c r="V226" s="22">
        <v>44771</v>
      </c>
      <c r="W226" s="26">
        <f t="shared" ca="1" si="5"/>
        <v>0.65193134673397601</v>
      </c>
      <c r="X226" s="29">
        <v>0</v>
      </c>
      <c r="Z226" s="22">
        <v>44771</v>
      </c>
      <c r="AA226" s="26">
        <f t="shared" ca="1" si="6"/>
        <v>0.87441595523357596</v>
      </c>
      <c r="AB226" s="29">
        <v>0</v>
      </c>
      <c r="AC226"/>
      <c r="AD226" s="25"/>
      <c r="AF226" s="22">
        <v>44771</v>
      </c>
      <c r="AG226" s="26">
        <f t="shared" ca="1" si="7"/>
        <v>0.83465987991972068</v>
      </c>
      <c r="AH226" s="29">
        <v>0</v>
      </c>
      <c r="AJ226" s="22">
        <v>44771</v>
      </c>
      <c r="AK226" s="26">
        <f t="shared" ca="1" si="8"/>
        <v>0.9695449651744793</v>
      </c>
      <c r="AL226" s="29">
        <v>0</v>
      </c>
      <c r="AN226" s="22">
        <v>44771</v>
      </c>
      <c r="AO226" s="26">
        <f t="shared" ca="1" si="9"/>
        <v>0.87476272573764224</v>
      </c>
      <c r="AP226" s="29">
        <v>0</v>
      </c>
      <c r="AR226" s="22">
        <v>44771</v>
      </c>
      <c r="AS226" s="26">
        <f t="shared" ca="1" si="10"/>
        <v>0.38337808390933015</v>
      </c>
      <c r="AT226" s="29">
        <v>0</v>
      </c>
      <c r="AV226" s="22">
        <v>44771</v>
      </c>
      <c r="AW226" s="26">
        <f t="shared" ca="1" si="11"/>
        <v>0.72324926104686693</v>
      </c>
      <c r="AX226" s="29">
        <v>0</v>
      </c>
      <c r="AZ226" s="22">
        <v>44771</v>
      </c>
      <c r="BA226" s="26">
        <f t="shared" ca="1" si="12"/>
        <v>0.14597585051546413</v>
      </c>
      <c r="BB226" s="29">
        <v>0</v>
      </c>
      <c r="BC226"/>
      <c r="BD226" s="25"/>
      <c r="BF226" s="22">
        <v>44771</v>
      </c>
      <c r="BG226" s="26">
        <f t="shared" ca="1" si="13"/>
        <v>0.58630337769271168</v>
      </c>
      <c r="BH226" s="29">
        <v>0</v>
      </c>
      <c r="BJ226" s="22">
        <v>44771</v>
      </c>
      <c r="BK226" s="26">
        <f t="shared" ca="1" si="14"/>
        <v>0.35110709365595016</v>
      </c>
      <c r="BL226" s="29">
        <v>0</v>
      </c>
      <c r="BN226" s="22">
        <v>44771</v>
      </c>
      <c r="BO226" s="26">
        <f t="shared" ca="1" si="15"/>
        <v>0.16492858124672971</v>
      </c>
      <c r="BP226" s="29">
        <v>0</v>
      </c>
      <c r="BR226" s="22">
        <v>44771</v>
      </c>
      <c r="BS226" s="26">
        <f t="shared" ca="1" si="16"/>
        <v>0.33871599495884375</v>
      </c>
      <c r="BT226" s="29">
        <v>0</v>
      </c>
      <c r="BV226" s="22">
        <v>44771</v>
      </c>
      <c r="BW226" s="26">
        <f t="shared" ca="1" si="17"/>
        <v>0.55851171147707035</v>
      </c>
      <c r="BX226" s="29">
        <v>0</v>
      </c>
    </row>
    <row r="227" spans="2:77" ht="12.75" x14ac:dyDescent="0.2">
      <c r="B227" s="22">
        <v>44772</v>
      </c>
      <c r="C227" s="26">
        <f t="shared" ca="1" si="0"/>
        <v>0.13223610435440281</v>
      </c>
      <c r="D227" s="29">
        <v>0</v>
      </c>
      <c r="F227" s="22">
        <v>44772</v>
      </c>
      <c r="G227" s="26">
        <f t="shared" ca="1" si="1"/>
        <v>0.66429238190475126</v>
      </c>
      <c r="H227" s="29">
        <v>0</v>
      </c>
      <c r="J227" s="22">
        <v>44772</v>
      </c>
      <c r="K227" s="26">
        <f t="shared" ca="1" si="2"/>
        <v>0.67329425104904028</v>
      </c>
      <c r="L227" s="29">
        <v>0</v>
      </c>
      <c r="N227" s="22">
        <v>44772</v>
      </c>
      <c r="O227" s="26">
        <f t="shared" ca="1" si="3"/>
        <v>0.31782848766267835</v>
      </c>
      <c r="P227" s="29">
        <v>0</v>
      </c>
      <c r="R227" s="22">
        <v>44772</v>
      </c>
      <c r="S227" s="26">
        <f t="shared" ca="1" si="4"/>
        <v>0.88985719946529573</v>
      </c>
      <c r="T227" s="29">
        <v>0</v>
      </c>
      <c r="V227" s="22">
        <v>44772</v>
      </c>
      <c r="W227" s="26">
        <f t="shared" ca="1" si="5"/>
        <v>0.40646976028160142</v>
      </c>
      <c r="X227" s="29">
        <v>0</v>
      </c>
      <c r="Z227" s="22">
        <v>44772</v>
      </c>
      <c r="AA227" s="26">
        <f t="shared" ca="1" si="6"/>
        <v>0.92099779009911753</v>
      </c>
      <c r="AB227" s="29">
        <v>0</v>
      </c>
      <c r="AC227"/>
      <c r="AD227" s="25"/>
      <c r="AF227" s="22">
        <v>44772</v>
      </c>
      <c r="AG227" s="26">
        <f t="shared" ca="1" si="7"/>
        <v>0.75897540765747951</v>
      </c>
      <c r="AH227" s="29">
        <v>0</v>
      </c>
      <c r="AJ227" s="22">
        <v>44772</v>
      </c>
      <c r="AK227" s="26">
        <f t="shared" ca="1" si="8"/>
        <v>0.22592480643306101</v>
      </c>
      <c r="AL227" s="29">
        <v>0</v>
      </c>
      <c r="AN227" s="22">
        <v>44772</v>
      </c>
      <c r="AO227" s="26">
        <f t="shared" ca="1" si="9"/>
        <v>0.97385656522736086</v>
      </c>
      <c r="AP227" s="29">
        <v>0</v>
      </c>
      <c r="AR227" s="22">
        <v>44772</v>
      </c>
      <c r="AS227" s="26">
        <f t="shared" ca="1" si="10"/>
        <v>0.22782510179560889</v>
      </c>
      <c r="AT227" s="29">
        <v>0</v>
      </c>
      <c r="AV227" s="22">
        <v>44772</v>
      </c>
      <c r="AW227" s="26">
        <f t="shared" ca="1" si="11"/>
        <v>0.55144782817443694</v>
      </c>
      <c r="AX227" s="29">
        <v>0</v>
      </c>
      <c r="AZ227" s="22">
        <v>44772</v>
      </c>
      <c r="BA227" s="26">
        <f t="shared" ca="1" si="12"/>
        <v>0.6982248080582486</v>
      </c>
      <c r="BB227" s="29">
        <v>0</v>
      </c>
      <c r="BC227"/>
      <c r="BD227" s="25"/>
      <c r="BF227" s="22">
        <v>44772</v>
      </c>
      <c r="BG227" s="26">
        <f t="shared" ca="1" si="13"/>
        <v>0.77590133208433398</v>
      </c>
      <c r="BH227" s="29">
        <v>0</v>
      </c>
      <c r="BJ227" s="22">
        <v>44772</v>
      </c>
      <c r="BK227" s="26">
        <f t="shared" ca="1" si="14"/>
        <v>0.75415616152065079</v>
      </c>
      <c r="BL227" s="29">
        <v>0</v>
      </c>
      <c r="BN227" s="22">
        <v>44772</v>
      </c>
      <c r="BO227" s="26">
        <f t="shared" ca="1" si="15"/>
        <v>0.95544712295047518</v>
      </c>
      <c r="BP227" s="29">
        <v>0</v>
      </c>
      <c r="BR227" s="22">
        <v>44772</v>
      </c>
      <c r="BS227" s="26">
        <f t="shared" ca="1" si="16"/>
        <v>0.89531508884789535</v>
      </c>
      <c r="BT227" s="29">
        <v>0</v>
      </c>
      <c r="BV227" s="22">
        <v>44772</v>
      </c>
      <c r="BW227" s="26">
        <f t="shared" ca="1" si="17"/>
        <v>0.6239819047371461</v>
      </c>
      <c r="BX227" s="29">
        <v>0</v>
      </c>
    </row>
    <row r="228" spans="2:77" ht="12.75" x14ac:dyDescent="0.2">
      <c r="B228" s="22">
        <v>44773</v>
      </c>
      <c r="C228" s="26">
        <f t="shared" ca="1" si="0"/>
        <v>0.61701662448590633</v>
      </c>
      <c r="D228" s="29">
        <v>0</v>
      </c>
      <c r="E228">
        <v>425</v>
      </c>
      <c r="F228" s="22">
        <v>44773</v>
      </c>
      <c r="G228" s="26">
        <f t="shared" ca="1" si="1"/>
        <v>0.32857565471954642</v>
      </c>
      <c r="H228" s="29">
        <v>0</v>
      </c>
      <c r="I228">
        <v>1302</v>
      </c>
      <c r="J228" s="22">
        <v>44773</v>
      </c>
      <c r="K228" s="26">
        <f t="shared" ca="1" si="2"/>
        <v>0.88991981269552367</v>
      </c>
      <c r="L228" s="29">
        <v>0</v>
      </c>
      <c r="M228">
        <v>0</v>
      </c>
      <c r="N228" s="22">
        <v>44773</v>
      </c>
      <c r="O228" s="26">
        <f t="shared" ca="1" si="3"/>
        <v>0.40866786172865965</v>
      </c>
      <c r="P228" s="29">
        <v>0</v>
      </c>
      <c r="Q228">
        <v>0</v>
      </c>
      <c r="R228" s="22">
        <v>44773</v>
      </c>
      <c r="S228" s="26">
        <f t="shared" ca="1" si="4"/>
        <v>0.693589336428444</v>
      </c>
      <c r="T228" s="29">
        <v>0</v>
      </c>
      <c r="U228">
        <v>0</v>
      </c>
      <c r="V228" s="22">
        <v>44773</v>
      </c>
      <c r="W228" s="26">
        <f t="shared" ca="1" si="5"/>
        <v>0.55579512934992747</v>
      </c>
      <c r="X228" s="29">
        <v>0</v>
      </c>
      <c r="Y228">
        <v>0</v>
      </c>
      <c r="Z228" s="22">
        <v>44773</v>
      </c>
      <c r="AA228" s="26">
        <f t="shared" ca="1" si="6"/>
        <v>0.93716296909450036</v>
      </c>
      <c r="AB228" s="29">
        <v>0</v>
      </c>
      <c r="AC228">
        <v>0</v>
      </c>
      <c r="AD228" s="25"/>
      <c r="AF228" s="22">
        <v>44773</v>
      </c>
      <c r="AG228" s="26">
        <f t="shared" ca="1" si="7"/>
        <v>0.80022724219605434</v>
      </c>
      <c r="AH228" s="29">
        <v>0</v>
      </c>
      <c r="AI228">
        <v>0</v>
      </c>
      <c r="AJ228" s="22">
        <v>44773</v>
      </c>
      <c r="AK228" s="26">
        <f t="shared" ca="1" si="8"/>
        <v>0.67656588448317401</v>
      </c>
      <c r="AL228" s="29">
        <v>0</v>
      </c>
      <c r="AM228">
        <v>0</v>
      </c>
      <c r="AN228" s="22">
        <v>44773</v>
      </c>
      <c r="AO228" s="26">
        <f t="shared" ca="1" si="9"/>
        <v>0.67713078834819618</v>
      </c>
      <c r="AP228" s="29">
        <v>0</v>
      </c>
      <c r="AQ228">
        <v>0</v>
      </c>
      <c r="AR228" s="22">
        <v>44773</v>
      </c>
      <c r="AS228" s="26">
        <f t="shared" ca="1" si="10"/>
        <v>0.90443208252905205</v>
      </c>
      <c r="AT228" s="29">
        <v>0</v>
      </c>
      <c r="AU228">
        <v>0</v>
      </c>
      <c r="AV228" s="22">
        <v>44773</v>
      </c>
      <c r="AW228" s="26">
        <f t="shared" ca="1" si="11"/>
        <v>0.36437382192605905</v>
      </c>
      <c r="AX228" s="29">
        <v>0</v>
      </c>
      <c r="AY228">
        <v>0</v>
      </c>
      <c r="AZ228" s="22">
        <v>44773</v>
      </c>
      <c r="BA228" s="26">
        <f t="shared" ca="1" si="12"/>
        <v>0.17278199884625378</v>
      </c>
      <c r="BB228" s="29">
        <v>0</v>
      </c>
      <c r="BC228">
        <v>0</v>
      </c>
      <c r="BD228" s="25"/>
      <c r="BF228" s="22">
        <v>44773</v>
      </c>
      <c r="BG228" s="26">
        <f t="shared" ca="1" si="13"/>
        <v>0.396958764949502</v>
      </c>
      <c r="BH228" s="29">
        <v>0</v>
      </c>
      <c r="BI228">
        <v>0</v>
      </c>
      <c r="BJ228" s="22">
        <v>44773</v>
      </c>
      <c r="BK228" s="26">
        <f t="shared" ca="1" si="14"/>
        <v>0.663023906208414</v>
      </c>
      <c r="BL228" s="29">
        <v>0</v>
      </c>
      <c r="BM228">
        <v>0</v>
      </c>
      <c r="BN228" s="22">
        <v>44773</v>
      </c>
      <c r="BO228" s="26">
        <f t="shared" ca="1" si="15"/>
        <v>0.17767196673095054</v>
      </c>
      <c r="BP228" s="29">
        <v>0</v>
      </c>
      <c r="BQ228">
        <v>0</v>
      </c>
      <c r="BR228" s="22">
        <v>44773</v>
      </c>
      <c r="BS228" s="26">
        <f t="shared" ca="1" si="16"/>
        <v>0.61206630897418779</v>
      </c>
      <c r="BT228" s="29">
        <v>0</v>
      </c>
      <c r="BU228">
        <v>0</v>
      </c>
      <c r="BV228" s="22">
        <v>44773</v>
      </c>
      <c r="BW228" s="26">
        <f t="shared" ca="1" si="17"/>
        <v>4.4080313718751429E-2</v>
      </c>
      <c r="BX228" s="29">
        <v>0</v>
      </c>
      <c r="BY228">
        <v>0</v>
      </c>
    </row>
    <row r="229" spans="2:77" ht="12.75" x14ac:dyDescent="0.2">
      <c r="B229" s="22">
        <v>44774</v>
      </c>
      <c r="C229" s="26">
        <f t="shared" ca="1" si="0"/>
        <v>0.14124668319906997</v>
      </c>
      <c r="D229" s="29">
        <v>0</v>
      </c>
      <c r="F229" s="22">
        <v>44774</v>
      </c>
      <c r="G229" s="26">
        <f t="shared" ca="1" si="1"/>
        <v>0.40365014985390679</v>
      </c>
      <c r="H229" s="29">
        <v>0</v>
      </c>
      <c r="J229" s="22">
        <v>44774</v>
      </c>
      <c r="K229" s="26">
        <f t="shared" ca="1" si="2"/>
        <v>0.97362009440805186</v>
      </c>
      <c r="L229" s="29">
        <v>0</v>
      </c>
      <c r="N229" s="22">
        <v>44774</v>
      </c>
      <c r="O229" s="26">
        <f t="shared" ca="1" si="3"/>
        <v>0.57527118292806256</v>
      </c>
      <c r="P229" s="29">
        <v>0</v>
      </c>
      <c r="R229" s="22">
        <v>44774</v>
      </c>
      <c r="S229" s="26">
        <f t="shared" ca="1" si="4"/>
        <v>0.96304249702972666</v>
      </c>
      <c r="T229" s="29">
        <v>0</v>
      </c>
      <c r="V229" s="22">
        <v>44774</v>
      </c>
      <c r="W229" s="26">
        <f t="shared" ca="1" si="5"/>
        <v>0.86773991502445491</v>
      </c>
      <c r="X229" s="29">
        <v>0</v>
      </c>
      <c r="Z229" s="22">
        <v>44774</v>
      </c>
      <c r="AA229" s="26">
        <f t="shared" ca="1" si="6"/>
        <v>0.77733518229099952</v>
      </c>
      <c r="AB229" s="29">
        <v>0</v>
      </c>
      <c r="AC229"/>
      <c r="AD229" s="25"/>
      <c r="AF229" s="22">
        <v>44774</v>
      </c>
      <c r="AG229" s="26">
        <f t="shared" ca="1" si="7"/>
        <v>0.4862186225345243</v>
      </c>
      <c r="AH229" s="29">
        <v>0</v>
      </c>
      <c r="AJ229" s="22">
        <v>44774</v>
      </c>
      <c r="AK229" s="26">
        <f t="shared" ca="1" si="8"/>
        <v>0.15218668903014332</v>
      </c>
      <c r="AL229" s="29">
        <v>0</v>
      </c>
      <c r="AN229" s="22">
        <v>44774</v>
      </c>
      <c r="AO229" s="26">
        <f t="shared" ca="1" si="9"/>
        <v>0.17812436029387146</v>
      </c>
      <c r="AP229" s="29">
        <v>0</v>
      </c>
      <c r="AR229" s="22">
        <v>44774</v>
      </c>
      <c r="AS229" s="26">
        <f t="shared" ca="1" si="10"/>
        <v>0.62414277928015882</v>
      </c>
      <c r="AT229" s="29">
        <v>0</v>
      </c>
      <c r="AV229" s="22">
        <v>44774</v>
      </c>
      <c r="AW229" s="26">
        <f t="shared" ca="1" si="11"/>
        <v>0.83305361752875706</v>
      </c>
      <c r="AX229" s="29">
        <v>0</v>
      </c>
      <c r="AZ229" s="22">
        <v>44774</v>
      </c>
      <c r="BA229" s="26">
        <f t="shared" ca="1" si="12"/>
        <v>2.6651172973656156E-2</v>
      </c>
      <c r="BB229" s="29">
        <v>0</v>
      </c>
      <c r="BC229"/>
      <c r="BD229" s="25"/>
      <c r="BF229" s="22">
        <v>44774</v>
      </c>
      <c r="BG229" s="26">
        <f t="shared" ca="1" si="13"/>
        <v>0.60325218411987191</v>
      </c>
      <c r="BH229" s="29">
        <v>0</v>
      </c>
      <c r="BJ229" s="22">
        <v>44774</v>
      </c>
      <c r="BK229" s="26">
        <f t="shared" ca="1" si="14"/>
        <v>0.61043701260842143</v>
      </c>
      <c r="BL229" s="29">
        <v>0</v>
      </c>
      <c r="BN229" s="22">
        <v>44774</v>
      </c>
      <c r="BO229" s="26">
        <f t="shared" ca="1" si="15"/>
        <v>0.45379638804556788</v>
      </c>
      <c r="BP229" s="29">
        <v>0</v>
      </c>
      <c r="BR229" s="22">
        <v>44774</v>
      </c>
      <c r="BS229" s="26">
        <f t="shared" ca="1" si="16"/>
        <v>0.16791040169778382</v>
      </c>
      <c r="BT229" s="29">
        <v>0</v>
      </c>
      <c r="BV229" s="22">
        <v>44774</v>
      </c>
      <c r="BW229" s="26">
        <f t="shared" ca="1" si="17"/>
        <v>0.6226809477562133</v>
      </c>
      <c r="BX229" s="29">
        <v>0</v>
      </c>
    </row>
    <row r="230" spans="2:77" ht="12.75" x14ac:dyDescent="0.2">
      <c r="B230" s="22">
        <v>44775</v>
      </c>
      <c r="C230" s="26">
        <f t="shared" ca="1" si="0"/>
        <v>0.69627161284506012</v>
      </c>
      <c r="D230" s="29">
        <v>0</v>
      </c>
      <c r="F230" s="22">
        <v>44775</v>
      </c>
      <c r="G230" s="26">
        <f t="shared" ca="1" si="1"/>
        <v>0.14351768704646295</v>
      </c>
      <c r="H230" s="29">
        <v>0</v>
      </c>
      <c r="J230" s="22">
        <v>44775</v>
      </c>
      <c r="K230" s="26">
        <f t="shared" ca="1" si="2"/>
        <v>0.84014495727883642</v>
      </c>
      <c r="L230" s="29">
        <v>0</v>
      </c>
      <c r="N230" s="22">
        <v>44775</v>
      </c>
      <c r="O230" s="26">
        <f t="shared" ca="1" si="3"/>
        <v>0.10764849102305873</v>
      </c>
      <c r="P230" s="29">
        <v>0</v>
      </c>
      <c r="R230" s="22">
        <v>44775</v>
      </c>
      <c r="S230" s="26">
        <f t="shared" ca="1" si="4"/>
        <v>0.41291865965863728</v>
      </c>
      <c r="T230" s="29">
        <v>0</v>
      </c>
      <c r="V230" s="22">
        <v>44775</v>
      </c>
      <c r="W230" s="26">
        <f t="shared" ca="1" si="5"/>
        <v>0.17610211291680533</v>
      </c>
      <c r="X230" s="29">
        <v>0</v>
      </c>
      <c r="Z230" s="22">
        <v>44775</v>
      </c>
      <c r="AA230" s="26">
        <f t="shared" ca="1" si="6"/>
        <v>2.7483391300586857E-2</v>
      </c>
      <c r="AB230" s="29">
        <v>0</v>
      </c>
      <c r="AC230"/>
      <c r="AD230" s="25"/>
      <c r="AF230" s="22">
        <v>44775</v>
      </c>
      <c r="AG230" s="26">
        <f t="shared" ca="1" si="7"/>
        <v>0.90273781335665182</v>
      </c>
      <c r="AH230" s="29">
        <v>0</v>
      </c>
      <c r="AJ230" s="22">
        <v>44775</v>
      </c>
      <c r="AK230" s="26">
        <f t="shared" ca="1" si="8"/>
        <v>0.31429596555306627</v>
      </c>
      <c r="AL230" s="29">
        <v>0</v>
      </c>
      <c r="AN230" s="22">
        <v>44775</v>
      </c>
      <c r="AO230" s="26">
        <f t="shared" ca="1" si="9"/>
        <v>0.58874443047338676</v>
      </c>
      <c r="AP230" s="29">
        <v>0</v>
      </c>
      <c r="AR230" s="22">
        <v>44775</v>
      </c>
      <c r="AS230" s="26">
        <f t="shared" ca="1" si="10"/>
        <v>0.20435549246714813</v>
      </c>
      <c r="AT230" s="29">
        <v>0</v>
      </c>
      <c r="AV230" s="22">
        <v>44775</v>
      </c>
      <c r="AW230" s="26">
        <f t="shared" ca="1" si="11"/>
        <v>0.42527530954553183</v>
      </c>
      <c r="AX230" s="29">
        <v>0</v>
      </c>
      <c r="AZ230" s="22">
        <v>44775</v>
      </c>
      <c r="BA230" s="26">
        <f t="shared" ca="1" si="12"/>
        <v>0.78346651965149194</v>
      </c>
      <c r="BB230" s="29">
        <v>0</v>
      </c>
      <c r="BC230"/>
      <c r="BD230" s="25"/>
      <c r="BF230" s="22">
        <v>44775</v>
      </c>
      <c r="BG230" s="26">
        <f t="shared" ca="1" si="13"/>
        <v>0.89833393410009332</v>
      </c>
      <c r="BH230" s="29">
        <v>0</v>
      </c>
      <c r="BJ230" s="22">
        <v>44775</v>
      </c>
      <c r="BK230" s="26">
        <f t="shared" ca="1" si="14"/>
        <v>3.9631443544682843E-2</v>
      </c>
      <c r="BL230" s="29">
        <v>0</v>
      </c>
      <c r="BN230" s="22">
        <v>44775</v>
      </c>
      <c r="BO230" s="26">
        <f t="shared" ca="1" si="15"/>
        <v>0.54054798515101621</v>
      </c>
      <c r="BP230" s="29">
        <v>0</v>
      </c>
      <c r="BR230" s="22">
        <v>44775</v>
      </c>
      <c r="BS230" s="26">
        <f t="shared" ca="1" si="16"/>
        <v>3.0865434184424223E-2</v>
      </c>
      <c r="BT230" s="29">
        <v>0</v>
      </c>
      <c r="BV230" s="22">
        <v>44775</v>
      </c>
      <c r="BW230" s="26">
        <f t="shared" ca="1" si="17"/>
        <v>0.36059401226890919</v>
      </c>
      <c r="BX230" s="29">
        <v>0</v>
      </c>
    </row>
    <row r="231" spans="2:77" ht="12.75" x14ac:dyDescent="0.2">
      <c r="B231" s="22">
        <v>44776</v>
      </c>
      <c r="C231" s="26">
        <f t="shared" ca="1" si="0"/>
        <v>0.93529583110771497</v>
      </c>
      <c r="D231" s="29">
        <v>0</v>
      </c>
      <c r="F231" s="22">
        <v>44776</v>
      </c>
      <c r="G231" s="26">
        <f t="shared" ca="1" si="1"/>
        <v>0.64048456319770486</v>
      </c>
      <c r="H231" s="29">
        <v>0</v>
      </c>
      <c r="J231" s="22">
        <v>44776</v>
      </c>
      <c r="K231" s="26">
        <f t="shared" ca="1" si="2"/>
        <v>0.54891326413777708</v>
      </c>
      <c r="L231" s="29">
        <v>0</v>
      </c>
      <c r="N231" s="22">
        <v>44776</v>
      </c>
      <c r="O231" s="26">
        <f t="shared" ca="1" si="3"/>
        <v>0.34395276308724554</v>
      </c>
      <c r="P231" s="29">
        <v>0</v>
      </c>
      <c r="R231" s="22">
        <v>44776</v>
      </c>
      <c r="S231" s="26">
        <f t="shared" ca="1" si="4"/>
        <v>0.38791445989271545</v>
      </c>
      <c r="T231" s="29">
        <v>0</v>
      </c>
      <c r="V231" s="22">
        <v>44776</v>
      </c>
      <c r="W231" s="26">
        <f t="shared" ca="1" si="5"/>
        <v>0.54980959418656294</v>
      </c>
      <c r="X231" s="29">
        <v>0</v>
      </c>
      <c r="Z231" s="22">
        <v>44776</v>
      </c>
      <c r="AA231" s="26">
        <f t="shared" ca="1" si="6"/>
        <v>0.34297956509228</v>
      </c>
      <c r="AB231" s="29">
        <v>0</v>
      </c>
      <c r="AC231"/>
      <c r="AD231" s="25"/>
      <c r="AF231" s="22">
        <v>44776</v>
      </c>
      <c r="AG231" s="26">
        <f t="shared" ca="1" si="7"/>
        <v>7.885998800981342E-2</v>
      </c>
      <c r="AH231" s="29">
        <v>0</v>
      </c>
      <c r="AJ231" s="22">
        <v>44776</v>
      </c>
      <c r="AK231" s="26">
        <f t="shared" ca="1" si="8"/>
        <v>0.5577769159345437</v>
      </c>
      <c r="AL231" s="29">
        <v>0</v>
      </c>
      <c r="AN231" s="22">
        <v>44776</v>
      </c>
      <c r="AO231" s="26">
        <f t="shared" ca="1" si="9"/>
        <v>0.502666786179089</v>
      </c>
      <c r="AP231" s="29">
        <v>0</v>
      </c>
      <c r="AR231" s="22">
        <v>44776</v>
      </c>
      <c r="AS231" s="26">
        <f t="shared" ca="1" si="10"/>
        <v>0.84419911670059755</v>
      </c>
      <c r="AT231" s="29">
        <v>0</v>
      </c>
      <c r="AV231" s="22">
        <v>44776</v>
      </c>
      <c r="AW231" s="26">
        <f t="shared" ca="1" si="11"/>
        <v>0.78125032776451808</v>
      </c>
      <c r="AX231" s="29">
        <v>0</v>
      </c>
      <c r="AZ231" s="22">
        <v>44776</v>
      </c>
      <c r="BA231" s="26">
        <f t="shared" ca="1" si="12"/>
        <v>0.98055973386811957</v>
      </c>
      <c r="BB231" s="29">
        <v>0</v>
      </c>
      <c r="BC231"/>
      <c r="BD231" s="25"/>
      <c r="BF231" s="22">
        <v>44776</v>
      </c>
      <c r="BG231" s="26">
        <f t="shared" ca="1" si="13"/>
        <v>0.38602320794366096</v>
      </c>
      <c r="BH231" s="29">
        <v>0</v>
      </c>
      <c r="BJ231" s="22">
        <v>44776</v>
      </c>
      <c r="BK231" s="26">
        <f t="shared" ca="1" si="14"/>
        <v>0.89361344278336652</v>
      </c>
      <c r="BL231" s="29">
        <v>0</v>
      </c>
      <c r="BN231" s="22">
        <v>44776</v>
      </c>
      <c r="BO231" s="26">
        <f t="shared" ca="1" si="15"/>
        <v>0.30761458133125907</v>
      </c>
      <c r="BP231" s="29">
        <v>0</v>
      </c>
      <c r="BR231" s="22">
        <v>44776</v>
      </c>
      <c r="BS231" s="26">
        <f t="shared" ca="1" si="16"/>
        <v>0.4219209658342431</v>
      </c>
      <c r="BT231" s="29">
        <v>0</v>
      </c>
      <c r="BV231" s="22">
        <v>44776</v>
      </c>
      <c r="BW231" s="26">
        <f t="shared" ca="1" si="17"/>
        <v>3.6666981881800953E-2</v>
      </c>
      <c r="BX231" s="29">
        <v>0</v>
      </c>
    </row>
    <row r="232" spans="2:77" ht="12.75" x14ac:dyDescent="0.2">
      <c r="B232" s="22">
        <v>44777</v>
      </c>
      <c r="C232" s="26">
        <f t="shared" ca="1" si="0"/>
        <v>0.56476537305264396</v>
      </c>
      <c r="D232" s="29">
        <v>0</v>
      </c>
      <c r="F232" s="22">
        <v>44777</v>
      </c>
      <c r="G232" s="26">
        <f t="shared" ca="1" si="1"/>
        <v>9.9078031490082763E-2</v>
      </c>
      <c r="H232" s="29">
        <v>0</v>
      </c>
      <c r="J232" s="22">
        <v>44777</v>
      </c>
      <c r="K232" s="26">
        <f t="shared" ca="1" si="2"/>
        <v>0.89955677637820786</v>
      </c>
      <c r="L232" s="29">
        <v>0</v>
      </c>
      <c r="N232" s="22">
        <v>44777</v>
      </c>
      <c r="O232" s="26">
        <f t="shared" ca="1" si="3"/>
        <v>0.79322420001211813</v>
      </c>
      <c r="P232" s="29">
        <v>0</v>
      </c>
      <c r="R232" s="22">
        <v>44777</v>
      </c>
      <c r="S232" s="26">
        <f t="shared" ca="1" si="4"/>
        <v>0.68677136948240203</v>
      </c>
      <c r="T232" s="29">
        <v>0</v>
      </c>
      <c r="V232" s="22">
        <v>44777</v>
      </c>
      <c r="W232" s="26">
        <f t="shared" ca="1" si="5"/>
        <v>0.70887052366254322</v>
      </c>
      <c r="X232" s="29">
        <v>0</v>
      </c>
      <c r="Z232" s="22">
        <v>44777</v>
      </c>
      <c r="AA232" s="26">
        <f t="shared" ca="1" si="6"/>
        <v>0.96066040562026633</v>
      </c>
      <c r="AB232" s="29">
        <v>0</v>
      </c>
      <c r="AC232"/>
      <c r="AD232" s="25"/>
      <c r="AF232" s="22">
        <v>44777</v>
      </c>
      <c r="AG232" s="26">
        <f t="shared" ca="1" si="7"/>
        <v>0.4783758588256094</v>
      </c>
      <c r="AH232" s="29">
        <v>0</v>
      </c>
      <c r="AJ232" s="22">
        <v>44777</v>
      </c>
      <c r="AK232" s="26">
        <f t="shared" ca="1" si="8"/>
        <v>0.93964758456884634</v>
      </c>
      <c r="AL232" s="29">
        <v>0</v>
      </c>
      <c r="AN232" s="22">
        <v>44777</v>
      </c>
      <c r="AO232" s="26">
        <f t="shared" ca="1" si="9"/>
        <v>0.91744057072428975</v>
      </c>
      <c r="AP232" s="29">
        <v>0</v>
      </c>
      <c r="AR232" s="22">
        <v>44777</v>
      </c>
      <c r="AS232" s="26">
        <f t="shared" ca="1" si="10"/>
        <v>0.71842734658786223</v>
      </c>
      <c r="AT232" s="29">
        <v>0</v>
      </c>
      <c r="AV232" s="22">
        <v>44777</v>
      </c>
      <c r="AW232" s="26">
        <f t="shared" ca="1" si="11"/>
        <v>9.7272062189768582E-2</v>
      </c>
      <c r="AX232" s="29">
        <v>0</v>
      </c>
      <c r="AZ232" s="22">
        <v>44777</v>
      </c>
      <c r="BA232" s="26">
        <f t="shared" ca="1" si="12"/>
        <v>0.29112530374206691</v>
      </c>
      <c r="BB232" s="29">
        <v>0</v>
      </c>
      <c r="BC232"/>
      <c r="BD232" s="25"/>
      <c r="BF232" s="22">
        <v>44777</v>
      </c>
      <c r="BG232" s="26">
        <f t="shared" ca="1" si="13"/>
        <v>0.698087250085069</v>
      </c>
      <c r="BH232" s="29">
        <v>0</v>
      </c>
      <c r="BJ232" s="22">
        <v>44777</v>
      </c>
      <c r="BK232" s="26">
        <f t="shared" ca="1" si="14"/>
        <v>0.59836369340948359</v>
      </c>
      <c r="BL232" s="29">
        <v>0</v>
      </c>
      <c r="BN232" s="22">
        <v>44777</v>
      </c>
      <c r="BO232" s="26">
        <f t="shared" ca="1" si="15"/>
        <v>0.8147794236092486</v>
      </c>
      <c r="BP232" s="29">
        <v>0</v>
      </c>
      <c r="BR232" s="22">
        <v>44777</v>
      </c>
      <c r="BS232" s="26">
        <f t="shared" ca="1" si="16"/>
        <v>0.52664772226559997</v>
      </c>
      <c r="BT232" s="29">
        <v>0</v>
      </c>
      <c r="BV232" s="22">
        <v>44777</v>
      </c>
      <c r="BW232" s="26">
        <f t="shared" ca="1" si="17"/>
        <v>0.67110983958652581</v>
      </c>
      <c r="BX232" s="29">
        <v>0</v>
      </c>
    </row>
    <row r="233" spans="2:77" ht="12.75" x14ac:dyDescent="0.2">
      <c r="B233" s="22">
        <v>44778</v>
      </c>
      <c r="C233" s="26">
        <f t="shared" ca="1" si="0"/>
        <v>0.13860947213336861</v>
      </c>
      <c r="D233" s="29">
        <v>0</v>
      </c>
      <c r="F233" s="22">
        <v>44778</v>
      </c>
      <c r="G233" s="26">
        <f t="shared" ca="1" si="1"/>
        <v>1.1757578840882577E-2</v>
      </c>
      <c r="H233" s="29">
        <v>0</v>
      </c>
      <c r="J233" s="22">
        <v>44778</v>
      </c>
      <c r="K233" s="26">
        <f t="shared" ca="1" si="2"/>
        <v>0.16556086910921863</v>
      </c>
      <c r="L233" s="29">
        <v>0</v>
      </c>
      <c r="N233" s="22">
        <v>44778</v>
      </c>
      <c r="O233" s="26">
        <f t="shared" ca="1" si="3"/>
        <v>0.45216869457790021</v>
      </c>
      <c r="P233" s="29">
        <v>0</v>
      </c>
      <c r="R233" s="22">
        <v>44778</v>
      </c>
      <c r="S233" s="26">
        <f t="shared" ca="1" si="4"/>
        <v>0.67871898069709369</v>
      </c>
      <c r="T233" s="29">
        <v>0</v>
      </c>
      <c r="V233" s="22">
        <v>44778</v>
      </c>
      <c r="W233" s="26">
        <f t="shared" ca="1" si="5"/>
        <v>0.31564115682545446</v>
      </c>
      <c r="X233" s="29">
        <v>0</v>
      </c>
      <c r="Z233" s="22">
        <v>44778</v>
      </c>
      <c r="AA233" s="26">
        <f t="shared" ca="1" si="6"/>
        <v>0.70150001221227731</v>
      </c>
      <c r="AB233" s="29">
        <v>0</v>
      </c>
      <c r="AC233"/>
      <c r="AD233" s="25"/>
      <c r="AF233" s="22">
        <v>44778</v>
      </c>
      <c r="AG233" s="26">
        <f t="shared" ca="1" si="7"/>
        <v>0.10006444055824404</v>
      </c>
      <c r="AH233" s="29">
        <v>0</v>
      </c>
      <c r="AJ233" s="22">
        <v>44778</v>
      </c>
      <c r="AK233" s="26">
        <f t="shared" ca="1" si="8"/>
        <v>0.44737433781260372</v>
      </c>
      <c r="AL233" s="29">
        <v>0</v>
      </c>
      <c r="AN233" s="22">
        <v>44778</v>
      </c>
      <c r="AO233" s="26">
        <f t="shared" ca="1" si="9"/>
        <v>9.1507899817444782E-2</v>
      </c>
      <c r="AP233" s="29">
        <v>0</v>
      </c>
      <c r="AR233" s="22">
        <v>44778</v>
      </c>
      <c r="AS233" s="26">
        <f t="shared" ca="1" si="10"/>
        <v>0.60674238429692717</v>
      </c>
      <c r="AT233" s="29">
        <v>0</v>
      </c>
      <c r="AV233" s="22">
        <v>44778</v>
      </c>
      <c r="AW233" s="26">
        <f t="shared" ca="1" si="11"/>
        <v>0.90559270174059181</v>
      </c>
      <c r="AX233" s="29">
        <v>0</v>
      </c>
      <c r="AZ233" s="22">
        <v>44778</v>
      </c>
      <c r="BA233" s="26">
        <f t="shared" ca="1" si="12"/>
        <v>0.91066988424181095</v>
      </c>
      <c r="BB233" s="29">
        <v>0</v>
      </c>
      <c r="BC233"/>
      <c r="BD233" s="25"/>
      <c r="BF233" s="22">
        <v>44778</v>
      </c>
      <c r="BG233" s="26">
        <f t="shared" ca="1" si="13"/>
        <v>0.54513595452758723</v>
      </c>
      <c r="BH233" s="29">
        <v>0</v>
      </c>
      <c r="BJ233" s="22">
        <v>44778</v>
      </c>
      <c r="BK233" s="26">
        <f t="shared" ca="1" si="14"/>
        <v>9.8323009657199312E-2</v>
      </c>
      <c r="BL233" s="29">
        <v>0</v>
      </c>
      <c r="BN233" s="22">
        <v>44778</v>
      </c>
      <c r="BO233" s="26">
        <f t="shared" ca="1" si="15"/>
        <v>0.93571620809115152</v>
      </c>
      <c r="BP233" s="29">
        <v>0</v>
      </c>
      <c r="BR233" s="22">
        <v>44778</v>
      </c>
      <c r="BS233" s="26">
        <f t="shared" ca="1" si="16"/>
        <v>0.34084545482934125</v>
      </c>
      <c r="BT233" s="29">
        <v>0</v>
      </c>
      <c r="BV233" s="22">
        <v>44778</v>
      </c>
      <c r="BW233" s="26">
        <f t="shared" ca="1" si="17"/>
        <v>0.45241714149199896</v>
      </c>
      <c r="BX233" s="29">
        <v>0</v>
      </c>
    </row>
    <row r="234" spans="2:77" ht="12.75" x14ac:dyDescent="0.2">
      <c r="B234" s="22">
        <v>44779</v>
      </c>
      <c r="C234" s="26">
        <f t="shared" ca="1" si="0"/>
        <v>0.2419826598651702</v>
      </c>
      <c r="D234" s="29">
        <v>0</v>
      </c>
      <c r="F234" s="22">
        <v>44779</v>
      </c>
      <c r="G234" s="26">
        <f t="shared" ca="1" si="1"/>
        <v>0.16864027145730554</v>
      </c>
      <c r="H234" s="29">
        <v>0</v>
      </c>
      <c r="J234" s="22">
        <v>44779</v>
      </c>
      <c r="K234" s="26">
        <f t="shared" ca="1" si="2"/>
        <v>0.12020782907853378</v>
      </c>
      <c r="L234" s="29">
        <v>0</v>
      </c>
      <c r="N234" s="22">
        <v>44779</v>
      </c>
      <c r="O234" s="26">
        <f t="shared" ca="1" si="3"/>
        <v>0.68885798482758798</v>
      </c>
      <c r="P234" s="29">
        <v>0</v>
      </c>
      <c r="R234" s="22">
        <v>44779</v>
      </c>
      <c r="S234" s="26">
        <f t="shared" ca="1" si="4"/>
        <v>4.678276659007552E-3</v>
      </c>
      <c r="T234" s="29">
        <v>0</v>
      </c>
      <c r="V234" s="22">
        <v>44779</v>
      </c>
      <c r="W234" s="26">
        <f t="shared" ca="1" si="5"/>
        <v>0.82728975735743016</v>
      </c>
      <c r="X234" s="29">
        <v>0</v>
      </c>
      <c r="Z234" s="22">
        <v>44779</v>
      </c>
      <c r="AA234" s="26">
        <f t="shared" ca="1" si="6"/>
        <v>0.94409279825086923</v>
      </c>
      <c r="AB234" s="29">
        <v>0</v>
      </c>
      <c r="AC234"/>
      <c r="AD234" s="25"/>
      <c r="AF234" s="22">
        <v>44779</v>
      </c>
      <c r="AG234" s="26">
        <f t="shared" ca="1" si="7"/>
        <v>0.34036930478568084</v>
      </c>
      <c r="AH234" s="29">
        <v>0</v>
      </c>
      <c r="AJ234" s="22">
        <v>44779</v>
      </c>
      <c r="AK234" s="26">
        <f t="shared" ca="1" si="8"/>
        <v>0.4315516696860362</v>
      </c>
      <c r="AL234" s="29">
        <v>0</v>
      </c>
      <c r="AN234" s="22">
        <v>44779</v>
      </c>
      <c r="AO234" s="26">
        <f t="shared" ca="1" si="9"/>
        <v>0.96218660414690427</v>
      </c>
      <c r="AP234" s="29">
        <v>0</v>
      </c>
      <c r="AR234" s="22">
        <v>44779</v>
      </c>
      <c r="AS234" s="26">
        <f t="shared" ca="1" si="10"/>
        <v>0.41563859703241923</v>
      </c>
      <c r="AT234" s="29">
        <v>0</v>
      </c>
      <c r="AV234" s="22">
        <v>44779</v>
      </c>
      <c r="AW234" s="26">
        <f t="shared" ca="1" si="11"/>
        <v>0.30618832369870042</v>
      </c>
      <c r="AX234" s="29">
        <v>0</v>
      </c>
      <c r="AZ234" s="22">
        <v>44779</v>
      </c>
      <c r="BA234" s="26">
        <f t="shared" ca="1" si="12"/>
        <v>0.95016824112200737</v>
      </c>
      <c r="BB234" s="29">
        <v>0</v>
      </c>
      <c r="BC234"/>
      <c r="BD234" s="25"/>
      <c r="BF234" s="22">
        <v>44779</v>
      </c>
      <c r="BG234" s="26">
        <f t="shared" ca="1" si="13"/>
        <v>7.2415901220406975E-2</v>
      </c>
      <c r="BH234" s="29">
        <v>0</v>
      </c>
      <c r="BJ234" s="22">
        <v>44779</v>
      </c>
      <c r="BK234" s="26">
        <f t="shared" ca="1" si="14"/>
        <v>8.1974485711386436E-2</v>
      </c>
      <c r="BL234" s="29">
        <v>0</v>
      </c>
      <c r="BN234" s="22">
        <v>44779</v>
      </c>
      <c r="BO234" s="26">
        <f t="shared" ca="1" si="15"/>
        <v>0.88690856177155919</v>
      </c>
      <c r="BP234" s="29">
        <v>0</v>
      </c>
      <c r="BR234" s="22">
        <v>44779</v>
      </c>
      <c r="BS234" s="26">
        <f t="shared" ca="1" si="16"/>
        <v>0.94048636069583924</v>
      </c>
      <c r="BT234" s="29">
        <v>0</v>
      </c>
      <c r="BV234" s="22">
        <v>44779</v>
      </c>
      <c r="BW234" s="26">
        <f t="shared" ca="1" si="17"/>
        <v>0.40198136604643242</v>
      </c>
      <c r="BX234" s="29">
        <v>0</v>
      </c>
    </row>
    <row r="235" spans="2:77" ht="12.75" x14ac:dyDescent="0.2">
      <c r="B235" s="22">
        <v>44780</v>
      </c>
      <c r="C235" s="26">
        <f t="shared" ca="1" si="0"/>
        <v>0.89317354072464339</v>
      </c>
      <c r="D235" s="29">
        <v>0</v>
      </c>
      <c r="F235" s="22">
        <v>44780</v>
      </c>
      <c r="G235" s="26">
        <f t="shared" ca="1" si="1"/>
        <v>0.37410695563892293</v>
      </c>
      <c r="H235" s="29">
        <v>0</v>
      </c>
      <c r="J235" s="22">
        <v>44780</v>
      </c>
      <c r="K235" s="26">
        <f t="shared" ca="1" si="2"/>
        <v>0.91738828608641343</v>
      </c>
      <c r="L235" s="29">
        <v>0</v>
      </c>
      <c r="N235" s="22">
        <v>44780</v>
      </c>
      <c r="O235" s="26">
        <f t="shared" ca="1" si="3"/>
        <v>0.58656692776829367</v>
      </c>
      <c r="P235" s="29">
        <v>0</v>
      </c>
      <c r="R235" s="22">
        <v>44780</v>
      </c>
      <c r="S235" s="26">
        <f t="shared" ca="1" si="4"/>
        <v>0.43199198464803934</v>
      </c>
      <c r="T235" s="29">
        <v>0</v>
      </c>
      <c r="V235" s="22">
        <v>44780</v>
      </c>
      <c r="W235" s="26">
        <f t="shared" ca="1" si="5"/>
        <v>0.63027284660387539</v>
      </c>
      <c r="X235" s="29">
        <v>0</v>
      </c>
      <c r="Z235" s="22">
        <v>44780</v>
      </c>
      <c r="AA235" s="26">
        <f t="shared" ca="1" si="6"/>
        <v>0.31427208949938434</v>
      </c>
      <c r="AB235" s="29">
        <v>0</v>
      </c>
      <c r="AC235"/>
      <c r="AD235" s="25"/>
      <c r="AF235" s="22">
        <v>44780</v>
      </c>
      <c r="AG235" s="26">
        <f t="shared" ca="1" si="7"/>
        <v>0.40699930001543849</v>
      </c>
      <c r="AH235" s="29">
        <v>0</v>
      </c>
      <c r="AJ235" s="22">
        <v>44780</v>
      </c>
      <c r="AK235" s="26">
        <f t="shared" ca="1" si="8"/>
        <v>0.11037911169672887</v>
      </c>
      <c r="AL235" s="29">
        <v>0</v>
      </c>
      <c r="AN235" s="22">
        <v>44780</v>
      </c>
      <c r="AO235" s="26">
        <f t="shared" ca="1" si="9"/>
        <v>0.63825750495630906</v>
      </c>
      <c r="AP235" s="29">
        <v>0</v>
      </c>
      <c r="AR235" s="22">
        <v>44780</v>
      </c>
      <c r="AS235" s="26">
        <f t="shared" ca="1" si="10"/>
        <v>0.52323611617918075</v>
      </c>
      <c r="AT235" s="29">
        <v>0</v>
      </c>
      <c r="AV235" s="22">
        <v>44780</v>
      </c>
      <c r="AW235" s="26">
        <f t="shared" ca="1" si="11"/>
        <v>0.68691123235349716</v>
      </c>
      <c r="AX235" s="29">
        <v>0</v>
      </c>
      <c r="AZ235" s="22">
        <v>44780</v>
      </c>
      <c r="BA235" s="26">
        <f t="shared" ca="1" si="12"/>
        <v>0.33708727126243609</v>
      </c>
      <c r="BB235" s="29">
        <v>0</v>
      </c>
      <c r="BC235"/>
      <c r="BD235" s="25"/>
      <c r="BF235" s="22">
        <v>44780</v>
      </c>
      <c r="BG235" s="26">
        <f t="shared" ca="1" si="13"/>
        <v>8.2061176399730429E-2</v>
      </c>
      <c r="BH235" s="29">
        <v>0</v>
      </c>
      <c r="BJ235" s="22">
        <v>44780</v>
      </c>
      <c r="BK235" s="26">
        <f t="shared" ca="1" si="14"/>
        <v>0.42882440153036061</v>
      </c>
      <c r="BL235" s="29">
        <v>0</v>
      </c>
      <c r="BN235" s="22">
        <v>44780</v>
      </c>
      <c r="BO235" s="26">
        <f t="shared" ca="1" si="15"/>
        <v>0.32292576047341026</v>
      </c>
      <c r="BP235" s="29">
        <v>0</v>
      </c>
      <c r="BR235" s="22">
        <v>44780</v>
      </c>
      <c r="BS235" s="26">
        <f t="shared" ca="1" si="16"/>
        <v>0.66911246729311902</v>
      </c>
      <c r="BT235" s="29">
        <v>0</v>
      </c>
      <c r="BV235" s="22">
        <v>44780</v>
      </c>
      <c r="BW235" s="26">
        <f t="shared" ca="1" si="17"/>
        <v>1.1555824611598764E-2</v>
      </c>
      <c r="BX235" s="29">
        <v>0</v>
      </c>
    </row>
    <row r="236" spans="2:77" ht="12.75" x14ac:dyDescent="0.2">
      <c r="B236" s="22">
        <v>44781</v>
      </c>
      <c r="C236" s="26">
        <f t="shared" ca="1" si="0"/>
        <v>0.40145150242291516</v>
      </c>
      <c r="D236" s="29">
        <v>0</v>
      </c>
      <c r="F236" s="22">
        <v>44781</v>
      </c>
      <c r="G236" s="26">
        <f t="shared" ca="1" si="1"/>
        <v>0.50055269340943964</v>
      </c>
      <c r="H236" s="29">
        <v>0</v>
      </c>
      <c r="J236" s="22">
        <v>44781</v>
      </c>
      <c r="K236" s="26">
        <f t="shared" ca="1" si="2"/>
        <v>0.45214473190518933</v>
      </c>
      <c r="L236" s="29">
        <v>0</v>
      </c>
      <c r="N236" s="22">
        <v>44781</v>
      </c>
      <c r="O236" s="26">
        <f t="shared" ca="1" si="3"/>
        <v>0.31099138351362643</v>
      </c>
      <c r="P236" s="29">
        <v>0</v>
      </c>
      <c r="R236" s="22">
        <v>44781</v>
      </c>
      <c r="S236" s="26">
        <f t="shared" ca="1" si="4"/>
        <v>0.4570686428932087</v>
      </c>
      <c r="T236" s="29">
        <v>0</v>
      </c>
      <c r="V236" s="22">
        <v>44781</v>
      </c>
      <c r="W236" s="26">
        <f t="shared" ca="1" si="5"/>
        <v>0.39547681950773272</v>
      </c>
      <c r="X236" s="29">
        <v>0</v>
      </c>
      <c r="Z236" s="22">
        <v>44781</v>
      </c>
      <c r="AA236" s="26">
        <f t="shared" ca="1" si="6"/>
        <v>0.32285773955980013</v>
      </c>
      <c r="AB236" s="29">
        <v>0</v>
      </c>
      <c r="AC236"/>
      <c r="AD236" s="25"/>
      <c r="AF236" s="22">
        <v>44781</v>
      </c>
      <c r="AG236" s="26">
        <f t="shared" ca="1" si="7"/>
        <v>0.94749695714462201</v>
      </c>
      <c r="AH236" s="29">
        <v>0</v>
      </c>
      <c r="AJ236" s="22">
        <v>44781</v>
      </c>
      <c r="AK236" s="26">
        <f t="shared" ca="1" si="8"/>
        <v>2.3283057002445373E-2</v>
      </c>
      <c r="AL236" s="29">
        <v>0</v>
      </c>
      <c r="AN236" s="22">
        <v>44781</v>
      </c>
      <c r="AO236" s="26">
        <f t="shared" ca="1" si="9"/>
        <v>0.22942004783897074</v>
      </c>
      <c r="AP236" s="29">
        <v>0</v>
      </c>
      <c r="AR236" s="22">
        <v>44781</v>
      </c>
      <c r="AS236" s="26">
        <f t="shared" ca="1" si="10"/>
        <v>3.4573271211926437E-2</v>
      </c>
      <c r="AT236" s="29">
        <v>0</v>
      </c>
      <c r="AV236" s="22">
        <v>44781</v>
      </c>
      <c r="AW236" s="26">
        <f t="shared" ca="1" si="11"/>
        <v>0.48383233977809004</v>
      </c>
      <c r="AX236" s="29">
        <v>0</v>
      </c>
      <c r="AZ236" s="22">
        <v>44781</v>
      </c>
      <c r="BA236" s="26">
        <f t="shared" ca="1" si="12"/>
        <v>0.8955206785742873</v>
      </c>
      <c r="BB236" s="29">
        <v>0</v>
      </c>
      <c r="BC236"/>
      <c r="BD236" s="25"/>
      <c r="BF236" s="22">
        <v>44781</v>
      </c>
      <c r="BG236" s="26">
        <f t="shared" ca="1" si="13"/>
        <v>0.99391882515588625</v>
      </c>
      <c r="BH236" s="29">
        <v>0</v>
      </c>
      <c r="BJ236" s="22">
        <v>44781</v>
      </c>
      <c r="BK236" s="26">
        <f t="shared" ca="1" si="14"/>
        <v>0.73626546113562552</v>
      </c>
      <c r="BL236" s="29">
        <v>0</v>
      </c>
      <c r="BN236" s="22">
        <v>44781</v>
      </c>
      <c r="BO236" s="26">
        <f t="shared" ca="1" si="15"/>
        <v>0.17629759607825524</v>
      </c>
      <c r="BP236" s="29">
        <v>0</v>
      </c>
      <c r="BR236" s="22">
        <v>44781</v>
      </c>
      <c r="BS236" s="26">
        <f t="shared" ca="1" si="16"/>
        <v>0.86651549427219965</v>
      </c>
      <c r="BT236" s="29">
        <v>0</v>
      </c>
      <c r="BV236" s="22">
        <v>44781</v>
      </c>
      <c r="BW236" s="26">
        <f t="shared" ca="1" si="17"/>
        <v>0.42369694534902236</v>
      </c>
      <c r="BX236" s="29">
        <v>0</v>
      </c>
    </row>
    <row r="237" spans="2:77" ht="12.75" x14ac:dyDescent="0.2">
      <c r="B237" s="22">
        <v>44782</v>
      </c>
      <c r="C237" s="26">
        <f t="shared" ca="1" si="0"/>
        <v>0.13387091480801527</v>
      </c>
      <c r="D237" s="29">
        <v>0</v>
      </c>
      <c r="F237" s="22">
        <v>44782</v>
      </c>
      <c r="G237" s="26">
        <f t="shared" ca="1" si="1"/>
        <v>0.83435053184398467</v>
      </c>
      <c r="H237" s="29">
        <v>0</v>
      </c>
      <c r="J237" s="22">
        <v>44782</v>
      </c>
      <c r="K237" s="26">
        <f t="shared" ca="1" si="2"/>
        <v>0.43706197816272885</v>
      </c>
      <c r="L237" s="29">
        <v>0</v>
      </c>
      <c r="N237" s="22">
        <v>44782</v>
      </c>
      <c r="O237" s="26">
        <f t="shared" ca="1" si="3"/>
        <v>0.31751575211922989</v>
      </c>
      <c r="P237" s="29">
        <v>0</v>
      </c>
      <c r="R237" s="22">
        <v>44782</v>
      </c>
      <c r="S237" s="26">
        <f t="shared" ca="1" si="4"/>
        <v>0.84258347505155418</v>
      </c>
      <c r="T237" s="29">
        <v>0</v>
      </c>
      <c r="V237" s="22">
        <v>44782</v>
      </c>
      <c r="W237" s="26">
        <f t="shared" ca="1" si="5"/>
        <v>0.40272783102541199</v>
      </c>
      <c r="X237" s="29">
        <v>0</v>
      </c>
      <c r="Z237" s="22">
        <v>44782</v>
      </c>
      <c r="AA237" s="26">
        <f t="shared" ca="1" si="6"/>
        <v>0.54613032156706676</v>
      </c>
      <c r="AB237" s="29">
        <v>0</v>
      </c>
      <c r="AC237"/>
      <c r="AD237" s="25"/>
      <c r="AF237" s="22">
        <v>44782</v>
      </c>
      <c r="AG237" s="26">
        <f t="shared" ca="1" si="7"/>
        <v>0.79641832213634911</v>
      </c>
      <c r="AH237" s="29">
        <v>0</v>
      </c>
      <c r="AJ237" s="22">
        <v>44782</v>
      </c>
      <c r="AK237" s="26">
        <f t="shared" ca="1" si="8"/>
        <v>0.5282190634424655</v>
      </c>
      <c r="AL237" s="29">
        <v>0</v>
      </c>
      <c r="AN237" s="22">
        <v>44782</v>
      </c>
      <c r="AO237" s="26">
        <f t="shared" ca="1" si="9"/>
        <v>0.112657883249075</v>
      </c>
      <c r="AP237" s="29">
        <v>0</v>
      </c>
      <c r="AR237" s="22">
        <v>44782</v>
      </c>
      <c r="AS237" s="26">
        <f t="shared" ca="1" si="10"/>
        <v>0.4863638942678179</v>
      </c>
      <c r="AT237" s="29">
        <v>0</v>
      </c>
      <c r="AV237" s="22">
        <v>44782</v>
      </c>
      <c r="AW237" s="26">
        <f t="shared" ca="1" si="11"/>
        <v>0.6303392587123855</v>
      </c>
      <c r="AX237" s="29">
        <v>0</v>
      </c>
      <c r="AZ237" s="22">
        <v>44782</v>
      </c>
      <c r="BA237" s="26">
        <f t="shared" ca="1" si="12"/>
        <v>0.52696919855745605</v>
      </c>
      <c r="BB237" s="29">
        <v>0</v>
      </c>
      <c r="BC237"/>
      <c r="BD237" s="25"/>
      <c r="BF237" s="22">
        <v>44782</v>
      </c>
      <c r="BG237" s="26">
        <f t="shared" ca="1" si="13"/>
        <v>0.1540584522367191</v>
      </c>
      <c r="BH237" s="29">
        <v>0</v>
      </c>
      <c r="BJ237" s="22">
        <v>44782</v>
      </c>
      <c r="BK237" s="26">
        <f t="shared" ca="1" si="14"/>
        <v>0.66572698064579827</v>
      </c>
      <c r="BL237" s="29">
        <v>0</v>
      </c>
      <c r="BN237" s="22">
        <v>44782</v>
      </c>
      <c r="BO237" s="26">
        <f t="shared" ca="1" si="15"/>
        <v>0.97489353289460723</v>
      </c>
      <c r="BP237" s="29">
        <v>0</v>
      </c>
      <c r="BR237" s="22">
        <v>44782</v>
      </c>
      <c r="BS237" s="26">
        <f t="shared" ca="1" si="16"/>
        <v>0.55054783496025117</v>
      </c>
      <c r="BT237" s="29">
        <v>0</v>
      </c>
      <c r="BV237" s="22">
        <v>44782</v>
      </c>
      <c r="BW237" s="26">
        <f t="shared" ca="1" si="17"/>
        <v>0.61145131561811794</v>
      </c>
      <c r="BX237" s="29">
        <v>0</v>
      </c>
    </row>
    <row r="238" spans="2:77" ht="12.75" x14ac:dyDescent="0.2">
      <c r="B238" s="22">
        <v>44783</v>
      </c>
      <c r="C238" s="26">
        <f t="shared" ca="1" si="0"/>
        <v>9.0754965275427701E-2</v>
      </c>
      <c r="D238" s="29">
        <v>0</v>
      </c>
      <c r="F238" s="22">
        <v>44783</v>
      </c>
      <c r="G238" s="26">
        <f t="shared" ca="1" si="1"/>
        <v>0.48925619952995769</v>
      </c>
      <c r="H238" s="29">
        <v>0</v>
      </c>
      <c r="J238" s="22">
        <v>44783</v>
      </c>
      <c r="K238" s="26">
        <f t="shared" ca="1" si="2"/>
        <v>0.89157193332148088</v>
      </c>
      <c r="L238" s="29">
        <v>0</v>
      </c>
      <c r="N238" s="22">
        <v>44783</v>
      </c>
      <c r="O238" s="26">
        <f t="shared" ca="1" si="3"/>
        <v>0.52666787364930723</v>
      </c>
      <c r="P238" s="29">
        <v>0</v>
      </c>
      <c r="R238" s="22">
        <v>44783</v>
      </c>
      <c r="S238" s="26">
        <f t="shared" ca="1" si="4"/>
        <v>0.22504932294072277</v>
      </c>
      <c r="T238" s="29">
        <v>0</v>
      </c>
      <c r="V238" s="22">
        <v>44783</v>
      </c>
      <c r="W238" s="26">
        <f t="shared" ca="1" si="5"/>
        <v>0.38815133992399908</v>
      </c>
      <c r="X238" s="29">
        <v>0</v>
      </c>
      <c r="Z238" s="22">
        <v>44783</v>
      </c>
      <c r="AA238" s="26">
        <f t="shared" ca="1" si="6"/>
        <v>0.11171956784068438</v>
      </c>
      <c r="AB238" s="29">
        <v>0</v>
      </c>
      <c r="AC238"/>
      <c r="AD238" s="25"/>
      <c r="AF238" s="22">
        <v>44783</v>
      </c>
      <c r="AG238" s="26">
        <f t="shared" ca="1" si="7"/>
        <v>0.44050969768725257</v>
      </c>
      <c r="AH238" s="29">
        <v>0</v>
      </c>
      <c r="AJ238" s="22">
        <v>44783</v>
      </c>
      <c r="AK238" s="26">
        <f t="shared" ca="1" si="8"/>
        <v>0.14163827424846709</v>
      </c>
      <c r="AL238" s="29">
        <v>0</v>
      </c>
      <c r="AN238" s="22">
        <v>44783</v>
      </c>
      <c r="AO238" s="26">
        <f t="shared" ca="1" si="9"/>
        <v>0.85647974891983714</v>
      </c>
      <c r="AP238" s="29">
        <v>0</v>
      </c>
      <c r="AR238" s="22">
        <v>44783</v>
      </c>
      <c r="AS238" s="26">
        <f t="shared" ca="1" si="10"/>
        <v>0.77750243239810279</v>
      </c>
      <c r="AT238" s="29">
        <v>0</v>
      </c>
      <c r="AV238" s="22">
        <v>44783</v>
      </c>
      <c r="AW238" s="26">
        <f t="shared" ca="1" si="11"/>
        <v>0.52395498622734027</v>
      </c>
      <c r="AX238" s="29">
        <v>0</v>
      </c>
      <c r="AZ238" s="22">
        <v>44783</v>
      </c>
      <c r="BA238" s="26">
        <f t="shared" ca="1" si="12"/>
        <v>0.96774453226421209</v>
      </c>
      <c r="BB238" s="29">
        <v>0</v>
      </c>
      <c r="BC238"/>
      <c r="BD238" s="25"/>
      <c r="BF238" s="22">
        <v>44783</v>
      </c>
      <c r="BG238" s="26">
        <f t="shared" ca="1" si="13"/>
        <v>0.80084130151324284</v>
      </c>
      <c r="BH238" s="29">
        <v>0</v>
      </c>
      <c r="BJ238" s="22">
        <v>44783</v>
      </c>
      <c r="BK238" s="26">
        <f t="shared" ca="1" si="14"/>
        <v>0.5604941372544725</v>
      </c>
      <c r="BL238" s="29">
        <v>0</v>
      </c>
      <c r="BN238" s="22">
        <v>44783</v>
      </c>
      <c r="BO238" s="26">
        <f t="shared" ca="1" si="15"/>
        <v>5.6173616931648129E-2</v>
      </c>
      <c r="BP238" s="29">
        <v>0</v>
      </c>
      <c r="BR238" s="22">
        <v>44783</v>
      </c>
      <c r="BS238" s="26">
        <f t="shared" ca="1" si="16"/>
        <v>0.41951390007394362</v>
      </c>
      <c r="BT238" s="29">
        <v>0</v>
      </c>
      <c r="BV238" s="22">
        <v>44783</v>
      </c>
      <c r="BW238" s="26">
        <f t="shared" ca="1" si="17"/>
        <v>0.93887044131802366</v>
      </c>
      <c r="BX238" s="29">
        <v>0</v>
      </c>
    </row>
    <row r="239" spans="2:77" ht="12.75" x14ac:dyDescent="0.2">
      <c r="B239" s="22">
        <v>44784</v>
      </c>
      <c r="C239" s="26">
        <f t="shared" ca="1" si="0"/>
        <v>0.96064847212298654</v>
      </c>
      <c r="D239" s="29">
        <v>0</v>
      </c>
      <c r="F239" s="22">
        <v>44784</v>
      </c>
      <c r="G239" s="26">
        <f t="shared" ca="1" si="1"/>
        <v>0.57481650615143243</v>
      </c>
      <c r="H239" s="29">
        <v>0</v>
      </c>
      <c r="J239" s="22">
        <v>44784</v>
      </c>
      <c r="K239" s="26">
        <f t="shared" ca="1" si="2"/>
        <v>0.78778501116264477</v>
      </c>
      <c r="L239" s="29">
        <v>0</v>
      </c>
      <c r="N239" s="22">
        <v>44784</v>
      </c>
      <c r="O239" s="26">
        <f t="shared" ca="1" si="3"/>
        <v>6.8659600778735674E-2</v>
      </c>
      <c r="P239" s="29">
        <v>0</v>
      </c>
      <c r="R239" s="22">
        <v>44784</v>
      </c>
      <c r="S239" s="26">
        <f t="shared" ca="1" si="4"/>
        <v>0.60917040767420172</v>
      </c>
      <c r="T239" s="29">
        <v>0</v>
      </c>
      <c r="V239" s="22">
        <v>44784</v>
      </c>
      <c r="W239" s="26">
        <f t="shared" ca="1" si="5"/>
        <v>0.82048470569938659</v>
      </c>
      <c r="X239" s="29">
        <v>0</v>
      </c>
      <c r="Z239" s="22">
        <v>44784</v>
      </c>
      <c r="AA239" s="26">
        <f t="shared" ca="1" si="6"/>
        <v>0.92242068527562193</v>
      </c>
      <c r="AB239" s="29">
        <v>0</v>
      </c>
      <c r="AC239"/>
      <c r="AD239" s="25"/>
      <c r="AF239" s="22">
        <v>44784</v>
      </c>
      <c r="AG239" s="26">
        <f t="shared" ca="1" si="7"/>
        <v>0.43969290121324967</v>
      </c>
      <c r="AH239" s="29">
        <v>0</v>
      </c>
      <c r="AJ239" s="22">
        <v>44784</v>
      </c>
      <c r="AK239" s="26">
        <f t="shared" ca="1" si="8"/>
        <v>0.1831085771598342</v>
      </c>
      <c r="AL239" s="29">
        <v>0</v>
      </c>
      <c r="AN239" s="22">
        <v>44784</v>
      </c>
      <c r="AO239" s="26">
        <f t="shared" ca="1" si="9"/>
        <v>0.41605566009996742</v>
      </c>
      <c r="AP239" s="29">
        <v>0</v>
      </c>
      <c r="AR239" s="22">
        <v>44784</v>
      </c>
      <c r="AS239" s="26">
        <f t="shared" ca="1" si="10"/>
        <v>0.57506570553026537</v>
      </c>
      <c r="AT239" s="29">
        <v>0</v>
      </c>
      <c r="AV239" s="22">
        <v>44784</v>
      </c>
      <c r="AW239" s="26">
        <f t="shared" ca="1" si="11"/>
        <v>0.94186369376289403</v>
      </c>
      <c r="AX239" s="29">
        <v>0</v>
      </c>
      <c r="AZ239" s="22">
        <v>44784</v>
      </c>
      <c r="BA239" s="26">
        <f t="shared" ca="1" si="12"/>
        <v>0.45302272402037713</v>
      </c>
      <c r="BB239" s="29">
        <v>0</v>
      </c>
      <c r="BC239"/>
      <c r="BD239" s="25"/>
      <c r="BF239" s="22">
        <v>44784</v>
      </c>
      <c r="BG239" s="26">
        <f t="shared" ca="1" si="13"/>
        <v>0.5782763667535944</v>
      </c>
      <c r="BH239" s="29">
        <v>0</v>
      </c>
      <c r="BJ239" s="22">
        <v>44784</v>
      </c>
      <c r="BK239" s="26">
        <f t="shared" ca="1" si="14"/>
        <v>0.8583473060228719</v>
      </c>
      <c r="BL239" s="29">
        <v>0</v>
      </c>
      <c r="BN239" s="22">
        <v>44784</v>
      </c>
      <c r="BO239" s="26">
        <f t="shared" ca="1" si="15"/>
        <v>0.88114593893854887</v>
      </c>
      <c r="BP239" s="29">
        <v>0</v>
      </c>
      <c r="BR239" s="22">
        <v>44784</v>
      </c>
      <c r="BS239" s="26">
        <f t="shared" ca="1" si="16"/>
        <v>0.92933814598461328</v>
      </c>
      <c r="BT239" s="29">
        <v>0</v>
      </c>
      <c r="BV239" s="22">
        <v>44784</v>
      </c>
      <c r="BW239" s="26">
        <f t="shared" ca="1" si="17"/>
        <v>0.50386218696431395</v>
      </c>
      <c r="BX239" s="29">
        <v>0</v>
      </c>
    </row>
    <row r="240" spans="2:77" ht="12.75" x14ac:dyDescent="0.2">
      <c r="B240" s="22">
        <v>44785</v>
      </c>
      <c r="C240" s="26">
        <f t="shared" ca="1" si="0"/>
        <v>0.92966296041599639</v>
      </c>
      <c r="D240" s="29">
        <v>0</v>
      </c>
      <c r="F240" s="22">
        <v>44785</v>
      </c>
      <c r="G240" s="26">
        <f t="shared" ca="1" si="1"/>
        <v>3.6516755937578971E-3</v>
      </c>
      <c r="H240" s="29">
        <v>0</v>
      </c>
      <c r="J240" s="22">
        <v>44785</v>
      </c>
      <c r="K240" s="26">
        <f t="shared" ca="1" si="2"/>
        <v>3.4328962260108953E-2</v>
      </c>
      <c r="L240" s="29">
        <v>0</v>
      </c>
      <c r="N240" s="22">
        <v>44785</v>
      </c>
      <c r="O240" s="26">
        <f t="shared" ca="1" si="3"/>
        <v>0.6145901353447869</v>
      </c>
      <c r="P240" s="29">
        <v>0</v>
      </c>
      <c r="R240" s="22">
        <v>44785</v>
      </c>
      <c r="S240" s="26">
        <f t="shared" ca="1" si="4"/>
        <v>0.77034818483546963</v>
      </c>
      <c r="T240" s="29">
        <v>0</v>
      </c>
      <c r="V240" s="22">
        <v>44785</v>
      </c>
      <c r="W240" s="26">
        <f t="shared" ca="1" si="5"/>
        <v>0.56256233788385679</v>
      </c>
      <c r="X240" s="29">
        <v>0</v>
      </c>
      <c r="Z240" s="22">
        <v>44785</v>
      </c>
      <c r="AA240" s="26">
        <f t="shared" ca="1" si="6"/>
        <v>0.37189890388945812</v>
      </c>
      <c r="AB240" s="29">
        <v>0</v>
      </c>
      <c r="AC240"/>
      <c r="AD240" s="25"/>
      <c r="AF240" s="22">
        <v>44785</v>
      </c>
      <c r="AG240" s="26">
        <f t="shared" ca="1" si="7"/>
        <v>0.83539278008025319</v>
      </c>
      <c r="AH240" s="29">
        <v>0</v>
      </c>
      <c r="AJ240" s="22">
        <v>44785</v>
      </c>
      <c r="AK240" s="26">
        <f t="shared" ca="1" si="8"/>
        <v>0.92157325752068264</v>
      </c>
      <c r="AL240" s="29">
        <v>0</v>
      </c>
      <c r="AN240" s="22">
        <v>44785</v>
      </c>
      <c r="AO240" s="26">
        <f t="shared" ca="1" si="9"/>
        <v>0.73591752140070577</v>
      </c>
      <c r="AP240" s="29">
        <v>0</v>
      </c>
      <c r="AR240" s="22">
        <v>44785</v>
      </c>
      <c r="AS240" s="26">
        <f t="shared" ca="1" si="10"/>
        <v>0.558149632976782</v>
      </c>
      <c r="AT240" s="29">
        <v>0</v>
      </c>
      <c r="AV240" s="22">
        <v>44785</v>
      </c>
      <c r="AW240" s="26">
        <f t="shared" ca="1" si="11"/>
        <v>0.66791179553309188</v>
      </c>
      <c r="AX240" s="29">
        <v>0</v>
      </c>
      <c r="AZ240" s="22">
        <v>44785</v>
      </c>
      <c r="BA240" s="26">
        <f t="shared" ca="1" si="12"/>
        <v>0.7529910226215194</v>
      </c>
      <c r="BB240" s="29">
        <v>0</v>
      </c>
      <c r="BC240"/>
      <c r="BD240" s="25"/>
      <c r="BF240" s="22">
        <v>44785</v>
      </c>
      <c r="BG240" s="26">
        <f t="shared" ca="1" si="13"/>
        <v>6.8847027313884035E-2</v>
      </c>
      <c r="BH240" s="29">
        <v>0</v>
      </c>
      <c r="BJ240" s="22">
        <v>44785</v>
      </c>
      <c r="BK240" s="26">
        <f t="shared" ca="1" si="14"/>
        <v>0.68349155409382922</v>
      </c>
      <c r="BL240" s="29">
        <v>0</v>
      </c>
      <c r="BN240" s="22">
        <v>44785</v>
      </c>
      <c r="BO240" s="26">
        <f t="shared" ca="1" si="15"/>
        <v>0.42678269839102256</v>
      </c>
      <c r="BP240" s="29">
        <v>0</v>
      </c>
      <c r="BR240" s="22">
        <v>44785</v>
      </c>
      <c r="BS240" s="26">
        <f t="shared" ca="1" si="16"/>
        <v>0.44230956362975016</v>
      </c>
      <c r="BT240" s="29">
        <v>0</v>
      </c>
      <c r="BV240" s="22">
        <v>44785</v>
      </c>
      <c r="BW240" s="26">
        <f t="shared" ca="1" si="17"/>
        <v>0.23651452280917129</v>
      </c>
      <c r="BX240" s="29">
        <v>0</v>
      </c>
    </row>
    <row r="241" spans="2:76" ht="12.75" x14ac:dyDescent="0.2">
      <c r="B241" s="22">
        <v>44786</v>
      </c>
      <c r="C241" s="26">
        <f t="shared" ca="1" si="0"/>
        <v>0.56329539592953803</v>
      </c>
      <c r="D241" s="29">
        <v>0</v>
      </c>
      <c r="F241" s="22">
        <v>44786</v>
      </c>
      <c r="G241" s="26">
        <f t="shared" ca="1" si="1"/>
        <v>0.32982393094140217</v>
      </c>
      <c r="H241" s="29">
        <v>0</v>
      </c>
      <c r="J241" s="22">
        <v>44786</v>
      </c>
      <c r="K241" s="26">
        <f t="shared" ca="1" si="2"/>
        <v>0.24338318221605926</v>
      </c>
      <c r="L241" s="29">
        <v>0</v>
      </c>
      <c r="N241" s="22">
        <v>44786</v>
      </c>
      <c r="O241" s="26">
        <f t="shared" ca="1" si="3"/>
        <v>3.952492280507891E-2</v>
      </c>
      <c r="P241" s="29">
        <v>0</v>
      </c>
      <c r="R241" s="22">
        <v>44786</v>
      </c>
      <c r="S241" s="26">
        <f t="shared" ca="1" si="4"/>
        <v>0.22699261385657699</v>
      </c>
      <c r="T241" s="29">
        <v>0</v>
      </c>
      <c r="V241" s="22">
        <v>44786</v>
      </c>
      <c r="W241" s="26">
        <f t="shared" ca="1" si="5"/>
        <v>0.10186557007713026</v>
      </c>
      <c r="X241" s="29">
        <v>0</v>
      </c>
      <c r="Z241" s="22">
        <v>44786</v>
      </c>
      <c r="AA241" s="26">
        <f t="shared" ca="1" si="6"/>
        <v>0.99710218438518206</v>
      </c>
      <c r="AB241" s="29">
        <v>0</v>
      </c>
      <c r="AC241"/>
      <c r="AD241" s="25"/>
      <c r="AF241" s="22">
        <v>44786</v>
      </c>
      <c r="AG241" s="26">
        <f t="shared" ca="1" si="7"/>
        <v>0.70846952214577719</v>
      </c>
      <c r="AH241" s="29">
        <v>0</v>
      </c>
      <c r="AJ241" s="22">
        <v>44786</v>
      </c>
      <c r="AK241" s="26">
        <f t="shared" ca="1" si="8"/>
        <v>0.61522209930207572</v>
      </c>
      <c r="AL241" s="29">
        <v>0</v>
      </c>
      <c r="AN241" s="22">
        <v>44786</v>
      </c>
      <c r="AO241" s="26">
        <f t="shared" ca="1" si="9"/>
        <v>0.53531309064319743</v>
      </c>
      <c r="AP241" s="29">
        <v>0</v>
      </c>
      <c r="AR241" s="22">
        <v>44786</v>
      </c>
      <c r="AS241" s="26">
        <f t="shared" ca="1" si="10"/>
        <v>8.2927141525064751E-2</v>
      </c>
      <c r="AT241" s="29">
        <v>0</v>
      </c>
      <c r="AV241" s="22">
        <v>44786</v>
      </c>
      <c r="AW241" s="26">
        <f t="shared" ca="1" si="11"/>
        <v>0.56807744418631467</v>
      </c>
      <c r="AX241" s="29">
        <v>0</v>
      </c>
      <c r="AZ241" s="22">
        <v>44786</v>
      </c>
      <c r="BA241" s="26">
        <f t="shared" ca="1" si="12"/>
        <v>0.20673886396075158</v>
      </c>
      <c r="BB241" s="29">
        <v>0</v>
      </c>
      <c r="BC241"/>
      <c r="BD241" s="25"/>
      <c r="BF241" s="22">
        <v>44786</v>
      </c>
      <c r="BG241" s="26">
        <f t="shared" ca="1" si="13"/>
        <v>0.71287915485924558</v>
      </c>
      <c r="BH241" s="29">
        <v>0</v>
      </c>
      <c r="BJ241" s="22">
        <v>44786</v>
      </c>
      <c r="BK241" s="26">
        <f t="shared" ca="1" si="14"/>
        <v>0.77356129570465315</v>
      </c>
      <c r="BL241" s="29">
        <v>0</v>
      </c>
      <c r="BN241" s="22">
        <v>44786</v>
      </c>
      <c r="BO241" s="26">
        <f t="shared" ca="1" si="15"/>
        <v>0.74219560247503891</v>
      </c>
      <c r="BP241" s="29">
        <v>0</v>
      </c>
      <c r="BR241" s="22">
        <v>44786</v>
      </c>
      <c r="BS241" s="26">
        <f t="shared" ca="1" si="16"/>
        <v>0.2278231548462164</v>
      </c>
      <c r="BT241" s="29">
        <v>0</v>
      </c>
      <c r="BV241" s="22">
        <v>44786</v>
      </c>
      <c r="BW241" s="26">
        <f t="shared" ca="1" si="17"/>
        <v>0.66440731512597573</v>
      </c>
      <c r="BX241" s="29">
        <v>0</v>
      </c>
    </row>
    <row r="242" spans="2:76" ht="12.75" x14ac:dyDescent="0.2">
      <c r="B242" s="22">
        <v>44787</v>
      </c>
      <c r="C242" s="26">
        <f t="shared" ca="1" si="0"/>
        <v>0.5182489424303397</v>
      </c>
      <c r="D242" s="29">
        <v>0</v>
      </c>
      <c r="F242" s="22">
        <v>44787</v>
      </c>
      <c r="G242" s="26">
        <f t="shared" ca="1" si="1"/>
        <v>0.93375492288417383</v>
      </c>
      <c r="H242" s="29">
        <v>0</v>
      </c>
      <c r="J242" s="22">
        <v>44787</v>
      </c>
      <c r="K242" s="26">
        <f t="shared" ca="1" si="2"/>
        <v>0.30464380276797343</v>
      </c>
      <c r="L242" s="29">
        <v>0</v>
      </c>
      <c r="N242" s="22">
        <v>44787</v>
      </c>
      <c r="O242" s="26">
        <f t="shared" ca="1" si="3"/>
        <v>6.6756504363266078E-2</v>
      </c>
      <c r="P242" s="29">
        <v>0</v>
      </c>
      <c r="R242" s="22">
        <v>44787</v>
      </c>
      <c r="S242" s="26">
        <f t="shared" ca="1" si="4"/>
        <v>0.3054600142805084</v>
      </c>
      <c r="T242" s="29">
        <v>0</v>
      </c>
      <c r="V242" s="22">
        <v>44787</v>
      </c>
      <c r="W242" s="26">
        <f t="shared" ca="1" si="5"/>
        <v>0.47948025098741975</v>
      </c>
      <c r="X242" s="29">
        <v>0</v>
      </c>
      <c r="Z242" s="22">
        <v>44787</v>
      </c>
      <c r="AA242" s="26">
        <f t="shared" ca="1" si="6"/>
        <v>0.33103079299202154</v>
      </c>
      <c r="AB242" s="29">
        <v>0</v>
      </c>
      <c r="AC242"/>
      <c r="AD242" s="25"/>
      <c r="AF242" s="22">
        <v>44787</v>
      </c>
      <c r="AG242" s="26">
        <f t="shared" ca="1" si="7"/>
        <v>9.8070610686678217E-2</v>
      </c>
      <c r="AH242" s="29">
        <v>0</v>
      </c>
      <c r="AJ242" s="22">
        <v>44787</v>
      </c>
      <c r="AK242" s="26">
        <f t="shared" ca="1" si="8"/>
        <v>0.6382881424083221</v>
      </c>
      <c r="AL242" s="29">
        <v>0</v>
      </c>
      <c r="AN242" s="22">
        <v>44787</v>
      </c>
      <c r="AO242" s="26">
        <f t="shared" ca="1" si="9"/>
        <v>0.65744966950165262</v>
      </c>
      <c r="AP242" s="29">
        <v>0</v>
      </c>
      <c r="AR242" s="22">
        <v>44787</v>
      </c>
      <c r="AS242" s="26">
        <f t="shared" ca="1" si="10"/>
        <v>0.68137082349869071</v>
      </c>
      <c r="AT242" s="29">
        <v>0</v>
      </c>
      <c r="AV242" s="22">
        <v>44787</v>
      </c>
      <c r="AW242" s="26">
        <f t="shared" ca="1" si="11"/>
        <v>0.21634005922173405</v>
      </c>
      <c r="AX242" s="29">
        <v>0</v>
      </c>
      <c r="AZ242" s="22">
        <v>44787</v>
      </c>
      <c r="BA242" s="26">
        <f t="shared" ca="1" si="12"/>
        <v>0.43750260361154392</v>
      </c>
      <c r="BB242" s="29">
        <v>0</v>
      </c>
      <c r="BC242"/>
      <c r="BD242" s="25"/>
      <c r="BF242" s="22">
        <v>44787</v>
      </c>
      <c r="BG242" s="26">
        <f t="shared" ca="1" si="13"/>
        <v>0.55777845528741088</v>
      </c>
      <c r="BH242" s="29">
        <v>0</v>
      </c>
      <c r="BJ242" s="22">
        <v>44787</v>
      </c>
      <c r="BK242" s="26">
        <f t="shared" ca="1" si="14"/>
        <v>0.52147255697225758</v>
      </c>
      <c r="BL242" s="29">
        <v>0</v>
      </c>
      <c r="BN242" s="22">
        <v>44787</v>
      </c>
      <c r="BO242" s="26">
        <f t="shared" ca="1" si="15"/>
        <v>0.40678215837623122</v>
      </c>
      <c r="BP242" s="29">
        <v>0</v>
      </c>
      <c r="BR242" s="22">
        <v>44787</v>
      </c>
      <c r="BS242" s="26">
        <f t="shared" ca="1" si="16"/>
        <v>0.31580538338268382</v>
      </c>
      <c r="BT242" s="29">
        <v>0</v>
      </c>
      <c r="BV242" s="22">
        <v>44787</v>
      </c>
      <c r="BW242" s="26">
        <f t="shared" ca="1" si="17"/>
        <v>0.16403844342239993</v>
      </c>
      <c r="BX242" s="29">
        <v>0</v>
      </c>
    </row>
    <row r="243" spans="2:76" ht="12.75" x14ac:dyDescent="0.2">
      <c r="B243" s="22">
        <v>44788</v>
      </c>
      <c r="C243" s="26">
        <f t="shared" ca="1" si="0"/>
        <v>9.3786293259787379E-2</v>
      </c>
      <c r="D243" s="29">
        <v>0</v>
      </c>
      <c r="F243" s="22">
        <v>44788</v>
      </c>
      <c r="G243" s="26">
        <f t="shared" ca="1" si="1"/>
        <v>0.24857883028255345</v>
      </c>
      <c r="H243" s="29">
        <v>0</v>
      </c>
      <c r="J243" s="22">
        <v>44788</v>
      </c>
      <c r="K243" s="26">
        <f t="shared" ca="1" si="2"/>
        <v>0.53257531115352008</v>
      </c>
      <c r="L243" s="29">
        <v>0</v>
      </c>
      <c r="N243" s="22">
        <v>44788</v>
      </c>
      <c r="O243" s="26">
        <f t="shared" ca="1" si="3"/>
        <v>0.5220071590920361</v>
      </c>
      <c r="P243" s="29">
        <v>0</v>
      </c>
      <c r="R243" s="22">
        <v>44788</v>
      </c>
      <c r="S243" s="26">
        <f t="shared" ca="1" si="4"/>
        <v>0.21824508533048637</v>
      </c>
      <c r="T243" s="29">
        <v>0</v>
      </c>
      <c r="V243" s="22">
        <v>44788</v>
      </c>
      <c r="W243" s="26">
        <f t="shared" ca="1" si="5"/>
        <v>0.9808315837587952</v>
      </c>
      <c r="X243" s="29">
        <v>0</v>
      </c>
      <c r="Z243" s="22">
        <v>44788</v>
      </c>
      <c r="AA243" s="26">
        <f t="shared" ca="1" si="6"/>
        <v>0.49524764700753432</v>
      </c>
      <c r="AB243" s="29">
        <v>0</v>
      </c>
      <c r="AC243"/>
      <c r="AD243" s="25"/>
      <c r="AF243" s="22">
        <v>44788</v>
      </c>
      <c r="AG243" s="26">
        <f t="shared" ca="1" si="7"/>
        <v>4.344373056571893E-2</v>
      </c>
      <c r="AH243" s="29">
        <v>0</v>
      </c>
      <c r="AJ243" s="22">
        <v>44788</v>
      </c>
      <c r="AK243" s="26">
        <f t="shared" ca="1" si="8"/>
        <v>0.34357862726720201</v>
      </c>
      <c r="AL243" s="29">
        <v>0</v>
      </c>
      <c r="AN243" s="22">
        <v>44788</v>
      </c>
      <c r="AO243" s="26">
        <f t="shared" ca="1" si="9"/>
        <v>0.52435001058940645</v>
      </c>
      <c r="AP243" s="29">
        <v>0</v>
      </c>
      <c r="AR243" s="22">
        <v>44788</v>
      </c>
      <c r="AS243" s="26">
        <f t="shared" ca="1" si="10"/>
        <v>0.27510824081619623</v>
      </c>
      <c r="AT243" s="29">
        <v>0</v>
      </c>
      <c r="AV243" s="22">
        <v>44788</v>
      </c>
      <c r="AW243" s="26">
        <f t="shared" ca="1" si="11"/>
        <v>6.5405015528108179E-2</v>
      </c>
      <c r="AX243" s="29">
        <v>0</v>
      </c>
      <c r="AZ243" s="22">
        <v>44788</v>
      </c>
      <c r="BA243" s="26">
        <f t="shared" ca="1" si="12"/>
        <v>0.80104883624833423</v>
      </c>
      <c r="BB243" s="29">
        <v>0</v>
      </c>
      <c r="BC243"/>
      <c r="BD243" s="25"/>
      <c r="BF243" s="22">
        <v>44788</v>
      </c>
      <c r="BG243" s="26">
        <f t="shared" ca="1" si="13"/>
        <v>0.49208167168681427</v>
      </c>
      <c r="BH243" s="29">
        <v>0</v>
      </c>
      <c r="BJ243" s="22">
        <v>44788</v>
      </c>
      <c r="BK243" s="26">
        <f t="shared" ca="1" si="14"/>
        <v>0.49972684098133979</v>
      </c>
      <c r="BL243" s="29">
        <v>0</v>
      </c>
      <c r="BN243" s="22">
        <v>44788</v>
      </c>
      <c r="BO243" s="26">
        <f t="shared" ca="1" si="15"/>
        <v>0.2039810455748311</v>
      </c>
      <c r="BP243" s="29">
        <v>0</v>
      </c>
      <c r="BR243" s="22">
        <v>44788</v>
      </c>
      <c r="BS243" s="26">
        <f t="shared" ca="1" si="16"/>
        <v>0.439731857272461</v>
      </c>
      <c r="BT243" s="29">
        <v>0</v>
      </c>
      <c r="BV243" s="22">
        <v>44788</v>
      </c>
      <c r="BW243" s="26">
        <f t="shared" ca="1" si="17"/>
        <v>0.30635738024379289</v>
      </c>
      <c r="BX243" s="29">
        <v>0</v>
      </c>
    </row>
    <row r="244" spans="2:76" ht="12.75" x14ac:dyDescent="0.2">
      <c r="B244" s="22">
        <v>44789</v>
      </c>
      <c r="C244" s="26">
        <f t="shared" ca="1" si="0"/>
        <v>0.25850996922426617</v>
      </c>
      <c r="D244" s="29">
        <v>0</v>
      </c>
      <c r="F244" s="22">
        <v>44789</v>
      </c>
      <c r="G244" s="26">
        <f t="shared" ca="1" si="1"/>
        <v>0.72693540537058299</v>
      </c>
      <c r="H244" s="29">
        <v>0</v>
      </c>
      <c r="J244" s="22">
        <v>44789</v>
      </c>
      <c r="K244" s="26">
        <f t="shared" ca="1" si="2"/>
        <v>0.24027904710253989</v>
      </c>
      <c r="L244" s="29">
        <v>0</v>
      </c>
      <c r="N244" s="22">
        <v>44789</v>
      </c>
      <c r="O244" s="26">
        <f t="shared" ca="1" si="3"/>
        <v>0.85926239596934151</v>
      </c>
      <c r="P244" s="29">
        <v>0</v>
      </c>
      <c r="R244" s="22">
        <v>44789</v>
      </c>
      <c r="S244" s="26">
        <f t="shared" ca="1" si="4"/>
        <v>0.31635179583340478</v>
      </c>
      <c r="T244" s="29">
        <v>0</v>
      </c>
      <c r="V244" s="22">
        <v>44789</v>
      </c>
      <c r="W244" s="26">
        <f t="shared" ca="1" si="5"/>
        <v>0.70409191084053857</v>
      </c>
      <c r="X244" s="29">
        <v>0</v>
      </c>
      <c r="Z244" s="22">
        <v>44789</v>
      </c>
      <c r="AA244" s="26">
        <f t="shared" ca="1" si="6"/>
        <v>0.70331327754237993</v>
      </c>
      <c r="AB244" s="29">
        <v>0</v>
      </c>
      <c r="AC244"/>
      <c r="AD244" s="25"/>
      <c r="AF244" s="22">
        <v>44789</v>
      </c>
      <c r="AG244" s="26">
        <f t="shared" ca="1" si="7"/>
        <v>0.60360977821322948</v>
      </c>
      <c r="AH244" s="29">
        <v>0</v>
      </c>
      <c r="AJ244" s="22">
        <v>44789</v>
      </c>
      <c r="AK244" s="26">
        <f t="shared" ca="1" si="8"/>
        <v>1.2273662394309048E-2</v>
      </c>
      <c r="AL244" s="29">
        <v>0</v>
      </c>
      <c r="AN244" s="22">
        <v>44789</v>
      </c>
      <c r="AO244" s="26">
        <f t="shared" ca="1" si="9"/>
        <v>0.24749001080385902</v>
      </c>
      <c r="AP244" s="29">
        <v>0</v>
      </c>
      <c r="AR244" s="22">
        <v>44789</v>
      </c>
      <c r="AS244" s="26">
        <f t="shared" ca="1" si="10"/>
        <v>0.43378875351001589</v>
      </c>
      <c r="AT244" s="29">
        <v>0</v>
      </c>
      <c r="AV244" s="22">
        <v>44789</v>
      </c>
      <c r="AW244" s="26">
        <f t="shared" ca="1" si="11"/>
        <v>0.84947401611113849</v>
      </c>
      <c r="AX244" s="29">
        <v>0</v>
      </c>
      <c r="AZ244" s="22">
        <v>44789</v>
      </c>
      <c r="BA244" s="26">
        <f t="shared" ca="1" si="12"/>
        <v>0.58676580395532441</v>
      </c>
      <c r="BB244" s="29">
        <v>0</v>
      </c>
      <c r="BC244"/>
      <c r="BD244" s="25"/>
      <c r="BF244" s="22">
        <v>44789</v>
      </c>
      <c r="BG244" s="26">
        <f t="shared" ca="1" si="13"/>
        <v>0.60368714451285288</v>
      </c>
      <c r="BH244" s="29">
        <v>0</v>
      </c>
      <c r="BJ244" s="22">
        <v>44789</v>
      </c>
      <c r="BK244" s="26">
        <f t="shared" ca="1" si="14"/>
        <v>0.21466846608195689</v>
      </c>
      <c r="BL244" s="29">
        <v>0</v>
      </c>
      <c r="BN244" s="22">
        <v>44789</v>
      </c>
      <c r="BO244" s="26">
        <f t="shared" ca="1" si="15"/>
        <v>0.43833493584144156</v>
      </c>
      <c r="BP244" s="29">
        <v>0</v>
      </c>
      <c r="BR244" s="22">
        <v>44789</v>
      </c>
      <c r="BS244" s="26">
        <f t="shared" ca="1" si="16"/>
        <v>0.648408474442556</v>
      </c>
      <c r="BT244" s="29">
        <v>0</v>
      </c>
      <c r="BV244" s="22">
        <v>44789</v>
      </c>
      <c r="BW244" s="26">
        <f t="shared" ca="1" si="17"/>
        <v>0.7280684103847751</v>
      </c>
      <c r="BX244" s="29">
        <v>0</v>
      </c>
    </row>
    <row r="245" spans="2:76" ht="12.75" x14ac:dyDescent="0.2">
      <c r="B245" s="22">
        <v>44790</v>
      </c>
      <c r="C245" s="26">
        <f t="shared" ca="1" si="0"/>
        <v>0.27618901486586711</v>
      </c>
      <c r="D245" s="29">
        <v>0</v>
      </c>
      <c r="F245" s="22">
        <v>44790</v>
      </c>
      <c r="G245" s="26">
        <f t="shared" ca="1" si="1"/>
        <v>0.78309997836438694</v>
      </c>
      <c r="H245" s="29">
        <v>0</v>
      </c>
      <c r="J245" s="22">
        <v>44790</v>
      </c>
      <c r="K245" s="26">
        <f t="shared" ca="1" si="2"/>
        <v>0.90799375593262577</v>
      </c>
      <c r="L245" s="29">
        <v>0</v>
      </c>
      <c r="N245" s="22">
        <v>44790</v>
      </c>
      <c r="O245" s="26">
        <f t="shared" ca="1" si="3"/>
        <v>0.57358133722994542</v>
      </c>
      <c r="P245" s="29">
        <v>0</v>
      </c>
      <c r="R245" s="22">
        <v>44790</v>
      </c>
      <c r="S245" s="26">
        <f t="shared" ca="1" si="4"/>
        <v>0.35415359681823533</v>
      </c>
      <c r="T245" s="29">
        <v>0</v>
      </c>
      <c r="V245" s="22">
        <v>44790</v>
      </c>
      <c r="W245" s="26">
        <f t="shared" ca="1" si="5"/>
        <v>0.39100284648639527</v>
      </c>
      <c r="X245" s="29">
        <v>0</v>
      </c>
      <c r="Z245" s="22">
        <v>44790</v>
      </c>
      <c r="AA245" s="26">
        <f t="shared" ca="1" si="6"/>
        <v>0.80297094406573422</v>
      </c>
      <c r="AB245" s="29">
        <v>0</v>
      </c>
      <c r="AC245"/>
      <c r="AD245" s="25"/>
      <c r="AF245" s="22">
        <v>44790</v>
      </c>
      <c r="AG245" s="26">
        <f t="shared" ca="1" si="7"/>
        <v>0.84692278150800004</v>
      </c>
      <c r="AH245" s="29">
        <v>0</v>
      </c>
      <c r="AJ245" s="22">
        <v>44790</v>
      </c>
      <c r="AK245" s="26">
        <f t="shared" ca="1" si="8"/>
        <v>0.48853798952167093</v>
      </c>
      <c r="AL245" s="29">
        <v>0</v>
      </c>
      <c r="AN245" s="22">
        <v>44790</v>
      </c>
      <c r="AO245" s="26">
        <f t="shared" ca="1" si="9"/>
        <v>0.80434449532670582</v>
      </c>
      <c r="AP245" s="29">
        <v>0</v>
      </c>
      <c r="AR245" s="22">
        <v>44790</v>
      </c>
      <c r="AS245" s="26">
        <f t="shared" ca="1" si="10"/>
        <v>8.2944313898494215E-2</v>
      </c>
      <c r="AT245" s="29">
        <v>0</v>
      </c>
      <c r="AV245" s="22">
        <v>44790</v>
      </c>
      <c r="AW245" s="26">
        <f t="shared" ca="1" si="11"/>
        <v>0.38198613040675355</v>
      </c>
      <c r="AX245" s="29">
        <v>0</v>
      </c>
      <c r="AZ245" s="22">
        <v>44790</v>
      </c>
      <c r="BA245" s="26">
        <f t="shared" ca="1" si="12"/>
        <v>0.25068447816351291</v>
      </c>
      <c r="BB245" s="29">
        <v>0</v>
      </c>
      <c r="BC245"/>
      <c r="BD245" s="25"/>
      <c r="BF245" s="22">
        <v>44790</v>
      </c>
      <c r="BG245" s="26">
        <f t="shared" ca="1" si="13"/>
        <v>0.88142449448450078</v>
      </c>
      <c r="BH245" s="29">
        <v>0</v>
      </c>
      <c r="BJ245" s="22">
        <v>44790</v>
      </c>
      <c r="BK245" s="26">
        <f t="shared" ca="1" si="14"/>
        <v>0.34371362027732177</v>
      </c>
      <c r="BL245" s="29">
        <v>0</v>
      </c>
      <c r="BN245" s="22">
        <v>44790</v>
      </c>
      <c r="BO245" s="26">
        <f t="shared" ca="1" si="15"/>
        <v>0.88441853723481589</v>
      </c>
      <c r="BP245" s="29">
        <v>0</v>
      </c>
      <c r="BR245" s="22">
        <v>44790</v>
      </c>
      <c r="BS245" s="26">
        <f t="shared" ca="1" si="16"/>
        <v>0.66791339615789524</v>
      </c>
      <c r="BT245" s="29">
        <v>0</v>
      </c>
      <c r="BV245" s="22">
        <v>44790</v>
      </c>
      <c r="BW245" s="26">
        <f t="shared" ca="1" si="17"/>
        <v>0.18971960179561331</v>
      </c>
      <c r="BX245" s="29">
        <v>0</v>
      </c>
    </row>
    <row r="246" spans="2:76" ht="12.75" x14ac:dyDescent="0.2">
      <c r="B246" s="22">
        <v>44791</v>
      </c>
      <c r="C246" s="26">
        <f t="shared" ca="1" si="0"/>
        <v>0.14858325186993271</v>
      </c>
      <c r="D246" s="29">
        <v>0</v>
      </c>
      <c r="F246" s="22">
        <v>44791</v>
      </c>
      <c r="G246" s="26">
        <f t="shared" ca="1" si="1"/>
        <v>0.682664122361619</v>
      </c>
      <c r="H246" s="29">
        <v>0</v>
      </c>
      <c r="J246" s="22">
        <v>44791</v>
      </c>
      <c r="K246" s="26">
        <f t="shared" ca="1" si="2"/>
        <v>0.39969882746904373</v>
      </c>
      <c r="L246" s="29">
        <v>0</v>
      </c>
      <c r="N246" s="22">
        <v>44791</v>
      </c>
      <c r="O246" s="26">
        <f t="shared" ca="1" si="3"/>
        <v>0.90677936450422181</v>
      </c>
      <c r="P246" s="29">
        <v>0</v>
      </c>
      <c r="R246" s="22">
        <v>44791</v>
      </c>
      <c r="S246" s="26">
        <f t="shared" ca="1" si="4"/>
        <v>0.40198152845835156</v>
      </c>
      <c r="T246" s="29">
        <v>0</v>
      </c>
      <c r="V246" s="22">
        <v>44791</v>
      </c>
      <c r="W246" s="26">
        <f t="shared" ca="1" si="5"/>
        <v>0.32931069753382625</v>
      </c>
      <c r="X246" s="29">
        <v>0</v>
      </c>
      <c r="Z246" s="22">
        <v>44791</v>
      </c>
      <c r="AA246" s="26">
        <f t="shared" ca="1" si="6"/>
        <v>0.6052641053545379</v>
      </c>
      <c r="AB246" s="29">
        <v>0</v>
      </c>
      <c r="AC246"/>
      <c r="AD246" s="25"/>
      <c r="AF246" s="22">
        <v>44791</v>
      </c>
      <c r="AG246" s="26">
        <f t="shared" ca="1" si="7"/>
        <v>0.94312891291628798</v>
      </c>
      <c r="AH246" s="29">
        <v>0</v>
      </c>
      <c r="AJ246" s="22">
        <v>44791</v>
      </c>
      <c r="AK246" s="26">
        <f t="shared" ca="1" si="8"/>
        <v>0.50053994901034149</v>
      </c>
      <c r="AL246" s="29">
        <v>0</v>
      </c>
      <c r="AN246" s="22">
        <v>44791</v>
      </c>
      <c r="AO246" s="26">
        <f t="shared" ca="1" si="9"/>
        <v>0.77358606066237012</v>
      </c>
      <c r="AP246" s="29">
        <v>0</v>
      </c>
      <c r="AR246" s="22">
        <v>44791</v>
      </c>
      <c r="AS246" s="26">
        <f t="shared" ca="1" si="10"/>
        <v>0.18557352264692928</v>
      </c>
      <c r="AT246" s="29">
        <v>0</v>
      </c>
      <c r="AV246" s="22">
        <v>44791</v>
      </c>
      <c r="AW246" s="26">
        <f t="shared" ca="1" si="11"/>
        <v>0.88886128151802568</v>
      </c>
      <c r="AX246" s="29">
        <v>0</v>
      </c>
      <c r="AZ246" s="22">
        <v>44791</v>
      </c>
      <c r="BA246" s="26">
        <f t="shared" ca="1" si="12"/>
        <v>0.10196837589561314</v>
      </c>
      <c r="BB246" s="29">
        <v>0</v>
      </c>
      <c r="BC246"/>
      <c r="BD246" s="25"/>
      <c r="BF246" s="22">
        <v>44791</v>
      </c>
      <c r="BG246" s="26">
        <f t="shared" ca="1" si="13"/>
        <v>0.34570980184995426</v>
      </c>
      <c r="BH246" s="29">
        <v>0</v>
      </c>
      <c r="BJ246" s="22">
        <v>44791</v>
      </c>
      <c r="BK246" s="26">
        <f t="shared" ca="1" si="14"/>
        <v>0.70300529762650998</v>
      </c>
      <c r="BL246" s="29">
        <v>0</v>
      </c>
      <c r="BN246" s="22">
        <v>44791</v>
      </c>
      <c r="BO246" s="26">
        <f t="shared" ca="1" si="15"/>
        <v>0.57751664770709332</v>
      </c>
      <c r="BP246" s="29">
        <v>0</v>
      </c>
      <c r="BR246" s="22">
        <v>44791</v>
      </c>
      <c r="BS246" s="26">
        <f t="shared" ca="1" si="16"/>
        <v>0.56923914089279559</v>
      </c>
      <c r="BT246" s="29">
        <v>0</v>
      </c>
      <c r="BV246" s="22">
        <v>44791</v>
      </c>
      <c r="BW246" s="26">
        <f t="shared" ca="1" si="17"/>
        <v>0.22822163561663056</v>
      </c>
      <c r="BX246" s="29">
        <v>0</v>
      </c>
    </row>
    <row r="247" spans="2:76" ht="12.75" x14ac:dyDescent="0.2">
      <c r="B247" s="22">
        <v>44792</v>
      </c>
      <c r="C247" s="26">
        <f t="shared" ca="1" si="0"/>
        <v>0.820728679394364</v>
      </c>
      <c r="D247" s="29">
        <v>0</v>
      </c>
      <c r="F247" s="22">
        <v>44792</v>
      </c>
      <c r="G247" s="26">
        <f t="shared" ca="1" si="1"/>
        <v>0.17282055026962606</v>
      </c>
      <c r="H247" s="29">
        <v>0</v>
      </c>
      <c r="J247" s="22">
        <v>44792</v>
      </c>
      <c r="K247" s="26">
        <f t="shared" ca="1" si="2"/>
        <v>0.94444471154774479</v>
      </c>
      <c r="L247" s="29">
        <v>0</v>
      </c>
      <c r="N247" s="22">
        <v>44792</v>
      </c>
      <c r="O247" s="26">
        <f t="shared" ca="1" si="3"/>
        <v>0.55137822629893107</v>
      </c>
      <c r="P247" s="29">
        <v>0</v>
      </c>
      <c r="R247" s="22">
        <v>44792</v>
      </c>
      <c r="S247" s="26">
        <f t="shared" ca="1" si="4"/>
        <v>0.20216757676278507</v>
      </c>
      <c r="T247" s="29">
        <v>0</v>
      </c>
      <c r="V247" s="22">
        <v>44792</v>
      </c>
      <c r="W247" s="26">
        <f t="shared" ca="1" si="5"/>
        <v>0.86623931347337901</v>
      </c>
      <c r="X247" s="29">
        <v>0</v>
      </c>
      <c r="Z247" s="22">
        <v>44792</v>
      </c>
      <c r="AA247" s="26">
        <f t="shared" ca="1" si="6"/>
        <v>0.84254781847758853</v>
      </c>
      <c r="AB247" s="29">
        <v>0</v>
      </c>
      <c r="AC247"/>
      <c r="AD247" s="25"/>
      <c r="AF247" s="22">
        <v>44792</v>
      </c>
      <c r="AG247" s="26">
        <f t="shared" ca="1" si="7"/>
        <v>0.48821245603688679</v>
      </c>
      <c r="AH247" s="29">
        <v>0</v>
      </c>
      <c r="AJ247" s="22">
        <v>44792</v>
      </c>
      <c r="AK247" s="26">
        <f t="shared" ca="1" si="8"/>
        <v>0.70837099816287985</v>
      </c>
      <c r="AL247" s="29">
        <v>0</v>
      </c>
      <c r="AN247" s="22">
        <v>44792</v>
      </c>
      <c r="AO247" s="26">
        <f t="shared" ca="1" si="9"/>
        <v>0.76055019220008024</v>
      </c>
      <c r="AP247" s="29">
        <v>0</v>
      </c>
      <c r="AR247" s="22">
        <v>44792</v>
      </c>
      <c r="AS247" s="26">
        <f t="shared" ca="1" si="10"/>
        <v>0.46502796314096184</v>
      </c>
      <c r="AT247" s="29">
        <v>0</v>
      </c>
      <c r="AV247" s="22">
        <v>44792</v>
      </c>
      <c r="AW247" s="26">
        <f t="shared" ca="1" si="11"/>
        <v>0.90442540112572922</v>
      </c>
      <c r="AX247" s="29">
        <v>0</v>
      </c>
      <c r="AZ247" s="22">
        <v>44792</v>
      </c>
      <c r="BA247" s="26">
        <f t="shared" ca="1" si="12"/>
        <v>0.31628485546331397</v>
      </c>
      <c r="BB247" s="29">
        <v>0</v>
      </c>
      <c r="BC247"/>
      <c r="BD247" s="25"/>
      <c r="BF247" s="22">
        <v>44792</v>
      </c>
      <c r="BG247" s="26">
        <f t="shared" ca="1" si="13"/>
        <v>7.2738019212228111E-2</v>
      </c>
      <c r="BH247" s="29">
        <v>0</v>
      </c>
      <c r="BJ247" s="22">
        <v>44792</v>
      </c>
      <c r="BK247" s="26">
        <f t="shared" ca="1" si="14"/>
        <v>0.45692967053631395</v>
      </c>
      <c r="BL247" s="29">
        <v>0</v>
      </c>
      <c r="BN247" s="22">
        <v>44792</v>
      </c>
      <c r="BO247" s="26">
        <f t="shared" ca="1" si="15"/>
        <v>0.31966393787930603</v>
      </c>
      <c r="BP247" s="29">
        <v>0</v>
      </c>
      <c r="BR247" s="22">
        <v>44792</v>
      </c>
      <c r="BS247" s="26">
        <f t="shared" ca="1" si="16"/>
        <v>0.79076231778781547</v>
      </c>
      <c r="BT247" s="29">
        <v>0</v>
      </c>
      <c r="BV247" s="22">
        <v>44792</v>
      </c>
      <c r="BW247" s="26">
        <f t="shared" ca="1" si="17"/>
        <v>0.74046195770119172</v>
      </c>
      <c r="BX247" s="29">
        <v>0</v>
      </c>
    </row>
    <row r="248" spans="2:76" ht="12.75" x14ac:dyDescent="0.2">
      <c r="B248" s="22">
        <v>44793</v>
      </c>
      <c r="C248" s="26">
        <f t="shared" ca="1" si="0"/>
        <v>0.4685559853127208</v>
      </c>
      <c r="D248" s="29">
        <v>0</v>
      </c>
      <c r="F248" s="22">
        <v>44793</v>
      </c>
      <c r="G248" s="26">
        <f t="shared" ca="1" si="1"/>
        <v>0.40626312154925059</v>
      </c>
      <c r="H248" s="29">
        <v>0</v>
      </c>
      <c r="J248" s="22">
        <v>44793</v>
      </c>
      <c r="K248" s="26">
        <f t="shared" ca="1" si="2"/>
        <v>0.95808161332651587</v>
      </c>
      <c r="L248" s="29">
        <v>0</v>
      </c>
      <c r="N248" s="22">
        <v>44793</v>
      </c>
      <c r="O248" s="26">
        <f t="shared" ca="1" si="3"/>
        <v>0.53658383707966484</v>
      </c>
      <c r="P248" s="29">
        <v>0</v>
      </c>
      <c r="R248" s="22">
        <v>44793</v>
      </c>
      <c r="S248" s="26">
        <f t="shared" ca="1" si="4"/>
        <v>0.76707044359922072</v>
      </c>
      <c r="T248" s="29">
        <v>0</v>
      </c>
      <c r="V248" s="22">
        <v>44793</v>
      </c>
      <c r="W248" s="26">
        <f t="shared" ca="1" si="5"/>
        <v>0.43859872724206939</v>
      </c>
      <c r="X248" s="29">
        <v>0</v>
      </c>
      <c r="Z248" s="22">
        <v>44793</v>
      </c>
      <c r="AA248" s="26">
        <f t="shared" ca="1" si="6"/>
        <v>0.27074766991651034</v>
      </c>
      <c r="AB248" s="29">
        <v>0</v>
      </c>
      <c r="AC248"/>
      <c r="AD248" s="25"/>
      <c r="AF248" s="22">
        <v>44793</v>
      </c>
      <c r="AG248" s="26">
        <f t="shared" ca="1" si="7"/>
        <v>0.90186276920051156</v>
      </c>
      <c r="AH248" s="29">
        <v>0</v>
      </c>
      <c r="AJ248" s="22">
        <v>44793</v>
      </c>
      <c r="AK248" s="26">
        <f t="shared" ca="1" si="8"/>
        <v>2.3572509246394313E-2</v>
      </c>
      <c r="AL248" s="29">
        <v>0</v>
      </c>
      <c r="AN248" s="22">
        <v>44793</v>
      </c>
      <c r="AO248" s="26">
        <f t="shared" ca="1" si="9"/>
        <v>0.49785504758393062</v>
      </c>
      <c r="AP248" s="29">
        <v>0</v>
      </c>
      <c r="AR248" s="22">
        <v>44793</v>
      </c>
      <c r="AS248" s="26">
        <f t="shared" ca="1" si="10"/>
        <v>0.30061255710060053</v>
      </c>
      <c r="AT248" s="29">
        <v>0</v>
      </c>
      <c r="AV248" s="22">
        <v>44793</v>
      </c>
      <c r="AW248" s="26">
        <f t="shared" ca="1" si="11"/>
        <v>0.91183414764400472</v>
      </c>
      <c r="AX248" s="29">
        <v>0</v>
      </c>
      <c r="AZ248" s="22">
        <v>44793</v>
      </c>
      <c r="BA248" s="26">
        <f t="shared" ca="1" si="12"/>
        <v>0.22362388541928901</v>
      </c>
      <c r="BB248" s="29">
        <v>0</v>
      </c>
      <c r="BC248"/>
      <c r="BD248" s="25"/>
      <c r="BF248" s="22">
        <v>44793</v>
      </c>
      <c r="BG248" s="26">
        <f t="shared" ca="1" si="13"/>
        <v>0.894466081172961</v>
      </c>
      <c r="BH248" s="29">
        <v>0</v>
      </c>
      <c r="BJ248" s="22">
        <v>44793</v>
      </c>
      <c r="BK248" s="26">
        <f t="shared" ca="1" si="14"/>
        <v>0.62574157455810564</v>
      </c>
      <c r="BL248" s="29">
        <v>0</v>
      </c>
      <c r="BN248" s="22">
        <v>44793</v>
      </c>
      <c r="BO248" s="26">
        <f t="shared" ca="1" si="15"/>
        <v>0.87886206809560041</v>
      </c>
      <c r="BP248" s="29">
        <v>0</v>
      </c>
      <c r="BR248" s="22">
        <v>44793</v>
      </c>
      <c r="BS248" s="26">
        <f t="shared" ca="1" si="16"/>
        <v>2.2556740892525351E-3</v>
      </c>
      <c r="BT248" s="29">
        <v>0</v>
      </c>
      <c r="BV248" s="22">
        <v>44793</v>
      </c>
      <c r="BW248" s="26">
        <f t="shared" ca="1" si="17"/>
        <v>0.36004139516767264</v>
      </c>
      <c r="BX248" s="29">
        <v>0</v>
      </c>
    </row>
    <row r="249" spans="2:76" ht="12.75" x14ac:dyDescent="0.2">
      <c r="B249" s="22">
        <v>44794</v>
      </c>
      <c r="C249" s="26">
        <f t="shared" ca="1" si="0"/>
        <v>0.74626912691178182</v>
      </c>
      <c r="D249" s="29">
        <v>0</v>
      </c>
      <c r="F249" s="22">
        <v>44794</v>
      </c>
      <c r="G249" s="26">
        <f t="shared" ca="1" si="1"/>
        <v>0.25553310033918086</v>
      </c>
      <c r="H249" s="29">
        <v>0</v>
      </c>
      <c r="J249" s="22">
        <v>44794</v>
      </c>
      <c r="K249" s="26">
        <f t="shared" ca="1" si="2"/>
        <v>0.76038997567517719</v>
      </c>
      <c r="L249" s="29">
        <v>0</v>
      </c>
      <c r="N249" s="22">
        <v>44794</v>
      </c>
      <c r="O249" s="26">
        <f t="shared" ca="1" si="3"/>
        <v>0.20635863776830754</v>
      </c>
      <c r="P249" s="29">
        <v>0</v>
      </c>
      <c r="R249" s="22">
        <v>44794</v>
      </c>
      <c r="S249" s="26">
        <f t="shared" ca="1" si="4"/>
        <v>0.58695688328840823</v>
      </c>
      <c r="T249" s="29">
        <v>0</v>
      </c>
      <c r="V249" s="22">
        <v>44794</v>
      </c>
      <c r="W249" s="26">
        <f t="shared" ca="1" si="5"/>
        <v>0.93067766998832302</v>
      </c>
      <c r="X249" s="29">
        <v>0</v>
      </c>
      <c r="Z249" s="22">
        <v>44794</v>
      </c>
      <c r="AA249" s="26">
        <f t="shared" ca="1" si="6"/>
        <v>0.39724161137716607</v>
      </c>
      <c r="AB249" s="29">
        <v>0</v>
      </c>
      <c r="AC249"/>
      <c r="AD249" s="25"/>
      <c r="AF249" s="22">
        <v>44794</v>
      </c>
      <c r="AG249" s="26">
        <f t="shared" ca="1" si="7"/>
        <v>0.57893541202081211</v>
      </c>
      <c r="AH249" s="29">
        <v>0</v>
      </c>
      <c r="AJ249" s="22">
        <v>44794</v>
      </c>
      <c r="AK249" s="26">
        <f t="shared" ca="1" si="8"/>
        <v>0.99860566097643255</v>
      </c>
      <c r="AL249" s="29">
        <v>0</v>
      </c>
      <c r="AN249" s="22">
        <v>44794</v>
      </c>
      <c r="AO249" s="26">
        <f t="shared" ca="1" si="9"/>
        <v>0.93696067802625593</v>
      </c>
      <c r="AP249" s="29">
        <v>0</v>
      </c>
      <c r="AR249" s="22">
        <v>44794</v>
      </c>
      <c r="AS249" s="26">
        <f t="shared" ca="1" si="10"/>
        <v>4.0438061708828466E-2</v>
      </c>
      <c r="AT249" s="29">
        <v>0</v>
      </c>
      <c r="AV249" s="22">
        <v>44794</v>
      </c>
      <c r="AW249" s="26">
        <f t="shared" ca="1" si="11"/>
        <v>0.41570265670572704</v>
      </c>
      <c r="AX249" s="29">
        <v>0</v>
      </c>
      <c r="AZ249" s="22">
        <v>44794</v>
      </c>
      <c r="BA249" s="26">
        <f t="shared" ca="1" si="12"/>
        <v>0.93687647419493625</v>
      </c>
      <c r="BB249" s="29">
        <v>0</v>
      </c>
      <c r="BC249"/>
      <c r="BD249" s="25"/>
      <c r="BF249" s="22">
        <v>44794</v>
      </c>
      <c r="BG249" s="26">
        <f t="shared" ca="1" si="13"/>
        <v>0.77737781869176614</v>
      </c>
      <c r="BH249" s="29">
        <v>0</v>
      </c>
      <c r="BJ249" s="22">
        <v>44794</v>
      </c>
      <c r="BK249" s="26">
        <f t="shared" ca="1" si="14"/>
        <v>0.11092943156829527</v>
      </c>
      <c r="BL249" s="29">
        <v>0</v>
      </c>
      <c r="BN249" s="22">
        <v>44794</v>
      </c>
      <c r="BO249" s="26">
        <f t="shared" ca="1" si="15"/>
        <v>0.70133651444130807</v>
      </c>
      <c r="BP249" s="29">
        <v>0</v>
      </c>
      <c r="BR249" s="22">
        <v>44794</v>
      </c>
      <c r="BS249" s="26">
        <f t="shared" ca="1" si="16"/>
        <v>0.74374327056354161</v>
      </c>
      <c r="BT249" s="29">
        <v>0</v>
      </c>
      <c r="BV249" s="22">
        <v>44794</v>
      </c>
      <c r="BW249" s="26">
        <f t="shared" ca="1" si="17"/>
        <v>0.92283508452410024</v>
      </c>
      <c r="BX249" s="29">
        <v>0</v>
      </c>
    </row>
    <row r="250" spans="2:76" ht="12.75" x14ac:dyDescent="0.2">
      <c r="B250" s="22">
        <v>44795</v>
      </c>
      <c r="C250" s="26">
        <f t="shared" ca="1" si="0"/>
        <v>2.0343853246727828E-2</v>
      </c>
      <c r="D250" s="29">
        <v>0</v>
      </c>
      <c r="F250" s="22">
        <v>44795</v>
      </c>
      <c r="G250" s="26">
        <f t="shared" ca="1" si="1"/>
        <v>0.13292937275467709</v>
      </c>
      <c r="H250" s="29">
        <v>0</v>
      </c>
      <c r="J250" s="22">
        <v>44795</v>
      </c>
      <c r="K250" s="26">
        <f t="shared" ca="1" si="2"/>
        <v>0.35217837757123083</v>
      </c>
      <c r="L250" s="29">
        <v>0</v>
      </c>
      <c r="N250" s="22">
        <v>44795</v>
      </c>
      <c r="O250" s="26">
        <f t="shared" ca="1" si="3"/>
        <v>0.49067016236103267</v>
      </c>
      <c r="P250" s="29">
        <v>0</v>
      </c>
      <c r="R250" s="22">
        <v>44795</v>
      </c>
      <c r="S250" s="26">
        <f t="shared" ca="1" si="4"/>
        <v>0.780371420308133</v>
      </c>
      <c r="T250" s="29">
        <v>0</v>
      </c>
      <c r="V250" s="22">
        <v>44795</v>
      </c>
      <c r="W250" s="26">
        <f t="shared" ca="1" si="5"/>
        <v>0.6589545198474448</v>
      </c>
      <c r="X250" s="29">
        <v>0</v>
      </c>
      <c r="Z250" s="22">
        <v>44795</v>
      </c>
      <c r="AA250" s="26">
        <f t="shared" ca="1" si="6"/>
        <v>6.4261760865551465E-2</v>
      </c>
      <c r="AB250" s="29">
        <v>0</v>
      </c>
      <c r="AC250"/>
      <c r="AD250" s="25"/>
      <c r="AF250" s="22">
        <v>44795</v>
      </c>
      <c r="AG250" s="26">
        <f t="shared" ca="1" si="7"/>
        <v>0.47022103425060491</v>
      </c>
      <c r="AH250" s="29">
        <v>0</v>
      </c>
      <c r="AJ250" s="22">
        <v>44795</v>
      </c>
      <c r="AK250" s="26">
        <f t="shared" ca="1" si="8"/>
        <v>0.65985467183729196</v>
      </c>
      <c r="AL250" s="29">
        <v>0</v>
      </c>
      <c r="AN250" s="22">
        <v>44795</v>
      </c>
      <c r="AO250" s="26">
        <f t="shared" ca="1" si="9"/>
        <v>0.96249658102768609</v>
      </c>
      <c r="AP250" s="29">
        <v>0</v>
      </c>
      <c r="AR250" s="22">
        <v>44795</v>
      </c>
      <c r="AS250" s="26">
        <f t="shared" ca="1" si="10"/>
        <v>0.29646269677194259</v>
      </c>
      <c r="AT250" s="29">
        <v>0</v>
      </c>
      <c r="AV250" s="22">
        <v>44795</v>
      </c>
      <c r="AW250" s="26">
        <f t="shared" ca="1" si="11"/>
        <v>0.7539753186650513</v>
      </c>
      <c r="AX250" s="29">
        <v>0</v>
      </c>
      <c r="AZ250" s="22">
        <v>44795</v>
      </c>
      <c r="BA250" s="26">
        <f t="shared" ca="1" si="12"/>
        <v>0.91688154473012018</v>
      </c>
      <c r="BB250" s="29">
        <v>0</v>
      </c>
      <c r="BC250"/>
      <c r="BD250" s="25"/>
      <c r="BF250" s="22">
        <v>44795</v>
      </c>
      <c r="BG250" s="26">
        <f t="shared" ca="1" si="13"/>
        <v>0.9286514044467572</v>
      </c>
      <c r="BH250" s="29">
        <v>0</v>
      </c>
      <c r="BJ250" s="22">
        <v>44795</v>
      </c>
      <c r="BK250" s="26">
        <f t="shared" ca="1" si="14"/>
        <v>0.86365559819204529</v>
      </c>
      <c r="BL250" s="29">
        <v>0</v>
      </c>
      <c r="BN250" s="22">
        <v>44795</v>
      </c>
      <c r="BO250" s="26">
        <f t="shared" ca="1" si="15"/>
        <v>0.39935891940742618</v>
      </c>
      <c r="BP250" s="29">
        <v>0</v>
      </c>
      <c r="BR250" s="22">
        <v>44795</v>
      </c>
      <c r="BS250" s="26">
        <f t="shared" ca="1" si="16"/>
        <v>0.71413712813018249</v>
      </c>
      <c r="BT250" s="29">
        <v>0</v>
      </c>
      <c r="BV250" s="22">
        <v>44795</v>
      </c>
      <c r="BW250" s="26">
        <f t="shared" ca="1" si="17"/>
        <v>0.70134097209785218</v>
      </c>
      <c r="BX250" s="29">
        <v>0</v>
      </c>
    </row>
    <row r="251" spans="2:76" ht="12.75" x14ac:dyDescent="0.2">
      <c r="B251" s="22">
        <v>44796</v>
      </c>
      <c r="C251" s="26">
        <f t="shared" ca="1" si="0"/>
        <v>0.84991277392737097</v>
      </c>
      <c r="D251" s="29">
        <v>0</v>
      </c>
      <c r="F251" s="22">
        <v>44796</v>
      </c>
      <c r="G251" s="26">
        <f t="shared" ca="1" si="1"/>
        <v>0.15931176682654768</v>
      </c>
      <c r="H251" s="29">
        <v>0</v>
      </c>
      <c r="J251" s="22">
        <v>44796</v>
      </c>
      <c r="K251" s="26">
        <f t="shared" ca="1" si="2"/>
        <v>0.1609167268602244</v>
      </c>
      <c r="L251" s="29">
        <v>0</v>
      </c>
      <c r="N251" s="22">
        <v>44796</v>
      </c>
      <c r="O251" s="26">
        <f t="shared" ca="1" si="3"/>
        <v>0.12162161989837872</v>
      </c>
      <c r="P251" s="29">
        <v>0</v>
      </c>
      <c r="R251" s="22">
        <v>44796</v>
      </c>
      <c r="S251" s="26">
        <f t="shared" ca="1" si="4"/>
        <v>0.3408065330385055</v>
      </c>
      <c r="T251" s="29">
        <v>0</v>
      </c>
      <c r="V251" s="22">
        <v>44796</v>
      </c>
      <c r="W251" s="26">
        <f t="shared" ca="1" si="5"/>
        <v>0.32163818735991934</v>
      </c>
      <c r="X251" s="29">
        <v>0</v>
      </c>
      <c r="Z251" s="22">
        <v>44796</v>
      </c>
      <c r="AA251" s="26">
        <f t="shared" ca="1" si="6"/>
        <v>0.81181847963485076</v>
      </c>
      <c r="AB251" s="29">
        <v>0</v>
      </c>
      <c r="AC251"/>
      <c r="AD251" s="25"/>
      <c r="AF251" s="22">
        <v>44796</v>
      </c>
      <c r="AG251" s="26">
        <f t="shared" ca="1" si="7"/>
        <v>0.17253622749467257</v>
      </c>
      <c r="AH251" s="29">
        <v>0</v>
      </c>
      <c r="AJ251" s="22">
        <v>44796</v>
      </c>
      <c r="AK251" s="26">
        <f t="shared" ca="1" si="8"/>
        <v>0.70938434928849459</v>
      </c>
      <c r="AL251" s="29">
        <v>0</v>
      </c>
      <c r="AN251" s="22">
        <v>44796</v>
      </c>
      <c r="AO251" s="26">
        <f t="shared" ca="1" si="9"/>
        <v>0.40231659829377375</v>
      </c>
      <c r="AP251" s="29">
        <v>0</v>
      </c>
      <c r="AR251" s="22">
        <v>44796</v>
      </c>
      <c r="AS251" s="26">
        <f t="shared" ca="1" si="10"/>
        <v>0.33782662490799731</v>
      </c>
      <c r="AT251" s="29">
        <v>0</v>
      </c>
      <c r="AV251" s="22">
        <v>44796</v>
      </c>
      <c r="AW251" s="26">
        <f t="shared" ca="1" si="11"/>
        <v>0.97429712145659431</v>
      </c>
      <c r="AX251" s="29">
        <v>0</v>
      </c>
      <c r="AZ251" s="22">
        <v>44796</v>
      </c>
      <c r="BA251" s="26">
        <f t="shared" ca="1" si="12"/>
        <v>0.38710501905465877</v>
      </c>
      <c r="BB251" s="29">
        <v>0</v>
      </c>
      <c r="BC251"/>
      <c r="BD251" s="25"/>
      <c r="BF251" s="22">
        <v>44796</v>
      </c>
      <c r="BG251" s="26">
        <f t="shared" ca="1" si="13"/>
        <v>0.93201685501053688</v>
      </c>
      <c r="BH251" s="29">
        <v>0</v>
      </c>
      <c r="BJ251" s="22">
        <v>44796</v>
      </c>
      <c r="BK251" s="26">
        <f t="shared" ca="1" si="14"/>
        <v>0.64809776469816138</v>
      </c>
      <c r="BL251" s="29">
        <v>0</v>
      </c>
      <c r="BN251" s="22">
        <v>44796</v>
      </c>
      <c r="BO251" s="26">
        <f t="shared" ca="1" si="15"/>
        <v>0.78364004359437522</v>
      </c>
      <c r="BP251" s="29">
        <v>0</v>
      </c>
      <c r="BR251" s="22">
        <v>44796</v>
      </c>
      <c r="BS251" s="26">
        <f t="shared" ca="1" si="16"/>
        <v>0.11583744367948923</v>
      </c>
      <c r="BT251" s="29">
        <v>0</v>
      </c>
      <c r="BV251" s="22">
        <v>44796</v>
      </c>
      <c r="BW251" s="26">
        <f t="shared" ca="1" si="17"/>
        <v>0.66061002124010859</v>
      </c>
      <c r="BX251" s="29">
        <v>0</v>
      </c>
    </row>
    <row r="252" spans="2:76" ht="12.75" x14ac:dyDescent="0.2">
      <c r="B252" s="22">
        <v>44797</v>
      </c>
      <c r="C252" s="26">
        <f t="shared" ca="1" si="0"/>
        <v>0.22651123717564925</v>
      </c>
      <c r="D252" s="29">
        <v>0</v>
      </c>
      <c r="F252" s="22">
        <v>44797</v>
      </c>
      <c r="G252" s="26">
        <f t="shared" ca="1" si="1"/>
        <v>0.65335339799504755</v>
      </c>
      <c r="H252" s="29">
        <v>0</v>
      </c>
      <c r="J252" s="22">
        <v>44797</v>
      </c>
      <c r="K252" s="26">
        <f t="shared" ca="1" si="2"/>
        <v>0.37071619821765844</v>
      </c>
      <c r="L252" s="29">
        <v>0</v>
      </c>
      <c r="N252" s="22">
        <v>44797</v>
      </c>
      <c r="O252" s="26">
        <f t="shared" ca="1" si="3"/>
        <v>0.58419595580467498</v>
      </c>
      <c r="P252" s="29">
        <v>0</v>
      </c>
      <c r="R252" s="22">
        <v>44797</v>
      </c>
      <c r="S252" s="26">
        <f t="shared" ca="1" si="4"/>
        <v>0.8573362438695874</v>
      </c>
      <c r="T252" s="29">
        <v>0</v>
      </c>
      <c r="V252" s="22">
        <v>44797</v>
      </c>
      <c r="W252" s="26">
        <f t="shared" ca="1" si="5"/>
        <v>0.63698044617121075</v>
      </c>
      <c r="X252" s="29">
        <v>0</v>
      </c>
      <c r="Z252" s="22">
        <v>44797</v>
      </c>
      <c r="AA252" s="26">
        <f t="shared" ca="1" si="6"/>
        <v>0.69576155430914499</v>
      </c>
      <c r="AB252" s="29">
        <v>0</v>
      </c>
      <c r="AC252"/>
      <c r="AD252" s="25"/>
      <c r="AF252" s="22">
        <v>44797</v>
      </c>
      <c r="AG252" s="26">
        <f t="shared" ca="1" si="7"/>
        <v>0.14356658954852985</v>
      </c>
      <c r="AH252" s="29">
        <v>0</v>
      </c>
      <c r="AJ252" s="22">
        <v>44797</v>
      </c>
      <c r="AK252" s="26">
        <f t="shared" ca="1" si="8"/>
        <v>0.91258350473326932</v>
      </c>
      <c r="AL252" s="29">
        <v>0</v>
      </c>
      <c r="AN252" s="22">
        <v>44797</v>
      </c>
      <c r="AO252" s="26">
        <f t="shared" ca="1" si="9"/>
        <v>0.61866096780961921</v>
      </c>
      <c r="AP252" s="29">
        <v>0</v>
      </c>
      <c r="AR252" s="22">
        <v>44797</v>
      </c>
      <c r="AS252" s="26">
        <f t="shared" ca="1" si="10"/>
        <v>1.2635015200087252E-2</v>
      </c>
      <c r="AT252" s="29">
        <v>0</v>
      </c>
      <c r="AV252" s="22">
        <v>44797</v>
      </c>
      <c r="AW252" s="26">
        <f t="shared" ca="1" si="11"/>
        <v>0.19219979375383944</v>
      </c>
      <c r="AX252" s="29">
        <v>0</v>
      </c>
      <c r="AZ252" s="22">
        <v>44797</v>
      </c>
      <c r="BA252" s="26">
        <f t="shared" ca="1" si="12"/>
        <v>0.87054581009337106</v>
      </c>
      <c r="BB252" s="29">
        <v>0</v>
      </c>
      <c r="BC252"/>
      <c r="BD252" s="25"/>
      <c r="BF252" s="22">
        <v>44797</v>
      </c>
      <c r="BG252" s="26">
        <f t="shared" ca="1" si="13"/>
        <v>0.23986786798393944</v>
      </c>
      <c r="BH252" s="29">
        <v>0</v>
      </c>
      <c r="BJ252" s="22">
        <v>44797</v>
      </c>
      <c r="BK252" s="26">
        <f t="shared" ca="1" si="14"/>
        <v>0.52585991091364681</v>
      </c>
      <c r="BL252" s="29">
        <v>0</v>
      </c>
      <c r="BN252" s="22">
        <v>44797</v>
      </c>
      <c r="BO252" s="26">
        <f t="shared" ca="1" si="15"/>
        <v>0.88532128799953691</v>
      </c>
      <c r="BP252" s="29">
        <v>0</v>
      </c>
      <c r="BR252" s="22">
        <v>44797</v>
      </c>
      <c r="BS252" s="26">
        <f t="shared" ca="1" si="16"/>
        <v>0.95668251106167246</v>
      </c>
      <c r="BT252" s="29">
        <v>0</v>
      </c>
      <c r="BV252" s="22">
        <v>44797</v>
      </c>
      <c r="BW252" s="26">
        <f t="shared" ca="1" si="17"/>
        <v>0.43913630368644918</v>
      </c>
      <c r="BX252" s="29">
        <v>0</v>
      </c>
    </row>
    <row r="253" spans="2:76" ht="12.75" x14ac:dyDescent="0.2">
      <c r="B253" s="22">
        <v>44798</v>
      </c>
      <c r="C253" s="26">
        <f t="shared" ca="1" si="0"/>
        <v>0.95747862524490024</v>
      </c>
      <c r="D253" s="29">
        <v>0</v>
      </c>
      <c r="F253" s="22">
        <v>44798</v>
      </c>
      <c r="G253" s="26">
        <f t="shared" ca="1" si="1"/>
        <v>0.8855921184468537</v>
      </c>
      <c r="H253" s="29">
        <v>0</v>
      </c>
      <c r="J253" s="22">
        <v>44798</v>
      </c>
      <c r="K253" s="26">
        <f t="shared" ca="1" si="2"/>
        <v>0.51909304507339182</v>
      </c>
      <c r="L253" s="29">
        <v>0</v>
      </c>
      <c r="N253" s="22">
        <v>44798</v>
      </c>
      <c r="O253" s="26">
        <f t="shared" ca="1" si="3"/>
        <v>0.25806183177120268</v>
      </c>
      <c r="P253" s="29">
        <v>0</v>
      </c>
      <c r="R253" s="22">
        <v>44798</v>
      </c>
      <c r="S253" s="26">
        <f t="shared" ca="1" si="4"/>
        <v>0.86063344679143738</v>
      </c>
      <c r="T253" s="29">
        <v>0</v>
      </c>
      <c r="V253" s="22">
        <v>44798</v>
      </c>
      <c r="W253" s="26">
        <f t="shared" ca="1" si="5"/>
        <v>0.39612627744465012</v>
      </c>
      <c r="X253" s="29">
        <v>0</v>
      </c>
      <c r="Z253" s="22">
        <v>44798</v>
      </c>
      <c r="AA253" s="26">
        <f t="shared" ca="1" si="6"/>
        <v>0.87938402834464757</v>
      </c>
      <c r="AB253" s="29">
        <v>0</v>
      </c>
      <c r="AC253"/>
      <c r="AD253" s="25"/>
      <c r="AF253" s="22">
        <v>44798</v>
      </c>
      <c r="AG253" s="26">
        <f t="shared" ca="1" si="7"/>
        <v>0.48143975970336617</v>
      </c>
      <c r="AH253" s="29">
        <v>0</v>
      </c>
      <c r="AJ253" s="22">
        <v>44798</v>
      </c>
      <c r="AK253" s="26">
        <f t="shared" ca="1" si="8"/>
        <v>0.74666352776194123</v>
      </c>
      <c r="AL253" s="29">
        <v>0</v>
      </c>
      <c r="AN253" s="22">
        <v>44798</v>
      </c>
      <c r="AO253" s="26">
        <f t="shared" ca="1" si="9"/>
        <v>0.23951812078983581</v>
      </c>
      <c r="AP253" s="29">
        <v>0</v>
      </c>
      <c r="AR253" s="22">
        <v>44798</v>
      </c>
      <c r="AS253" s="26">
        <f t="shared" ca="1" si="10"/>
        <v>0.49218883888200271</v>
      </c>
      <c r="AT253" s="29">
        <v>0</v>
      </c>
      <c r="AV253" s="22">
        <v>44798</v>
      </c>
      <c r="AW253" s="26">
        <f t="shared" ca="1" si="11"/>
        <v>0.12013569368043897</v>
      </c>
      <c r="AX253" s="29">
        <v>0</v>
      </c>
      <c r="AZ253" s="22">
        <v>44798</v>
      </c>
      <c r="BA253" s="26">
        <f t="shared" ca="1" si="12"/>
        <v>0.64263300412215563</v>
      </c>
      <c r="BB253" s="29">
        <v>0</v>
      </c>
      <c r="BC253"/>
      <c r="BD253" s="25"/>
      <c r="BF253" s="22">
        <v>44798</v>
      </c>
      <c r="BG253" s="26">
        <f t="shared" ca="1" si="13"/>
        <v>0.65602824459052422</v>
      </c>
      <c r="BH253" s="29">
        <v>0</v>
      </c>
      <c r="BJ253" s="22">
        <v>44798</v>
      </c>
      <c r="BK253" s="26">
        <f t="shared" ca="1" si="14"/>
        <v>0.11758347802791647</v>
      </c>
      <c r="BL253" s="29">
        <v>0</v>
      </c>
      <c r="BN253" s="22">
        <v>44798</v>
      </c>
      <c r="BO253" s="26">
        <f t="shared" ca="1" si="15"/>
        <v>0.33486518043645486</v>
      </c>
      <c r="BP253" s="29">
        <v>0</v>
      </c>
      <c r="BR253" s="22">
        <v>44798</v>
      </c>
      <c r="BS253" s="26">
        <f t="shared" ca="1" si="16"/>
        <v>0.17535191010280904</v>
      </c>
      <c r="BT253" s="29">
        <v>0</v>
      </c>
      <c r="BV253" s="22">
        <v>44798</v>
      </c>
      <c r="BW253" s="26">
        <f t="shared" ca="1" si="17"/>
        <v>0.97345650411322648</v>
      </c>
      <c r="BX253" s="29">
        <v>0</v>
      </c>
    </row>
    <row r="254" spans="2:76" ht="12.75" x14ac:dyDescent="0.2">
      <c r="B254" s="22">
        <v>44799</v>
      </c>
      <c r="C254" s="26">
        <f t="shared" ca="1" si="0"/>
        <v>3.0526691448113374E-2</v>
      </c>
      <c r="D254" s="29">
        <v>0</v>
      </c>
      <c r="F254" s="22">
        <v>44799</v>
      </c>
      <c r="G254" s="26">
        <f t="shared" ca="1" si="1"/>
        <v>3.3488782687052021E-2</v>
      </c>
      <c r="H254" s="29">
        <v>0</v>
      </c>
      <c r="J254" s="22">
        <v>44799</v>
      </c>
      <c r="K254" s="26">
        <f t="shared" ca="1" si="2"/>
        <v>0.33234418027693369</v>
      </c>
      <c r="L254" s="29">
        <v>0</v>
      </c>
      <c r="N254" s="22">
        <v>44799</v>
      </c>
      <c r="O254" s="26">
        <f t="shared" ca="1" si="3"/>
        <v>0.90703951046396059</v>
      </c>
      <c r="P254" s="29">
        <v>0</v>
      </c>
      <c r="R254" s="22">
        <v>44799</v>
      </c>
      <c r="S254" s="26">
        <f t="shared" ca="1" si="4"/>
        <v>0.64129738621540566</v>
      </c>
      <c r="T254" s="29">
        <v>0</v>
      </c>
      <c r="V254" s="22">
        <v>44799</v>
      </c>
      <c r="W254" s="26">
        <f t="shared" ca="1" si="5"/>
        <v>0.87637451627109686</v>
      </c>
      <c r="X254" s="29">
        <v>0</v>
      </c>
      <c r="Z254" s="22">
        <v>44799</v>
      </c>
      <c r="AA254" s="26">
        <f t="shared" ca="1" si="6"/>
        <v>0.30109998574931418</v>
      </c>
      <c r="AB254" s="29">
        <v>0</v>
      </c>
      <c r="AC254"/>
      <c r="AD254" s="25"/>
      <c r="AF254" s="22">
        <v>44799</v>
      </c>
      <c r="AG254" s="26">
        <f t="shared" ca="1" si="7"/>
        <v>0.27521610967075827</v>
      </c>
      <c r="AH254" s="29">
        <v>0</v>
      </c>
      <c r="AJ254" s="22">
        <v>44799</v>
      </c>
      <c r="AK254" s="26">
        <f t="shared" ca="1" si="8"/>
        <v>0.94628862525096769</v>
      </c>
      <c r="AL254" s="29">
        <v>0</v>
      </c>
      <c r="AN254" s="22">
        <v>44799</v>
      </c>
      <c r="AO254" s="26">
        <f t="shared" ca="1" si="9"/>
        <v>0.74156341000385972</v>
      </c>
      <c r="AP254" s="29">
        <v>0</v>
      </c>
      <c r="AR254" s="22">
        <v>44799</v>
      </c>
      <c r="AS254" s="26">
        <f t="shared" ca="1" si="10"/>
        <v>0.40855296063882418</v>
      </c>
      <c r="AT254" s="29">
        <v>0</v>
      </c>
      <c r="AV254" s="22">
        <v>44799</v>
      </c>
      <c r="AW254" s="26">
        <f t="shared" ca="1" si="11"/>
        <v>0.82145902559023176</v>
      </c>
      <c r="AX254" s="29">
        <v>0</v>
      </c>
      <c r="AZ254" s="22">
        <v>44799</v>
      </c>
      <c r="BA254" s="26">
        <f t="shared" ca="1" si="12"/>
        <v>0.52928969288199723</v>
      </c>
      <c r="BB254" s="29">
        <v>0</v>
      </c>
      <c r="BC254"/>
      <c r="BD254" s="25"/>
      <c r="BF254" s="22">
        <v>44799</v>
      </c>
      <c r="BG254" s="26">
        <f t="shared" ca="1" si="13"/>
        <v>0.82301503593518588</v>
      </c>
      <c r="BH254" s="29">
        <v>0</v>
      </c>
      <c r="BJ254" s="22">
        <v>44799</v>
      </c>
      <c r="BK254" s="26">
        <f t="shared" ca="1" si="14"/>
        <v>2.8393498724884059E-2</v>
      </c>
      <c r="BL254" s="29">
        <v>0</v>
      </c>
      <c r="BN254" s="22">
        <v>44799</v>
      </c>
      <c r="BO254" s="26">
        <f t="shared" ca="1" si="15"/>
        <v>0.24257687270958972</v>
      </c>
      <c r="BP254" s="29">
        <v>0</v>
      </c>
      <c r="BR254" s="22">
        <v>44799</v>
      </c>
      <c r="BS254" s="26">
        <f t="shared" ca="1" si="16"/>
        <v>0.50722503070033487</v>
      </c>
      <c r="BT254" s="29">
        <v>0</v>
      </c>
      <c r="BV254" s="22">
        <v>44799</v>
      </c>
      <c r="BW254" s="26">
        <f t="shared" ca="1" si="17"/>
        <v>0.82586168294734452</v>
      </c>
      <c r="BX254" s="29">
        <v>0</v>
      </c>
    </row>
    <row r="255" spans="2:76" ht="12.75" x14ac:dyDescent="0.2">
      <c r="B255" s="22">
        <v>44800</v>
      </c>
      <c r="C255" s="26">
        <f t="shared" ca="1" si="0"/>
        <v>0.9826889600063089</v>
      </c>
      <c r="D255" s="29">
        <v>0</v>
      </c>
      <c r="F255" s="22">
        <v>44800</v>
      </c>
      <c r="G255" s="26">
        <f t="shared" ca="1" si="1"/>
        <v>0.95089518721957988</v>
      </c>
      <c r="H255" s="29">
        <v>0</v>
      </c>
      <c r="J255" s="22">
        <v>44800</v>
      </c>
      <c r="K255" s="26">
        <f t="shared" ca="1" si="2"/>
        <v>0.4551043347927537</v>
      </c>
      <c r="L255" s="29">
        <v>0</v>
      </c>
      <c r="N255" s="22">
        <v>44800</v>
      </c>
      <c r="O255" s="26">
        <f t="shared" ca="1" si="3"/>
        <v>1.6831094466647989E-2</v>
      </c>
      <c r="P255" s="29">
        <v>0</v>
      </c>
      <c r="R255" s="22">
        <v>44800</v>
      </c>
      <c r="S255" s="26">
        <f t="shared" ca="1" si="4"/>
        <v>0.4522802315647978</v>
      </c>
      <c r="T255" s="29">
        <v>0</v>
      </c>
      <c r="V255" s="22">
        <v>44800</v>
      </c>
      <c r="W255" s="26">
        <f t="shared" ca="1" si="5"/>
        <v>0.53792181432760156</v>
      </c>
      <c r="X255" s="29">
        <v>0</v>
      </c>
      <c r="Z255" s="22">
        <v>44800</v>
      </c>
      <c r="AA255" s="26">
        <f t="shared" ca="1" si="6"/>
        <v>0.88025369907384787</v>
      </c>
      <c r="AB255" s="29">
        <v>0</v>
      </c>
      <c r="AC255"/>
      <c r="AD255" s="25"/>
      <c r="AF255" s="22">
        <v>44800</v>
      </c>
      <c r="AG255" s="26">
        <f t="shared" ca="1" si="7"/>
        <v>0.30316487458537322</v>
      </c>
      <c r="AH255" s="29">
        <v>0</v>
      </c>
      <c r="AJ255" s="22">
        <v>44800</v>
      </c>
      <c r="AK255" s="26">
        <f t="shared" ca="1" si="8"/>
        <v>0.84431946411997438</v>
      </c>
      <c r="AL255" s="29">
        <v>0</v>
      </c>
      <c r="AN255" s="22">
        <v>44800</v>
      </c>
      <c r="AO255" s="26">
        <f t="shared" ca="1" si="9"/>
        <v>0.81741374574184855</v>
      </c>
      <c r="AP255" s="29">
        <v>0</v>
      </c>
      <c r="AR255" s="22">
        <v>44800</v>
      </c>
      <c r="AS255" s="26">
        <f t="shared" ca="1" si="10"/>
        <v>0.55326036987063254</v>
      </c>
      <c r="AT255" s="29">
        <v>0</v>
      </c>
      <c r="AV255" s="22">
        <v>44800</v>
      </c>
      <c r="AW255" s="26">
        <f t="shared" ca="1" si="11"/>
        <v>0.50319091397017945</v>
      </c>
      <c r="AX255" s="29">
        <v>0</v>
      </c>
      <c r="AZ255" s="22">
        <v>44800</v>
      </c>
      <c r="BA255" s="26">
        <f t="shared" ca="1" si="12"/>
        <v>1.0631865193136192E-2</v>
      </c>
      <c r="BB255" s="29">
        <v>0</v>
      </c>
      <c r="BC255"/>
      <c r="BD255" s="25"/>
      <c r="BF255" s="22">
        <v>44800</v>
      </c>
      <c r="BG255" s="26">
        <f t="shared" ca="1" si="13"/>
        <v>2.4829741781165371E-2</v>
      </c>
      <c r="BH255" s="29">
        <v>0</v>
      </c>
      <c r="BJ255" s="22">
        <v>44800</v>
      </c>
      <c r="BK255" s="26">
        <f t="shared" ca="1" si="14"/>
        <v>0.94142444865579289</v>
      </c>
      <c r="BL255" s="29">
        <v>0</v>
      </c>
      <c r="BN255" s="22">
        <v>44800</v>
      </c>
      <c r="BO255" s="26">
        <f t="shared" ca="1" si="15"/>
        <v>0.49115571341193431</v>
      </c>
      <c r="BP255" s="29">
        <v>0</v>
      </c>
      <c r="BR255" s="22">
        <v>44800</v>
      </c>
      <c r="BS255" s="26">
        <f t="shared" ca="1" si="16"/>
        <v>0.99222943060516577</v>
      </c>
      <c r="BT255" s="29">
        <v>0</v>
      </c>
      <c r="BV255" s="22">
        <v>44800</v>
      </c>
      <c r="BW255" s="26">
        <f t="shared" ca="1" si="17"/>
        <v>0.61733886740564792</v>
      </c>
      <c r="BX255" s="29">
        <v>0</v>
      </c>
    </row>
    <row r="256" spans="2:76" ht="12.75" x14ac:dyDescent="0.2">
      <c r="B256" s="22">
        <v>44801</v>
      </c>
      <c r="C256" s="26">
        <f t="shared" ca="1" si="0"/>
        <v>0.37378677043166686</v>
      </c>
      <c r="D256" s="29">
        <v>0</v>
      </c>
      <c r="F256" s="22">
        <v>44801</v>
      </c>
      <c r="G256" s="26">
        <f t="shared" ca="1" si="1"/>
        <v>0.9126286744089247</v>
      </c>
      <c r="H256" s="29">
        <v>0</v>
      </c>
      <c r="J256" s="22">
        <v>44801</v>
      </c>
      <c r="K256" s="26">
        <f t="shared" ca="1" si="2"/>
        <v>0.33763672124331834</v>
      </c>
      <c r="L256" s="29">
        <v>0</v>
      </c>
      <c r="N256" s="22">
        <v>44801</v>
      </c>
      <c r="O256" s="26">
        <f t="shared" ca="1" si="3"/>
        <v>2.0470479717438983E-2</v>
      </c>
      <c r="P256" s="29">
        <v>0</v>
      </c>
      <c r="R256" s="22">
        <v>44801</v>
      </c>
      <c r="S256" s="26">
        <f t="shared" ca="1" si="4"/>
        <v>0.70071131105294626</v>
      </c>
      <c r="T256" s="29">
        <v>0</v>
      </c>
      <c r="V256" s="22">
        <v>44801</v>
      </c>
      <c r="W256" s="26">
        <f t="shared" ca="1" si="5"/>
        <v>4.6848071446148998E-2</v>
      </c>
      <c r="X256" s="29">
        <v>0</v>
      </c>
      <c r="Z256" s="22">
        <v>44801</v>
      </c>
      <c r="AA256" s="26">
        <f t="shared" ca="1" si="6"/>
        <v>0.39284456127115286</v>
      </c>
      <c r="AB256" s="29">
        <v>0</v>
      </c>
      <c r="AC256"/>
      <c r="AD256" s="25"/>
      <c r="AF256" s="22">
        <v>44801</v>
      </c>
      <c r="AG256" s="26">
        <f t="shared" ca="1" si="7"/>
        <v>0.38808536256436865</v>
      </c>
      <c r="AH256" s="29">
        <v>0</v>
      </c>
      <c r="AJ256" s="22">
        <v>44801</v>
      </c>
      <c r="AK256" s="26">
        <f t="shared" ca="1" si="8"/>
        <v>0.71260777990242374</v>
      </c>
      <c r="AL256" s="29">
        <v>0</v>
      </c>
      <c r="AN256" s="22">
        <v>44801</v>
      </c>
      <c r="AO256" s="26">
        <f t="shared" ca="1" si="9"/>
        <v>3.2114111023403114E-2</v>
      </c>
      <c r="AP256" s="29">
        <v>0</v>
      </c>
      <c r="AR256" s="22">
        <v>44801</v>
      </c>
      <c r="AS256" s="26">
        <f t="shared" ca="1" si="10"/>
        <v>0.7110938948506822</v>
      </c>
      <c r="AT256" s="29">
        <v>0</v>
      </c>
      <c r="AV256" s="22">
        <v>44801</v>
      </c>
      <c r="AW256" s="26">
        <f t="shared" ca="1" si="11"/>
        <v>0.1547515123831108</v>
      </c>
      <c r="AX256" s="29">
        <v>0</v>
      </c>
      <c r="AZ256" s="22">
        <v>44801</v>
      </c>
      <c r="BA256" s="26">
        <f t="shared" ca="1" si="12"/>
        <v>0.46764262027452841</v>
      </c>
      <c r="BB256" s="29">
        <v>0</v>
      </c>
      <c r="BC256"/>
      <c r="BD256" s="25"/>
      <c r="BF256" s="22">
        <v>44801</v>
      </c>
      <c r="BG256" s="26">
        <f t="shared" ca="1" si="13"/>
        <v>0.53433278439126319</v>
      </c>
      <c r="BH256" s="29">
        <v>0</v>
      </c>
      <c r="BJ256" s="22">
        <v>44801</v>
      </c>
      <c r="BK256" s="26">
        <f t="shared" ca="1" si="14"/>
        <v>0.37597253979882217</v>
      </c>
      <c r="BL256" s="29">
        <v>0</v>
      </c>
      <c r="BN256" s="22">
        <v>44801</v>
      </c>
      <c r="BO256" s="26">
        <f t="shared" ca="1" si="15"/>
        <v>0.55098820678735139</v>
      </c>
      <c r="BP256" s="29">
        <v>0</v>
      </c>
      <c r="BR256" s="22">
        <v>44801</v>
      </c>
      <c r="BS256" s="26">
        <f t="shared" ca="1" si="16"/>
        <v>8.1173069172859713E-2</v>
      </c>
      <c r="BT256" s="29">
        <v>0</v>
      </c>
      <c r="BV256" s="22">
        <v>44801</v>
      </c>
      <c r="BW256" s="26">
        <f t="shared" ca="1" si="17"/>
        <v>0.15927491875123778</v>
      </c>
      <c r="BX256" s="29">
        <v>0</v>
      </c>
    </row>
    <row r="257" spans="2:77" ht="12.75" x14ac:dyDescent="0.2">
      <c r="B257" s="22">
        <v>44802</v>
      </c>
      <c r="C257" s="26">
        <f t="shared" ca="1" si="0"/>
        <v>0.12662720905496661</v>
      </c>
      <c r="D257" s="29">
        <v>0</v>
      </c>
      <c r="F257" s="22">
        <v>44802</v>
      </c>
      <c r="G257" s="26">
        <f t="shared" ca="1" si="1"/>
        <v>0.51973999938585635</v>
      </c>
      <c r="H257" s="29">
        <v>0</v>
      </c>
      <c r="J257" s="22">
        <v>44802</v>
      </c>
      <c r="K257" s="26">
        <f t="shared" ca="1" si="2"/>
        <v>0.81240072790894369</v>
      </c>
      <c r="L257" s="29">
        <v>0</v>
      </c>
      <c r="N257" s="22">
        <v>44802</v>
      </c>
      <c r="O257" s="26">
        <f t="shared" ca="1" si="3"/>
        <v>0.86696824767692116</v>
      </c>
      <c r="P257" s="29">
        <v>0</v>
      </c>
      <c r="R257" s="22">
        <v>44802</v>
      </c>
      <c r="S257" s="26">
        <f t="shared" ca="1" si="4"/>
        <v>0.5202092152773069</v>
      </c>
      <c r="T257" s="29">
        <v>0</v>
      </c>
      <c r="V257" s="22">
        <v>44802</v>
      </c>
      <c r="W257" s="26">
        <f t="shared" ca="1" si="5"/>
        <v>0.47732760064871593</v>
      </c>
      <c r="X257" s="29">
        <v>0</v>
      </c>
      <c r="Z257" s="22">
        <v>44802</v>
      </c>
      <c r="AA257" s="26">
        <f t="shared" ca="1" si="6"/>
        <v>0.79400128878005161</v>
      </c>
      <c r="AB257" s="29">
        <v>0</v>
      </c>
      <c r="AC257"/>
      <c r="AD257" s="25"/>
      <c r="AF257" s="22">
        <v>44802</v>
      </c>
      <c r="AG257" s="26">
        <f t="shared" ca="1" si="7"/>
        <v>0.65821364873054711</v>
      </c>
      <c r="AH257" s="29">
        <v>0</v>
      </c>
      <c r="AJ257" s="22">
        <v>44802</v>
      </c>
      <c r="AK257" s="26">
        <f t="shared" ca="1" si="8"/>
        <v>0.53782788803123216</v>
      </c>
      <c r="AL257" s="29">
        <v>0</v>
      </c>
      <c r="AN257" s="22">
        <v>44802</v>
      </c>
      <c r="AO257" s="26">
        <f t="shared" ca="1" si="9"/>
        <v>0.15802475562611307</v>
      </c>
      <c r="AP257" s="29">
        <v>0</v>
      </c>
      <c r="AR257" s="22">
        <v>44802</v>
      </c>
      <c r="AS257" s="26">
        <f t="shared" ca="1" si="10"/>
        <v>0.98326015623674934</v>
      </c>
      <c r="AT257" s="29">
        <v>0</v>
      </c>
      <c r="AV257" s="22">
        <v>44802</v>
      </c>
      <c r="AW257" s="26">
        <f t="shared" ca="1" si="11"/>
        <v>0.24164855284453679</v>
      </c>
      <c r="AX257" s="29">
        <v>0</v>
      </c>
      <c r="AZ257" s="22">
        <v>44802</v>
      </c>
      <c r="BA257" s="26">
        <f t="shared" ca="1" si="12"/>
        <v>0.80276998305123026</v>
      </c>
      <c r="BB257" s="29">
        <v>0</v>
      </c>
      <c r="BC257"/>
      <c r="BD257" s="25"/>
      <c r="BF257" s="22">
        <v>44802</v>
      </c>
      <c r="BG257" s="26">
        <f t="shared" ca="1" si="13"/>
        <v>0.97809812402548668</v>
      </c>
      <c r="BH257" s="29">
        <v>0</v>
      </c>
      <c r="BJ257" s="22">
        <v>44802</v>
      </c>
      <c r="BK257" s="26">
        <f t="shared" ca="1" si="14"/>
        <v>0.26388652290992132</v>
      </c>
      <c r="BL257" s="29">
        <v>0</v>
      </c>
      <c r="BN257" s="22">
        <v>44802</v>
      </c>
      <c r="BO257" s="26">
        <f t="shared" ca="1" si="15"/>
        <v>0.47827909565715843</v>
      </c>
      <c r="BP257" s="29">
        <v>0</v>
      </c>
      <c r="BR257" s="22">
        <v>44802</v>
      </c>
      <c r="BS257" s="26">
        <f t="shared" ca="1" si="16"/>
        <v>0.28539954876430196</v>
      </c>
      <c r="BT257" s="29">
        <v>0</v>
      </c>
      <c r="BV257" s="22">
        <v>44802</v>
      </c>
      <c r="BW257" s="26">
        <f t="shared" ca="1" si="17"/>
        <v>0.91478824948224735</v>
      </c>
      <c r="BX257" s="29">
        <v>0</v>
      </c>
    </row>
    <row r="258" spans="2:77" ht="12.75" x14ac:dyDescent="0.2">
      <c r="B258" s="22">
        <v>44803</v>
      </c>
      <c r="C258" s="26">
        <f t="shared" ca="1" si="0"/>
        <v>0.5282817785129964</v>
      </c>
      <c r="D258" s="29">
        <v>0</v>
      </c>
      <c r="F258" s="22">
        <v>44803</v>
      </c>
      <c r="G258" s="26">
        <f t="shared" ca="1" si="1"/>
        <v>0.13506058145350008</v>
      </c>
      <c r="H258" s="29">
        <v>0</v>
      </c>
      <c r="J258" s="22">
        <v>44803</v>
      </c>
      <c r="K258" s="26">
        <f t="shared" ca="1" si="2"/>
        <v>0.78856445947782439</v>
      </c>
      <c r="L258" s="29">
        <v>0</v>
      </c>
      <c r="N258" s="22">
        <v>44803</v>
      </c>
      <c r="O258" s="26">
        <f t="shared" ca="1" si="3"/>
        <v>0.67977425216074794</v>
      </c>
      <c r="P258" s="29">
        <v>0</v>
      </c>
      <c r="R258" s="22">
        <v>44803</v>
      </c>
      <c r="S258" s="26">
        <f t="shared" ca="1" si="4"/>
        <v>0.77920601162985492</v>
      </c>
      <c r="T258" s="29">
        <v>0</v>
      </c>
      <c r="V258" s="22">
        <v>44803</v>
      </c>
      <c r="W258" s="26">
        <f t="shared" ca="1" si="5"/>
        <v>0.16194286965125526</v>
      </c>
      <c r="X258" s="29">
        <v>0</v>
      </c>
      <c r="Z258" s="22">
        <v>44803</v>
      </c>
      <c r="AA258" s="26">
        <f t="shared" ca="1" si="6"/>
        <v>0.90979008691533803</v>
      </c>
      <c r="AB258" s="29">
        <v>0</v>
      </c>
      <c r="AC258"/>
      <c r="AD258" s="25"/>
      <c r="AF258" s="22">
        <v>44803</v>
      </c>
      <c r="AG258" s="26">
        <f t="shared" ca="1" si="7"/>
        <v>0.27318997293566527</v>
      </c>
      <c r="AH258" s="29">
        <v>0</v>
      </c>
      <c r="AJ258" s="22">
        <v>44803</v>
      </c>
      <c r="AK258" s="26">
        <f t="shared" ca="1" si="8"/>
        <v>8.3143765022408167E-2</v>
      </c>
      <c r="AL258" s="29">
        <v>0</v>
      </c>
      <c r="AN258" s="22">
        <v>44803</v>
      </c>
      <c r="AO258" s="26">
        <f t="shared" ca="1" si="9"/>
        <v>0.7319702467338749</v>
      </c>
      <c r="AP258" s="29">
        <v>0</v>
      </c>
      <c r="AR258" s="22">
        <v>44803</v>
      </c>
      <c r="AS258" s="26">
        <f t="shared" ca="1" si="10"/>
        <v>0.20085818392865828</v>
      </c>
      <c r="AT258" s="29">
        <v>0</v>
      </c>
      <c r="AV258" s="22">
        <v>44803</v>
      </c>
      <c r="AW258" s="26">
        <f t="shared" ca="1" si="11"/>
        <v>0.93611224078664867</v>
      </c>
      <c r="AX258" s="29">
        <v>0</v>
      </c>
      <c r="AZ258" s="22">
        <v>44803</v>
      </c>
      <c r="BA258" s="26">
        <f t="shared" ca="1" si="12"/>
        <v>0.39787520016292743</v>
      </c>
      <c r="BB258" s="29">
        <v>0</v>
      </c>
      <c r="BC258"/>
      <c r="BD258" s="25"/>
      <c r="BF258" s="22">
        <v>44803</v>
      </c>
      <c r="BG258" s="26">
        <f t="shared" ca="1" si="13"/>
        <v>0.27705765046890651</v>
      </c>
      <c r="BH258" s="29">
        <v>0</v>
      </c>
      <c r="BJ258" s="22">
        <v>44803</v>
      </c>
      <c r="BK258" s="26">
        <f t="shared" ca="1" si="14"/>
        <v>0.40770354643246653</v>
      </c>
      <c r="BL258" s="29">
        <v>0</v>
      </c>
      <c r="BN258" s="22">
        <v>44803</v>
      </c>
      <c r="BO258" s="26">
        <f t="shared" ca="1" si="15"/>
        <v>0.36306323901303894</v>
      </c>
      <c r="BP258" s="29">
        <v>0</v>
      </c>
      <c r="BR258" s="22">
        <v>44803</v>
      </c>
      <c r="BS258" s="26">
        <f t="shared" ca="1" si="16"/>
        <v>0.11805405165575245</v>
      </c>
      <c r="BT258" s="29">
        <v>0</v>
      </c>
      <c r="BV258" s="22">
        <v>44803</v>
      </c>
      <c r="BW258" s="26">
        <f t="shared" ca="1" si="17"/>
        <v>0.95811436494408686</v>
      </c>
      <c r="BX258" s="29">
        <v>0</v>
      </c>
    </row>
    <row r="259" spans="2:77" ht="12.75" x14ac:dyDescent="0.2">
      <c r="B259" s="22">
        <v>44804</v>
      </c>
      <c r="C259" s="26">
        <f t="shared" ca="1" si="0"/>
        <v>0.71624638950191022</v>
      </c>
      <c r="D259" s="29">
        <v>0</v>
      </c>
      <c r="E259">
        <v>0</v>
      </c>
      <c r="F259" s="22">
        <v>44804</v>
      </c>
      <c r="G259" s="26">
        <f t="shared" ca="1" si="1"/>
        <v>0.81207454893458264</v>
      </c>
      <c r="H259" s="29">
        <v>0</v>
      </c>
      <c r="I259">
        <v>0</v>
      </c>
      <c r="J259" s="22">
        <v>44804</v>
      </c>
      <c r="K259" s="26">
        <f t="shared" ca="1" si="2"/>
        <v>6.892617671839063E-2</v>
      </c>
      <c r="L259" s="29">
        <v>0</v>
      </c>
      <c r="M259">
        <v>0</v>
      </c>
      <c r="N259" s="22">
        <v>44804</v>
      </c>
      <c r="O259" s="26">
        <f t="shared" ca="1" si="3"/>
        <v>0.79178695650507858</v>
      </c>
      <c r="P259" s="29">
        <v>0</v>
      </c>
      <c r="Q259">
        <v>0</v>
      </c>
      <c r="R259" s="22">
        <v>44804</v>
      </c>
      <c r="S259" s="26">
        <f t="shared" ca="1" si="4"/>
        <v>0.35734218654117389</v>
      </c>
      <c r="T259" s="29">
        <v>0</v>
      </c>
      <c r="U259">
        <v>0</v>
      </c>
      <c r="V259" s="22">
        <v>44804</v>
      </c>
      <c r="W259" s="26">
        <f t="shared" ca="1" si="5"/>
        <v>0.20843930688595957</v>
      </c>
      <c r="X259" s="29">
        <v>0</v>
      </c>
      <c r="Y259">
        <v>0</v>
      </c>
      <c r="Z259" s="22">
        <v>44804</v>
      </c>
      <c r="AA259" s="26">
        <f t="shared" ca="1" si="6"/>
        <v>0.81740311221991668</v>
      </c>
      <c r="AB259" s="29">
        <v>0</v>
      </c>
      <c r="AC259">
        <v>0</v>
      </c>
      <c r="AD259" s="25"/>
      <c r="AF259" s="22">
        <v>44804</v>
      </c>
      <c r="AG259" s="26">
        <f t="shared" ca="1" si="7"/>
        <v>0.87410332033441462</v>
      </c>
      <c r="AH259" s="29">
        <v>0</v>
      </c>
      <c r="AI259">
        <v>0</v>
      </c>
      <c r="AJ259" s="22">
        <v>44804</v>
      </c>
      <c r="AK259" s="26">
        <f t="shared" ca="1" si="8"/>
        <v>0.3467768350642203</v>
      </c>
      <c r="AL259" s="29">
        <v>0</v>
      </c>
      <c r="AM259">
        <v>0</v>
      </c>
      <c r="AN259" s="22">
        <v>44804</v>
      </c>
      <c r="AO259" s="26">
        <f t="shared" ca="1" si="9"/>
        <v>0.23776476191301565</v>
      </c>
      <c r="AP259" s="29">
        <v>0</v>
      </c>
      <c r="AQ259">
        <v>0</v>
      </c>
      <c r="AR259" s="22">
        <v>44804</v>
      </c>
      <c r="AS259" s="26">
        <f t="shared" ca="1" si="10"/>
        <v>0.79322810255446852</v>
      </c>
      <c r="AT259" s="29">
        <v>0</v>
      </c>
      <c r="AU259">
        <v>0</v>
      </c>
      <c r="AV259" s="22">
        <v>44804</v>
      </c>
      <c r="AW259" s="26">
        <f t="shared" ca="1" si="11"/>
        <v>0.38611681854881807</v>
      </c>
      <c r="AX259" s="29">
        <v>0</v>
      </c>
      <c r="AY259">
        <v>0</v>
      </c>
      <c r="AZ259" s="22">
        <v>44804</v>
      </c>
      <c r="BA259" s="26">
        <f t="shared" ca="1" si="12"/>
        <v>0.87919679909765969</v>
      </c>
      <c r="BB259" s="29">
        <v>0</v>
      </c>
      <c r="BC259">
        <v>0</v>
      </c>
      <c r="BD259" s="25"/>
      <c r="BF259" s="22">
        <v>44804</v>
      </c>
      <c r="BG259" s="26">
        <f t="shared" ca="1" si="13"/>
        <v>6.0430635871923544E-2</v>
      </c>
      <c r="BH259" s="29">
        <v>0</v>
      </c>
      <c r="BI259">
        <v>0</v>
      </c>
      <c r="BJ259" s="22">
        <v>44804</v>
      </c>
      <c r="BK259" s="26">
        <f t="shared" ca="1" si="14"/>
        <v>0.44136945542230455</v>
      </c>
      <c r="BL259" s="29">
        <v>0</v>
      </c>
      <c r="BM259">
        <v>0</v>
      </c>
      <c r="BN259" s="22">
        <v>44804</v>
      </c>
      <c r="BO259" s="26">
        <f t="shared" ca="1" si="15"/>
        <v>0.91301954526024331</v>
      </c>
      <c r="BP259" s="29">
        <v>0</v>
      </c>
      <c r="BQ259">
        <v>0</v>
      </c>
      <c r="BR259" s="22">
        <v>44804</v>
      </c>
      <c r="BS259" s="26">
        <f t="shared" ca="1" si="16"/>
        <v>0.69386467916213057</v>
      </c>
      <c r="BT259" s="29">
        <v>0</v>
      </c>
      <c r="BU259">
        <v>0</v>
      </c>
      <c r="BV259" s="22">
        <v>44804</v>
      </c>
      <c r="BW259" s="26">
        <f t="shared" ca="1" si="17"/>
        <v>0.36252605362807844</v>
      </c>
      <c r="BX259" s="29">
        <v>0</v>
      </c>
      <c r="BY259">
        <v>0</v>
      </c>
    </row>
    <row r="260" spans="2:77" ht="12.75" x14ac:dyDescent="0.2">
      <c r="B260" s="22">
        <v>44805</v>
      </c>
      <c r="C260" s="26">
        <f t="shared" ca="1" si="0"/>
        <v>0.40808406732967728</v>
      </c>
      <c r="D260" s="29">
        <v>0</v>
      </c>
      <c r="F260" s="22">
        <v>44805</v>
      </c>
      <c r="G260" s="26">
        <f t="shared" ca="1" si="1"/>
        <v>3.950051436093549E-2</v>
      </c>
      <c r="H260" s="29">
        <v>0</v>
      </c>
      <c r="J260" s="22">
        <v>44805</v>
      </c>
      <c r="K260" s="26">
        <f t="shared" ca="1" si="2"/>
        <v>0.19054607226891351</v>
      </c>
      <c r="L260" s="29">
        <v>0</v>
      </c>
      <c r="N260" s="22">
        <v>44805</v>
      </c>
      <c r="O260" s="26">
        <f t="shared" ca="1" si="3"/>
        <v>0.28644175350959267</v>
      </c>
      <c r="P260" s="29">
        <v>0</v>
      </c>
      <c r="R260" s="22">
        <v>44805</v>
      </c>
      <c r="S260" s="26">
        <f t="shared" ca="1" si="4"/>
        <v>0.24222556853390886</v>
      </c>
      <c r="T260" s="29">
        <v>0</v>
      </c>
      <c r="V260" s="22">
        <v>44805</v>
      </c>
      <c r="W260" s="26">
        <f t="shared" ca="1" si="5"/>
        <v>0.8126698100552282</v>
      </c>
      <c r="X260" s="29">
        <v>0</v>
      </c>
      <c r="Z260" s="22">
        <v>44805</v>
      </c>
      <c r="AA260" s="26">
        <f t="shared" ca="1" si="6"/>
        <v>0.8746792444415119</v>
      </c>
      <c r="AB260" s="29">
        <v>0</v>
      </c>
      <c r="AC260"/>
      <c r="AD260" s="25"/>
      <c r="AF260" s="22">
        <v>44805</v>
      </c>
      <c r="AG260" s="26">
        <f t="shared" ca="1" si="7"/>
        <v>0.6998651117538488</v>
      </c>
      <c r="AH260" s="29">
        <v>0</v>
      </c>
      <c r="AJ260" s="22">
        <v>44805</v>
      </c>
      <c r="AK260" s="26">
        <f t="shared" ca="1" si="8"/>
        <v>0.87810683722348903</v>
      </c>
      <c r="AL260" s="29">
        <v>0</v>
      </c>
      <c r="AN260" s="22">
        <v>44805</v>
      </c>
      <c r="AO260" s="26">
        <f t="shared" ca="1" si="9"/>
        <v>0.66674693393388218</v>
      </c>
      <c r="AP260" s="29">
        <v>0</v>
      </c>
      <c r="AR260" s="22">
        <v>44805</v>
      </c>
      <c r="AS260" s="26">
        <f t="shared" ca="1" si="10"/>
        <v>0.69787399310902765</v>
      </c>
      <c r="AT260" s="29">
        <v>0</v>
      </c>
      <c r="AV260" s="22">
        <v>44805</v>
      </c>
      <c r="AW260" s="26">
        <f t="shared" ca="1" si="11"/>
        <v>0.46469461827120906</v>
      </c>
      <c r="AX260" s="29">
        <v>0</v>
      </c>
      <c r="AZ260" s="22">
        <v>44805</v>
      </c>
      <c r="BA260" s="26">
        <f t="shared" ca="1" si="12"/>
        <v>0.67784023477442046</v>
      </c>
      <c r="BB260" s="29">
        <v>0</v>
      </c>
      <c r="BC260"/>
      <c r="BD260" s="25"/>
      <c r="BF260" s="22">
        <v>44805</v>
      </c>
      <c r="BG260" s="26">
        <f t="shared" ca="1" si="13"/>
        <v>0.98968179674065992</v>
      </c>
      <c r="BH260" s="29">
        <v>0</v>
      </c>
      <c r="BJ260" s="22">
        <v>44805</v>
      </c>
      <c r="BK260" s="26">
        <f t="shared" ca="1" si="14"/>
        <v>0.11487859856424665</v>
      </c>
      <c r="BL260" s="29">
        <v>0</v>
      </c>
      <c r="BN260" s="22">
        <v>44805</v>
      </c>
      <c r="BO260" s="26">
        <f t="shared" ca="1" si="15"/>
        <v>0.12742490015036245</v>
      </c>
      <c r="BP260" s="29">
        <v>0</v>
      </c>
      <c r="BR260" s="22">
        <v>44805</v>
      </c>
      <c r="BS260" s="26">
        <f t="shared" ca="1" si="16"/>
        <v>0.77196053097615291</v>
      </c>
      <c r="BT260" s="29">
        <v>0</v>
      </c>
      <c r="BV260" s="22">
        <v>44805</v>
      </c>
      <c r="BW260" s="26">
        <f t="shared" ca="1" si="17"/>
        <v>8.3036672512881937E-2</v>
      </c>
      <c r="BX260" s="29">
        <v>0</v>
      </c>
    </row>
    <row r="261" spans="2:77" ht="12.75" x14ac:dyDescent="0.2">
      <c r="B261" s="22">
        <v>44806</v>
      </c>
      <c r="C261" s="26">
        <f t="shared" ca="1" si="0"/>
        <v>0.55534048075557008</v>
      </c>
      <c r="D261" s="29">
        <f t="shared" ref="D261:D273" ca="1" si="26">ROUNDUP(_xlfn.NORM.INV(C261,C$10,C$12),0)</f>
        <v>78</v>
      </c>
      <c r="F261" s="22">
        <v>44806</v>
      </c>
      <c r="G261" s="26">
        <f t="shared" ca="1" si="1"/>
        <v>6.881873466963917E-2</v>
      </c>
      <c r="H261" s="29">
        <f t="shared" ref="H261:H323" ca="1" si="27">ROUNDUP(_xlfn.NORM.INV(G261,G$10,G$12),0)</f>
        <v>195</v>
      </c>
      <c r="J261" s="22">
        <v>44806</v>
      </c>
      <c r="K261" s="26">
        <f t="shared" ca="1" si="2"/>
        <v>0.89727380644541621</v>
      </c>
      <c r="L261" s="29">
        <f t="shared" ref="L261:L323" ca="1" si="28">ROUNDUP(_xlfn.NORM.INV(K261,K$10,K$12),0)</f>
        <v>163</v>
      </c>
      <c r="N261" s="22">
        <v>44806</v>
      </c>
      <c r="O261" s="26">
        <f t="shared" ca="1" si="3"/>
        <v>0.59422327905659933</v>
      </c>
      <c r="P261" s="29">
        <f t="shared" ref="P261:P323" ca="1" si="29">ROUNDUP(_xlfn.NORM.INV(O261,O$10,O$12),0)</f>
        <v>233</v>
      </c>
      <c r="R261" s="22">
        <v>44806</v>
      </c>
      <c r="S261" s="26">
        <f t="shared" ca="1" si="4"/>
        <v>2.7992782749177381E-2</v>
      </c>
      <c r="T261" s="29">
        <f t="shared" ref="T261:T323" ca="1" si="30">ROUNDUP(_xlfn.NORM.INV(S261,S$10,S$12),0)</f>
        <v>122</v>
      </c>
      <c r="V261" s="22">
        <v>44806</v>
      </c>
      <c r="W261" s="26">
        <f t="shared" ca="1" si="5"/>
        <v>0.37096812966627246</v>
      </c>
      <c r="X261" s="29">
        <v>0</v>
      </c>
      <c r="Z261" s="22">
        <v>44806</v>
      </c>
      <c r="AA261" s="26">
        <f t="shared" ca="1" si="6"/>
        <v>0.256318803259587</v>
      </c>
      <c r="AB261" s="29">
        <v>0</v>
      </c>
      <c r="AC261"/>
      <c r="AD261" s="25"/>
      <c r="AF261" s="22">
        <v>44806</v>
      </c>
      <c r="AG261" s="26">
        <f t="shared" ca="1" si="7"/>
        <v>0.18308284876233905</v>
      </c>
      <c r="AH261" s="29">
        <v>0</v>
      </c>
      <c r="AJ261" s="22">
        <v>44806</v>
      </c>
      <c r="AK261" s="26">
        <f t="shared" ca="1" si="8"/>
        <v>0.3218479497442901</v>
      </c>
      <c r="AL261" s="29">
        <v>0</v>
      </c>
      <c r="AN261" s="22">
        <v>44806</v>
      </c>
      <c r="AO261" s="26">
        <f t="shared" ca="1" si="9"/>
        <v>3.8456529149439533E-2</v>
      </c>
      <c r="AP261" s="29">
        <v>0</v>
      </c>
      <c r="AR261" s="22">
        <v>44806</v>
      </c>
      <c r="AS261" s="26">
        <f t="shared" ca="1" si="10"/>
        <v>0.55829251872075858</v>
      </c>
      <c r="AT261" s="29">
        <v>0</v>
      </c>
      <c r="AV261" s="22">
        <v>44806</v>
      </c>
      <c r="AW261" s="26">
        <f t="shared" ca="1" si="11"/>
        <v>0.79775535150683086</v>
      </c>
      <c r="AX261" s="29">
        <v>0</v>
      </c>
      <c r="AZ261" s="22">
        <v>44806</v>
      </c>
      <c r="BA261" s="26">
        <f t="shared" ca="1" si="12"/>
        <v>0.8943313492404712</v>
      </c>
      <c r="BB261" s="29">
        <v>0</v>
      </c>
      <c r="BC261"/>
      <c r="BD261" s="25"/>
      <c r="BF261" s="22">
        <v>44806</v>
      </c>
      <c r="BG261" s="26">
        <f t="shared" ca="1" si="13"/>
        <v>0.49850761692673029</v>
      </c>
      <c r="BH261" s="29">
        <v>0</v>
      </c>
      <c r="BJ261" s="22">
        <v>44806</v>
      </c>
      <c r="BK261" s="26">
        <f t="shared" ca="1" si="14"/>
        <v>0.38519293386339581</v>
      </c>
      <c r="BL261" s="29">
        <v>0</v>
      </c>
      <c r="BN261" s="22">
        <v>44806</v>
      </c>
      <c r="BO261" s="26">
        <f t="shared" ca="1" si="15"/>
        <v>0.80855394868222563</v>
      </c>
      <c r="BP261" s="29">
        <v>0</v>
      </c>
      <c r="BR261" s="22">
        <v>44806</v>
      </c>
      <c r="BS261" s="26">
        <f t="shared" ca="1" si="16"/>
        <v>0.70484735522958863</v>
      </c>
      <c r="BT261" s="29">
        <v>0</v>
      </c>
      <c r="BV261" s="22">
        <v>44806</v>
      </c>
      <c r="BW261" s="26">
        <f t="shared" ca="1" si="17"/>
        <v>0.11131456524096939</v>
      </c>
      <c r="BX261" s="29">
        <v>0</v>
      </c>
    </row>
    <row r="262" spans="2:77" ht="12.75" x14ac:dyDescent="0.2">
      <c r="B262" s="22">
        <v>44807</v>
      </c>
      <c r="C262" s="26">
        <f t="shared" ca="1" si="0"/>
        <v>0.63529176759040817</v>
      </c>
      <c r="D262" s="29">
        <f t="shared" ca="1" si="26"/>
        <v>82</v>
      </c>
      <c r="F262" s="22">
        <v>44807</v>
      </c>
      <c r="G262" s="26">
        <f t="shared" ca="1" si="1"/>
        <v>0.14199519298530394</v>
      </c>
      <c r="H262" s="29">
        <f t="shared" ca="1" si="27"/>
        <v>201</v>
      </c>
      <c r="J262" s="22">
        <v>44807</v>
      </c>
      <c r="K262" s="26">
        <f t="shared" ca="1" si="2"/>
        <v>0.9989365887975088</v>
      </c>
      <c r="L262" s="29">
        <f t="shared" ca="1" si="28"/>
        <v>181</v>
      </c>
      <c r="N262" s="22">
        <v>44807</v>
      </c>
      <c r="O262" s="26">
        <f t="shared" ca="1" si="3"/>
        <v>0.48564597867199721</v>
      </c>
      <c r="P262" s="29">
        <f t="shared" ca="1" si="29"/>
        <v>229</v>
      </c>
      <c r="R262" s="22">
        <v>44807</v>
      </c>
      <c r="S262" s="26">
        <f t="shared" ca="1" si="4"/>
        <v>0.13689391371134829</v>
      </c>
      <c r="T262" s="29">
        <f t="shared" ca="1" si="30"/>
        <v>129</v>
      </c>
      <c r="V262" s="22">
        <v>44807</v>
      </c>
      <c r="W262" s="26">
        <f t="shared" ca="1" si="5"/>
        <v>0.59113210138415795</v>
      </c>
      <c r="X262" s="29">
        <v>0</v>
      </c>
      <c r="Z262" s="22">
        <v>44807</v>
      </c>
      <c r="AA262" s="26">
        <f t="shared" ca="1" si="6"/>
        <v>0.24045273657204802</v>
      </c>
      <c r="AB262" s="29">
        <v>0</v>
      </c>
      <c r="AC262"/>
      <c r="AD262" s="25"/>
      <c r="AF262" s="22">
        <v>44807</v>
      </c>
      <c r="AG262" s="26">
        <f t="shared" ca="1" si="7"/>
        <v>0.76040648118597942</v>
      </c>
      <c r="AH262" s="29">
        <v>0</v>
      </c>
      <c r="AJ262" s="22">
        <v>44807</v>
      </c>
      <c r="AK262" s="26">
        <f t="shared" ca="1" si="8"/>
        <v>0.52306054090707266</v>
      </c>
      <c r="AL262" s="29">
        <v>0</v>
      </c>
      <c r="AN262" s="22">
        <v>44807</v>
      </c>
      <c r="AO262" s="26">
        <f t="shared" ca="1" si="9"/>
        <v>0.18375158197928843</v>
      </c>
      <c r="AP262" s="29">
        <v>0</v>
      </c>
      <c r="AR262" s="22">
        <v>44807</v>
      </c>
      <c r="AS262" s="26">
        <f t="shared" ca="1" si="10"/>
        <v>0.37932532224905313</v>
      </c>
      <c r="AT262" s="29">
        <v>0</v>
      </c>
      <c r="AV262" s="22">
        <v>44807</v>
      </c>
      <c r="AW262" s="26">
        <f t="shared" ca="1" si="11"/>
        <v>0.75095374643196333</v>
      </c>
      <c r="AX262" s="29">
        <v>0</v>
      </c>
      <c r="AZ262" s="22">
        <v>44807</v>
      </c>
      <c r="BA262" s="26">
        <f t="shared" ca="1" si="12"/>
        <v>5.5152150918267306E-3</v>
      </c>
      <c r="BB262" s="29">
        <v>0</v>
      </c>
      <c r="BC262"/>
      <c r="BD262" s="25"/>
      <c r="BF262" s="22">
        <v>44807</v>
      </c>
      <c r="BG262" s="26">
        <f t="shared" ca="1" si="13"/>
        <v>0.41324886440603625</v>
      </c>
      <c r="BH262" s="29">
        <v>0</v>
      </c>
      <c r="BJ262" s="22">
        <v>44807</v>
      </c>
      <c r="BK262" s="26">
        <f t="shared" ca="1" si="14"/>
        <v>0.65453319624278883</v>
      </c>
      <c r="BL262" s="29">
        <v>0</v>
      </c>
      <c r="BN262" s="22">
        <v>44807</v>
      </c>
      <c r="BO262" s="26">
        <f t="shared" ca="1" si="15"/>
        <v>0.88470740272368398</v>
      </c>
      <c r="BP262" s="29">
        <v>0</v>
      </c>
      <c r="BR262" s="22">
        <v>44807</v>
      </c>
      <c r="BS262" s="26">
        <f t="shared" ca="1" si="16"/>
        <v>0.6998046285697006</v>
      </c>
      <c r="BT262" s="29">
        <v>0</v>
      </c>
      <c r="BV262" s="22">
        <v>44807</v>
      </c>
      <c r="BW262" s="26">
        <f t="shared" ca="1" si="17"/>
        <v>0.46412740224247895</v>
      </c>
      <c r="BX262" s="29">
        <v>0</v>
      </c>
    </row>
    <row r="263" spans="2:77" ht="12.75" x14ac:dyDescent="0.2">
      <c r="B263" s="22">
        <v>44808</v>
      </c>
      <c r="C263" s="26">
        <f t="shared" ca="1" si="0"/>
        <v>0.61204554828475799</v>
      </c>
      <c r="D263" s="29">
        <f t="shared" ca="1" si="26"/>
        <v>81</v>
      </c>
      <c r="F263" s="22">
        <v>44808</v>
      </c>
      <c r="G263" s="26">
        <f t="shared" ca="1" si="1"/>
        <v>0.51262305587250401</v>
      </c>
      <c r="H263" s="29">
        <f t="shared" ca="1" si="27"/>
        <v>216</v>
      </c>
      <c r="J263" s="22">
        <v>44808</v>
      </c>
      <c r="K263" s="26">
        <f t="shared" ca="1" si="2"/>
        <v>0.99312533504044154</v>
      </c>
      <c r="L263" s="29">
        <f t="shared" ca="1" si="28"/>
        <v>175</v>
      </c>
      <c r="N263" s="22">
        <v>44808</v>
      </c>
      <c r="O263" s="26">
        <f t="shared" ca="1" si="3"/>
        <v>0.57495310745800143</v>
      </c>
      <c r="P263" s="29">
        <f t="shared" ca="1" si="29"/>
        <v>233</v>
      </c>
      <c r="R263" s="22">
        <v>44808</v>
      </c>
      <c r="S263" s="26">
        <f t="shared" ca="1" si="4"/>
        <v>0.51815161819892563</v>
      </c>
      <c r="T263" s="29">
        <f t="shared" ca="1" si="30"/>
        <v>140</v>
      </c>
      <c r="V263" s="22">
        <v>44808</v>
      </c>
      <c r="W263" s="26">
        <f t="shared" ca="1" si="5"/>
        <v>0.65565776537796117</v>
      </c>
      <c r="X263" s="29">
        <v>0</v>
      </c>
      <c r="Z263" s="22">
        <v>44808</v>
      </c>
      <c r="AA263" s="26">
        <f t="shared" ca="1" si="6"/>
        <v>0.26339148987973005</v>
      </c>
      <c r="AB263" s="29">
        <v>0</v>
      </c>
      <c r="AC263"/>
      <c r="AD263" s="25"/>
      <c r="AF263" s="22">
        <v>44808</v>
      </c>
      <c r="AG263" s="26">
        <f t="shared" ca="1" si="7"/>
        <v>0.85274849272950237</v>
      </c>
      <c r="AH263" s="29">
        <v>0</v>
      </c>
      <c r="AJ263" s="22">
        <v>44808</v>
      </c>
      <c r="AK263" s="26">
        <f t="shared" ca="1" si="8"/>
        <v>0.13289092479303444</v>
      </c>
      <c r="AL263" s="29">
        <v>0</v>
      </c>
      <c r="AN263" s="22">
        <v>44808</v>
      </c>
      <c r="AO263" s="26">
        <f t="shared" ca="1" si="9"/>
        <v>0.24680183733112837</v>
      </c>
      <c r="AP263" s="29">
        <v>0</v>
      </c>
      <c r="AR263" s="22">
        <v>44808</v>
      </c>
      <c r="AS263" s="26">
        <f t="shared" ca="1" si="10"/>
        <v>6.9535012974734078E-3</v>
      </c>
      <c r="AT263" s="29">
        <v>0</v>
      </c>
      <c r="AV263" s="22">
        <v>44808</v>
      </c>
      <c r="AW263" s="26">
        <f t="shared" ca="1" si="11"/>
        <v>0.55890262644238697</v>
      </c>
      <c r="AX263" s="29">
        <v>0</v>
      </c>
      <c r="AZ263" s="22">
        <v>44808</v>
      </c>
      <c r="BA263" s="26">
        <f t="shared" ca="1" si="12"/>
        <v>2.5256251611045277E-2</v>
      </c>
      <c r="BB263" s="29">
        <v>0</v>
      </c>
      <c r="BC263"/>
      <c r="BD263" s="25"/>
      <c r="BF263" s="22">
        <v>44808</v>
      </c>
      <c r="BG263" s="26">
        <f t="shared" ca="1" si="13"/>
        <v>0.80624136645828803</v>
      </c>
      <c r="BH263" s="29">
        <v>0</v>
      </c>
      <c r="BJ263" s="22">
        <v>44808</v>
      </c>
      <c r="BK263" s="26">
        <f t="shared" ca="1" si="14"/>
        <v>0.79340799102406134</v>
      </c>
      <c r="BL263" s="29">
        <v>0</v>
      </c>
      <c r="BN263" s="22">
        <v>44808</v>
      </c>
      <c r="BO263" s="26">
        <f t="shared" ca="1" si="15"/>
        <v>0.91693815902736253</v>
      </c>
      <c r="BP263" s="29">
        <v>0</v>
      </c>
      <c r="BR263" s="22">
        <v>44808</v>
      </c>
      <c r="BS263" s="26">
        <f t="shared" ca="1" si="16"/>
        <v>0.91623346923616211</v>
      </c>
      <c r="BT263" s="29">
        <v>0</v>
      </c>
      <c r="BV263" s="22">
        <v>44808</v>
      </c>
      <c r="BW263" s="26">
        <f t="shared" ca="1" si="17"/>
        <v>0.56651727901930338</v>
      </c>
      <c r="BX263" s="29">
        <v>0</v>
      </c>
    </row>
    <row r="264" spans="2:77" ht="12.75" x14ac:dyDescent="0.2">
      <c r="B264" s="22">
        <v>44809</v>
      </c>
      <c r="C264" s="26">
        <f t="shared" ca="1" si="0"/>
        <v>0.99993411471564697</v>
      </c>
      <c r="D264" s="29">
        <f t="shared" ca="1" si="26"/>
        <v>152</v>
      </c>
      <c r="F264" s="22">
        <v>44809</v>
      </c>
      <c r="G264" s="26">
        <f t="shared" ca="1" si="1"/>
        <v>0.32535838172454512</v>
      </c>
      <c r="H264" s="29">
        <f t="shared" ca="1" si="27"/>
        <v>209</v>
      </c>
      <c r="J264" s="22">
        <v>44809</v>
      </c>
      <c r="K264" s="26">
        <f t="shared" ca="1" si="2"/>
        <v>0.21067688967390064</v>
      </c>
      <c r="L264" s="29">
        <f t="shared" ca="1" si="28"/>
        <v>142</v>
      </c>
      <c r="N264" s="22">
        <v>44809</v>
      </c>
      <c r="O264" s="26">
        <f t="shared" ca="1" si="3"/>
        <v>0.66825329514907694</v>
      </c>
      <c r="P264" s="29">
        <f t="shared" ca="1" si="29"/>
        <v>237</v>
      </c>
      <c r="R264" s="22">
        <v>44809</v>
      </c>
      <c r="S264" s="26">
        <f t="shared" ca="1" si="4"/>
        <v>0.38133060618104486</v>
      </c>
      <c r="T264" s="29">
        <f t="shared" ca="1" si="30"/>
        <v>136</v>
      </c>
      <c r="V264" s="22">
        <v>44809</v>
      </c>
      <c r="W264" s="26">
        <f t="shared" ca="1" si="5"/>
        <v>0.38236444241757805</v>
      </c>
      <c r="X264" s="29">
        <v>0</v>
      </c>
      <c r="Z264" s="22">
        <v>44809</v>
      </c>
      <c r="AA264" s="26">
        <f t="shared" ca="1" si="6"/>
        <v>0.87564458791945632</v>
      </c>
      <c r="AB264" s="29">
        <v>0</v>
      </c>
      <c r="AC264"/>
      <c r="AD264" s="25"/>
      <c r="AF264" s="22">
        <v>44809</v>
      </c>
      <c r="AG264" s="26">
        <f t="shared" ca="1" si="7"/>
        <v>0.64031115296537477</v>
      </c>
      <c r="AH264" s="29">
        <v>0</v>
      </c>
      <c r="AJ264" s="22">
        <v>44809</v>
      </c>
      <c r="AK264" s="26">
        <f t="shared" ca="1" si="8"/>
        <v>0.30539102250418038</v>
      </c>
      <c r="AL264" s="29">
        <v>0</v>
      </c>
      <c r="AN264" s="22">
        <v>44809</v>
      </c>
      <c r="AO264" s="26">
        <f t="shared" ca="1" si="9"/>
        <v>0.71688582200313178</v>
      </c>
      <c r="AP264" s="29">
        <v>0</v>
      </c>
      <c r="AR264" s="22">
        <v>44809</v>
      </c>
      <c r="AS264" s="26">
        <f t="shared" ca="1" si="10"/>
        <v>0.77733087300355175</v>
      </c>
      <c r="AT264" s="29">
        <v>0</v>
      </c>
      <c r="AV264" s="22">
        <v>44809</v>
      </c>
      <c r="AW264" s="26">
        <f t="shared" ca="1" si="11"/>
        <v>0.63389801999381212</v>
      </c>
      <c r="AX264" s="29">
        <v>0</v>
      </c>
      <c r="AZ264" s="22">
        <v>44809</v>
      </c>
      <c r="BA264" s="26">
        <f t="shared" ca="1" si="12"/>
        <v>0.7235433734812261</v>
      </c>
      <c r="BB264" s="29">
        <v>0</v>
      </c>
      <c r="BC264"/>
      <c r="BD264" s="25"/>
      <c r="BF264" s="22">
        <v>44809</v>
      </c>
      <c r="BG264" s="26">
        <f t="shared" ca="1" si="13"/>
        <v>0.76661804885401297</v>
      </c>
      <c r="BH264" s="29">
        <v>0</v>
      </c>
      <c r="BJ264" s="22">
        <v>44809</v>
      </c>
      <c r="BK264" s="26">
        <f t="shared" ca="1" si="14"/>
        <v>5.9471039377231194E-2</v>
      </c>
      <c r="BL264" s="29">
        <v>0</v>
      </c>
      <c r="BN264" s="22">
        <v>44809</v>
      </c>
      <c r="BO264" s="26">
        <f t="shared" ca="1" si="15"/>
        <v>0.20640366521904363</v>
      </c>
      <c r="BP264" s="29">
        <v>0</v>
      </c>
      <c r="BR264" s="22">
        <v>44809</v>
      </c>
      <c r="BS264" s="26">
        <f t="shared" ca="1" si="16"/>
        <v>0.26048333364334664</v>
      </c>
      <c r="BT264" s="29">
        <v>0</v>
      </c>
      <c r="BV264" s="22">
        <v>44809</v>
      </c>
      <c r="BW264" s="26">
        <f t="shared" ca="1" si="17"/>
        <v>0.56960906064444328</v>
      </c>
      <c r="BX264" s="29">
        <v>0</v>
      </c>
    </row>
    <row r="265" spans="2:77" ht="12.75" x14ac:dyDescent="0.2">
      <c r="B265" s="22">
        <v>44810</v>
      </c>
      <c r="C265" s="26">
        <f t="shared" ca="1" si="0"/>
        <v>0.81997950223701765</v>
      </c>
      <c r="D265" s="29">
        <f t="shared" ca="1" si="26"/>
        <v>94</v>
      </c>
      <c r="F265" s="22">
        <v>44810</v>
      </c>
      <c r="G265" s="26">
        <f t="shared" ca="1" si="1"/>
        <v>0.18614624765487742</v>
      </c>
      <c r="H265" s="29">
        <f t="shared" ca="1" si="27"/>
        <v>203</v>
      </c>
      <c r="J265" s="22">
        <v>44810</v>
      </c>
      <c r="K265" s="26">
        <f t="shared" ca="1" si="2"/>
        <v>0.18886230062151799</v>
      </c>
      <c r="L265" s="29">
        <f t="shared" ca="1" si="28"/>
        <v>142</v>
      </c>
      <c r="N265" s="22">
        <v>44810</v>
      </c>
      <c r="O265" s="26">
        <f t="shared" ca="1" si="3"/>
        <v>5.9433318149082481E-2</v>
      </c>
      <c r="P265" s="29">
        <f t="shared" ca="1" si="29"/>
        <v>206</v>
      </c>
      <c r="R265" s="22">
        <v>44810</v>
      </c>
      <c r="S265" s="26">
        <f t="shared" ca="1" si="4"/>
        <v>0.50099977191780898</v>
      </c>
      <c r="T265" s="29">
        <f t="shared" ca="1" si="30"/>
        <v>139</v>
      </c>
      <c r="V265" s="22">
        <v>44810</v>
      </c>
      <c r="W265" s="26">
        <f t="shared" ca="1" si="5"/>
        <v>0.8720434296845605</v>
      </c>
      <c r="X265" s="29">
        <v>0</v>
      </c>
      <c r="Z265" s="22">
        <v>44810</v>
      </c>
      <c r="AA265" s="26">
        <f t="shared" ca="1" si="6"/>
        <v>0.72863281591443374</v>
      </c>
      <c r="AB265" s="29">
        <v>0</v>
      </c>
      <c r="AC265"/>
      <c r="AD265" s="25"/>
      <c r="AF265" s="22">
        <v>44810</v>
      </c>
      <c r="AG265" s="26">
        <f t="shared" ca="1" si="7"/>
        <v>4.1012554926156186E-2</v>
      </c>
      <c r="AH265" s="29">
        <v>0</v>
      </c>
      <c r="AJ265" s="22">
        <v>44810</v>
      </c>
      <c r="AK265" s="26">
        <f t="shared" ca="1" si="8"/>
        <v>0.10494947207316752</v>
      </c>
      <c r="AL265" s="29">
        <v>0</v>
      </c>
      <c r="AN265" s="22">
        <v>44810</v>
      </c>
      <c r="AO265" s="26">
        <f t="shared" ca="1" si="9"/>
        <v>0.99673715484367031</v>
      </c>
      <c r="AP265" s="29">
        <v>0</v>
      </c>
      <c r="AR265" s="22">
        <v>44810</v>
      </c>
      <c r="AS265" s="26">
        <f t="shared" ca="1" si="10"/>
        <v>0.59991939681769257</v>
      </c>
      <c r="AT265" s="29">
        <v>0</v>
      </c>
      <c r="AV265" s="22">
        <v>44810</v>
      </c>
      <c r="AW265" s="26">
        <f t="shared" ca="1" si="11"/>
        <v>0.157884392474271</v>
      </c>
      <c r="AX265" s="29">
        <v>0</v>
      </c>
      <c r="AZ265" s="22">
        <v>44810</v>
      </c>
      <c r="BA265" s="26">
        <f t="shared" ca="1" si="12"/>
        <v>6.5812666402031428E-2</v>
      </c>
      <c r="BB265" s="29">
        <v>0</v>
      </c>
      <c r="BC265"/>
      <c r="BD265" s="25"/>
      <c r="BF265" s="22">
        <v>44810</v>
      </c>
      <c r="BG265" s="26">
        <f t="shared" ca="1" si="13"/>
        <v>0.60530681548667209</v>
      </c>
      <c r="BH265" s="29">
        <v>0</v>
      </c>
      <c r="BJ265" s="22">
        <v>44810</v>
      </c>
      <c r="BK265" s="26">
        <f t="shared" ca="1" si="14"/>
        <v>0.8102434043606509</v>
      </c>
      <c r="BL265" s="29">
        <v>0</v>
      </c>
      <c r="BN265" s="22">
        <v>44810</v>
      </c>
      <c r="BO265" s="26">
        <f t="shared" ca="1" si="15"/>
        <v>0.35841498029557417</v>
      </c>
      <c r="BP265" s="29">
        <v>0</v>
      </c>
      <c r="BR265" s="22">
        <v>44810</v>
      </c>
      <c r="BS265" s="26">
        <f t="shared" ca="1" si="16"/>
        <v>9.5669001474840698E-4</v>
      </c>
      <c r="BT265" s="29">
        <v>0</v>
      </c>
      <c r="BV265" s="22">
        <v>44810</v>
      </c>
      <c r="BW265" s="26">
        <f t="shared" ca="1" si="17"/>
        <v>0.39691116640762136</v>
      </c>
      <c r="BX265" s="29">
        <v>0</v>
      </c>
    </row>
    <row r="266" spans="2:77" ht="12.75" x14ac:dyDescent="0.2">
      <c r="B266" s="22">
        <v>44811</v>
      </c>
      <c r="C266" s="26">
        <f t="shared" ca="1" si="0"/>
        <v>0.28307485626184514</v>
      </c>
      <c r="D266" s="29">
        <f t="shared" ca="1" si="26"/>
        <v>64</v>
      </c>
      <c r="F266" s="22">
        <v>44811</v>
      </c>
      <c r="G266" s="26">
        <f t="shared" ca="1" si="1"/>
        <v>0.73587642810106968</v>
      </c>
      <c r="H266" s="29">
        <f t="shared" ca="1" si="27"/>
        <v>225</v>
      </c>
      <c r="J266" s="22">
        <v>44811</v>
      </c>
      <c r="K266" s="26">
        <f t="shared" ca="1" si="2"/>
        <v>0.39825442399551392</v>
      </c>
      <c r="L266" s="29">
        <f t="shared" ca="1" si="28"/>
        <v>148</v>
      </c>
      <c r="N266" s="22">
        <v>44811</v>
      </c>
      <c r="O266" s="26">
        <f t="shared" ca="1" si="3"/>
        <v>0.4288778889356929</v>
      </c>
      <c r="P266" s="29">
        <f t="shared" ca="1" si="29"/>
        <v>227</v>
      </c>
      <c r="R266" s="22">
        <v>44811</v>
      </c>
      <c r="S266" s="26">
        <f t="shared" ca="1" si="4"/>
        <v>0.38311133584143575</v>
      </c>
      <c r="T266" s="29">
        <f t="shared" ca="1" si="30"/>
        <v>136</v>
      </c>
      <c r="V266" s="22">
        <v>44811</v>
      </c>
      <c r="W266" s="26">
        <f t="shared" ca="1" si="5"/>
        <v>0.81607945898860712</v>
      </c>
      <c r="X266" s="29">
        <v>0</v>
      </c>
      <c r="Z266" s="22">
        <v>44811</v>
      </c>
      <c r="AA266" s="26">
        <f t="shared" ca="1" si="6"/>
        <v>0.918881993358316</v>
      </c>
      <c r="AB266" s="29">
        <v>0</v>
      </c>
      <c r="AC266"/>
      <c r="AD266" s="25"/>
      <c r="AF266" s="22">
        <v>44811</v>
      </c>
      <c r="AG266" s="26">
        <f t="shared" ca="1" si="7"/>
        <v>0.14671936189340939</v>
      </c>
      <c r="AH266" s="29">
        <v>0</v>
      </c>
      <c r="AJ266" s="22">
        <v>44811</v>
      </c>
      <c r="AK266" s="26">
        <f t="shared" ca="1" si="8"/>
        <v>0.15711340396613194</v>
      </c>
      <c r="AL266" s="29">
        <v>0</v>
      </c>
      <c r="AN266" s="22">
        <v>44811</v>
      </c>
      <c r="AO266" s="26">
        <f t="shared" ca="1" si="9"/>
        <v>0.89086021746202582</v>
      </c>
      <c r="AP266" s="29">
        <v>0</v>
      </c>
      <c r="AR266" s="22">
        <v>44811</v>
      </c>
      <c r="AS266" s="26">
        <f t="shared" ca="1" si="10"/>
        <v>0.80769172605384953</v>
      </c>
      <c r="AT266" s="29">
        <v>0</v>
      </c>
      <c r="AV266" s="22">
        <v>44811</v>
      </c>
      <c r="AW266" s="26">
        <f t="shared" ca="1" si="11"/>
        <v>0.98598520782820076</v>
      </c>
      <c r="AX266" s="29">
        <v>0</v>
      </c>
      <c r="AZ266" s="22">
        <v>44811</v>
      </c>
      <c r="BA266" s="26">
        <f t="shared" ca="1" si="12"/>
        <v>0.19257472153578847</v>
      </c>
      <c r="BB266" s="29">
        <v>0</v>
      </c>
      <c r="BC266"/>
      <c r="BD266" s="25"/>
      <c r="BF266" s="22">
        <v>44811</v>
      </c>
      <c r="BG266" s="26">
        <f t="shared" ca="1" si="13"/>
        <v>0.84031823074811451</v>
      </c>
      <c r="BH266" s="29">
        <v>0</v>
      </c>
      <c r="BJ266" s="22">
        <v>44811</v>
      </c>
      <c r="BK266" s="26">
        <f t="shared" ca="1" si="14"/>
        <v>0.67502008788798962</v>
      </c>
      <c r="BL266" s="29">
        <v>0</v>
      </c>
      <c r="BN266" s="22">
        <v>44811</v>
      </c>
      <c r="BO266" s="26">
        <f t="shared" ca="1" si="15"/>
        <v>0.69839118826738045</v>
      </c>
      <c r="BP266" s="29">
        <v>0</v>
      </c>
      <c r="BR266" s="22">
        <v>44811</v>
      </c>
      <c r="BS266" s="26">
        <f t="shared" ca="1" si="16"/>
        <v>0.71131970321364912</v>
      </c>
      <c r="BT266" s="29">
        <v>0</v>
      </c>
      <c r="BV266" s="22">
        <v>44811</v>
      </c>
      <c r="BW266" s="26">
        <f t="shared" ca="1" si="17"/>
        <v>0.76001584389478705</v>
      </c>
      <c r="BX266" s="29">
        <v>0</v>
      </c>
    </row>
    <row r="267" spans="2:77" ht="12.75" x14ac:dyDescent="0.2">
      <c r="B267" s="22">
        <v>44812</v>
      </c>
      <c r="C267" s="26">
        <f t="shared" ca="1" si="0"/>
        <v>0.17722798049142174</v>
      </c>
      <c r="D267" s="29">
        <f t="shared" ca="1" si="26"/>
        <v>57</v>
      </c>
      <c r="F267" s="22">
        <v>44812</v>
      </c>
      <c r="G267" s="26">
        <f t="shared" ca="1" si="1"/>
        <v>0.89193256299681833</v>
      </c>
      <c r="H267" s="29">
        <f t="shared" ca="1" si="27"/>
        <v>234</v>
      </c>
      <c r="J267" s="22">
        <v>44812</v>
      </c>
      <c r="K267" s="26">
        <f t="shared" ca="1" si="2"/>
        <v>0.75606789546692621</v>
      </c>
      <c r="L267" s="29">
        <f t="shared" ca="1" si="28"/>
        <v>157</v>
      </c>
      <c r="N267" s="22">
        <v>44812</v>
      </c>
      <c r="O267" s="26">
        <f t="shared" ca="1" si="3"/>
        <v>0.25390708825446606</v>
      </c>
      <c r="P267" s="29">
        <f t="shared" ca="1" si="29"/>
        <v>220</v>
      </c>
      <c r="R267" s="22">
        <v>44812</v>
      </c>
      <c r="S267" s="26">
        <f t="shared" ca="1" si="4"/>
        <v>0.42084975359412136</v>
      </c>
      <c r="T267" s="29">
        <f t="shared" ca="1" si="30"/>
        <v>137</v>
      </c>
      <c r="V267" s="22">
        <v>44812</v>
      </c>
      <c r="W267" s="26">
        <f t="shared" ca="1" si="5"/>
        <v>0.44818807423817986</v>
      </c>
      <c r="X267" s="29">
        <v>0</v>
      </c>
      <c r="Z267" s="22">
        <v>44812</v>
      </c>
      <c r="AA267" s="26">
        <f t="shared" ca="1" si="6"/>
        <v>0.22836463430803167</v>
      </c>
      <c r="AB267" s="29">
        <v>0</v>
      </c>
      <c r="AC267"/>
      <c r="AD267" s="25"/>
      <c r="AF267" s="22">
        <v>44812</v>
      </c>
      <c r="AG267" s="26">
        <f t="shared" ca="1" si="7"/>
        <v>0.84797853531624623</v>
      </c>
      <c r="AH267" s="29">
        <v>0</v>
      </c>
      <c r="AJ267" s="22">
        <v>44812</v>
      </c>
      <c r="AK267" s="26">
        <f t="shared" ca="1" si="8"/>
        <v>0.57044029320985168</v>
      </c>
      <c r="AL267" s="29">
        <v>0</v>
      </c>
      <c r="AN267" s="22">
        <v>44812</v>
      </c>
      <c r="AO267" s="26">
        <f t="shared" ca="1" si="9"/>
        <v>0.7958042456465767</v>
      </c>
      <c r="AP267" s="29">
        <v>0</v>
      </c>
      <c r="AR267" s="22">
        <v>44812</v>
      </c>
      <c r="AS267" s="26">
        <f t="shared" ca="1" si="10"/>
        <v>0.5591468575332772</v>
      </c>
      <c r="AT267" s="29">
        <v>0</v>
      </c>
      <c r="AV267" s="22">
        <v>44812</v>
      </c>
      <c r="AW267" s="26">
        <f t="shared" ca="1" si="11"/>
        <v>0.20723380262812574</v>
      </c>
      <c r="AX267" s="29">
        <v>0</v>
      </c>
      <c r="AZ267" s="22">
        <v>44812</v>
      </c>
      <c r="BA267" s="26">
        <f t="shared" ca="1" si="12"/>
        <v>0.84387057975346902</v>
      </c>
      <c r="BB267" s="29">
        <v>0</v>
      </c>
      <c r="BC267"/>
      <c r="BD267" s="25"/>
      <c r="BF267" s="22">
        <v>44812</v>
      </c>
      <c r="BG267" s="26">
        <f t="shared" ca="1" si="13"/>
        <v>0.22517324124128424</v>
      </c>
      <c r="BH267" s="29">
        <v>0</v>
      </c>
      <c r="BJ267" s="22">
        <v>44812</v>
      </c>
      <c r="BK267" s="26">
        <f t="shared" ca="1" si="14"/>
        <v>0.17902997094291229</v>
      </c>
      <c r="BL267" s="29">
        <v>0</v>
      </c>
      <c r="BN267" s="22">
        <v>44812</v>
      </c>
      <c r="BO267" s="26">
        <f t="shared" ca="1" si="15"/>
        <v>0.67025831500172306</v>
      </c>
      <c r="BP267" s="29">
        <v>0</v>
      </c>
      <c r="BR267" s="22">
        <v>44812</v>
      </c>
      <c r="BS267" s="26">
        <f t="shared" ca="1" si="16"/>
        <v>0.99987967678536172</v>
      </c>
      <c r="BT267" s="29">
        <v>0</v>
      </c>
      <c r="BV267" s="22">
        <v>44812</v>
      </c>
      <c r="BW267" s="26">
        <f t="shared" ca="1" si="17"/>
        <v>7.2019392847670227E-2</v>
      </c>
      <c r="BX267" s="29">
        <v>0</v>
      </c>
    </row>
    <row r="268" spans="2:77" ht="12.75" x14ac:dyDescent="0.2">
      <c r="B268" s="22">
        <v>44813</v>
      </c>
      <c r="C268" s="26">
        <f t="shared" ca="1" si="0"/>
        <v>0.97550028225911289</v>
      </c>
      <c r="D268" s="29">
        <f t="shared" ca="1" si="26"/>
        <v>115</v>
      </c>
      <c r="F268" s="22">
        <v>44813</v>
      </c>
      <c r="G268" s="26">
        <f t="shared" ca="1" si="1"/>
        <v>0.87329662970888711</v>
      </c>
      <c r="H268" s="29">
        <f t="shared" ca="1" si="27"/>
        <v>232</v>
      </c>
      <c r="J268" s="22">
        <v>44813</v>
      </c>
      <c r="K268" s="26">
        <f t="shared" ca="1" si="2"/>
        <v>0.95044642582874717</v>
      </c>
      <c r="L268" s="29">
        <f t="shared" ca="1" si="28"/>
        <v>167</v>
      </c>
      <c r="N268" s="22">
        <v>44813</v>
      </c>
      <c r="O268" s="26">
        <f t="shared" ca="1" si="3"/>
        <v>0.48264704869998731</v>
      </c>
      <c r="P268" s="29">
        <f t="shared" ca="1" si="29"/>
        <v>229</v>
      </c>
      <c r="R268" s="22">
        <v>44813</v>
      </c>
      <c r="S268" s="26">
        <f t="shared" ca="1" si="4"/>
        <v>0.60617933693728854</v>
      </c>
      <c r="T268" s="29">
        <f t="shared" ca="1" si="30"/>
        <v>142</v>
      </c>
      <c r="V268" s="22">
        <v>44813</v>
      </c>
      <c r="W268" s="26">
        <f t="shared" ca="1" si="5"/>
        <v>0.28445164985162974</v>
      </c>
      <c r="X268" s="29">
        <v>0</v>
      </c>
      <c r="Z268" s="22">
        <v>44813</v>
      </c>
      <c r="AA268" s="26">
        <f t="shared" ca="1" si="6"/>
        <v>0.80530935075128363</v>
      </c>
      <c r="AB268" s="29">
        <v>0</v>
      </c>
      <c r="AC268"/>
      <c r="AD268" s="25"/>
      <c r="AF268" s="22">
        <v>44813</v>
      </c>
      <c r="AG268" s="26">
        <f t="shared" ca="1" si="7"/>
        <v>0.54709257876124961</v>
      </c>
      <c r="AH268" s="29">
        <v>0</v>
      </c>
      <c r="AJ268" s="22">
        <v>44813</v>
      </c>
      <c r="AK268" s="26">
        <f t="shared" ca="1" si="8"/>
        <v>0.50832845252616599</v>
      </c>
      <c r="AL268" s="29">
        <v>0</v>
      </c>
      <c r="AN268" s="22">
        <v>44813</v>
      </c>
      <c r="AO268" s="26">
        <f t="shared" ca="1" si="9"/>
        <v>0.79934629101813914</v>
      </c>
      <c r="AP268" s="29">
        <v>0</v>
      </c>
      <c r="AR268" s="22">
        <v>44813</v>
      </c>
      <c r="AS268" s="26">
        <f t="shared" ca="1" si="10"/>
        <v>0.15025722422115795</v>
      </c>
      <c r="AT268" s="29">
        <v>0</v>
      </c>
      <c r="AV268" s="22">
        <v>44813</v>
      </c>
      <c r="AW268" s="26">
        <f t="shared" ca="1" si="11"/>
        <v>0.37615190369951634</v>
      </c>
      <c r="AX268" s="29">
        <v>0</v>
      </c>
      <c r="AZ268" s="22">
        <v>44813</v>
      </c>
      <c r="BA268" s="26">
        <f t="shared" ca="1" si="12"/>
        <v>0.92333501713347033</v>
      </c>
      <c r="BB268" s="29">
        <v>0</v>
      </c>
      <c r="BC268"/>
      <c r="BD268" s="25"/>
      <c r="BF268" s="22">
        <v>44813</v>
      </c>
      <c r="BG268" s="26">
        <f t="shared" ca="1" si="13"/>
        <v>0.81267001416242901</v>
      </c>
      <c r="BH268" s="29">
        <v>0</v>
      </c>
      <c r="BJ268" s="22">
        <v>44813</v>
      </c>
      <c r="BK268" s="26">
        <f t="shared" ca="1" si="14"/>
        <v>0.52669305663151245</v>
      </c>
      <c r="BL268" s="29">
        <v>0</v>
      </c>
      <c r="BN268" s="22">
        <v>44813</v>
      </c>
      <c r="BO268" s="26">
        <f t="shared" ca="1" si="15"/>
        <v>0.99641026431928037</v>
      </c>
      <c r="BP268" s="29">
        <v>0</v>
      </c>
      <c r="BR268" s="22">
        <v>44813</v>
      </c>
      <c r="BS268" s="26">
        <f t="shared" ca="1" si="16"/>
        <v>0.14291692377869059</v>
      </c>
      <c r="BT268" s="29">
        <v>0</v>
      </c>
      <c r="BV268" s="22">
        <v>44813</v>
      </c>
      <c r="BW268" s="26">
        <f t="shared" ca="1" si="17"/>
        <v>0.51004101462280926</v>
      </c>
      <c r="BX268" s="29">
        <v>0</v>
      </c>
    </row>
    <row r="269" spans="2:77" ht="12.75" x14ac:dyDescent="0.2">
      <c r="B269" s="22">
        <v>44814</v>
      </c>
      <c r="C269" s="26">
        <f t="shared" ca="1" si="0"/>
        <v>0.92535005343139687</v>
      </c>
      <c r="D269" s="29">
        <f t="shared" ca="1" si="26"/>
        <v>104</v>
      </c>
      <c r="F269" s="22">
        <v>44814</v>
      </c>
      <c r="G269" s="26">
        <f t="shared" ca="1" si="1"/>
        <v>0.67585947294999815</v>
      </c>
      <c r="H269" s="29">
        <f t="shared" ca="1" si="27"/>
        <v>222</v>
      </c>
      <c r="J269" s="22">
        <v>44814</v>
      </c>
      <c r="K269" s="26">
        <f t="shared" ca="1" si="2"/>
        <v>0.30995273073445639</v>
      </c>
      <c r="L269" s="29">
        <f t="shared" ca="1" si="28"/>
        <v>146</v>
      </c>
      <c r="N269" s="22">
        <v>44814</v>
      </c>
      <c r="O269" s="26">
        <f t="shared" ca="1" si="3"/>
        <v>0.60662708630890139</v>
      </c>
      <c r="P269" s="29">
        <f t="shared" ca="1" si="29"/>
        <v>234</v>
      </c>
      <c r="R269" s="22">
        <v>44814</v>
      </c>
      <c r="S269" s="26">
        <f t="shared" ca="1" si="4"/>
        <v>0.5415648774769507</v>
      </c>
      <c r="T269" s="29">
        <f t="shared" ca="1" si="30"/>
        <v>140</v>
      </c>
      <c r="V269" s="22">
        <v>44814</v>
      </c>
      <c r="W269" s="26">
        <f t="shared" ca="1" si="5"/>
        <v>6.3989518658345235E-2</v>
      </c>
      <c r="X269" s="29">
        <v>0</v>
      </c>
      <c r="Z269" s="22">
        <v>44814</v>
      </c>
      <c r="AA269" s="26">
        <f t="shared" ca="1" si="6"/>
        <v>0.11793306238152168</v>
      </c>
      <c r="AB269" s="29">
        <v>0</v>
      </c>
      <c r="AC269"/>
      <c r="AD269" s="25"/>
      <c r="AF269" s="22">
        <v>44814</v>
      </c>
      <c r="AG269" s="26">
        <f t="shared" ca="1" si="7"/>
        <v>0.9165979671761767</v>
      </c>
      <c r="AH269" s="29">
        <v>0</v>
      </c>
      <c r="AJ269" s="22">
        <v>44814</v>
      </c>
      <c r="AK269" s="26">
        <f t="shared" ca="1" si="8"/>
        <v>6.752388989804603E-2</v>
      </c>
      <c r="AL269" s="29">
        <v>0</v>
      </c>
      <c r="AN269" s="22">
        <v>44814</v>
      </c>
      <c r="AO269" s="26">
        <f t="shared" ca="1" si="9"/>
        <v>7.851352375172127E-2</v>
      </c>
      <c r="AP269" s="29">
        <v>0</v>
      </c>
      <c r="AR269" s="22">
        <v>44814</v>
      </c>
      <c r="AS269" s="26">
        <f t="shared" ca="1" si="10"/>
        <v>0.87678834413993534</v>
      </c>
      <c r="AT269" s="29">
        <v>0</v>
      </c>
      <c r="AV269" s="22">
        <v>44814</v>
      </c>
      <c r="AW269" s="26">
        <f t="shared" ca="1" si="11"/>
        <v>0.92305428243055387</v>
      </c>
      <c r="AX269" s="29">
        <v>0</v>
      </c>
      <c r="AZ269" s="22">
        <v>44814</v>
      </c>
      <c r="BA269" s="26">
        <f t="shared" ca="1" si="12"/>
        <v>0.62610001813443728</v>
      </c>
      <c r="BB269" s="29">
        <v>0</v>
      </c>
      <c r="BC269"/>
      <c r="BD269" s="25"/>
      <c r="BF269" s="22">
        <v>44814</v>
      </c>
      <c r="BG269" s="26">
        <f t="shared" ca="1" si="13"/>
        <v>0.92835922086574096</v>
      </c>
      <c r="BH269" s="29">
        <v>0</v>
      </c>
      <c r="BJ269" s="22">
        <v>44814</v>
      </c>
      <c r="BK269" s="26">
        <f t="shared" ca="1" si="14"/>
        <v>4.6153693267081075E-2</v>
      </c>
      <c r="BL269" s="29">
        <v>0</v>
      </c>
      <c r="BN269" s="22">
        <v>44814</v>
      </c>
      <c r="BO269" s="26">
        <f t="shared" ca="1" si="15"/>
        <v>0.7739214640173776</v>
      </c>
      <c r="BP269" s="29">
        <v>0</v>
      </c>
      <c r="BR269" s="22">
        <v>44814</v>
      </c>
      <c r="BS269" s="26">
        <f t="shared" ca="1" si="16"/>
        <v>0.87914085558866883</v>
      </c>
      <c r="BT269" s="29">
        <v>0</v>
      </c>
      <c r="BV269" s="22">
        <v>44814</v>
      </c>
      <c r="BW269" s="26">
        <f t="shared" ca="1" si="17"/>
        <v>0.84516308114495819</v>
      </c>
      <c r="BX269" s="29">
        <v>0</v>
      </c>
    </row>
    <row r="270" spans="2:77" ht="12.75" x14ac:dyDescent="0.2">
      <c r="B270" s="22">
        <v>44815</v>
      </c>
      <c r="C270" s="26">
        <f t="shared" ca="1" si="0"/>
        <v>0.52192049400904972</v>
      </c>
      <c r="D270" s="29">
        <f t="shared" ca="1" si="26"/>
        <v>77</v>
      </c>
      <c r="F270" s="22">
        <v>44815</v>
      </c>
      <c r="G270" s="26">
        <f t="shared" ca="1" si="1"/>
        <v>1.2056835588073245E-2</v>
      </c>
      <c r="H270" s="29">
        <f t="shared" ca="1" si="27"/>
        <v>184</v>
      </c>
      <c r="J270" s="22">
        <v>44815</v>
      </c>
      <c r="K270" s="26">
        <f t="shared" ca="1" si="2"/>
        <v>0.53145569865906639</v>
      </c>
      <c r="L270" s="29">
        <f t="shared" ca="1" si="28"/>
        <v>151</v>
      </c>
      <c r="N270" s="22">
        <v>44815</v>
      </c>
      <c r="O270" s="26">
        <f t="shared" ca="1" si="3"/>
        <v>0.52389809249843755</v>
      </c>
      <c r="P270" s="29">
        <f t="shared" ca="1" si="29"/>
        <v>231</v>
      </c>
      <c r="R270" s="22">
        <v>44815</v>
      </c>
      <c r="S270" s="26">
        <f t="shared" ca="1" si="4"/>
        <v>0.24478705478321872</v>
      </c>
      <c r="T270" s="29">
        <f t="shared" ca="1" si="30"/>
        <v>133</v>
      </c>
      <c r="V270" s="22">
        <v>44815</v>
      </c>
      <c r="W270" s="26">
        <f t="shared" ca="1" si="5"/>
        <v>3.064010102600756E-2</v>
      </c>
      <c r="X270" s="29">
        <v>0</v>
      </c>
      <c r="Z270" s="22">
        <v>44815</v>
      </c>
      <c r="AA270" s="26">
        <f t="shared" ca="1" si="6"/>
        <v>0.94207120598182936</v>
      </c>
      <c r="AB270" s="29">
        <v>0</v>
      </c>
      <c r="AC270"/>
      <c r="AD270" s="25"/>
      <c r="AF270" s="22">
        <v>44815</v>
      </c>
      <c r="AG270" s="26">
        <f t="shared" ca="1" si="7"/>
        <v>7.3706502529615747E-2</v>
      </c>
      <c r="AH270" s="29">
        <v>0</v>
      </c>
      <c r="AJ270" s="22">
        <v>44815</v>
      </c>
      <c r="AK270" s="26">
        <f t="shared" ca="1" si="8"/>
        <v>0.12929551772137748</v>
      </c>
      <c r="AL270" s="29">
        <v>0</v>
      </c>
      <c r="AN270" s="22">
        <v>44815</v>
      </c>
      <c r="AO270" s="26">
        <f t="shared" ca="1" si="9"/>
        <v>0.60271143376546177</v>
      </c>
      <c r="AP270" s="29">
        <v>0</v>
      </c>
      <c r="AR270" s="22">
        <v>44815</v>
      </c>
      <c r="AS270" s="26">
        <f t="shared" ca="1" si="10"/>
        <v>0.81538508350781669</v>
      </c>
      <c r="AT270" s="29">
        <v>0</v>
      </c>
      <c r="AV270" s="22">
        <v>44815</v>
      </c>
      <c r="AW270" s="26">
        <f t="shared" ca="1" si="11"/>
        <v>0.19083739763535634</v>
      </c>
      <c r="AX270" s="29">
        <v>0</v>
      </c>
      <c r="AZ270" s="22">
        <v>44815</v>
      </c>
      <c r="BA270" s="26">
        <f t="shared" ca="1" si="12"/>
        <v>0.29807186160145771</v>
      </c>
      <c r="BB270" s="29">
        <v>0</v>
      </c>
      <c r="BC270"/>
      <c r="BD270" s="25"/>
      <c r="BF270" s="22">
        <v>44815</v>
      </c>
      <c r="BG270" s="26">
        <f t="shared" ca="1" si="13"/>
        <v>0.3196395715699859</v>
      </c>
      <c r="BH270" s="29">
        <v>0</v>
      </c>
      <c r="BJ270" s="22">
        <v>44815</v>
      </c>
      <c r="BK270" s="26">
        <f t="shared" ca="1" si="14"/>
        <v>0.45763038533037204</v>
      </c>
      <c r="BL270" s="29">
        <v>0</v>
      </c>
      <c r="BN270" s="22">
        <v>44815</v>
      </c>
      <c r="BO270" s="26">
        <f t="shared" ca="1" si="15"/>
        <v>0.59024970271175525</v>
      </c>
      <c r="BP270" s="29">
        <v>0</v>
      </c>
      <c r="BR270" s="22">
        <v>44815</v>
      </c>
      <c r="BS270" s="26">
        <f t="shared" ca="1" si="16"/>
        <v>0.35639482945629419</v>
      </c>
      <c r="BT270" s="29">
        <v>0</v>
      </c>
      <c r="BV270" s="22">
        <v>44815</v>
      </c>
      <c r="BW270" s="26">
        <f t="shared" ca="1" si="17"/>
        <v>0.41198916438450972</v>
      </c>
      <c r="BX270" s="29">
        <v>0</v>
      </c>
    </row>
    <row r="271" spans="2:77" ht="12.75" x14ac:dyDescent="0.2">
      <c r="B271" s="22">
        <v>44816</v>
      </c>
      <c r="C271" s="26">
        <f t="shared" ca="1" si="0"/>
        <v>0.2295241228452376</v>
      </c>
      <c r="D271" s="29">
        <f t="shared" ca="1" si="26"/>
        <v>61</v>
      </c>
      <c r="F271" s="22">
        <v>44816</v>
      </c>
      <c r="G271" s="26">
        <f t="shared" ca="1" si="1"/>
        <v>0.63631794413118359</v>
      </c>
      <c r="H271" s="29">
        <f t="shared" ca="1" si="27"/>
        <v>221</v>
      </c>
      <c r="J271" s="22">
        <v>44816</v>
      </c>
      <c r="K271" s="26">
        <f t="shared" ca="1" si="2"/>
        <v>0.46294006101943064</v>
      </c>
      <c r="L271" s="29">
        <f t="shared" ca="1" si="28"/>
        <v>150</v>
      </c>
      <c r="N271" s="22">
        <v>44816</v>
      </c>
      <c r="O271" s="26">
        <f t="shared" ca="1" si="3"/>
        <v>0.96774842357157365</v>
      </c>
      <c r="P271" s="29">
        <f t="shared" ca="1" si="29"/>
        <v>258</v>
      </c>
      <c r="R271" s="22">
        <v>44816</v>
      </c>
      <c r="S271" s="26">
        <f t="shared" ca="1" si="4"/>
        <v>0.83787102058664054</v>
      </c>
      <c r="T271" s="29">
        <f t="shared" ca="1" si="30"/>
        <v>148</v>
      </c>
      <c r="V271" s="22">
        <v>44816</v>
      </c>
      <c r="W271" s="26">
        <f t="shared" ca="1" si="5"/>
        <v>0.91026213271130074</v>
      </c>
      <c r="X271" s="29">
        <v>0</v>
      </c>
      <c r="Z271" s="22">
        <v>44816</v>
      </c>
      <c r="AA271" s="26">
        <f t="shared" ca="1" si="6"/>
        <v>0.3206522713129174</v>
      </c>
      <c r="AB271" s="29">
        <v>0</v>
      </c>
      <c r="AC271"/>
      <c r="AD271" s="25"/>
      <c r="AF271" s="22">
        <v>44816</v>
      </c>
      <c r="AG271" s="26">
        <f t="shared" ca="1" si="7"/>
        <v>0.72074933703099286</v>
      </c>
      <c r="AH271" s="29">
        <v>0</v>
      </c>
      <c r="AJ271" s="22">
        <v>44816</v>
      </c>
      <c r="AK271" s="26">
        <f t="shared" ca="1" si="8"/>
        <v>0.3687642463920372</v>
      </c>
      <c r="AL271" s="29">
        <v>0</v>
      </c>
      <c r="AN271" s="22">
        <v>44816</v>
      </c>
      <c r="AO271" s="26">
        <f t="shared" ca="1" si="9"/>
        <v>6.2261015124958741E-2</v>
      </c>
      <c r="AP271" s="29">
        <v>0</v>
      </c>
      <c r="AR271" s="22">
        <v>44816</v>
      </c>
      <c r="AS271" s="26">
        <f t="shared" ca="1" si="10"/>
        <v>0.64308494492084567</v>
      </c>
      <c r="AT271" s="29">
        <v>0</v>
      </c>
      <c r="AV271" s="22">
        <v>44816</v>
      </c>
      <c r="AW271" s="26">
        <f t="shared" ca="1" si="11"/>
        <v>4.5627582765370156E-2</v>
      </c>
      <c r="AX271" s="29">
        <v>0</v>
      </c>
      <c r="AZ271" s="22">
        <v>44816</v>
      </c>
      <c r="BA271" s="26">
        <f t="shared" ca="1" si="12"/>
        <v>0.13893320837515677</v>
      </c>
      <c r="BB271" s="29">
        <v>0</v>
      </c>
      <c r="BC271"/>
      <c r="BD271" s="25"/>
      <c r="BF271" s="22">
        <v>44816</v>
      </c>
      <c r="BG271" s="26">
        <f t="shared" ca="1" si="13"/>
        <v>0.17611927955525253</v>
      </c>
      <c r="BH271" s="29">
        <v>0</v>
      </c>
      <c r="BJ271" s="22">
        <v>44816</v>
      </c>
      <c r="BK271" s="26">
        <f t="shared" ca="1" si="14"/>
        <v>0.34816584002382289</v>
      </c>
      <c r="BL271" s="29">
        <v>0</v>
      </c>
      <c r="BN271" s="22">
        <v>44816</v>
      </c>
      <c r="BO271" s="26">
        <f t="shared" ca="1" si="15"/>
        <v>0.68861460434228405</v>
      </c>
      <c r="BP271" s="29">
        <v>0</v>
      </c>
      <c r="BR271" s="22">
        <v>44816</v>
      </c>
      <c r="BS271" s="26">
        <f t="shared" ca="1" si="16"/>
        <v>0.20918941645865807</v>
      </c>
      <c r="BT271" s="29">
        <v>0</v>
      </c>
      <c r="BV271" s="22">
        <v>44816</v>
      </c>
      <c r="BW271" s="26">
        <f t="shared" ca="1" si="17"/>
        <v>0.65428964728459227</v>
      </c>
      <c r="BX271" s="29">
        <v>0</v>
      </c>
    </row>
    <row r="272" spans="2:77" ht="12.75" x14ac:dyDescent="0.2">
      <c r="B272" s="22">
        <v>44817</v>
      </c>
      <c r="C272" s="26">
        <f t="shared" ca="1" si="0"/>
        <v>0.21406855769620559</v>
      </c>
      <c r="D272" s="29">
        <f t="shared" ca="1" si="26"/>
        <v>60</v>
      </c>
      <c r="F272" s="22">
        <v>44817</v>
      </c>
      <c r="G272" s="26">
        <f t="shared" ref="G272:G526" ca="1" si="31">RAND()</f>
        <v>0.31146262144208525</v>
      </c>
      <c r="H272" s="29">
        <f t="shared" ca="1" si="27"/>
        <v>209</v>
      </c>
      <c r="J272" s="22">
        <v>44817</v>
      </c>
      <c r="K272" s="26">
        <f t="shared" ref="K272:K526" ca="1" si="32">RAND()</f>
        <v>0.1175322476226035</v>
      </c>
      <c r="L272" s="29">
        <f t="shared" ca="1" si="28"/>
        <v>139</v>
      </c>
      <c r="N272" s="22">
        <v>44817</v>
      </c>
      <c r="O272" s="26">
        <f t="shared" ref="O272:O526" ca="1" si="33">RAND()</f>
        <v>0.78507777334587447</v>
      </c>
      <c r="P272" s="29">
        <f t="shared" ca="1" si="29"/>
        <v>242</v>
      </c>
      <c r="R272" s="22">
        <v>44817</v>
      </c>
      <c r="S272" s="26">
        <f t="shared" ref="S272:S526" ca="1" si="34">RAND()</f>
        <v>0.57555848986745972</v>
      </c>
      <c r="T272" s="29">
        <f t="shared" ca="1" si="30"/>
        <v>141</v>
      </c>
      <c r="V272" s="22">
        <v>44817</v>
      </c>
      <c r="W272" s="26">
        <f t="shared" ref="W272:W526" ca="1" si="35">RAND()</f>
        <v>0.69256224760574181</v>
      </c>
      <c r="X272" s="29">
        <v>0</v>
      </c>
      <c r="Z272" s="22">
        <v>44817</v>
      </c>
      <c r="AA272" s="26">
        <f t="shared" ref="AA272:AA526" ca="1" si="36">RAND()</f>
        <v>0.71860307343849394</v>
      </c>
      <c r="AB272" s="29">
        <v>0</v>
      </c>
      <c r="AC272"/>
      <c r="AD272" s="25"/>
      <c r="AF272" s="22">
        <v>44817</v>
      </c>
      <c r="AG272" s="26">
        <f t="shared" ref="AG272:AG526" ca="1" si="37">RAND()</f>
        <v>0.24425554139471051</v>
      </c>
      <c r="AH272" s="29">
        <v>0</v>
      </c>
      <c r="AJ272" s="22">
        <v>44817</v>
      </c>
      <c r="AK272" s="26">
        <f t="shared" ref="AK272:AK526" ca="1" si="38">RAND()</f>
        <v>0.3545386222925403</v>
      </c>
      <c r="AL272" s="29">
        <v>0</v>
      </c>
      <c r="AN272" s="22">
        <v>44817</v>
      </c>
      <c r="AO272" s="26">
        <f t="shared" ref="AO272:AO526" ca="1" si="39">RAND()</f>
        <v>0.65123840592419968</v>
      </c>
      <c r="AP272" s="29">
        <v>0</v>
      </c>
      <c r="AR272" s="22">
        <v>44817</v>
      </c>
      <c r="AS272" s="26">
        <f t="shared" ref="AS272:AS526" ca="1" si="40">RAND()</f>
        <v>0.37649571604104282</v>
      </c>
      <c r="AT272" s="29">
        <v>0</v>
      </c>
      <c r="AV272" s="22">
        <v>44817</v>
      </c>
      <c r="AW272" s="26">
        <f t="shared" ref="AW272:AW526" ca="1" si="41">RAND()</f>
        <v>9.4816794852365271E-2</v>
      </c>
      <c r="AX272" s="29">
        <v>0</v>
      </c>
      <c r="AZ272" s="22">
        <v>44817</v>
      </c>
      <c r="BA272" s="26">
        <f t="shared" ref="BA272:BA526" ca="1" si="42">RAND()</f>
        <v>0.60662333517499711</v>
      </c>
      <c r="BB272" s="29">
        <v>0</v>
      </c>
      <c r="BC272"/>
      <c r="BD272" s="25"/>
      <c r="BF272" s="22">
        <v>44817</v>
      </c>
      <c r="BG272" s="26">
        <f t="shared" ref="BG272:BG526" ca="1" si="43">RAND()</f>
        <v>0.19050407188390772</v>
      </c>
      <c r="BH272" s="29">
        <v>0</v>
      </c>
      <c r="BJ272" s="22">
        <v>44817</v>
      </c>
      <c r="BK272" s="26">
        <f t="shared" ref="BK272:BK526" ca="1" si="44">RAND()</f>
        <v>0.62568954475169436</v>
      </c>
      <c r="BL272" s="29">
        <v>0</v>
      </c>
      <c r="BN272" s="22">
        <v>44817</v>
      </c>
      <c r="BO272" s="26">
        <f t="shared" ref="BO272:BO526" ca="1" si="45">RAND()</f>
        <v>0.79123076728149799</v>
      </c>
      <c r="BP272" s="29">
        <v>0</v>
      </c>
      <c r="BR272" s="22">
        <v>44817</v>
      </c>
      <c r="BS272" s="26">
        <f t="shared" ref="BS272:BS526" ca="1" si="46">RAND()</f>
        <v>2.9667088277718134E-2</v>
      </c>
      <c r="BT272" s="29">
        <v>0</v>
      </c>
      <c r="BV272" s="22">
        <v>44817</v>
      </c>
      <c r="BW272" s="26">
        <f t="shared" ref="BW272:BW526" ca="1" si="47">RAND()</f>
        <v>0.24110923268426032</v>
      </c>
      <c r="BX272" s="29">
        <v>0</v>
      </c>
    </row>
    <row r="273" spans="2:76" ht="12.75" x14ac:dyDescent="0.2">
      <c r="B273" s="22">
        <v>44818</v>
      </c>
      <c r="C273" s="26">
        <f t="shared" ca="1" si="0"/>
        <v>0.83128644480229497</v>
      </c>
      <c r="D273" s="29">
        <f t="shared" ca="1" si="26"/>
        <v>95</v>
      </c>
      <c r="F273" s="22">
        <v>44818</v>
      </c>
      <c r="G273" s="26">
        <f t="shared" ca="1" si="31"/>
        <v>0.2744467290591619</v>
      </c>
      <c r="H273" s="29">
        <f t="shared" ca="1" si="27"/>
        <v>207</v>
      </c>
      <c r="J273" s="22">
        <v>44818</v>
      </c>
      <c r="K273" s="26">
        <f t="shared" ca="1" si="32"/>
        <v>0.73153144571239082</v>
      </c>
      <c r="L273" s="29">
        <f t="shared" ca="1" si="28"/>
        <v>157</v>
      </c>
      <c r="N273" s="22">
        <v>44818</v>
      </c>
      <c r="O273" s="26">
        <f t="shared" ca="1" si="33"/>
        <v>0.90876423447137689</v>
      </c>
      <c r="P273" s="29">
        <f t="shared" ca="1" si="29"/>
        <v>250</v>
      </c>
      <c r="R273" s="22">
        <v>44818</v>
      </c>
      <c r="S273" s="26">
        <f t="shared" ca="1" si="34"/>
        <v>7.5238039320242756E-2</v>
      </c>
      <c r="T273" s="29">
        <f t="shared" ca="1" si="30"/>
        <v>126</v>
      </c>
      <c r="V273" s="22">
        <v>44818</v>
      </c>
      <c r="W273" s="26">
        <f t="shared" ca="1" si="35"/>
        <v>0.9402353731800065</v>
      </c>
      <c r="X273" s="29">
        <v>0</v>
      </c>
      <c r="Z273" s="22">
        <v>44818</v>
      </c>
      <c r="AA273" s="26">
        <f t="shared" ca="1" si="36"/>
        <v>0.51569406180473343</v>
      </c>
      <c r="AB273" s="29">
        <v>0</v>
      </c>
      <c r="AC273"/>
      <c r="AD273" s="25"/>
      <c r="AF273" s="22">
        <v>44818</v>
      </c>
      <c r="AG273" s="26">
        <f t="shared" ca="1" si="37"/>
        <v>4.2863540324587834E-2</v>
      </c>
      <c r="AH273" s="29">
        <v>0</v>
      </c>
      <c r="AJ273" s="22">
        <v>44818</v>
      </c>
      <c r="AK273" s="26">
        <f t="shared" ca="1" si="38"/>
        <v>0.74907469044364106</v>
      </c>
      <c r="AL273" s="29">
        <v>0</v>
      </c>
      <c r="AN273" s="22">
        <v>44818</v>
      </c>
      <c r="AO273" s="26">
        <f t="shared" ca="1" si="39"/>
        <v>3.6124999940129743E-2</v>
      </c>
      <c r="AP273" s="29">
        <v>0</v>
      </c>
      <c r="AR273" s="22">
        <v>44818</v>
      </c>
      <c r="AS273" s="26">
        <f t="shared" ca="1" si="40"/>
        <v>0.49396709687082985</v>
      </c>
      <c r="AT273" s="29">
        <v>0</v>
      </c>
      <c r="AV273" s="22">
        <v>44818</v>
      </c>
      <c r="AW273" s="26">
        <f t="shared" ca="1" si="41"/>
        <v>0.7120813474835721</v>
      </c>
      <c r="AX273" s="29">
        <v>0</v>
      </c>
      <c r="AZ273" s="22">
        <v>44818</v>
      </c>
      <c r="BA273" s="26">
        <f t="shared" ca="1" si="42"/>
        <v>0.39006035457555199</v>
      </c>
      <c r="BB273" s="29">
        <v>0</v>
      </c>
      <c r="BC273"/>
      <c r="BD273" s="25"/>
      <c r="BF273" s="22">
        <v>44818</v>
      </c>
      <c r="BG273" s="26">
        <f t="shared" ca="1" si="43"/>
        <v>0.69347619150441397</v>
      </c>
      <c r="BH273" s="29">
        <v>0</v>
      </c>
      <c r="BJ273" s="22">
        <v>44818</v>
      </c>
      <c r="BK273" s="26">
        <f t="shared" ca="1" si="44"/>
        <v>2.7298813803944277E-4</v>
      </c>
      <c r="BL273" s="29">
        <v>0</v>
      </c>
      <c r="BN273" s="22">
        <v>44818</v>
      </c>
      <c r="BO273" s="26">
        <f t="shared" ca="1" si="45"/>
        <v>0.4886622020813145</v>
      </c>
      <c r="BP273" s="29">
        <v>0</v>
      </c>
      <c r="BR273" s="22">
        <v>44818</v>
      </c>
      <c r="BS273" s="26">
        <f t="shared" ca="1" si="46"/>
        <v>0.58120846069228926</v>
      </c>
      <c r="BT273" s="29">
        <v>0</v>
      </c>
      <c r="BV273" s="22">
        <v>44818</v>
      </c>
      <c r="BW273" s="26">
        <f t="shared" ca="1" si="47"/>
        <v>7.8849172802164635E-2</v>
      </c>
      <c r="BX273" s="29">
        <v>0</v>
      </c>
    </row>
    <row r="274" spans="2:76" ht="12.75" x14ac:dyDescent="0.2">
      <c r="B274" s="22">
        <v>44819</v>
      </c>
      <c r="C274" s="26">
        <f t="shared" ca="1" si="0"/>
        <v>0.40425871163276184</v>
      </c>
      <c r="D274" s="29">
        <f t="shared" ref="D274:D337" ca="1" si="48">ROUNDUP(_xlfn.NORM.INV(C274,C$10,C$12),0)</f>
        <v>71</v>
      </c>
      <c r="F274" s="22">
        <v>44819</v>
      </c>
      <c r="G274" s="26">
        <f t="shared" ca="1" si="31"/>
        <v>0.17842825499049997</v>
      </c>
      <c r="H274" s="29">
        <f t="shared" ca="1" si="27"/>
        <v>203</v>
      </c>
      <c r="J274" s="22">
        <v>44819</v>
      </c>
      <c r="K274" s="26">
        <f t="shared" ca="1" si="32"/>
        <v>0.48736437562430845</v>
      </c>
      <c r="L274" s="29">
        <f t="shared" ca="1" si="28"/>
        <v>150</v>
      </c>
      <c r="N274" s="22">
        <v>44819</v>
      </c>
      <c r="O274" s="26">
        <f t="shared" ca="1" si="33"/>
        <v>0.61111144890022895</v>
      </c>
      <c r="P274" s="29">
        <f t="shared" ca="1" si="29"/>
        <v>234</v>
      </c>
      <c r="R274" s="22">
        <v>44819</v>
      </c>
      <c r="S274" s="26">
        <f t="shared" ca="1" si="34"/>
        <v>0.87180404596913585</v>
      </c>
      <c r="T274" s="29">
        <f t="shared" ca="1" si="30"/>
        <v>150</v>
      </c>
      <c r="V274" s="22">
        <v>44819</v>
      </c>
      <c r="W274" s="26">
        <f t="shared" ca="1" si="35"/>
        <v>0.26996289101288862</v>
      </c>
      <c r="X274" s="29">
        <v>0</v>
      </c>
      <c r="Z274" s="22">
        <v>44819</v>
      </c>
      <c r="AA274" s="26">
        <f t="shared" ca="1" si="36"/>
        <v>0.20194804832421265</v>
      </c>
      <c r="AB274" s="29">
        <v>0</v>
      </c>
      <c r="AC274"/>
      <c r="AD274" s="25"/>
      <c r="AF274" s="22">
        <v>44819</v>
      </c>
      <c r="AG274" s="26">
        <f t="shared" ca="1" si="37"/>
        <v>0.32058288461983053</v>
      </c>
      <c r="AH274" s="29">
        <v>0</v>
      </c>
      <c r="AJ274" s="22">
        <v>44819</v>
      </c>
      <c r="AK274" s="26">
        <f t="shared" ca="1" si="38"/>
        <v>0.27941814863327241</v>
      </c>
      <c r="AL274" s="29">
        <v>0</v>
      </c>
      <c r="AN274" s="22">
        <v>44819</v>
      </c>
      <c r="AO274" s="26">
        <f t="shared" ca="1" si="39"/>
        <v>0.1836797766597571</v>
      </c>
      <c r="AP274" s="29">
        <v>0</v>
      </c>
      <c r="AR274" s="22">
        <v>44819</v>
      </c>
      <c r="AS274" s="26">
        <f t="shared" ca="1" si="40"/>
        <v>0.63616572250989201</v>
      </c>
      <c r="AT274" s="29">
        <v>0</v>
      </c>
      <c r="AV274" s="22">
        <v>44819</v>
      </c>
      <c r="AW274" s="26">
        <f t="shared" ca="1" si="41"/>
        <v>0.73234190515192021</v>
      </c>
      <c r="AX274" s="29">
        <v>0</v>
      </c>
      <c r="AZ274" s="22">
        <v>44819</v>
      </c>
      <c r="BA274" s="26">
        <f t="shared" ca="1" si="42"/>
        <v>0.13279095482757541</v>
      </c>
      <c r="BB274" s="29">
        <v>0</v>
      </c>
      <c r="BC274"/>
      <c r="BD274" s="25"/>
      <c r="BF274" s="22">
        <v>44819</v>
      </c>
      <c r="BG274" s="26">
        <f t="shared" ca="1" si="43"/>
        <v>0.13123557759605775</v>
      </c>
      <c r="BH274" s="29">
        <v>0</v>
      </c>
      <c r="BJ274" s="22">
        <v>44819</v>
      </c>
      <c r="BK274" s="26">
        <f t="shared" ca="1" si="44"/>
        <v>4.2843520592406037E-3</v>
      </c>
      <c r="BL274" s="29">
        <v>0</v>
      </c>
      <c r="BN274" s="22">
        <v>44819</v>
      </c>
      <c r="BO274" s="26">
        <f t="shared" ca="1" si="45"/>
        <v>0.75345515143809827</v>
      </c>
      <c r="BP274" s="29">
        <v>0</v>
      </c>
      <c r="BR274" s="22">
        <v>44819</v>
      </c>
      <c r="BS274" s="26">
        <f t="shared" ca="1" si="46"/>
        <v>0.4102733790651939</v>
      </c>
      <c r="BT274" s="29">
        <v>0</v>
      </c>
      <c r="BV274" s="22">
        <v>44819</v>
      </c>
      <c r="BW274" s="26">
        <f t="shared" ca="1" si="47"/>
        <v>0.17785746597025887</v>
      </c>
      <c r="BX274" s="29">
        <v>0</v>
      </c>
    </row>
    <row r="275" spans="2:76" ht="12.75" x14ac:dyDescent="0.2">
      <c r="B275" s="22">
        <v>44820</v>
      </c>
      <c r="C275" s="26">
        <f t="shared" ca="1" si="0"/>
        <v>0.47207075060403203</v>
      </c>
      <c r="D275" s="29">
        <f t="shared" ca="1" si="48"/>
        <v>74</v>
      </c>
      <c r="F275" s="22">
        <v>44820</v>
      </c>
      <c r="G275" s="26">
        <f t="shared" ca="1" si="31"/>
        <v>7.5468944266093851E-3</v>
      </c>
      <c r="H275" s="29">
        <f t="shared" ca="1" si="27"/>
        <v>181</v>
      </c>
      <c r="J275" s="22">
        <v>44820</v>
      </c>
      <c r="K275" s="26">
        <f t="shared" ca="1" si="32"/>
        <v>0.25694796332962389</v>
      </c>
      <c r="L275" s="29">
        <f t="shared" ca="1" si="28"/>
        <v>144</v>
      </c>
      <c r="N275" s="22">
        <v>44820</v>
      </c>
      <c r="O275" s="26">
        <f t="shared" ca="1" si="33"/>
        <v>0.96607295787016334</v>
      </c>
      <c r="P275" s="29">
        <f t="shared" ca="1" si="29"/>
        <v>258</v>
      </c>
      <c r="R275" s="22">
        <v>44820</v>
      </c>
      <c r="S275" s="26">
        <f t="shared" ca="1" si="34"/>
        <v>0.18856196061076214</v>
      </c>
      <c r="T275" s="29">
        <f t="shared" ca="1" si="30"/>
        <v>131</v>
      </c>
      <c r="V275" s="22">
        <v>44820</v>
      </c>
      <c r="W275" s="26">
        <f t="shared" ca="1" si="35"/>
        <v>0.32540573660581285</v>
      </c>
      <c r="X275" s="29">
        <v>0</v>
      </c>
      <c r="Z275" s="22">
        <v>44820</v>
      </c>
      <c r="AA275" s="26">
        <f t="shared" ca="1" si="36"/>
        <v>0.45953428195427681</v>
      </c>
      <c r="AB275" s="29">
        <v>0</v>
      </c>
      <c r="AC275"/>
      <c r="AD275" s="25"/>
      <c r="AF275" s="22">
        <v>44820</v>
      </c>
      <c r="AG275" s="26">
        <f t="shared" ca="1" si="37"/>
        <v>0.43878859480693555</v>
      </c>
      <c r="AH275" s="29">
        <v>0</v>
      </c>
      <c r="AJ275" s="22">
        <v>44820</v>
      </c>
      <c r="AK275" s="26">
        <f t="shared" ca="1" si="38"/>
        <v>2.4478405733796449E-2</v>
      </c>
      <c r="AL275" s="29">
        <v>0</v>
      </c>
      <c r="AN275" s="22">
        <v>44820</v>
      </c>
      <c r="AO275" s="26">
        <f t="shared" ca="1" si="39"/>
        <v>0.84264709019652417</v>
      </c>
      <c r="AP275" s="29">
        <v>0</v>
      </c>
      <c r="AR275" s="22">
        <v>44820</v>
      </c>
      <c r="AS275" s="26">
        <f t="shared" ca="1" si="40"/>
        <v>0.15849836265218542</v>
      </c>
      <c r="AT275" s="29">
        <v>0</v>
      </c>
      <c r="AV275" s="22">
        <v>44820</v>
      </c>
      <c r="AW275" s="26">
        <f t="shared" ca="1" si="41"/>
        <v>0.55242866981903782</v>
      </c>
      <c r="AX275" s="29">
        <v>0</v>
      </c>
      <c r="AZ275" s="22">
        <v>44820</v>
      </c>
      <c r="BA275" s="26">
        <f t="shared" ca="1" si="42"/>
        <v>0.72303361203559235</v>
      </c>
      <c r="BB275" s="29">
        <v>0</v>
      </c>
      <c r="BC275"/>
      <c r="BD275" s="25"/>
      <c r="BF275" s="22">
        <v>44820</v>
      </c>
      <c r="BG275" s="26">
        <f t="shared" ca="1" si="43"/>
        <v>0.13151170124837208</v>
      </c>
      <c r="BH275" s="29">
        <v>0</v>
      </c>
      <c r="BJ275" s="22">
        <v>44820</v>
      </c>
      <c r="BK275" s="26">
        <f t="shared" ca="1" si="44"/>
        <v>0.57617855708795507</v>
      </c>
      <c r="BL275" s="29">
        <v>0</v>
      </c>
      <c r="BN275" s="22">
        <v>44820</v>
      </c>
      <c r="BO275" s="26">
        <f t="shared" ca="1" si="45"/>
        <v>0.10768682075930636</v>
      </c>
      <c r="BP275" s="29">
        <v>0</v>
      </c>
      <c r="BR275" s="22">
        <v>44820</v>
      </c>
      <c r="BS275" s="26">
        <f t="shared" ca="1" si="46"/>
        <v>3.1137553397959095E-2</v>
      </c>
      <c r="BT275" s="29">
        <v>0</v>
      </c>
      <c r="BV275" s="22">
        <v>44820</v>
      </c>
      <c r="BW275" s="26">
        <f t="shared" ca="1" si="47"/>
        <v>0.54047109107213864</v>
      </c>
      <c r="BX275" s="29">
        <v>0</v>
      </c>
    </row>
    <row r="276" spans="2:76" ht="12.75" x14ac:dyDescent="0.2">
      <c r="B276" s="22">
        <v>44821</v>
      </c>
      <c r="C276" s="26">
        <f t="shared" ca="1" si="0"/>
        <v>0.54890720431044016</v>
      </c>
      <c r="D276" s="29">
        <f t="shared" ca="1" si="48"/>
        <v>78</v>
      </c>
      <c r="F276" s="22">
        <v>44821</v>
      </c>
      <c r="G276" s="26">
        <f t="shared" ca="1" si="31"/>
        <v>0.72723902456277267</v>
      </c>
      <c r="H276" s="29">
        <f t="shared" ca="1" si="27"/>
        <v>225</v>
      </c>
      <c r="J276" s="22">
        <v>44821</v>
      </c>
      <c r="K276" s="26">
        <f t="shared" ca="1" si="32"/>
        <v>0.7560647030469565</v>
      </c>
      <c r="L276" s="29">
        <f t="shared" ca="1" si="28"/>
        <v>157</v>
      </c>
      <c r="N276" s="22">
        <v>44821</v>
      </c>
      <c r="O276" s="26">
        <f t="shared" ca="1" si="33"/>
        <v>0.96659145038327843</v>
      </c>
      <c r="P276" s="29">
        <f t="shared" ca="1" si="29"/>
        <v>258</v>
      </c>
      <c r="R276" s="22">
        <v>44821</v>
      </c>
      <c r="S276" s="26">
        <f t="shared" ca="1" si="34"/>
        <v>0.81079383464462329</v>
      </c>
      <c r="T276" s="29">
        <f t="shared" ca="1" si="30"/>
        <v>147</v>
      </c>
      <c r="V276" s="22">
        <v>44821</v>
      </c>
      <c r="W276" s="26">
        <f t="shared" ca="1" si="35"/>
        <v>0.50064008839809115</v>
      </c>
      <c r="X276" s="29">
        <v>0</v>
      </c>
      <c r="Z276" s="22">
        <v>44821</v>
      </c>
      <c r="AA276" s="26">
        <f t="shared" ca="1" si="36"/>
        <v>0.83025711596197227</v>
      </c>
      <c r="AB276" s="29">
        <v>0</v>
      </c>
      <c r="AC276"/>
      <c r="AD276" s="25"/>
      <c r="AF276" s="22">
        <v>44821</v>
      </c>
      <c r="AG276" s="26">
        <f t="shared" ca="1" si="37"/>
        <v>0.66619770060874539</v>
      </c>
      <c r="AH276" s="29">
        <v>0</v>
      </c>
      <c r="AJ276" s="22">
        <v>44821</v>
      </c>
      <c r="AK276" s="26">
        <f t="shared" ca="1" si="38"/>
        <v>0.64554838763929601</v>
      </c>
      <c r="AL276" s="29">
        <v>0</v>
      </c>
      <c r="AN276" s="22">
        <v>44821</v>
      </c>
      <c r="AO276" s="26">
        <f t="shared" ca="1" si="39"/>
        <v>0.93154526005666027</v>
      </c>
      <c r="AP276" s="29">
        <v>0</v>
      </c>
      <c r="AR276" s="22">
        <v>44821</v>
      </c>
      <c r="AS276" s="26">
        <f t="shared" ca="1" si="40"/>
        <v>0.67823595164249573</v>
      </c>
      <c r="AT276" s="29">
        <v>0</v>
      </c>
      <c r="AV276" s="22">
        <v>44821</v>
      </c>
      <c r="AW276" s="26">
        <f t="shared" ca="1" si="41"/>
        <v>0.73018806243754264</v>
      </c>
      <c r="AX276" s="29">
        <v>0</v>
      </c>
      <c r="AZ276" s="22">
        <v>44821</v>
      </c>
      <c r="BA276" s="26">
        <f t="shared" ca="1" si="42"/>
        <v>0.16468896399234756</v>
      </c>
      <c r="BB276" s="29">
        <v>0</v>
      </c>
      <c r="BC276"/>
      <c r="BD276" s="25"/>
      <c r="BF276" s="22">
        <v>44821</v>
      </c>
      <c r="BG276" s="26">
        <f t="shared" ca="1" si="43"/>
        <v>0.71929064954316013</v>
      </c>
      <c r="BH276" s="29">
        <v>0</v>
      </c>
      <c r="BJ276" s="22">
        <v>44821</v>
      </c>
      <c r="BK276" s="26">
        <f t="shared" ca="1" si="44"/>
        <v>0.25068124056351315</v>
      </c>
      <c r="BL276" s="29">
        <v>0</v>
      </c>
      <c r="BN276" s="22">
        <v>44821</v>
      </c>
      <c r="BO276" s="26">
        <f t="shared" ca="1" si="45"/>
        <v>0.18748930461057034</v>
      </c>
      <c r="BP276" s="29">
        <v>0</v>
      </c>
      <c r="BR276" s="22">
        <v>44821</v>
      </c>
      <c r="BS276" s="26">
        <f t="shared" ca="1" si="46"/>
        <v>0.78643638367410995</v>
      </c>
      <c r="BT276" s="29">
        <v>0</v>
      </c>
      <c r="BV276" s="22">
        <v>44821</v>
      </c>
      <c r="BW276" s="26">
        <f t="shared" ca="1" si="47"/>
        <v>0.83203290195660762</v>
      </c>
      <c r="BX276" s="29">
        <v>0</v>
      </c>
    </row>
    <row r="277" spans="2:76" ht="12.75" x14ac:dyDescent="0.2">
      <c r="B277" s="22">
        <v>44822</v>
      </c>
      <c r="C277" s="26">
        <f t="shared" ca="1" si="0"/>
        <v>0.47820232205278856</v>
      </c>
      <c r="D277" s="29">
        <f t="shared" ca="1" si="48"/>
        <v>74</v>
      </c>
      <c r="F277" s="22">
        <v>44822</v>
      </c>
      <c r="G277" s="26">
        <f t="shared" ca="1" si="31"/>
        <v>0.13679525023471673</v>
      </c>
      <c r="H277" s="29">
        <f t="shared" ca="1" si="27"/>
        <v>200</v>
      </c>
      <c r="J277" s="22">
        <v>44822</v>
      </c>
      <c r="K277" s="26">
        <f t="shared" ca="1" si="32"/>
        <v>0.64407052658813368</v>
      </c>
      <c r="L277" s="29">
        <f t="shared" ca="1" si="28"/>
        <v>154</v>
      </c>
      <c r="N277" s="22">
        <v>44822</v>
      </c>
      <c r="O277" s="26">
        <f t="shared" ca="1" si="33"/>
        <v>0.72266440973161816</v>
      </c>
      <c r="P277" s="29">
        <f t="shared" ca="1" si="29"/>
        <v>239</v>
      </c>
      <c r="R277" s="22">
        <v>44822</v>
      </c>
      <c r="S277" s="26">
        <f t="shared" ca="1" si="34"/>
        <v>0.89518531771490117</v>
      </c>
      <c r="T277" s="29">
        <f t="shared" ca="1" si="30"/>
        <v>151</v>
      </c>
      <c r="V277" s="22">
        <v>44822</v>
      </c>
      <c r="W277" s="26">
        <f t="shared" ca="1" si="35"/>
        <v>0.56947960183250368</v>
      </c>
      <c r="X277" s="29">
        <v>0</v>
      </c>
      <c r="Z277" s="22">
        <v>44822</v>
      </c>
      <c r="AA277" s="26">
        <f t="shared" ca="1" si="36"/>
        <v>0.32811088020341905</v>
      </c>
      <c r="AB277" s="29">
        <v>0</v>
      </c>
      <c r="AC277"/>
      <c r="AD277" s="25"/>
      <c r="AF277" s="22">
        <v>44822</v>
      </c>
      <c r="AG277" s="26">
        <f t="shared" ca="1" si="37"/>
        <v>0.87898863241614389</v>
      </c>
      <c r="AH277" s="29">
        <v>0</v>
      </c>
      <c r="AJ277" s="22">
        <v>44822</v>
      </c>
      <c r="AK277" s="26">
        <f t="shared" ca="1" si="38"/>
        <v>0.41419386959658133</v>
      </c>
      <c r="AL277" s="29">
        <v>0</v>
      </c>
      <c r="AN277" s="22">
        <v>44822</v>
      </c>
      <c r="AO277" s="26">
        <f t="shared" ca="1" si="39"/>
        <v>0.17018485635564806</v>
      </c>
      <c r="AP277" s="29">
        <v>0</v>
      </c>
      <c r="AR277" s="22">
        <v>44822</v>
      </c>
      <c r="AS277" s="26">
        <f t="shared" ca="1" si="40"/>
        <v>0.790859109198504</v>
      </c>
      <c r="AT277" s="29">
        <v>0</v>
      </c>
      <c r="AV277" s="22">
        <v>44822</v>
      </c>
      <c r="AW277" s="26">
        <f t="shared" ca="1" si="41"/>
        <v>0.40931668055682879</v>
      </c>
      <c r="AX277" s="29">
        <v>0</v>
      </c>
      <c r="AZ277" s="22">
        <v>44822</v>
      </c>
      <c r="BA277" s="26">
        <f t="shared" ca="1" si="42"/>
        <v>0.74151954965305589</v>
      </c>
      <c r="BB277" s="29">
        <v>0</v>
      </c>
      <c r="BC277"/>
      <c r="BD277" s="25"/>
      <c r="BF277" s="22">
        <v>44822</v>
      </c>
      <c r="BG277" s="26">
        <f t="shared" ca="1" si="43"/>
        <v>0.57720125948120404</v>
      </c>
      <c r="BH277" s="29">
        <v>0</v>
      </c>
      <c r="BJ277" s="22">
        <v>44822</v>
      </c>
      <c r="BK277" s="26">
        <f t="shared" ca="1" si="44"/>
        <v>0.60861220881862654</v>
      </c>
      <c r="BL277" s="29">
        <v>0</v>
      </c>
      <c r="BN277" s="22">
        <v>44822</v>
      </c>
      <c r="BO277" s="26">
        <f t="shared" ca="1" si="45"/>
        <v>0.5106331519786288</v>
      </c>
      <c r="BP277" s="29">
        <v>0</v>
      </c>
      <c r="BR277" s="22">
        <v>44822</v>
      </c>
      <c r="BS277" s="26">
        <f t="shared" ca="1" si="46"/>
        <v>0.38134514007708442</v>
      </c>
      <c r="BT277" s="29">
        <v>0</v>
      </c>
      <c r="BV277" s="22">
        <v>44822</v>
      </c>
      <c r="BW277" s="26">
        <f t="shared" ca="1" si="47"/>
        <v>0.96830758460703614</v>
      </c>
      <c r="BX277" s="29">
        <v>0</v>
      </c>
    </row>
    <row r="278" spans="2:76" ht="12.75" x14ac:dyDescent="0.2">
      <c r="B278" s="22">
        <v>44823</v>
      </c>
      <c r="C278" s="26">
        <f t="shared" ca="1" si="0"/>
        <v>0.80533578974307973</v>
      </c>
      <c r="D278" s="29">
        <f t="shared" ca="1" si="48"/>
        <v>93</v>
      </c>
      <c r="F278" s="22">
        <v>44823</v>
      </c>
      <c r="G278" s="26">
        <f t="shared" ca="1" si="31"/>
        <v>0.23203920200370332</v>
      </c>
      <c r="H278" s="29">
        <f t="shared" ca="1" si="27"/>
        <v>205</v>
      </c>
      <c r="J278" s="22">
        <v>44823</v>
      </c>
      <c r="K278" s="26">
        <f t="shared" ca="1" si="32"/>
        <v>0.39633869129814014</v>
      </c>
      <c r="L278" s="29">
        <f t="shared" ca="1" si="28"/>
        <v>148</v>
      </c>
      <c r="N278" s="22">
        <v>44823</v>
      </c>
      <c r="O278" s="26">
        <f t="shared" ca="1" si="33"/>
        <v>0.34859177589092405</v>
      </c>
      <c r="P278" s="29">
        <f t="shared" ca="1" si="29"/>
        <v>224</v>
      </c>
      <c r="R278" s="22">
        <v>44823</v>
      </c>
      <c r="S278" s="26">
        <f t="shared" ca="1" si="34"/>
        <v>0.45359791439150887</v>
      </c>
      <c r="T278" s="29">
        <f t="shared" ca="1" si="30"/>
        <v>138</v>
      </c>
      <c r="V278" s="22">
        <v>44823</v>
      </c>
      <c r="W278" s="26">
        <f t="shared" ca="1" si="35"/>
        <v>0.90857030152919427</v>
      </c>
      <c r="X278" s="29">
        <v>0</v>
      </c>
      <c r="Z278" s="22">
        <v>44823</v>
      </c>
      <c r="AA278" s="26">
        <f t="shared" ca="1" si="36"/>
        <v>0.32524811455546243</v>
      </c>
      <c r="AB278" s="29">
        <v>0</v>
      </c>
      <c r="AC278"/>
      <c r="AD278" s="25"/>
      <c r="AF278" s="22">
        <v>44823</v>
      </c>
      <c r="AG278" s="26">
        <f t="shared" ca="1" si="37"/>
        <v>0.81262203189588678</v>
      </c>
      <c r="AH278" s="29">
        <v>0</v>
      </c>
      <c r="AJ278" s="22">
        <v>44823</v>
      </c>
      <c r="AK278" s="26">
        <f t="shared" ca="1" si="38"/>
        <v>0.31125013964492454</v>
      </c>
      <c r="AL278" s="29">
        <v>0</v>
      </c>
      <c r="AN278" s="22">
        <v>44823</v>
      </c>
      <c r="AO278" s="26">
        <f t="shared" ca="1" si="39"/>
        <v>9.1677496315240803E-2</v>
      </c>
      <c r="AP278" s="29">
        <v>0</v>
      </c>
      <c r="AR278" s="22">
        <v>44823</v>
      </c>
      <c r="AS278" s="26">
        <f t="shared" ca="1" si="40"/>
        <v>0.2976541298097809</v>
      </c>
      <c r="AT278" s="29">
        <v>0</v>
      </c>
      <c r="AV278" s="22">
        <v>44823</v>
      </c>
      <c r="AW278" s="26">
        <f t="shared" ca="1" si="41"/>
        <v>0.55526675132406111</v>
      </c>
      <c r="AX278" s="29">
        <v>0</v>
      </c>
      <c r="AZ278" s="22">
        <v>44823</v>
      </c>
      <c r="BA278" s="26">
        <f t="shared" ca="1" si="42"/>
        <v>0.42050766444025622</v>
      </c>
      <c r="BB278" s="29">
        <v>0</v>
      </c>
      <c r="BC278"/>
      <c r="BD278" s="25"/>
      <c r="BF278" s="22">
        <v>44823</v>
      </c>
      <c r="BG278" s="26">
        <f t="shared" ca="1" si="43"/>
        <v>3.4735930607411203E-2</v>
      </c>
      <c r="BH278" s="29">
        <v>0</v>
      </c>
      <c r="BJ278" s="22">
        <v>44823</v>
      </c>
      <c r="BK278" s="26">
        <f t="shared" ca="1" si="44"/>
        <v>0.92537608640478874</v>
      </c>
      <c r="BL278" s="29">
        <v>0</v>
      </c>
      <c r="BN278" s="22">
        <v>44823</v>
      </c>
      <c r="BO278" s="26">
        <f t="shared" ca="1" si="45"/>
        <v>0.20125306055748804</v>
      </c>
      <c r="BP278" s="29">
        <v>0</v>
      </c>
      <c r="BR278" s="22">
        <v>44823</v>
      </c>
      <c r="BS278" s="26">
        <f t="shared" ca="1" si="46"/>
        <v>0.92542357347439297</v>
      </c>
      <c r="BT278" s="29">
        <v>0</v>
      </c>
      <c r="BV278" s="22">
        <v>44823</v>
      </c>
      <c r="BW278" s="26">
        <f t="shared" ca="1" si="47"/>
        <v>0.64108022932956432</v>
      </c>
      <c r="BX278" s="29">
        <v>0</v>
      </c>
    </row>
    <row r="279" spans="2:76" ht="12.75" x14ac:dyDescent="0.2">
      <c r="B279" s="22">
        <v>44824</v>
      </c>
      <c r="C279" s="26">
        <f t="shared" ca="1" si="0"/>
        <v>0.37562265640460446</v>
      </c>
      <c r="D279" s="29">
        <f t="shared" ca="1" si="48"/>
        <v>69</v>
      </c>
      <c r="F279" s="22">
        <v>44824</v>
      </c>
      <c r="G279" s="26">
        <f t="shared" ca="1" si="31"/>
        <v>0.34397728277818884</v>
      </c>
      <c r="H279" s="29">
        <f t="shared" ca="1" si="27"/>
        <v>210</v>
      </c>
      <c r="J279" s="22">
        <v>44824</v>
      </c>
      <c r="K279" s="26">
        <f t="shared" ca="1" si="32"/>
        <v>0.47972926480420108</v>
      </c>
      <c r="L279" s="29">
        <f t="shared" ca="1" si="28"/>
        <v>150</v>
      </c>
      <c r="N279" s="22">
        <v>44824</v>
      </c>
      <c r="O279" s="26">
        <f t="shared" ca="1" si="33"/>
        <v>4.2130234606297612E-2</v>
      </c>
      <c r="P279" s="29">
        <f t="shared" ca="1" si="29"/>
        <v>203</v>
      </c>
      <c r="R279" s="22">
        <v>44824</v>
      </c>
      <c r="S279" s="26">
        <f t="shared" ca="1" si="34"/>
        <v>0.62630509256917755</v>
      </c>
      <c r="T279" s="29">
        <f t="shared" ca="1" si="30"/>
        <v>142</v>
      </c>
      <c r="V279" s="22">
        <v>44824</v>
      </c>
      <c r="W279" s="26">
        <f t="shared" ca="1" si="35"/>
        <v>0.37887099830251558</v>
      </c>
      <c r="X279" s="29">
        <v>0</v>
      </c>
      <c r="Z279" s="22">
        <v>44824</v>
      </c>
      <c r="AA279" s="26">
        <f t="shared" ca="1" si="36"/>
        <v>0.20144062849077315</v>
      </c>
      <c r="AB279" s="29">
        <v>0</v>
      </c>
      <c r="AC279"/>
      <c r="AD279" s="25"/>
      <c r="AF279" s="22">
        <v>44824</v>
      </c>
      <c r="AG279" s="26">
        <f t="shared" ca="1" si="37"/>
        <v>3.9732622245904459E-2</v>
      </c>
      <c r="AH279" s="29">
        <v>0</v>
      </c>
      <c r="AJ279" s="22">
        <v>44824</v>
      </c>
      <c r="AK279" s="26">
        <f t="shared" ca="1" si="38"/>
        <v>2.3151718059133186E-2</v>
      </c>
      <c r="AL279" s="29">
        <v>0</v>
      </c>
      <c r="AN279" s="22">
        <v>44824</v>
      </c>
      <c r="AO279" s="26">
        <f t="shared" ca="1" si="39"/>
        <v>0.12709084332575771</v>
      </c>
      <c r="AP279" s="29">
        <v>0</v>
      </c>
      <c r="AR279" s="22">
        <v>44824</v>
      </c>
      <c r="AS279" s="26">
        <f t="shared" ca="1" si="40"/>
        <v>2.7088281382740331E-2</v>
      </c>
      <c r="AT279" s="29">
        <v>0</v>
      </c>
      <c r="AV279" s="22">
        <v>44824</v>
      </c>
      <c r="AW279" s="26">
        <f t="shared" ca="1" si="41"/>
        <v>0.50304776006980967</v>
      </c>
      <c r="AX279" s="29">
        <v>0</v>
      </c>
      <c r="AZ279" s="22">
        <v>44824</v>
      </c>
      <c r="BA279" s="26">
        <f t="shared" ca="1" si="42"/>
        <v>0.18789875429942426</v>
      </c>
      <c r="BB279" s="29">
        <v>0</v>
      </c>
      <c r="BC279"/>
      <c r="BD279" s="25"/>
      <c r="BF279" s="22">
        <v>44824</v>
      </c>
      <c r="BG279" s="26">
        <f t="shared" ca="1" si="43"/>
        <v>0.74337187497341728</v>
      </c>
      <c r="BH279" s="29">
        <v>0</v>
      </c>
      <c r="BJ279" s="22">
        <v>44824</v>
      </c>
      <c r="BK279" s="26">
        <f t="shared" ca="1" si="44"/>
        <v>0.40334562621368675</v>
      </c>
      <c r="BL279" s="29">
        <v>0</v>
      </c>
      <c r="BN279" s="22">
        <v>44824</v>
      </c>
      <c r="BO279" s="26">
        <f t="shared" ca="1" si="45"/>
        <v>0.73476011503117511</v>
      </c>
      <c r="BP279" s="29">
        <v>0</v>
      </c>
      <c r="BR279" s="22">
        <v>44824</v>
      </c>
      <c r="BS279" s="26">
        <f t="shared" ca="1" si="46"/>
        <v>0.84101021778233076</v>
      </c>
      <c r="BT279" s="29">
        <v>0</v>
      </c>
      <c r="BV279" s="22">
        <v>44824</v>
      </c>
      <c r="BW279" s="26">
        <f t="shared" ca="1" si="47"/>
        <v>0.94513478447476384</v>
      </c>
      <c r="BX279" s="29">
        <v>0</v>
      </c>
    </row>
    <row r="280" spans="2:76" ht="12.75" x14ac:dyDescent="0.2">
      <c r="B280" s="22">
        <v>44825</v>
      </c>
      <c r="C280" s="26">
        <f t="shared" ca="1" si="0"/>
        <v>0.37635644340666685</v>
      </c>
      <c r="D280" s="29">
        <f t="shared" ca="1" si="48"/>
        <v>69</v>
      </c>
      <c r="F280" s="22">
        <v>44825</v>
      </c>
      <c r="G280" s="26">
        <f t="shared" ca="1" si="31"/>
        <v>0.36056618973446708</v>
      </c>
      <c r="H280" s="29">
        <f t="shared" ca="1" si="27"/>
        <v>211</v>
      </c>
      <c r="J280" s="22">
        <v>44825</v>
      </c>
      <c r="K280" s="26">
        <f t="shared" ca="1" si="32"/>
        <v>0.49490216980488666</v>
      </c>
      <c r="L280" s="29">
        <f t="shared" ca="1" si="28"/>
        <v>150</v>
      </c>
      <c r="N280" s="22">
        <v>44825</v>
      </c>
      <c r="O280" s="26">
        <f t="shared" ca="1" si="33"/>
        <v>0.67572670185535322</v>
      </c>
      <c r="P280" s="29">
        <f t="shared" ca="1" si="29"/>
        <v>237</v>
      </c>
      <c r="R280" s="22">
        <v>44825</v>
      </c>
      <c r="S280" s="26">
        <f t="shared" ca="1" si="34"/>
        <v>0.46058218809053897</v>
      </c>
      <c r="T280" s="29">
        <f t="shared" ca="1" si="30"/>
        <v>138</v>
      </c>
      <c r="V280" s="22">
        <v>44825</v>
      </c>
      <c r="W280" s="26">
        <f t="shared" ca="1" si="35"/>
        <v>0.67789762448614077</v>
      </c>
      <c r="X280" s="29">
        <v>0</v>
      </c>
      <c r="Z280" s="22">
        <v>44825</v>
      </c>
      <c r="AA280" s="26">
        <f t="shared" ca="1" si="36"/>
        <v>0.83079703264506843</v>
      </c>
      <c r="AB280" s="29">
        <v>0</v>
      </c>
      <c r="AC280"/>
      <c r="AD280" s="25"/>
      <c r="AF280" s="22">
        <v>44825</v>
      </c>
      <c r="AG280" s="26">
        <f t="shared" ca="1" si="37"/>
        <v>0.82306655990584721</v>
      </c>
      <c r="AH280" s="29">
        <v>0</v>
      </c>
      <c r="AJ280" s="22">
        <v>44825</v>
      </c>
      <c r="AK280" s="26">
        <f t="shared" ca="1" si="38"/>
        <v>0.17515528410220704</v>
      </c>
      <c r="AL280" s="29">
        <v>0</v>
      </c>
      <c r="AN280" s="22">
        <v>44825</v>
      </c>
      <c r="AO280" s="26">
        <f t="shared" ca="1" si="39"/>
        <v>7.3002788321560264E-2</v>
      </c>
      <c r="AP280" s="29">
        <v>0</v>
      </c>
      <c r="AR280" s="22">
        <v>44825</v>
      </c>
      <c r="AS280" s="26">
        <f t="shared" ca="1" si="40"/>
        <v>0.33387628021448734</v>
      </c>
      <c r="AT280" s="29">
        <v>0</v>
      </c>
      <c r="AV280" s="22">
        <v>44825</v>
      </c>
      <c r="AW280" s="26">
        <f t="shared" ca="1" si="41"/>
        <v>0.98144112722966381</v>
      </c>
      <c r="AX280" s="29">
        <v>0</v>
      </c>
      <c r="AZ280" s="22">
        <v>44825</v>
      </c>
      <c r="BA280" s="26">
        <f t="shared" ca="1" si="42"/>
        <v>0.41357355056779743</v>
      </c>
      <c r="BB280" s="29">
        <v>0</v>
      </c>
      <c r="BC280"/>
      <c r="BD280" s="25"/>
      <c r="BF280" s="22">
        <v>44825</v>
      </c>
      <c r="BG280" s="26">
        <f t="shared" ca="1" si="43"/>
        <v>0.83235417103653098</v>
      </c>
      <c r="BH280" s="29">
        <v>0</v>
      </c>
      <c r="BJ280" s="22">
        <v>44825</v>
      </c>
      <c r="BK280" s="26">
        <f t="shared" ca="1" si="44"/>
        <v>0.58454381603101779</v>
      </c>
      <c r="BL280" s="29">
        <v>0</v>
      </c>
      <c r="BN280" s="22">
        <v>44825</v>
      </c>
      <c r="BO280" s="26">
        <f t="shared" ca="1" si="45"/>
        <v>0.24719864294893112</v>
      </c>
      <c r="BP280" s="29">
        <v>0</v>
      </c>
      <c r="BR280" s="22">
        <v>44825</v>
      </c>
      <c r="BS280" s="26">
        <f t="shared" ca="1" si="46"/>
        <v>0.7793615606115244</v>
      </c>
      <c r="BT280" s="29">
        <v>0</v>
      </c>
      <c r="BV280" s="22">
        <v>44825</v>
      </c>
      <c r="BW280" s="26">
        <f t="shared" ca="1" si="47"/>
        <v>1.9913349400361047E-2</v>
      </c>
      <c r="BX280" s="29">
        <v>0</v>
      </c>
    </row>
    <row r="281" spans="2:76" ht="12.75" x14ac:dyDescent="0.2">
      <c r="B281" s="22">
        <v>44826</v>
      </c>
      <c r="C281" s="26">
        <f t="shared" ca="1" si="0"/>
        <v>0.52591843803638605</v>
      </c>
      <c r="D281" s="29">
        <f t="shared" ca="1" si="48"/>
        <v>77</v>
      </c>
      <c r="F281" s="22">
        <v>44826</v>
      </c>
      <c r="G281" s="26">
        <f t="shared" ca="1" si="31"/>
        <v>0.78770608486250149</v>
      </c>
      <c r="H281" s="29">
        <f t="shared" ca="1" si="27"/>
        <v>227</v>
      </c>
      <c r="J281" s="22">
        <v>44826</v>
      </c>
      <c r="K281" s="26">
        <f t="shared" ca="1" si="32"/>
        <v>0.41949950068018071</v>
      </c>
      <c r="L281" s="29">
        <f t="shared" ca="1" si="28"/>
        <v>148</v>
      </c>
      <c r="N281" s="22">
        <v>44826</v>
      </c>
      <c r="O281" s="26">
        <f t="shared" ca="1" si="33"/>
        <v>0.18887173610123253</v>
      </c>
      <c r="P281" s="29">
        <f t="shared" ca="1" si="29"/>
        <v>216</v>
      </c>
      <c r="R281" s="22">
        <v>44826</v>
      </c>
      <c r="S281" s="26">
        <f t="shared" ca="1" si="34"/>
        <v>2.9177039002289296E-2</v>
      </c>
      <c r="T281" s="29">
        <f t="shared" ca="1" si="30"/>
        <v>122</v>
      </c>
      <c r="V281" s="22">
        <v>44826</v>
      </c>
      <c r="W281" s="26">
        <f t="shared" ca="1" si="35"/>
        <v>0.63431655718288582</v>
      </c>
      <c r="X281" s="29">
        <v>0</v>
      </c>
      <c r="Z281" s="22">
        <v>44826</v>
      </c>
      <c r="AA281" s="26">
        <f t="shared" ca="1" si="36"/>
        <v>0.84435341652773377</v>
      </c>
      <c r="AB281" s="29">
        <v>0</v>
      </c>
      <c r="AC281"/>
      <c r="AD281" s="25"/>
      <c r="AF281" s="22">
        <v>44826</v>
      </c>
      <c r="AG281" s="26">
        <f t="shared" ca="1" si="37"/>
        <v>0.4462497039880422</v>
      </c>
      <c r="AH281" s="29">
        <v>0</v>
      </c>
      <c r="AJ281" s="22">
        <v>44826</v>
      </c>
      <c r="AK281" s="26">
        <f t="shared" ca="1" si="38"/>
        <v>0.99515961577699563</v>
      </c>
      <c r="AL281" s="29">
        <v>0</v>
      </c>
      <c r="AN281" s="22">
        <v>44826</v>
      </c>
      <c r="AO281" s="26">
        <f t="shared" ca="1" si="39"/>
        <v>0.76189960425375935</v>
      </c>
      <c r="AP281" s="29">
        <v>0</v>
      </c>
      <c r="AR281" s="22">
        <v>44826</v>
      </c>
      <c r="AS281" s="26">
        <f t="shared" ca="1" si="40"/>
        <v>0.16565871489489903</v>
      </c>
      <c r="AT281" s="29">
        <v>0</v>
      </c>
      <c r="AV281" s="22">
        <v>44826</v>
      </c>
      <c r="AW281" s="26">
        <f t="shared" ca="1" si="41"/>
        <v>0.72810034132605284</v>
      </c>
      <c r="AX281" s="29">
        <v>0</v>
      </c>
      <c r="AZ281" s="22">
        <v>44826</v>
      </c>
      <c r="BA281" s="26">
        <f t="shared" ca="1" si="42"/>
        <v>0.76421630380882266</v>
      </c>
      <c r="BB281" s="29">
        <v>0</v>
      </c>
      <c r="BC281"/>
      <c r="BD281" s="25"/>
      <c r="BF281" s="22">
        <v>44826</v>
      </c>
      <c r="BG281" s="26">
        <f t="shared" ca="1" si="43"/>
        <v>0.46178880221295426</v>
      </c>
      <c r="BH281" s="29">
        <v>0</v>
      </c>
      <c r="BJ281" s="22">
        <v>44826</v>
      </c>
      <c r="BK281" s="26">
        <f t="shared" ca="1" si="44"/>
        <v>0.19051323042344848</v>
      </c>
      <c r="BL281" s="29">
        <v>0</v>
      </c>
      <c r="BN281" s="22">
        <v>44826</v>
      </c>
      <c r="BO281" s="26">
        <f t="shared" ca="1" si="45"/>
        <v>0.95031616551206266</v>
      </c>
      <c r="BP281" s="29">
        <v>0</v>
      </c>
      <c r="BR281" s="22">
        <v>44826</v>
      </c>
      <c r="BS281" s="26">
        <f t="shared" ca="1" si="46"/>
        <v>0.43551120906356766</v>
      </c>
      <c r="BT281" s="29">
        <v>0</v>
      </c>
      <c r="BV281" s="22">
        <v>44826</v>
      </c>
      <c r="BW281" s="26">
        <f t="shared" ca="1" si="47"/>
        <v>0.85621861880796357</v>
      </c>
      <c r="BX281" s="29">
        <v>0</v>
      </c>
    </row>
    <row r="282" spans="2:76" ht="12.75" x14ac:dyDescent="0.2">
      <c r="B282" s="22">
        <v>44827</v>
      </c>
      <c r="C282" s="26">
        <f t="shared" ca="1" si="0"/>
        <v>0.92336460648055485</v>
      </c>
      <c r="D282" s="29">
        <f t="shared" ca="1" si="48"/>
        <v>104</v>
      </c>
      <c r="F282" s="22">
        <v>44827</v>
      </c>
      <c r="G282" s="26">
        <f t="shared" ca="1" si="31"/>
        <v>0.41267315219695899</v>
      </c>
      <c r="H282" s="29">
        <f t="shared" ca="1" si="27"/>
        <v>213</v>
      </c>
      <c r="J282" s="22">
        <v>44827</v>
      </c>
      <c r="K282" s="26">
        <f t="shared" ca="1" si="32"/>
        <v>0.89632753080996419</v>
      </c>
      <c r="L282" s="29">
        <f t="shared" ca="1" si="28"/>
        <v>163</v>
      </c>
      <c r="N282" s="22">
        <v>44827</v>
      </c>
      <c r="O282" s="26">
        <f t="shared" ca="1" si="33"/>
        <v>0.75266579691990854</v>
      </c>
      <c r="P282" s="29">
        <f t="shared" ca="1" si="29"/>
        <v>240</v>
      </c>
      <c r="R282" s="22">
        <v>44827</v>
      </c>
      <c r="S282" s="26">
        <f t="shared" ca="1" si="34"/>
        <v>0.3077562893260265</v>
      </c>
      <c r="T282" s="29">
        <f t="shared" ca="1" si="30"/>
        <v>135</v>
      </c>
      <c r="V282" s="22">
        <v>44827</v>
      </c>
      <c r="W282" s="26">
        <f t="shared" ca="1" si="35"/>
        <v>0.87253688582329547</v>
      </c>
      <c r="X282" s="29">
        <v>0</v>
      </c>
      <c r="Z282" s="22">
        <v>44827</v>
      </c>
      <c r="AA282" s="26">
        <f t="shared" ca="1" si="36"/>
        <v>0.66772653742291255</v>
      </c>
      <c r="AB282" s="29">
        <v>0</v>
      </c>
      <c r="AC282"/>
      <c r="AD282" s="25"/>
      <c r="AF282" s="22">
        <v>44827</v>
      </c>
      <c r="AG282" s="26">
        <f t="shared" ca="1" si="37"/>
        <v>0.89334564310418174</v>
      </c>
      <c r="AH282" s="29">
        <v>0</v>
      </c>
      <c r="AJ282" s="22">
        <v>44827</v>
      </c>
      <c r="AK282" s="26">
        <f t="shared" ca="1" si="38"/>
        <v>0.38748963215351362</v>
      </c>
      <c r="AL282" s="29">
        <v>0</v>
      </c>
      <c r="AN282" s="22">
        <v>44827</v>
      </c>
      <c r="AO282" s="26">
        <f t="shared" ca="1" si="39"/>
        <v>0.40026086616745205</v>
      </c>
      <c r="AP282" s="29">
        <v>0</v>
      </c>
      <c r="AR282" s="22">
        <v>44827</v>
      </c>
      <c r="AS282" s="26">
        <f t="shared" ca="1" si="40"/>
        <v>0.62626376274013873</v>
      </c>
      <c r="AT282" s="29">
        <v>0</v>
      </c>
      <c r="AV282" s="22">
        <v>44827</v>
      </c>
      <c r="AW282" s="26">
        <f t="shared" ca="1" si="41"/>
        <v>0.30014759890021425</v>
      </c>
      <c r="AX282" s="29">
        <v>0</v>
      </c>
      <c r="AZ282" s="22">
        <v>44827</v>
      </c>
      <c r="BA282" s="26">
        <f t="shared" ca="1" si="42"/>
        <v>4.3687593850823769E-2</v>
      </c>
      <c r="BB282" s="29">
        <v>0</v>
      </c>
      <c r="BC282"/>
      <c r="BD282" s="25"/>
      <c r="BF282" s="22">
        <v>44827</v>
      </c>
      <c r="BG282" s="26">
        <f t="shared" ca="1" si="43"/>
        <v>0.94494762361065665</v>
      </c>
      <c r="BH282" s="29">
        <v>0</v>
      </c>
      <c r="BJ282" s="22">
        <v>44827</v>
      </c>
      <c r="BK282" s="26">
        <f t="shared" ca="1" si="44"/>
        <v>0.1161811785676331</v>
      </c>
      <c r="BL282" s="29">
        <v>0</v>
      </c>
      <c r="BN282" s="22">
        <v>44827</v>
      </c>
      <c r="BO282" s="26">
        <f t="shared" ca="1" si="45"/>
        <v>0.965420965120668</v>
      </c>
      <c r="BP282" s="29">
        <v>0</v>
      </c>
      <c r="BR282" s="22">
        <v>44827</v>
      </c>
      <c r="BS282" s="26">
        <f t="shared" ca="1" si="46"/>
        <v>0.16350701483739305</v>
      </c>
      <c r="BT282" s="29">
        <v>0</v>
      </c>
      <c r="BV282" s="22">
        <v>44827</v>
      </c>
      <c r="BW282" s="26">
        <f t="shared" ca="1" si="47"/>
        <v>0.38703706797476733</v>
      </c>
      <c r="BX282" s="29">
        <v>0</v>
      </c>
    </row>
    <row r="283" spans="2:76" ht="12.75" x14ac:dyDescent="0.2">
      <c r="B283" s="22">
        <v>44828</v>
      </c>
      <c r="C283" s="26">
        <f t="shared" ca="1" si="0"/>
        <v>1.8088985354259846E-2</v>
      </c>
      <c r="D283" s="29">
        <f t="shared" ca="1" si="48"/>
        <v>34</v>
      </c>
      <c r="F283" s="22">
        <v>44828</v>
      </c>
      <c r="G283" s="26">
        <f t="shared" ca="1" si="31"/>
        <v>0.3862636639317123</v>
      </c>
      <c r="H283" s="29">
        <f t="shared" ca="1" si="27"/>
        <v>212</v>
      </c>
      <c r="J283" s="22">
        <v>44828</v>
      </c>
      <c r="K283" s="26">
        <f t="shared" ca="1" si="32"/>
        <v>9.7156464130881859E-2</v>
      </c>
      <c r="L283" s="29">
        <f t="shared" ca="1" si="28"/>
        <v>138</v>
      </c>
      <c r="N283" s="22">
        <v>44828</v>
      </c>
      <c r="O283" s="26">
        <f t="shared" ca="1" si="33"/>
        <v>0.13445519490505742</v>
      </c>
      <c r="P283" s="29">
        <f t="shared" ca="1" si="29"/>
        <v>213</v>
      </c>
      <c r="R283" s="22">
        <v>44828</v>
      </c>
      <c r="S283" s="26">
        <f t="shared" ca="1" si="34"/>
        <v>0.65696656186306857</v>
      </c>
      <c r="T283" s="29">
        <f t="shared" ca="1" si="30"/>
        <v>143</v>
      </c>
      <c r="V283" s="22">
        <v>44828</v>
      </c>
      <c r="W283" s="26">
        <f t="shared" ca="1" si="35"/>
        <v>0.4991779702375988</v>
      </c>
      <c r="X283" s="29">
        <v>0</v>
      </c>
      <c r="Z283" s="22">
        <v>44828</v>
      </c>
      <c r="AA283" s="26">
        <f t="shared" ca="1" si="36"/>
        <v>0.27982574482940625</v>
      </c>
      <c r="AB283" s="29">
        <v>0</v>
      </c>
      <c r="AC283"/>
      <c r="AD283" s="25"/>
      <c r="AF283" s="22">
        <v>44828</v>
      </c>
      <c r="AG283" s="26">
        <f t="shared" ca="1" si="37"/>
        <v>0.8978972215371499</v>
      </c>
      <c r="AH283" s="29">
        <v>0</v>
      </c>
      <c r="AJ283" s="22">
        <v>44828</v>
      </c>
      <c r="AK283" s="26">
        <f t="shared" ca="1" si="38"/>
        <v>8.5708302440588802E-2</v>
      </c>
      <c r="AL283" s="29">
        <v>0</v>
      </c>
      <c r="AN283" s="22">
        <v>44828</v>
      </c>
      <c r="AO283" s="26">
        <f t="shared" ca="1" si="39"/>
        <v>0.69453662132965344</v>
      </c>
      <c r="AP283" s="29">
        <v>0</v>
      </c>
      <c r="AR283" s="22">
        <v>44828</v>
      </c>
      <c r="AS283" s="26">
        <f t="shared" ca="1" si="40"/>
        <v>0.948437491228319</v>
      </c>
      <c r="AT283" s="29">
        <v>0</v>
      </c>
      <c r="AV283" s="22">
        <v>44828</v>
      </c>
      <c r="AW283" s="26">
        <f t="shared" ca="1" si="41"/>
        <v>0.21063412392450565</v>
      </c>
      <c r="AX283" s="29">
        <v>0</v>
      </c>
      <c r="AZ283" s="22">
        <v>44828</v>
      </c>
      <c r="BA283" s="26">
        <f t="shared" ca="1" si="42"/>
        <v>0.33985474717735187</v>
      </c>
      <c r="BB283" s="29">
        <v>0</v>
      </c>
      <c r="BC283"/>
      <c r="BD283" s="25"/>
      <c r="BF283" s="22">
        <v>44828</v>
      </c>
      <c r="BG283" s="26">
        <f t="shared" ca="1" si="43"/>
        <v>0.51500074429782972</v>
      </c>
      <c r="BH283" s="29">
        <v>0</v>
      </c>
      <c r="BJ283" s="22">
        <v>44828</v>
      </c>
      <c r="BK283" s="26">
        <f t="shared" ca="1" si="44"/>
        <v>0.93974552720812587</v>
      </c>
      <c r="BL283" s="29">
        <v>0</v>
      </c>
      <c r="BN283" s="22">
        <v>44828</v>
      </c>
      <c r="BO283" s="26">
        <f t="shared" ca="1" si="45"/>
        <v>0.51341909149404763</v>
      </c>
      <c r="BP283" s="29">
        <v>0</v>
      </c>
      <c r="BR283" s="22">
        <v>44828</v>
      </c>
      <c r="BS283" s="26">
        <f t="shared" ca="1" si="46"/>
        <v>0.46998686425814018</v>
      </c>
      <c r="BT283" s="29">
        <v>0</v>
      </c>
      <c r="BV283" s="22">
        <v>44828</v>
      </c>
      <c r="BW283" s="26">
        <f t="shared" ca="1" si="47"/>
        <v>0.92825846310310267</v>
      </c>
      <c r="BX283" s="29">
        <v>0</v>
      </c>
    </row>
    <row r="284" spans="2:76" ht="12.75" x14ac:dyDescent="0.2">
      <c r="B284" s="22">
        <v>44829</v>
      </c>
      <c r="C284" s="26">
        <f t="shared" ca="1" si="0"/>
        <v>0.88249430580217492</v>
      </c>
      <c r="D284" s="29">
        <f t="shared" ca="1" si="48"/>
        <v>99</v>
      </c>
      <c r="F284" s="22">
        <v>44829</v>
      </c>
      <c r="G284" s="26">
        <f t="shared" ca="1" si="31"/>
        <v>0.88084614485340307</v>
      </c>
      <c r="H284" s="29">
        <f t="shared" ca="1" si="27"/>
        <v>233</v>
      </c>
      <c r="J284" s="22">
        <v>44829</v>
      </c>
      <c r="K284" s="26">
        <f t="shared" ca="1" si="32"/>
        <v>0.70021260294275578</v>
      </c>
      <c r="L284" s="29">
        <f t="shared" ca="1" si="28"/>
        <v>156</v>
      </c>
      <c r="N284" s="22">
        <v>44829</v>
      </c>
      <c r="O284" s="26">
        <f t="shared" ca="1" si="33"/>
        <v>0.71520780980951959</v>
      </c>
      <c r="P284" s="29">
        <f t="shared" ca="1" si="29"/>
        <v>239</v>
      </c>
      <c r="R284" s="22">
        <v>44829</v>
      </c>
      <c r="S284" s="26">
        <f t="shared" ca="1" si="34"/>
        <v>0.43144524130125561</v>
      </c>
      <c r="T284" s="29">
        <f t="shared" ca="1" si="30"/>
        <v>138</v>
      </c>
      <c r="V284" s="22">
        <v>44829</v>
      </c>
      <c r="W284" s="26">
        <f t="shared" ca="1" si="35"/>
        <v>0.56960641943458146</v>
      </c>
      <c r="X284" s="29">
        <v>0</v>
      </c>
      <c r="Z284" s="22">
        <v>44829</v>
      </c>
      <c r="AA284" s="26">
        <f t="shared" ca="1" si="36"/>
        <v>0.25177222954669609</v>
      </c>
      <c r="AB284" s="29">
        <v>0</v>
      </c>
      <c r="AC284"/>
      <c r="AD284" s="25"/>
      <c r="AF284" s="22">
        <v>44829</v>
      </c>
      <c r="AG284" s="26">
        <f t="shared" ca="1" si="37"/>
        <v>0.99713509638432574</v>
      </c>
      <c r="AH284" s="29">
        <v>0</v>
      </c>
      <c r="AJ284" s="22">
        <v>44829</v>
      </c>
      <c r="AK284" s="26">
        <f t="shared" ca="1" si="38"/>
        <v>0.88544057901709017</v>
      </c>
      <c r="AL284" s="29">
        <v>0</v>
      </c>
      <c r="AN284" s="22">
        <v>44829</v>
      </c>
      <c r="AO284" s="26">
        <f t="shared" ca="1" si="39"/>
        <v>0.89934997560273078</v>
      </c>
      <c r="AP284" s="29">
        <v>0</v>
      </c>
      <c r="AR284" s="22">
        <v>44829</v>
      </c>
      <c r="AS284" s="26">
        <f t="shared" ca="1" si="40"/>
        <v>3.1431592279072773E-2</v>
      </c>
      <c r="AT284" s="29">
        <v>0</v>
      </c>
      <c r="AV284" s="22">
        <v>44829</v>
      </c>
      <c r="AW284" s="26">
        <f t="shared" ca="1" si="41"/>
        <v>0.53375343277156417</v>
      </c>
      <c r="AX284" s="29">
        <v>0</v>
      </c>
      <c r="AZ284" s="22">
        <v>44829</v>
      </c>
      <c r="BA284" s="26">
        <f t="shared" ca="1" si="42"/>
        <v>0.64534212470301178</v>
      </c>
      <c r="BB284" s="29">
        <v>0</v>
      </c>
      <c r="BC284"/>
      <c r="BD284" s="25"/>
      <c r="BF284" s="22">
        <v>44829</v>
      </c>
      <c r="BG284" s="26">
        <f t="shared" ca="1" si="43"/>
        <v>0.22645164467018453</v>
      </c>
      <c r="BH284" s="29">
        <v>0</v>
      </c>
      <c r="BJ284" s="22">
        <v>44829</v>
      </c>
      <c r="BK284" s="26">
        <f t="shared" ca="1" si="44"/>
        <v>0.54869835492692987</v>
      </c>
      <c r="BL284" s="29">
        <v>0</v>
      </c>
      <c r="BN284" s="22">
        <v>44829</v>
      </c>
      <c r="BO284" s="26">
        <f t="shared" ca="1" si="45"/>
        <v>0.18126721882592212</v>
      </c>
      <c r="BP284" s="29">
        <v>0</v>
      </c>
      <c r="BR284" s="22">
        <v>44829</v>
      </c>
      <c r="BS284" s="26">
        <f t="shared" ca="1" si="46"/>
        <v>0.56893064878780564</v>
      </c>
      <c r="BT284" s="29">
        <v>0</v>
      </c>
      <c r="BV284" s="22">
        <v>44829</v>
      </c>
      <c r="BW284" s="26">
        <f t="shared" ca="1" si="47"/>
        <v>0.53534341936940077</v>
      </c>
      <c r="BX284" s="29">
        <v>0</v>
      </c>
    </row>
    <row r="285" spans="2:76" ht="12.75" x14ac:dyDescent="0.2">
      <c r="B285" s="22">
        <v>44830</v>
      </c>
      <c r="C285" s="26">
        <f t="shared" ca="1" si="0"/>
        <v>0.98588099918715555</v>
      </c>
      <c r="D285" s="29">
        <f t="shared" ca="1" si="48"/>
        <v>119</v>
      </c>
      <c r="F285" s="22">
        <v>44830</v>
      </c>
      <c r="G285" s="26">
        <f t="shared" ca="1" si="31"/>
        <v>0.19526247436071686</v>
      </c>
      <c r="H285" s="29">
        <f t="shared" ca="1" si="27"/>
        <v>204</v>
      </c>
      <c r="J285" s="22">
        <v>44830</v>
      </c>
      <c r="K285" s="26">
        <f t="shared" ca="1" si="32"/>
        <v>0.63333753156700667</v>
      </c>
      <c r="L285" s="29">
        <f t="shared" ca="1" si="28"/>
        <v>154</v>
      </c>
      <c r="N285" s="22">
        <v>44830</v>
      </c>
      <c r="O285" s="26">
        <f t="shared" ca="1" si="33"/>
        <v>0.23975759168024902</v>
      </c>
      <c r="P285" s="29">
        <f t="shared" ca="1" si="29"/>
        <v>219</v>
      </c>
      <c r="R285" s="22">
        <v>44830</v>
      </c>
      <c r="S285" s="26">
        <f t="shared" ca="1" si="34"/>
        <v>0.41890711960018556</v>
      </c>
      <c r="T285" s="29">
        <f t="shared" ca="1" si="30"/>
        <v>137</v>
      </c>
      <c r="V285" s="22">
        <v>44830</v>
      </c>
      <c r="W285" s="26">
        <f t="shared" ca="1" si="35"/>
        <v>0.81768768005398806</v>
      </c>
      <c r="X285" s="29">
        <v>0</v>
      </c>
      <c r="Z285" s="22">
        <v>44830</v>
      </c>
      <c r="AA285" s="26">
        <f t="shared" ca="1" si="36"/>
        <v>0.42655832847268982</v>
      </c>
      <c r="AB285" s="29">
        <v>0</v>
      </c>
      <c r="AC285"/>
      <c r="AD285" s="25"/>
      <c r="AF285" s="22">
        <v>44830</v>
      </c>
      <c r="AG285" s="26">
        <f t="shared" ca="1" si="37"/>
        <v>0.83232185970015427</v>
      </c>
      <c r="AH285" s="29">
        <v>0</v>
      </c>
      <c r="AJ285" s="22">
        <v>44830</v>
      </c>
      <c r="AK285" s="26">
        <f t="shared" ca="1" si="38"/>
        <v>0.3108920783190009</v>
      </c>
      <c r="AL285" s="29">
        <v>0</v>
      </c>
      <c r="AN285" s="22">
        <v>44830</v>
      </c>
      <c r="AO285" s="26">
        <f t="shared" ca="1" si="39"/>
        <v>1.4970109207603999E-2</v>
      </c>
      <c r="AP285" s="29">
        <v>0</v>
      </c>
      <c r="AR285" s="22">
        <v>44830</v>
      </c>
      <c r="AS285" s="26">
        <f t="shared" ca="1" si="40"/>
        <v>3.680140381014152E-2</v>
      </c>
      <c r="AT285" s="29">
        <v>0</v>
      </c>
      <c r="AV285" s="22">
        <v>44830</v>
      </c>
      <c r="AW285" s="26">
        <f t="shared" ca="1" si="41"/>
        <v>0.55166694691352947</v>
      </c>
      <c r="AX285" s="29">
        <v>0</v>
      </c>
      <c r="AZ285" s="22">
        <v>44830</v>
      </c>
      <c r="BA285" s="26">
        <f t="shared" ca="1" si="42"/>
        <v>1.3677941856488185E-2</v>
      </c>
      <c r="BB285" s="29">
        <v>0</v>
      </c>
      <c r="BC285"/>
      <c r="BD285" s="25"/>
      <c r="BF285" s="22">
        <v>44830</v>
      </c>
      <c r="BG285" s="26">
        <f t="shared" ca="1" si="43"/>
        <v>0.24295760948306067</v>
      </c>
      <c r="BH285" s="29">
        <v>0</v>
      </c>
      <c r="BJ285" s="22">
        <v>44830</v>
      </c>
      <c r="BK285" s="26">
        <f t="shared" ca="1" si="44"/>
        <v>0.28494869837594317</v>
      </c>
      <c r="BL285" s="29">
        <v>0</v>
      </c>
      <c r="BN285" s="22">
        <v>44830</v>
      </c>
      <c r="BO285" s="26">
        <f t="shared" ca="1" si="45"/>
        <v>3.694463701784878E-2</v>
      </c>
      <c r="BP285" s="29">
        <v>0</v>
      </c>
      <c r="BR285" s="22">
        <v>44830</v>
      </c>
      <c r="BS285" s="26">
        <f t="shared" ca="1" si="46"/>
        <v>0.32114159327813974</v>
      </c>
      <c r="BT285" s="29">
        <v>0</v>
      </c>
      <c r="BV285" s="22">
        <v>44830</v>
      </c>
      <c r="BW285" s="26">
        <f t="shared" ca="1" si="47"/>
        <v>1.6363182662551656E-2</v>
      </c>
      <c r="BX285" s="29">
        <v>0</v>
      </c>
    </row>
    <row r="286" spans="2:76" ht="12.75" x14ac:dyDescent="0.2">
      <c r="B286" s="22">
        <v>44831</v>
      </c>
      <c r="C286" s="26">
        <f t="shared" ca="1" si="0"/>
        <v>0.80656426781454393</v>
      </c>
      <c r="D286" s="29">
        <f t="shared" ca="1" si="48"/>
        <v>93</v>
      </c>
      <c r="F286" s="22">
        <v>44831</v>
      </c>
      <c r="G286" s="26">
        <f t="shared" ca="1" si="31"/>
        <v>0.99960450373084653</v>
      </c>
      <c r="H286" s="29">
        <f t="shared" ca="1" si="27"/>
        <v>264</v>
      </c>
      <c r="J286" s="22">
        <v>44831</v>
      </c>
      <c r="K286" s="26">
        <f t="shared" ca="1" si="32"/>
        <v>0.55529380019900232</v>
      </c>
      <c r="L286" s="29">
        <f t="shared" ca="1" si="28"/>
        <v>152</v>
      </c>
      <c r="N286" s="22">
        <v>44831</v>
      </c>
      <c r="O286" s="26">
        <f t="shared" ca="1" si="33"/>
        <v>0.45054237262881669</v>
      </c>
      <c r="P286" s="29">
        <f t="shared" ca="1" si="29"/>
        <v>228</v>
      </c>
      <c r="R286" s="22">
        <v>44831</v>
      </c>
      <c r="S286" s="26">
        <f t="shared" ca="1" si="34"/>
        <v>1.8521230283759293E-2</v>
      </c>
      <c r="T286" s="29">
        <f t="shared" ca="1" si="30"/>
        <v>120</v>
      </c>
      <c r="V286" s="22">
        <v>44831</v>
      </c>
      <c r="W286" s="26">
        <f t="shared" ca="1" si="35"/>
        <v>0.89165355349280773</v>
      </c>
      <c r="X286" s="29">
        <v>0</v>
      </c>
      <c r="Z286" s="22">
        <v>44831</v>
      </c>
      <c r="AA286" s="26">
        <f t="shared" ca="1" si="36"/>
        <v>0.8063246078263302</v>
      </c>
      <c r="AB286" s="29">
        <v>0</v>
      </c>
      <c r="AC286"/>
      <c r="AD286" s="25"/>
      <c r="AF286" s="22">
        <v>44831</v>
      </c>
      <c r="AG286" s="26">
        <f t="shared" ca="1" si="37"/>
        <v>0.84583664565721817</v>
      </c>
      <c r="AH286" s="29">
        <v>0</v>
      </c>
      <c r="AJ286" s="22">
        <v>44831</v>
      </c>
      <c r="AK286" s="26">
        <f t="shared" ca="1" si="38"/>
        <v>0.11848851739699229</v>
      </c>
      <c r="AL286" s="29">
        <v>0</v>
      </c>
      <c r="AN286" s="22">
        <v>44831</v>
      </c>
      <c r="AO286" s="26">
        <f t="shared" ca="1" si="39"/>
        <v>0.15105346571364575</v>
      </c>
      <c r="AP286" s="29">
        <v>0</v>
      </c>
      <c r="AR286" s="22">
        <v>44831</v>
      </c>
      <c r="AS286" s="26">
        <f t="shared" ca="1" si="40"/>
        <v>0.54562147614276979</v>
      </c>
      <c r="AT286" s="29">
        <v>0</v>
      </c>
      <c r="AV286" s="22">
        <v>44831</v>
      </c>
      <c r="AW286" s="26">
        <f t="shared" ca="1" si="41"/>
        <v>0.10599625607266883</v>
      </c>
      <c r="AX286" s="29">
        <v>0</v>
      </c>
      <c r="AZ286" s="22">
        <v>44831</v>
      </c>
      <c r="BA286" s="26">
        <f t="shared" ca="1" si="42"/>
        <v>0.77796844309283386</v>
      </c>
      <c r="BB286" s="29">
        <v>0</v>
      </c>
      <c r="BC286"/>
      <c r="BD286" s="25"/>
      <c r="BF286" s="22">
        <v>44831</v>
      </c>
      <c r="BG286" s="26">
        <f t="shared" ca="1" si="43"/>
        <v>0.94887946308838367</v>
      </c>
      <c r="BH286" s="29">
        <v>0</v>
      </c>
      <c r="BJ286" s="22">
        <v>44831</v>
      </c>
      <c r="BK286" s="26">
        <f t="shared" ca="1" si="44"/>
        <v>0.30087866858490053</v>
      </c>
      <c r="BL286" s="29">
        <v>0</v>
      </c>
      <c r="BN286" s="22">
        <v>44831</v>
      </c>
      <c r="BO286" s="26">
        <f t="shared" ca="1" si="45"/>
        <v>0.19963940054743934</v>
      </c>
      <c r="BP286" s="29">
        <v>0</v>
      </c>
      <c r="BR286" s="22">
        <v>44831</v>
      </c>
      <c r="BS286" s="26">
        <f t="shared" ca="1" si="46"/>
        <v>7.7996299024189919E-2</v>
      </c>
      <c r="BT286" s="29">
        <v>0</v>
      </c>
      <c r="BV286" s="22">
        <v>44831</v>
      </c>
      <c r="BW286" s="26">
        <f t="shared" ca="1" si="47"/>
        <v>0.148511594174492</v>
      </c>
      <c r="BX286" s="29">
        <v>0</v>
      </c>
    </row>
    <row r="287" spans="2:76" ht="12.75" x14ac:dyDescent="0.2">
      <c r="B287" s="22">
        <v>44832</v>
      </c>
      <c r="C287" s="26">
        <f t="shared" ca="1" si="0"/>
        <v>0.92419163818566841</v>
      </c>
      <c r="D287" s="29">
        <f t="shared" ca="1" si="48"/>
        <v>104</v>
      </c>
      <c r="F287" s="22">
        <v>44832</v>
      </c>
      <c r="G287" s="26">
        <f t="shared" ca="1" si="31"/>
        <v>3.1217014371647145E-2</v>
      </c>
      <c r="H287" s="29">
        <f t="shared" ca="1" si="27"/>
        <v>189</v>
      </c>
      <c r="J287" s="22">
        <v>44832</v>
      </c>
      <c r="K287" s="26">
        <f t="shared" ca="1" si="32"/>
        <v>0.45954932385384617</v>
      </c>
      <c r="L287" s="29">
        <f t="shared" ca="1" si="28"/>
        <v>149</v>
      </c>
      <c r="N287" s="22">
        <v>44832</v>
      </c>
      <c r="O287" s="26">
        <f t="shared" ca="1" si="33"/>
        <v>3.9873327495977939E-2</v>
      </c>
      <c r="P287" s="29">
        <f t="shared" ca="1" si="29"/>
        <v>203</v>
      </c>
      <c r="R287" s="22">
        <v>44832</v>
      </c>
      <c r="S287" s="26">
        <f t="shared" ca="1" si="34"/>
        <v>0.56814515474777716</v>
      </c>
      <c r="T287" s="29">
        <f t="shared" ca="1" si="30"/>
        <v>141</v>
      </c>
      <c r="V287" s="22">
        <v>44832</v>
      </c>
      <c r="W287" s="26">
        <f t="shared" ca="1" si="35"/>
        <v>0.85130845926443321</v>
      </c>
      <c r="X287" s="29">
        <v>0</v>
      </c>
      <c r="Z287" s="22">
        <v>44832</v>
      </c>
      <c r="AA287" s="26">
        <f t="shared" ca="1" si="36"/>
        <v>0.47090886442522206</v>
      </c>
      <c r="AB287" s="29">
        <v>0</v>
      </c>
      <c r="AC287"/>
      <c r="AD287" s="25"/>
      <c r="AF287" s="22">
        <v>44832</v>
      </c>
      <c r="AG287" s="26">
        <f t="shared" ca="1" si="37"/>
        <v>0.42646700110543645</v>
      </c>
      <c r="AH287" s="29">
        <v>0</v>
      </c>
      <c r="AJ287" s="22">
        <v>44832</v>
      </c>
      <c r="AK287" s="26">
        <f t="shared" ca="1" si="38"/>
        <v>0.20992802801513477</v>
      </c>
      <c r="AL287" s="29">
        <v>0</v>
      </c>
      <c r="AN287" s="22">
        <v>44832</v>
      </c>
      <c r="AO287" s="26">
        <f t="shared" ca="1" si="39"/>
        <v>7.9319974654547765E-2</v>
      </c>
      <c r="AP287" s="29">
        <v>0</v>
      </c>
      <c r="AR287" s="22">
        <v>44832</v>
      </c>
      <c r="AS287" s="26">
        <f t="shared" ca="1" si="40"/>
        <v>0.12932152608938141</v>
      </c>
      <c r="AT287" s="29">
        <v>0</v>
      </c>
      <c r="AV287" s="22">
        <v>44832</v>
      </c>
      <c r="AW287" s="26">
        <f t="shared" ca="1" si="41"/>
        <v>0.3972321386665123</v>
      </c>
      <c r="AX287" s="29">
        <v>0</v>
      </c>
      <c r="AZ287" s="22">
        <v>44832</v>
      </c>
      <c r="BA287" s="26">
        <f t="shared" ca="1" si="42"/>
        <v>0.82640778084243494</v>
      </c>
      <c r="BB287" s="29">
        <v>0</v>
      </c>
      <c r="BC287"/>
      <c r="BD287" s="25"/>
      <c r="BF287" s="22">
        <v>44832</v>
      </c>
      <c r="BG287" s="26">
        <f t="shared" ca="1" si="43"/>
        <v>0.45384312321500053</v>
      </c>
      <c r="BH287" s="29">
        <v>0</v>
      </c>
      <c r="BJ287" s="22">
        <v>44832</v>
      </c>
      <c r="BK287" s="26">
        <f t="shared" ca="1" si="44"/>
        <v>0.94411007794627477</v>
      </c>
      <c r="BL287" s="29">
        <v>0</v>
      </c>
      <c r="BN287" s="22">
        <v>44832</v>
      </c>
      <c r="BO287" s="26">
        <f t="shared" ca="1" si="45"/>
        <v>0.67834715757155339</v>
      </c>
      <c r="BP287" s="29">
        <v>0</v>
      </c>
      <c r="BR287" s="22">
        <v>44832</v>
      </c>
      <c r="BS287" s="26">
        <f t="shared" ca="1" si="46"/>
        <v>0.81152226274048123</v>
      </c>
      <c r="BT287" s="29">
        <v>0</v>
      </c>
      <c r="BV287" s="22">
        <v>44832</v>
      </c>
      <c r="BW287" s="26">
        <f t="shared" ca="1" si="47"/>
        <v>0.83165132807289521</v>
      </c>
      <c r="BX287" s="29">
        <v>0</v>
      </c>
    </row>
    <row r="288" spans="2:76" ht="12.75" x14ac:dyDescent="0.2">
      <c r="B288" s="22">
        <v>44833</v>
      </c>
      <c r="C288" s="26">
        <f t="shared" ca="1" si="0"/>
        <v>0.1537124270066047</v>
      </c>
      <c r="D288" s="29">
        <f t="shared" ca="1" si="48"/>
        <v>55</v>
      </c>
      <c r="F288" s="22">
        <v>44833</v>
      </c>
      <c r="G288" s="26">
        <f t="shared" ca="1" si="31"/>
        <v>0.80669842451517315</v>
      </c>
      <c r="H288" s="29">
        <f t="shared" ca="1" si="27"/>
        <v>228</v>
      </c>
      <c r="J288" s="22">
        <v>44833</v>
      </c>
      <c r="K288" s="26">
        <f t="shared" ca="1" si="32"/>
        <v>0.97125872747688569</v>
      </c>
      <c r="L288" s="29">
        <f t="shared" ca="1" si="28"/>
        <v>169</v>
      </c>
      <c r="N288" s="22">
        <v>44833</v>
      </c>
      <c r="O288" s="26">
        <f t="shared" ca="1" si="33"/>
        <v>0.35299247564247616</v>
      </c>
      <c r="P288" s="29">
        <f t="shared" ca="1" si="29"/>
        <v>224</v>
      </c>
      <c r="R288" s="22">
        <v>44833</v>
      </c>
      <c r="S288" s="26">
        <f t="shared" ca="1" si="34"/>
        <v>0.99760541062347485</v>
      </c>
      <c r="T288" s="29">
        <f t="shared" ca="1" si="30"/>
        <v>165</v>
      </c>
      <c r="V288" s="22">
        <v>44833</v>
      </c>
      <c r="W288" s="26">
        <f t="shared" ca="1" si="35"/>
        <v>0.35253122066490739</v>
      </c>
      <c r="X288" s="29">
        <v>0</v>
      </c>
      <c r="Z288" s="22">
        <v>44833</v>
      </c>
      <c r="AA288" s="26">
        <f t="shared" ca="1" si="36"/>
        <v>0.95082697177921027</v>
      </c>
      <c r="AB288" s="29">
        <v>0</v>
      </c>
      <c r="AC288"/>
      <c r="AD288" s="25"/>
      <c r="AF288" s="22">
        <v>44833</v>
      </c>
      <c r="AG288" s="26">
        <f t="shared" ca="1" si="37"/>
        <v>0.44878073727670398</v>
      </c>
      <c r="AH288" s="29">
        <v>0</v>
      </c>
      <c r="AJ288" s="22">
        <v>44833</v>
      </c>
      <c r="AK288" s="26">
        <f t="shared" ca="1" si="38"/>
        <v>0.97124646452389829</v>
      </c>
      <c r="AL288" s="29">
        <v>0</v>
      </c>
      <c r="AN288" s="22">
        <v>44833</v>
      </c>
      <c r="AO288" s="26">
        <f t="shared" ca="1" si="39"/>
        <v>0.49163183994076753</v>
      </c>
      <c r="AP288" s="29">
        <v>0</v>
      </c>
      <c r="AR288" s="22">
        <v>44833</v>
      </c>
      <c r="AS288" s="26">
        <f t="shared" ca="1" si="40"/>
        <v>0.39090583245007982</v>
      </c>
      <c r="AT288" s="29">
        <v>0</v>
      </c>
      <c r="AV288" s="22">
        <v>44833</v>
      </c>
      <c r="AW288" s="26">
        <f t="shared" ca="1" si="41"/>
        <v>0.60480185860366753</v>
      </c>
      <c r="AX288" s="29">
        <v>0</v>
      </c>
      <c r="AZ288" s="22">
        <v>44833</v>
      </c>
      <c r="BA288" s="26">
        <f t="shared" ca="1" si="42"/>
        <v>0.4291975033567238</v>
      </c>
      <c r="BB288" s="29">
        <v>0</v>
      </c>
      <c r="BC288"/>
      <c r="BD288" s="25"/>
      <c r="BF288" s="22">
        <v>44833</v>
      </c>
      <c r="BG288" s="26">
        <f t="shared" ca="1" si="43"/>
        <v>0.11853424894671583</v>
      </c>
      <c r="BH288" s="29">
        <v>0</v>
      </c>
      <c r="BJ288" s="22">
        <v>44833</v>
      </c>
      <c r="BK288" s="26">
        <f t="shared" ca="1" si="44"/>
        <v>0.28706027717084448</v>
      </c>
      <c r="BL288" s="29">
        <v>0</v>
      </c>
      <c r="BN288" s="22">
        <v>44833</v>
      </c>
      <c r="BO288" s="26">
        <f t="shared" ca="1" si="45"/>
        <v>0.94933541286419254</v>
      </c>
      <c r="BP288" s="29">
        <v>0</v>
      </c>
      <c r="BR288" s="22">
        <v>44833</v>
      </c>
      <c r="BS288" s="26">
        <f t="shared" ca="1" si="46"/>
        <v>0.96648910560558143</v>
      </c>
      <c r="BT288" s="29">
        <v>0</v>
      </c>
      <c r="BV288" s="22">
        <v>44833</v>
      </c>
      <c r="BW288" s="26">
        <f t="shared" ca="1" si="47"/>
        <v>0.65069210819108347</v>
      </c>
      <c r="BX288" s="29">
        <v>0</v>
      </c>
    </row>
    <row r="289" spans="2:77" ht="12.75" x14ac:dyDescent="0.2">
      <c r="B289" s="22">
        <v>44834</v>
      </c>
      <c r="C289" s="26">
        <f t="shared" ca="1" si="0"/>
        <v>0.22250425303760324</v>
      </c>
      <c r="D289" s="29">
        <f t="shared" ca="1" si="48"/>
        <v>60</v>
      </c>
      <c r="E289">
        <v>2086</v>
      </c>
      <c r="F289" s="22">
        <v>44834</v>
      </c>
      <c r="G289" s="26">
        <f t="shared" ca="1" si="31"/>
        <v>0.66825595893869427</v>
      </c>
      <c r="H289" s="29">
        <f t="shared" ca="1" si="27"/>
        <v>222</v>
      </c>
      <c r="I289">
        <v>6210</v>
      </c>
      <c r="J289" s="22">
        <v>44834</v>
      </c>
      <c r="K289" s="26">
        <f t="shared" ca="1" si="32"/>
        <v>2.819126190257204E-2</v>
      </c>
      <c r="L289" s="29">
        <f t="shared" ca="1" si="28"/>
        <v>131</v>
      </c>
      <c r="M289">
        <v>4270</v>
      </c>
      <c r="N289" s="22">
        <v>44834</v>
      </c>
      <c r="O289" s="26">
        <f t="shared" ca="1" si="33"/>
        <v>0.361148330184491</v>
      </c>
      <c r="P289" s="29">
        <f t="shared" ca="1" si="29"/>
        <v>224</v>
      </c>
      <c r="Q289">
        <v>6631</v>
      </c>
      <c r="R289" s="22">
        <v>44834</v>
      </c>
      <c r="S289" s="26">
        <f t="shared" ca="1" si="34"/>
        <v>0.62788322776122052</v>
      </c>
      <c r="T289" s="29">
        <f t="shared" ca="1" si="30"/>
        <v>142</v>
      </c>
      <c r="U289">
        <v>4048</v>
      </c>
      <c r="V289" s="22">
        <v>44834</v>
      </c>
      <c r="W289" s="26">
        <f t="shared" ca="1" si="35"/>
        <v>0.90629405488737758</v>
      </c>
      <c r="X289" s="29">
        <v>0</v>
      </c>
      <c r="Y289">
        <v>0</v>
      </c>
      <c r="Z289" s="22">
        <v>44834</v>
      </c>
      <c r="AA289" s="26">
        <f t="shared" ca="1" si="36"/>
        <v>0.97469747093578063</v>
      </c>
      <c r="AB289" s="29">
        <v>0</v>
      </c>
      <c r="AC289">
        <v>0</v>
      </c>
      <c r="AD289" s="25"/>
      <c r="AF289" s="22">
        <v>44834</v>
      </c>
      <c r="AG289" s="26">
        <f t="shared" ca="1" si="37"/>
        <v>0.3160500902685397</v>
      </c>
      <c r="AH289" s="29">
        <v>0</v>
      </c>
      <c r="AI289">
        <v>0</v>
      </c>
      <c r="AJ289" s="22">
        <v>44834</v>
      </c>
      <c r="AK289" s="26">
        <f t="shared" ca="1" si="38"/>
        <v>0.30173097293210416</v>
      </c>
      <c r="AL289" s="29">
        <v>0</v>
      </c>
      <c r="AM289">
        <v>0</v>
      </c>
      <c r="AN289" s="22">
        <v>44834</v>
      </c>
      <c r="AO289" s="26">
        <f t="shared" ca="1" si="39"/>
        <v>0.58639897021145415</v>
      </c>
      <c r="AP289" s="29">
        <v>0</v>
      </c>
      <c r="AQ289">
        <v>0</v>
      </c>
      <c r="AR289" s="22">
        <v>44834</v>
      </c>
      <c r="AS289" s="26">
        <f t="shared" ca="1" si="40"/>
        <v>0.2992233969411755</v>
      </c>
      <c r="AT289" s="29">
        <v>0</v>
      </c>
      <c r="AU289">
        <v>0</v>
      </c>
      <c r="AV289" s="22">
        <v>44834</v>
      </c>
      <c r="AW289" s="26">
        <f t="shared" ca="1" si="41"/>
        <v>0.6523374431118083</v>
      </c>
      <c r="AX289" s="29">
        <v>0</v>
      </c>
      <c r="AY289">
        <v>0</v>
      </c>
      <c r="AZ289" s="22">
        <v>44834</v>
      </c>
      <c r="BA289" s="26">
        <f t="shared" ca="1" si="42"/>
        <v>8.346598352358181E-3</v>
      </c>
      <c r="BB289" s="29">
        <v>0</v>
      </c>
      <c r="BC289">
        <v>0</v>
      </c>
      <c r="BD289" s="25"/>
      <c r="BF289" s="22">
        <v>44834</v>
      </c>
      <c r="BG289" s="26">
        <f t="shared" ca="1" si="43"/>
        <v>0.73262062434259001</v>
      </c>
      <c r="BH289" s="29">
        <v>0</v>
      </c>
      <c r="BI289">
        <v>0</v>
      </c>
      <c r="BJ289" s="22">
        <v>44834</v>
      </c>
      <c r="BK289" s="26">
        <f t="shared" ca="1" si="44"/>
        <v>0.95216780234003195</v>
      </c>
      <c r="BL289" s="29">
        <v>0</v>
      </c>
      <c r="BM289">
        <v>0</v>
      </c>
      <c r="BN289" s="22">
        <v>44834</v>
      </c>
      <c r="BO289" s="26">
        <f t="shared" ca="1" si="45"/>
        <v>0.87770129202255298</v>
      </c>
      <c r="BP289" s="29">
        <v>0</v>
      </c>
      <c r="BQ289">
        <v>0</v>
      </c>
      <c r="BR289" s="22">
        <v>44834</v>
      </c>
      <c r="BS289" s="26">
        <f t="shared" ca="1" si="46"/>
        <v>0.94028841663232088</v>
      </c>
      <c r="BT289" s="29">
        <v>0</v>
      </c>
      <c r="BU289">
        <v>0</v>
      </c>
      <c r="BV289" s="22">
        <v>44834</v>
      </c>
      <c r="BW289" s="26">
        <f t="shared" ca="1" si="47"/>
        <v>0.80231670057151983</v>
      </c>
      <c r="BX289" s="29">
        <v>0</v>
      </c>
      <c r="BY289">
        <v>0</v>
      </c>
    </row>
    <row r="290" spans="2:77" ht="12.75" x14ac:dyDescent="0.2">
      <c r="B290" s="22">
        <v>44835</v>
      </c>
      <c r="C290" s="26">
        <f t="shared" ca="1" si="0"/>
        <v>0.24534302667015961</v>
      </c>
      <c r="D290" s="29">
        <f ca="1">ROUNDUP(_xlfn.NORM.INV(C289,C$10,C$12),0)</f>
        <v>60</v>
      </c>
      <c r="F290" s="22">
        <v>44835</v>
      </c>
      <c r="G290" s="26">
        <f t="shared" ca="1" si="31"/>
        <v>0.28043757298867389</v>
      </c>
      <c r="H290" s="29">
        <f ca="1">ROUNDUP(_xlfn.NORM.INV(G289,G$10,G$12),0)</f>
        <v>222</v>
      </c>
      <c r="J290" s="22">
        <v>44835</v>
      </c>
      <c r="K290" s="26">
        <f t="shared" ca="1" si="32"/>
        <v>0.88903968384232557</v>
      </c>
      <c r="L290" s="29">
        <f ca="1">ROUNDUP(_xlfn.NORM.INV(K289,K$10,K$12),0)</f>
        <v>131</v>
      </c>
      <c r="N290" s="22">
        <v>44835</v>
      </c>
      <c r="O290" s="26">
        <f t="shared" ca="1" si="33"/>
        <v>0.45291510925916756</v>
      </c>
      <c r="P290" s="29">
        <f ca="1">ROUNDUP(_xlfn.NORM.INV(O289,O$10,O$12),0)</f>
        <v>224</v>
      </c>
      <c r="R290" s="22">
        <v>44835</v>
      </c>
      <c r="S290" s="26">
        <f t="shared" ca="1" si="34"/>
        <v>0.89986346313791921</v>
      </c>
      <c r="T290" s="29">
        <f ca="1">ROUNDUP(_xlfn.NORM.INV(S289,S$10,S$12),0)</f>
        <v>142</v>
      </c>
      <c r="V290" s="22">
        <v>44835</v>
      </c>
      <c r="W290" s="26">
        <f t="shared" ca="1" si="35"/>
        <v>0.92631617604677285</v>
      </c>
      <c r="X290" s="29">
        <v>0</v>
      </c>
      <c r="Z290" s="22">
        <v>44835</v>
      </c>
      <c r="AA290" s="26">
        <f t="shared" ca="1" si="36"/>
        <v>0.20366326052589667</v>
      </c>
      <c r="AB290" s="29">
        <v>0</v>
      </c>
      <c r="AC290"/>
      <c r="AD290" s="25"/>
      <c r="AF290" s="22">
        <v>44835</v>
      </c>
      <c r="AG290" s="26">
        <f t="shared" ca="1" si="37"/>
        <v>0.48707546122975443</v>
      </c>
      <c r="AH290" s="29">
        <v>0</v>
      </c>
      <c r="AJ290" s="22">
        <v>44835</v>
      </c>
      <c r="AK290" s="26">
        <f t="shared" ca="1" si="38"/>
        <v>0.50935402200118751</v>
      </c>
      <c r="AL290" s="29">
        <v>0</v>
      </c>
      <c r="AN290" s="22">
        <v>44835</v>
      </c>
      <c r="AO290" s="26">
        <f t="shared" ca="1" si="39"/>
        <v>0.23939257864214336</v>
      </c>
      <c r="AP290" s="29">
        <v>0</v>
      </c>
      <c r="AR290" s="22">
        <v>44835</v>
      </c>
      <c r="AS290" s="26">
        <f t="shared" ca="1" si="40"/>
        <v>0.3772104850714596</v>
      </c>
      <c r="AT290" s="29">
        <v>0</v>
      </c>
      <c r="AV290" s="22">
        <v>44835</v>
      </c>
      <c r="AW290" s="26">
        <f t="shared" ca="1" si="41"/>
        <v>4.5525452079018258E-2</v>
      </c>
      <c r="AX290" s="29">
        <v>0</v>
      </c>
      <c r="AZ290" s="22">
        <v>44835</v>
      </c>
      <c r="BA290" s="26">
        <f t="shared" ca="1" si="42"/>
        <v>0.97447385962436117</v>
      </c>
      <c r="BB290" s="29">
        <v>0</v>
      </c>
      <c r="BC290"/>
      <c r="BD290" s="25"/>
      <c r="BF290" s="22">
        <v>44835</v>
      </c>
      <c r="BG290" s="26">
        <f t="shared" ca="1" si="43"/>
        <v>0.88058368395249098</v>
      </c>
      <c r="BH290" s="29">
        <v>0</v>
      </c>
      <c r="BJ290" s="22">
        <v>44835</v>
      </c>
      <c r="BK290" s="26">
        <f t="shared" ca="1" si="44"/>
        <v>0.56397281037103497</v>
      </c>
      <c r="BL290" s="29">
        <v>0</v>
      </c>
      <c r="BN290" s="22">
        <v>44835</v>
      </c>
      <c r="BO290" s="26">
        <f t="shared" ca="1" si="45"/>
        <v>4.6149205763492684E-3</v>
      </c>
      <c r="BP290" s="29">
        <v>0</v>
      </c>
      <c r="BR290" s="22">
        <v>44835</v>
      </c>
      <c r="BS290" s="26">
        <f t="shared" ca="1" si="46"/>
        <v>0.9955569957515904</v>
      </c>
      <c r="BT290" s="29">
        <v>0</v>
      </c>
      <c r="BV290" s="22">
        <v>44835</v>
      </c>
      <c r="BW290" s="26">
        <f t="shared" ca="1" si="47"/>
        <v>0.77278535305774809</v>
      </c>
      <c r="BX290" s="29">
        <v>0</v>
      </c>
    </row>
    <row r="291" spans="2:77" ht="12.75" x14ac:dyDescent="0.2">
      <c r="B291" s="22">
        <v>44836</v>
      </c>
      <c r="C291" s="26">
        <f t="shared" ca="1" si="0"/>
        <v>6.2683817457260371E-2</v>
      </c>
      <c r="D291" s="29">
        <f t="shared" ca="1" si="48"/>
        <v>45</v>
      </c>
      <c r="F291" s="22">
        <v>44836</v>
      </c>
      <c r="G291" s="26">
        <f t="shared" ca="1" si="31"/>
        <v>0.24331575164038399</v>
      </c>
      <c r="H291" s="29">
        <f t="shared" ca="1" si="27"/>
        <v>206</v>
      </c>
      <c r="J291" s="22">
        <v>44836</v>
      </c>
      <c r="K291" s="26">
        <f t="shared" ca="1" si="32"/>
        <v>0.1430512721199686</v>
      </c>
      <c r="L291" s="29">
        <f t="shared" ca="1" si="28"/>
        <v>140</v>
      </c>
      <c r="N291" s="22">
        <v>44836</v>
      </c>
      <c r="O291" s="26">
        <f t="shared" ca="1" si="33"/>
        <v>0.68372561006833799</v>
      </c>
      <c r="P291" s="29">
        <f t="shared" ca="1" si="29"/>
        <v>237</v>
      </c>
      <c r="R291" s="22">
        <v>44836</v>
      </c>
      <c r="S291" s="26">
        <f t="shared" ca="1" si="34"/>
        <v>0.64819408645216758</v>
      </c>
      <c r="T291" s="29">
        <f t="shared" ca="1" si="30"/>
        <v>143</v>
      </c>
      <c r="V291" s="22">
        <v>44836</v>
      </c>
      <c r="W291" s="26">
        <f t="shared" ca="1" si="35"/>
        <v>0.23527420939563604</v>
      </c>
      <c r="X291" s="29">
        <v>0</v>
      </c>
      <c r="Z291" s="22">
        <v>44836</v>
      </c>
      <c r="AA291" s="26">
        <f t="shared" ca="1" si="36"/>
        <v>0.68064672697908835</v>
      </c>
      <c r="AB291" s="29">
        <v>0</v>
      </c>
      <c r="AC291"/>
      <c r="AD291" s="25"/>
      <c r="AF291" s="22">
        <v>44836</v>
      </c>
      <c r="AG291" s="26">
        <f t="shared" ca="1" si="37"/>
        <v>4.2977278297293697E-2</v>
      </c>
      <c r="AH291" s="29">
        <v>0</v>
      </c>
      <c r="AJ291" s="22">
        <v>44836</v>
      </c>
      <c r="AK291" s="26">
        <f t="shared" ca="1" si="38"/>
        <v>0.39842606754310139</v>
      </c>
      <c r="AL291" s="29">
        <v>0</v>
      </c>
      <c r="AN291" s="22">
        <v>44836</v>
      </c>
      <c r="AO291" s="26">
        <f t="shared" ca="1" si="39"/>
        <v>0.97980584087424005</v>
      </c>
      <c r="AP291" s="29">
        <v>0</v>
      </c>
      <c r="AR291" s="22">
        <v>44836</v>
      </c>
      <c r="AS291" s="26">
        <f t="shared" ca="1" si="40"/>
        <v>0.33281029970854514</v>
      </c>
      <c r="AT291" s="29">
        <v>0</v>
      </c>
      <c r="AV291" s="22">
        <v>44836</v>
      </c>
      <c r="AW291" s="26">
        <f t="shared" ca="1" si="41"/>
        <v>0.50919247649482713</v>
      </c>
      <c r="AX291" s="29">
        <v>0</v>
      </c>
      <c r="AZ291" s="22">
        <v>44836</v>
      </c>
      <c r="BA291" s="26">
        <f t="shared" ca="1" si="42"/>
        <v>0.58708348781534558</v>
      </c>
      <c r="BB291" s="29">
        <v>0</v>
      </c>
      <c r="BC291"/>
      <c r="BD291" s="25"/>
      <c r="BF291" s="22">
        <v>44836</v>
      </c>
      <c r="BG291" s="26">
        <f t="shared" ca="1" si="43"/>
        <v>0.71921895925115653</v>
      </c>
      <c r="BH291" s="29">
        <v>0</v>
      </c>
      <c r="BJ291" s="22">
        <v>44836</v>
      </c>
      <c r="BK291" s="26">
        <f t="shared" ca="1" si="44"/>
        <v>0.27707593072107739</v>
      </c>
      <c r="BL291" s="29">
        <v>0</v>
      </c>
      <c r="BN291" s="22">
        <v>44836</v>
      </c>
      <c r="BO291" s="26">
        <f t="shared" ca="1" si="45"/>
        <v>0.15871226243229131</v>
      </c>
      <c r="BP291" s="29">
        <v>0</v>
      </c>
      <c r="BR291" s="22">
        <v>44836</v>
      </c>
      <c r="BS291" s="26">
        <f t="shared" ca="1" si="46"/>
        <v>0.32388208246232864</v>
      </c>
      <c r="BT291" s="29">
        <v>0</v>
      </c>
      <c r="BV291" s="22">
        <v>44836</v>
      </c>
      <c r="BW291" s="26">
        <f t="shared" ca="1" si="47"/>
        <v>0.65651997555687702</v>
      </c>
      <c r="BX291" s="29">
        <v>0</v>
      </c>
    </row>
    <row r="292" spans="2:77" ht="12.75" x14ac:dyDescent="0.2">
      <c r="B292" s="22">
        <v>44837</v>
      </c>
      <c r="C292" s="26">
        <f t="shared" ca="1" si="0"/>
        <v>0.77744305607440634</v>
      </c>
      <c r="D292" s="29">
        <f t="shared" ca="1" si="48"/>
        <v>91</v>
      </c>
      <c r="F292" s="22">
        <v>44837</v>
      </c>
      <c r="G292" s="26">
        <f t="shared" ca="1" si="31"/>
        <v>0.40511179507938766</v>
      </c>
      <c r="H292" s="29">
        <f t="shared" ca="1" si="27"/>
        <v>212</v>
      </c>
      <c r="J292" s="22">
        <v>44837</v>
      </c>
      <c r="K292" s="26">
        <f t="shared" ca="1" si="32"/>
        <v>0.22857426864861941</v>
      </c>
      <c r="L292" s="29">
        <f t="shared" ca="1" si="28"/>
        <v>143</v>
      </c>
      <c r="N292" s="22">
        <v>44837</v>
      </c>
      <c r="O292" s="26">
        <f t="shared" ca="1" si="33"/>
        <v>0.84909177766096167</v>
      </c>
      <c r="P292" s="29">
        <f t="shared" ca="1" si="29"/>
        <v>246</v>
      </c>
      <c r="R292" s="22">
        <v>44837</v>
      </c>
      <c r="S292" s="26">
        <f t="shared" ca="1" si="34"/>
        <v>0.27209521749823196</v>
      </c>
      <c r="T292" s="29">
        <f t="shared" ca="1" si="30"/>
        <v>134</v>
      </c>
      <c r="V292" s="22">
        <v>44837</v>
      </c>
      <c r="W292" s="26">
        <f t="shared" ca="1" si="35"/>
        <v>0.75634554368177032</v>
      </c>
      <c r="X292" s="29">
        <v>0</v>
      </c>
      <c r="Z292" s="22">
        <v>44837</v>
      </c>
      <c r="AA292" s="26">
        <f t="shared" ca="1" si="36"/>
        <v>0.13330197801162347</v>
      </c>
      <c r="AB292" s="29">
        <v>0</v>
      </c>
      <c r="AC292"/>
      <c r="AD292" s="25"/>
      <c r="AF292" s="22">
        <v>44837</v>
      </c>
      <c r="AG292" s="26">
        <f t="shared" ca="1" si="37"/>
        <v>0.37853323662822203</v>
      </c>
      <c r="AH292" s="29">
        <v>0</v>
      </c>
      <c r="AJ292" s="22">
        <v>44837</v>
      </c>
      <c r="AK292" s="26">
        <f t="shared" ca="1" si="38"/>
        <v>0.37765868023942362</v>
      </c>
      <c r="AL292" s="29">
        <v>0</v>
      </c>
      <c r="AN292" s="22">
        <v>44837</v>
      </c>
      <c r="AO292" s="26">
        <f t="shared" ca="1" si="39"/>
        <v>0.60621260735949933</v>
      </c>
      <c r="AP292" s="29">
        <v>0</v>
      </c>
      <c r="AR292" s="22">
        <v>44837</v>
      </c>
      <c r="AS292" s="26">
        <f t="shared" ca="1" si="40"/>
        <v>0.67037438552992967</v>
      </c>
      <c r="AT292" s="29">
        <v>0</v>
      </c>
      <c r="AV292" s="22">
        <v>44837</v>
      </c>
      <c r="AW292" s="26">
        <f t="shared" ca="1" si="41"/>
        <v>0.41954280786681319</v>
      </c>
      <c r="AX292" s="29">
        <v>0</v>
      </c>
      <c r="AZ292" s="22">
        <v>44837</v>
      </c>
      <c r="BA292" s="26">
        <f t="shared" ca="1" si="42"/>
        <v>0.94892678880385661</v>
      </c>
      <c r="BB292" s="29">
        <v>0</v>
      </c>
      <c r="BC292"/>
      <c r="BD292" s="25"/>
      <c r="BF292" s="22">
        <v>44837</v>
      </c>
      <c r="BG292" s="26">
        <f t="shared" ca="1" si="43"/>
        <v>0.84726156817334142</v>
      </c>
      <c r="BH292" s="29">
        <v>0</v>
      </c>
      <c r="BJ292" s="22">
        <v>44837</v>
      </c>
      <c r="BK292" s="26">
        <f t="shared" ca="1" si="44"/>
        <v>0.48663312878751652</v>
      </c>
      <c r="BL292" s="29">
        <v>0</v>
      </c>
      <c r="BN292" s="22">
        <v>44837</v>
      </c>
      <c r="BO292" s="26">
        <f t="shared" ca="1" si="45"/>
        <v>0.296239333597067</v>
      </c>
      <c r="BP292" s="29">
        <v>0</v>
      </c>
      <c r="BR292" s="22">
        <v>44837</v>
      </c>
      <c r="BS292" s="26">
        <f t="shared" ca="1" si="46"/>
        <v>0.35790676457245008</v>
      </c>
      <c r="BT292" s="29">
        <v>0</v>
      </c>
      <c r="BV292" s="22">
        <v>44837</v>
      </c>
      <c r="BW292" s="26">
        <f t="shared" ca="1" si="47"/>
        <v>0.84596746088871988</v>
      </c>
      <c r="BX292" s="29">
        <v>0</v>
      </c>
    </row>
    <row r="293" spans="2:77" ht="12.75" x14ac:dyDescent="0.2">
      <c r="B293" s="22">
        <v>44838</v>
      </c>
      <c r="C293" s="26">
        <f t="shared" ca="1" si="0"/>
        <v>0.69403356398503591</v>
      </c>
      <c r="D293" s="29">
        <f t="shared" ca="1" si="48"/>
        <v>86</v>
      </c>
      <c r="F293" s="22">
        <v>44838</v>
      </c>
      <c r="G293" s="26">
        <f t="shared" ca="1" si="31"/>
        <v>0.56355535327648176</v>
      </c>
      <c r="H293" s="29">
        <f t="shared" ca="1" si="27"/>
        <v>218</v>
      </c>
      <c r="J293" s="22">
        <v>44838</v>
      </c>
      <c r="K293" s="26">
        <f t="shared" ca="1" si="32"/>
        <v>0.97629655998219844</v>
      </c>
      <c r="L293" s="29">
        <f t="shared" ca="1" si="28"/>
        <v>170</v>
      </c>
      <c r="N293" s="22">
        <v>44838</v>
      </c>
      <c r="O293" s="26">
        <f t="shared" ca="1" si="33"/>
        <v>0.37636560071127723</v>
      </c>
      <c r="P293" s="29">
        <f t="shared" ca="1" si="29"/>
        <v>225</v>
      </c>
      <c r="R293" s="22">
        <v>44838</v>
      </c>
      <c r="S293" s="26">
        <f t="shared" ca="1" si="34"/>
        <v>0.24968599791994561</v>
      </c>
      <c r="T293" s="29">
        <f t="shared" ca="1" si="30"/>
        <v>133</v>
      </c>
      <c r="V293" s="22">
        <v>44838</v>
      </c>
      <c r="W293" s="26">
        <f t="shared" ca="1" si="35"/>
        <v>0.22035116667209498</v>
      </c>
      <c r="X293" s="29">
        <v>0</v>
      </c>
      <c r="Z293" s="22">
        <v>44838</v>
      </c>
      <c r="AA293" s="26">
        <f t="shared" ca="1" si="36"/>
        <v>0.84139054503524136</v>
      </c>
      <c r="AB293" s="29">
        <v>0</v>
      </c>
      <c r="AC293"/>
      <c r="AD293" s="25"/>
      <c r="AF293" s="22">
        <v>44838</v>
      </c>
      <c r="AG293" s="26">
        <f t="shared" ca="1" si="37"/>
        <v>0.59088262329457653</v>
      </c>
      <c r="AH293" s="29">
        <v>0</v>
      </c>
      <c r="AJ293" s="22">
        <v>44838</v>
      </c>
      <c r="AK293" s="26">
        <f t="shared" ca="1" si="38"/>
        <v>0.59340133951950291</v>
      </c>
      <c r="AL293" s="29">
        <v>0</v>
      </c>
      <c r="AN293" s="22">
        <v>44838</v>
      </c>
      <c r="AO293" s="26">
        <f t="shared" ca="1" si="39"/>
        <v>0.129064185729028</v>
      </c>
      <c r="AP293" s="29">
        <v>0</v>
      </c>
      <c r="AR293" s="22">
        <v>44838</v>
      </c>
      <c r="AS293" s="26">
        <f t="shared" ca="1" si="40"/>
        <v>0.6129700779498517</v>
      </c>
      <c r="AT293" s="29">
        <v>0</v>
      </c>
      <c r="AV293" s="22">
        <v>44838</v>
      </c>
      <c r="AW293" s="26">
        <f t="shared" ca="1" si="41"/>
        <v>0.60923800349043999</v>
      </c>
      <c r="AX293" s="29">
        <v>0</v>
      </c>
      <c r="AZ293" s="22">
        <v>44838</v>
      </c>
      <c r="BA293" s="26">
        <f t="shared" ca="1" si="42"/>
        <v>0.48066346962371498</v>
      </c>
      <c r="BB293" s="29">
        <v>0</v>
      </c>
      <c r="BC293"/>
      <c r="BD293" s="25"/>
      <c r="BF293" s="22">
        <v>44838</v>
      </c>
      <c r="BG293" s="26">
        <f t="shared" ca="1" si="43"/>
        <v>0.93408687807497104</v>
      </c>
      <c r="BH293" s="29">
        <v>0</v>
      </c>
      <c r="BJ293" s="22">
        <v>44838</v>
      </c>
      <c r="BK293" s="26">
        <f t="shared" ca="1" si="44"/>
        <v>0.24778834722974263</v>
      </c>
      <c r="BL293" s="29">
        <v>0</v>
      </c>
      <c r="BN293" s="22">
        <v>44838</v>
      </c>
      <c r="BO293" s="26">
        <f t="shared" ca="1" si="45"/>
        <v>0.36406481016675518</v>
      </c>
      <c r="BP293" s="29">
        <v>0</v>
      </c>
      <c r="BR293" s="22">
        <v>44838</v>
      </c>
      <c r="BS293" s="26">
        <f t="shared" ca="1" si="46"/>
        <v>0.40227807456421216</v>
      </c>
      <c r="BT293" s="29">
        <v>0</v>
      </c>
      <c r="BV293" s="22">
        <v>44838</v>
      </c>
      <c r="BW293" s="26">
        <f t="shared" ca="1" si="47"/>
        <v>0.45067981385131017</v>
      </c>
      <c r="BX293" s="29">
        <v>0</v>
      </c>
    </row>
    <row r="294" spans="2:77" ht="12.75" x14ac:dyDescent="0.2">
      <c r="B294" s="22">
        <v>44839</v>
      </c>
      <c r="C294" s="26">
        <f t="shared" ca="1" si="0"/>
        <v>0.80595934964531457</v>
      </c>
      <c r="D294" s="29">
        <f t="shared" ca="1" si="48"/>
        <v>93</v>
      </c>
      <c r="F294" s="22">
        <v>44839</v>
      </c>
      <c r="G294" s="26">
        <f t="shared" ca="1" si="31"/>
        <v>0.45712485095495581</v>
      </c>
      <c r="H294" s="29">
        <f t="shared" ca="1" si="27"/>
        <v>214</v>
      </c>
      <c r="J294" s="22">
        <v>44839</v>
      </c>
      <c r="K294" s="26">
        <f t="shared" ca="1" si="32"/>
        <v>0.49443465981770762</v>
      </c>
      <c r="L294" s="29">
        <f t="shared" ca="1" si="28"/>
        <v>150</v>
      </c>
      <c r="N294" s="22">
        <v>44839</v>
      </c>
      <c r="O294" s="26">
        <f t="shared" ca="1" si="33"/>
        <v>0.42868496124671551</v>
      </c>
      <c r="P294" s="29">
        <f t="shared" ca="1" si="29"/>
        <v>227</v>
      </c>
      <c r="R294" s="22">
        <v>44839</v>
      </c>
      <c r="S294" s="26">
        <f t="shared" ca="1" si="34"/>
        <v>5.1698050341299262E-2</v>
      </c>
      <c r="T294" s="29">
        <f t="shared" ca="1" si="30"/>
        <v>124</v>
      </c>
      <c r="V294" s="22">
        <v>44839</v>
      </c>
      <c r="W294" s="26">
        <f t="shared" ca="1" si="35"/>
        <v>0.7499970479084519</v>
      </c>
      <c r="X294" s="29">
        <v>0</v>
      </c>
      <c r="Z294" s="22">
        <v>44839</v>
      </c>
      <c r="AA294" s="26">
        <f t="shared" ca="1" si="36"/>
        <v>0.97583446563457266</v>
      </c>
      <c r="AB294" s="29">
        <v>0</v>
      </c>
      <c r="AC294"/>
      <c r="AD294" s="25"/>
      <c r="AF294" s="22">
        <v>44839</v>
      </c>
      <c r="AG294" s="26">
        <f t="shared" ca="1" si="37"/>
        <v>0.76540520532844369</v>
      </c>
      <c r="AH294" s="29">
        <v>0</v>
      </c>
      <c r="AJ294" s="22">
        <v>44839</v>
      </c>
      <c r="AK294" s="26">
        <f t="shared" ca="1" si="38"/>
        <v>0.71465798282743542</v>
      </c>
      <c r="AL294" s="29">
        <v>0</v>
      </c>
      <c r="AN294" s="22">
        <v>44839</v>
      </c>
      <c r="AO294" s="26">
        <f t="shared" ca="1" si="39"/>
        <v>0.52596634440687673</v>
      </c>
      <c r="AP294" s="29">
        <v>0</v>
      </c>
      <c r="AR294" s="22">
        <v>44839</v>
      </c>
      <c r="AS294" s="26">
        <f t="shared" ca="1" si="40"/>
        <v>0.99700581096727803</v>
      </c>
      <c r="AT294" s="29">
        <v>0</v>
      </c>
      <c r="AV294" s="22">
        <v>44839</v>
      </c>
      <c r="AW294" s="26">
        <f t="shared" ca="1" si="41"/>
        <v>0.72672197127150684</v>
      </c>
      <c r="AX294" s="29">
        <v>0</v>
      </c>
      <c r="AZ294" s="22">
        <v>44839</v>
      </c>
      <c r="BA294" s="26">
        <f t="shared" ca="1" si="42"/>
        <v>0.53425393289944001</v>
      </c>
      <c r="BB294" s="29">
        <v>0</v>
      </c>
      <c r="BC294"/>
      <c r="BD294" s="25"/>
      <c r="BF294" s="22">
        <v>44839</v>
      </c>
      <c r="BG294" s="26">
        <f t="shared" ca="1" si="43"/>
        <v>0.8591822880306047</v>
      </c>
      <c r="BH294" s="29">
        <v>0</v>
      </c>
      <c r="BJ294" s="22">
        <v>44839</v>
      </c>
      <c r="BK294" s="26">
        <f t="shared" ca="1" si="44"/>
        <v>0.56596600241583717</v>
      </c>
      <c r="BL294" s="29">
        <v>0</v>
      </c>
      <c r="BN294" s="22">
        <v>44839</v>
      </c>
      <c r="BO294" s="26">
        <f t="shared" ca="1" si="45"/>
        <v>0.23338783286709075</v>
      </c>
      <c r="BP294" s="29">
        <v>0</v>
      </c>
      <c r="BR294" s="22">
        <v>44839</v>
      </c>
      <c r="BS294" s="26">
        <f t="shared" ca="1" si="46"/>
        <v>0.67328082035076775</v>
      </c>
      <c r="BT294" s="29">
        <v>0</v>
      </c>
      <c r="BV294" s="22">
        <v>44839</v>
      </c>
      <c r="BW294" s="26">
        <f t="shared" ca="1" si="47"/>
        <v>0.92845838452311613</v>
      </c>
      <c r="BX294" s="29">
        <v>0</v>
      </c>
    </row>
    <row r="295" spans="2:77" ht="12.75" x14ac:dyDescent="0.2">
      <c r="B295" s="22">
        <v>44840</v>
      </c>
      <c r="C295" s="26">
        <f t="shared" ca="1" si="0"/>
        <v>0.50037793696588118</v>
      </c>
      <c r="D295" s="29">
        <f t="shared" ca="1" si="48"/>
        <v>76</v>
      </c>
      <c r="F295" s="22">
        <v>44840</v>
      </c>
      <c r="G295" s="26">
        <f t="shared" ca="1" si="31"/>
        <v>8.7844423917738723E-2</v>
      </c>
      <c r="H295" s="29">
        <f t="shared" ca="1" si="27"/>
        <v>196</v>
      </c>
      <c r="J295" s="22">
        <v>44840</v>
      </c>
      <c r="K295" s="26">
        <f t="shared" ca="1" si="32"/>
        <v>0.83015907460761795</v>
      </c>
      <c r="L295" s="29">
        <f t="shared" ca="1" si="28"/>
        <v>160</v>
      </c>
      <c r="N295" s="22">
        <v>44840</v>
      </c>
      <c r="O295" s="26">
        <f t="shared" ca="1" si="33"/>
        <v>0.40364977691500814</v>
      </c>
      <c r="P295" s="29">
        <f t="shared" ca="1" si="29"/>
        <v>226</v>
      </c>
      <c r="R295" s="22">
        <v>44840</v>
      </c>
      <c r="S295" s="26">
        <f t="shared" ca="1" si="34"/>
        <v>0.81850631191319556</v>
      </c>
      <c r="T295" s="29">
        <f t="shared" ca="1" si="30"/>
        <v>148</v>
      </c>
      <c r="V295" s="22">
        <v>44840</v>
      </c>
      <c r="W295" s="26">
        <f t="shared" ca="1" si="35"/>
        <v>0.94935395993673388</v>
      </c>
      <c r="X295" s="29">
        <v>0</v>
      </c>
      <c r="Z295" s="22">
        <v>44840</v>
      </c>
      <c r="AA295" s="26">
        <f t="shared" ca="1" si="36"/>
        <v>0.12704264431827395</v>
      </c>
      <c r="AB295" s="29">
        <v>0</v>
      </c>
      <c r="AC295"/>
      <c r="AD295" s="25"/>
      <c r="AF295" s="22">
        <v>44840</v>
      </c>
      <c r="AG295" s="26">
        <f t="shared" ca="1" si="37"/>
        <v>0.1548940116603712</v>
      </c>
      <c r="AH295" s="29">
        <v>0</v>
      </c>
      <c r="AJ295" s="22">
        <v>44840</v>
      </c>
      <c r="AK295" s="26">
        <f t="shared" ca="1" si="38"/>
        <v>0.6993187762925972</v>
      </c>
      <c r="AL295" s="29">
        <v>0</v>
      </c>
      <c r="AN295" s="22">
        <v>44840</v>
      </c>
      <c r="AO295" s="26">
        <f t="shared" ca="1" si="39"/>
        <v>0.28148364379122748</v>
      </c>
      <c r="AP295" s="29">
        <v>0</v>
      </c>
      <c r="AR295" s="22">
        <v>44840</v>
      </c>
      <c r="AS295" s="26">
        <f t="shared" ca="1" si="40"/>
        <v>0.46696706398324217</v>
      </c>
      <c r="AT295" s="29">
        <v>0</v>
      </c>
      <c r="AV295" s="22">
        <v>44840</v>
      </c>
      <c r="AW295" s="26">
        <f t="shared" ca="1" si="41"/>
        <v>0.68992754813143742</v>
      </c>
      <c r="AX295" s="29">
        <v>0</v>
      </c>
      <c r="AZ295" s="22">
        <v>44840</v>
      </c>
      <c r="BA295" s="26">
        <f t="shared" ca="1" si="42"/>
        <v>0.48730885310799943</v>
      </c>
      <c r="BB295" s="29">
        <v>0</v>
      </c>
      <c r="BC295"/>
      <c r="BD295" s="25"/>
      <c r="BF295" s="22">
        <v>44840</v>
      </c>
      <c r="BG295" s="26">
        <f t="shared" ca="1" si="43"/>
        <v>3.586482918827727E-2</v>
      </c>
      <c r="BH295" s="29">
        <v>0</v>
      </c>
      <c r="BJ295" s="22">
        <v>44840</v>
      </c>
      <c r="BK295" s="26">
        <f t="shared" ca="1" si="44"/>
        <v>0.35609373106364905</v>
      </c>
      <c r="BL295" s="29">
        <v>0</v>
      </c>
      <c r="BN295" s="22">
        <v>44840</v>
      </c>
      <c r="BO295" s="26">
        <f t="shared" ca="1" si="45"/>
        <v>0.24633675630579177</v>
      </c>
      <c r="BP295" s="29">
        <v>0</v>
      </c>
      <c r="BR295" s="22">
        <v>44840</v>
      </c>
      <c r="BS295" s="26">
        <f t="shared" ca="1" si="46"/>
        <v>0.17924432385603761</v>
      </c>
      <c r="BT295" s="29">
        <v>0</v>
      </c>
      <c r="BV295" s="22">
        <v>44840</v>
      </c>
      <c r="BW295" s="26">
        <f t="shared" ca="1" si="47"/>
        <v>0.72973264352399181</v>
      </c>
      <c r="BX295" s="29">
        <v>0</v>
      </c>
    </row>
    <row r="296" spans="2:77" ht="12.75" x14ac:dyDescent="0.2">
      <c r="B296" s="22">
        <v>44841</v>
      </c>
      <c r="C296" s="26">
        <f t="shared" ca="1" si="0"/>
        <v>0.42335085302166775</v>
      </c>
      <c r="D296" s="29">
        <f t="shared" ca="1" si="48"/>
        <v>72</v>
      </c>
      <c r="F296" s="22">
        <v>44841</v>
      </c>
      <c r="G296" s="26">
        <f t="shared" ca="1" si="31"/>
        <v>0.43738408444954735</v>
      </c>
      <c r="H296" s="29">
        <f t="shared" ca="1" si="27"/>
        <v>214</v>
      </c>
      <c r="J296" s="22">
        <v>44841</v>
      </c>
      <c r="K296" s="26">
        <f t="shared" ca="1" si="32"/>
        <v>0.77282362608256394</v>
      </c>
      <c r="L296" s="29">
        <f t="shared" ca="1" si="28"/>
        <v>158</v>
      </c>
      <c r="N296" s="22">
        <v>44841</v>
      </c>
      <c r="O296" s="26">
        <f t="shared" ca="1" si="33"/>
        <v>0.84515743678543764</v>
      </c>
      <c r="P296" s="29">
        <f t="shared" ca="1" si="29"/>
        <v>245</v>
      </c>
      <c r="R296" s="22">
        <v>44841</v>
      </c>
      <c r="S296" s="26">
        <f t="shared" ca="1" si="34"/>
        <v>0.77223755134657068</v>
      </c>
      <c r="T296" s="29">
        <f t="shared" ca="1" si="30"/>
        <v>146</v>
      </c>
      <c r="V296" s="22">
        <v>44841</v>
      </c>
      <c r="W296" s="26">
        <f t="shared" ca="1" si="35"/>
        <v>0.33058580789506853</v>
      </c>
      <c r="X296" s="29">
        <v>0</v>
      </c>
      <c r="Z296" s="22">
        <v>44841</v>
      </c>
      <c r="AA296" s="26">
        <f t="shared" ca="1" si="36"/>
        <v>0.16598940757700076</v>
      </c>
      <c r="AB296" s="29">
        <v>0</v>
      </c>
      <c r="AC296"/>
      <c r="AD296" s="25"/>
      <c r="AF296" s="22">
        <v>44841</v>
      </c>
      <c r="AG296" s="26">
        <f t="shared" ca="1" si="37"/>
        <v>0.16823711575492384</v>
      </c>
      <c r="AH296" s="29">
        <v>0</v>
      </c>
      <c r="AJ296" s="22">
        <v>44841</v>
      </c>
      <c r="AK296" s="26">
        <f t="shared" ca="1" si="38"/>
        <v>0.50826340970902029</v>
      </c>
      <c r="AL296" s="29">
        <v>0</v>
      </c>
      <c r="AN296" s="22">
        <v>44841</v>
      </c>
      <c r="AO296" s="26">
        <f t="shared" ca="1" si="39"/>
        <v>0.22660740868639695</v>
      </c>
      <c r="AP296" s="29">
        <v>0</v>
      </c>
      <c r="AR296" s="22">
        <v>44841</v>
      </c>
      <c r="AS296" s="26">
        <f t="shared" ca="1" si="40"/>
        <v>0.64602996197444096</v>
      </c>
      <c r="AT296" s="29">
        <v>0</v>
      </c>
      <c r="AV296" s="22">
        <v>44841</v>
      </c>
      <c r="AW296" s="26">
        <f t="shared" ca="1" si="41"/>
        <v>0.30847926565525674</v>
      </c>
      <c r="AX296" s="29">
        <v>0</v>
      </c>
      <c r="AZ296" s="22">
        <v>44841</v>
      </c>
      <c r="BA296" s="26">
        <f t="shared" ca="1" si="42"/>
        <v>0.1146561867989413</v>
      </c>
      <c r="BB296" s="29">
        <v>0</v>
      </c>
      <c r="BC296"/>
      <c r="BD296" s="25"/>
      <c r="BF296" s="22">
        <v>44841</v>
      </c>
      <c r="BG296" s="26">
        <f t="shared" ca="1" si="43"/>
        <v>0.9706068691362314</v>
      </c>
      <c r="BH296" s="29">
        <v>0</v>
      </c>
      <c r="BJ296" s="22">
        <v>44841</v>
      </c>
      <c r="BK296" s="26">
        <f t="shared" ca="1" si="44"/>
        <v>0.63009936823175905</v>
      </c>
      <c r="BL296" s="29">
        <v>0</v>
      </c>
      <c r="BN296" s="22">
        <v>44841</v>
      </c>
      <c r="BO296" s="26">
        <f t="shared" ca="1" si="45"/>
        <v>3.3222146883845394E-2</v>
      </c>
      <c r="BP296" s="29">
        <v>0</v>
      </c>
      <c r="BR296" s="22">
        <v>44841</v>
      </c>
      <c r="BS296" s="26">
        <f t="shared" ca="1" si="46"/>
        <v>0.70774128153660665</v>
      </c>
      <c r="BT296" s="29">
        <v>0</v>
      </c>
      <c r="BV296" s="22">
        <v>44841</v>
      </c>
      <c r="BW296" s="26">
        <f t="shared" ca="1" si="47"/>
        <v>0.88624066317063932</v>
      </c>
      <c r="BX296" s="29">
        <v>0</v>
      </c>
    </row>
    <row r="297" spans="2:77" ht="12.75" x14ac:dyDescent="0.2">
      <c r="B297" s="22">
        <v>44842</v>
      </c>
      <c r="C297" s="26">
        <f t="shared" ca="1" si="0"/>
        <v>0.38633606975158574</v>
      </c>
      <c r="D297" s="29">
        <f t="shared" ca="1" si="48"/>
        <v>70</v>
      </c>
      <c r="F297" s="22">
        <v>44842</v>
      </c>
      <c r="G297" s="26">
        <f t="shared" ca="1" si="31"/>
        <v>0.5742362554124526</v>
      </c>
      <c r="H297" s="29">
        <f t="shared" ca="1" si="27"/>
        <v>219</v>
      </c>
      <c r="J297" s="22">
        <v>44842</v>
      </c>
      <c r="K297" s="26">
        <f t="shared" ca="1" si="32"/>
        <v>0.15309828561131278</v>
      </c>
      <c r="L297" s="29">
        <f t="shared" ca="1" si="28"/>
        <v>140</v>
      </c>
      <c r="N297" s="22">
        <v>44842</v>
      </c>
      <c r="O297" s="26">
        <f t="shared" ca="1" si="33"/>
        <v>6.7837917549367299E-2</v>
      </c>
      <c r="P297" s="29">
        <f t="shared" ca="1" si="29"/>
        <v>207</v>
      </c>
      <c r="R297" s="22">
        <v>44842</v>
      </c>
      <c r="S297" s="26">
        <f t="shared" ca="1" si="34"/>
        <v>0.33786965919618439</v>
      </c>
      <c r="T297" s="29">
        <f t="shared" ca="1" si="30"/>
        <v>135</v>
      </c>
      <c r="V297" s="22">
        <v>44842</v>
      </c>
      <c r="W297" s="26">
        <f t="shared" ca="1" si="35"/>
        <v>0.13504365005140107</v>
      </c>
      <c r="X297" s="29">
        <v>0</v>
      </c>
      <c r="Z297" s="22">
        <v>44842</v>
      </c>
      <c r="AA297" s="26">
        <f t="shared" ca="1" si="36"/>
        <v>0.60598690574671776</v>
      </c>
      <c r="AB297" s="29">
        <v>0</v>
      </c>
      <c r="AC297"/>
      <c r="AD297" s="25"/>
      <c r="AF297" s="22">
        <v>44842</v>
      </c>
      <c r="AG297" s="26">
        <f t="shared" ca="1" si="37"/>
        <v>0.53350121222130154</v>
      </c>
      <c r="AH297" s="29">
        <v>0</v>
      </c>
      <c r="AJ297" s="22">
        <v>44842</v>
      </c>
      <c r="AK297" s="26">
        <f t="shared" ca="1" si="38"/>
        <v>0.47313311708922989</v>
      </c>
      <c r="AL297" s="29">
        <v>0</v>
      </c>
      <c r="AN297" s="22">
        <v>44842</v>
      </c>
      <c r="AO297" s="26">
        <f t="shared" ca="1" si="39"/>
        <v>0.5713889748018729</v>
      </c>
      <c r="AP297" s="29">
        <v>0</v>
      </c>
      <c r="AR297" s="22">
        <v>44842</v>
      </c>
      <c r="AS297" s="26">
        <f t="shared" ca="1" si="40"/>
        <v>0.67648254561130183</v>
      </c>
      <c r="AT297" s="29">
        <v>0</v>
      </c>
      <c r="AV297" s="22">
        <v>44842</v>
      </c>
      <c r="AW297" s="26">
        <f t="shared" ca="1" si="41"/>
        <v>0.75541903824195811</v>
      </c>
      <c r="AX297" s="29">
        <v>0</v>
      </c>
      <c r="AZ297" s="22">
        <v>44842</v>
      </c>
      <c r="BA297" s="26">
        <f t="shared" ca="1" si="42"/>
        <v>0.31044903924277389</v>
      </c>
      <c r="BB297" s="29">
        <v>0</v>
      </c>
      <c r="BC297"/>
      <c r="BD297" s="25"/>
      <c r="BF297" s="22">
        <v>44842</v>
      </c>
      <c r="BG297" s="26">
        <f t="shared" ca="1" si="43"/>
        <v>0.2317794536345108</v>
      </c>
      <c r="BH297" s="29">
        <v>0</v>
      </c>
      <c r="BJ297" s="22">
        <v>44842</v>
      </c>
      <c r="BK297" s="26">
        <f t="shared" ca="1" si="44"/>
        <v>0.49991417057204723</v>
      </c>
      <c r="BL297" s="29">
        <v>0</v>
      </c>
      <c r="BN297" s="22">
        <v>44842</v>
      </c>
      <c r="BO297" s="26">
        <f t="shared" ca="1" si="45"/>
        <v>0.82458909040686135</v>
      </c>
      <c r="BP297" s="29">
        <v>0</v>
      </c>
      <c r="BR297" s="22">
        <v>44842</v>
      </c>
      <c r="BS297" s="26">
        <f t="shared" ca="1" si="46"/>
        <v>0.25843379588218596</v>
      </c>
      <c r="BT297" s="29">
        <v>0</v>
      </c>
      <c r="BV297" s="22">
        <v>44842</v>
      </c>
      <c r="BW297" s="26">
        <f t="shared" ca="1" si="47"/>
        <v>0.76658120506642591</v>
      </c>
      <c r="BX297" s="29">
        <v>0</v>
      </c>
    </row>
    <row r="298" spans="2:77" ht="12.75" x14ac:dyDescent="0.2">
      <c r="B298" s="22">
        <v>44843</v>
      </c>
      <c r="C298" s="26">
        <f t="shared" ca="1" si="0"/>
        <v>0.23637568008423671</v>
      </c>
      <c r="D298" s="29">
        <f t="shared" ca="1" si="48"/>
        <v>61</v>
      </c>
      <c r="F298" s="22">
        <v>44843</v>
      </c>
      <c r="G298" s="26">
        <f t="shared" ca="1" si="31"/>
        <v>0.56946819419921324</v>
      </c>
      <c r="H298" s="29">
        <f t="shared" ca="1" si="27"/>
        <v>218</v>
      </c>
      <c r="J298" s="22">
        <v>44843</v>
      </c>
      <c r="K298" s="26">
        <f t="shared" ca="1" si="32"/>
        <v>0.36494834818321908</v>
      </c>
      <c r="L298" s="29">
        <f t="shared" ca="1" si="28"/>
        <v>147</v>
      </c>
      <c r="N298" s="22">
        <v>44843</v>
      </c>
      <c r="O298" s="26">
        <f t="shared" ca="1" si="33"/>
        <v>0.34790242378524283</v>
      </c>
      <c r="P298" s="29">
        <f t="shared" ca="1" si="29"/>
        <v>224</v>
      </c>
      <c r="R298" s="22">
        <v>44843</v>
      </c>
      <c r="S298" s="26">
        <f t="shared" ca="1" si="34"/>
        <v>0.95434947798636138</v>
      </c>
      <c r="T298" s="29">
        <f t="shared" ca="1" si="30"/>
        <v>155</v>
      </c>
      <c r="V298" s="22">
        <v>44843</v>
      </c>
      <c r="W298" s="26">
        <f t="shared" ca="1" si="35"/>
        <v>0.52894291278652317</v>
      </c>
      <c r="X298" s="29">
        <v>0</v>
      </c>
      <c r="Z298" s="22">
        <v>44843</v>
      </c>
      <c r="AA298" s="26">
        <f t="shared" ca="1" si="36"/>
        <v>0.63495112868578585</v>
      </c>
      <c r="AB298" s="29">
        <v>0</v>
      </c>
      <c r="AC298"/>
      <c r="AD298" s="25"/>
      <c r="AF298" s="22">
        <v>44843</v>
      </c>
      <c r="AG298" s="26">
        <f t="shared" ca="1" si="37"/>
        <v>0.72112282227455449</v>
      </c>
      <c r="AH298" s="29">
        <v>0</v>
      </c>
      <c r="AJ298" s="22">
        <v>44843</v>
      </c>
      <c r="AK298" s="26">
        <f t="shared" ca="1" si="38"/>
        <v>0.21255091562326345</v>
      </c>
      <c r="AL298" s="29">
        <v>0</v>
      </c>
      <c r="AN298" s="22">
        <v>44843</v>
      </c>
      <c r="AO298" s="26">
        <f t="shared" ca="1" si="39"/>
        <v>0.59683214493645353</v>
      </c>
      <c r="AP298" s="29">
        <v>0</v>
      </c>
      <c r="AR298" s="22">
        <v>44843</v>
      </c>
      <c r="AS298" s="26">
        <f t="shared" ca="1" si="40"/>
        <v>0.23364499861114429</v>
      </c>
      <c r="AT298" s="29">
        <v>0</v>
      </c>
      <c r="AV298" s="22">
        <v>44843</v>
      </c>
      <c r="AW298" s="26">
        <f t="shared" ca="1" si="41"/>
        <v>0.98108608079504867</v>
      </c>
      <c r="AX298" s="29">
        <v>0</v>
      </c>
      <c r="AZ298" s="22">
        <v>44843</v>
      </c>
      <c r="BA298" s="26">
        <f t="shared" ca="1" si="42"/>
        <v>0.35471466304215726</v>
      </c>
      <c r="BB298" s="29">
        <v>0</v>
      </c>
      <c r="BC298"/>
      <c r="BD298" s="25"/>
      <c r="BF298" s="22">
        <v>44843</v>
      </c>
      <c r="BG298" s="26">
        <f t="shared" ca="1" si="43"/>
        <v>5.2902240313717042E-2</v>
      </c>
      <c r="BH298" s="29">
        <v>0</v>
      </c>
      <c r="BJ298" s="22">
        <v>44843</v>
      </c>
      <c r="BK298" s="26">
        <f t="shared" ca="1" si="44"/>
        <v>0.21532494063681606</v>
      </c>
      <c r="BL298" s="29">
        <v>0</v>
      </c>
      <c r="BN298" s="22">
        <v>44843</v>
      </c>
      <c r="BO298" s="26">
        <f t="shared" ca="1" si="45"/>
        <v>0.10351619212683161</v>
      </c>
      <c r="BP298" s="29">
        <v>0</v>
      </c>
      <c r="BR298" s="22">
        <v>44843</v>
      </c>
      <c r="BS298" s="26">
        <f t="shared" ca="1" si="46"/>
        <v>0.74010627541120211</v>
      </c>
      <c r="BT298" s="29">
        <v>0</v>
      </c>
      <c r="BV298" s="22">
        <v>44843</v>
      </c>
      <c r="BW298" s="26">
        <f t="shared" ca="1" si="47"/>
        <v>0.80062444852970804</v>
      </c>
      <c r="BX298" s="29">
        <v>0</v>
      </c>
    </row>
    <row r="299" spans="2:77" ht="12.75" x14ac:dyDescent="0.2">
      <c r="B299" s="22">
        <v>44844</v>
      </c>
      <c r="C299" s="26">
        <f t="shared" ca="1" si="0"/>
        <v>0.79840225515766694</v>
      </c>
      <c r="D299" s="29">
        <f t="shared" ca="1" si="48"/>
        <v>92</v>
      </c>
      <c r="F299" s="22">
        <v>44844</v>
      </c>
      <c r="G299" s="26">
        <f t="shared" ca="1" si="31"/>
        <v>0.63350438515615093</v>
      </c>
      <c r="H299" s="29">
        <f t="shared" ca="1" si="27"/>
        <v>221</v>
      </c>
      <c r="J299" s="22">
        <v>44844</v>
      </c>
      <c r="K299" s="26">
        <f t="shared" ca="1" si="32"/>
        <v>0.47097384313975788</v>
      </c>
      <c r="L299" s="29">
        <f t="shared" ca="1" si="28"/>
        <v>150</v>
      </c>
      <c r="N299" s="22">
        <v>44844</v>
      </c>
      <c r="O299" s="26">
        <f t="shared" ca="1" si="33"/>
        <v>0.88853832887543283</v>
      </c>
      <c r="P299" s="29">
        <f t="shared" ca="1" si="29"/>
        <v>248</v>
      </c>
      <c r="R299" s="22">
        <v>44844</v>
      </c>
      <c r="S299" s="26">
        <f t="shared" ca="1" si="34"/>
        <v>0.49402509798215555</v>
      </c>
      <c r="T299" s="29">
        <f t="shared" ca="1" si="30"/>
        <v>139</v>
      </c>
      <c r="V299" s="22">
        <v>44844</v>
      </c>
      <c r="W299" s="26">
        <f t="shared" ca="1" si="35"/>
        <v>0.70335513612856115</v>
      </c>
      <c r="X299" s="29">
        <v>0</v>
      </c>
      <c r="Z299" s="22">
        <v>44844</v>
      </c>
      <c r="AA299" s="26">
        <f t="shared" ca="1" si="36"/>
        <v>0.3188424840583044</v>
      </c>
      <c r="AB299" s="29">
        <v>0</v>
      </c>
      <c r="AC299"/>
      <c r="AD299" s="25"/>
      <c r="AF299" s="22">
        <v>44844</v>
      </c>
      <c r="AG299" s="26">
        <f t="shared" ca="1" si="37"/>
        <v>0.17974130876474692</v>
      </c>
      <c r="AH299" s="29">
        <v>0</v>
      </c>
      <c r="AJ299" s="22">
        <v>44844</v>
      </c>
      <c r="AK299" s="26">
        <f t="shared" ca="1" si="38"/>
        <v>0.53480117297483176</v>
      </c>
      <c r="AL299" s="29">
        <v>0</v>
      </c>
      <c r="AN299" s="22">
        <v>44844</v>
      </c>
      <c r="AO299" s="26">
        <f t="shared" ca="1" si="39"/>
        <v>0.20768649091307911</v>
      </c>
      <c r="AP299" s="29">
        <v>0</v>
      </c>
      <c r="AR299" s="22">
        <v>44844</v>
      </c>
      <c r="AS299" s="26">
        <f t="shared" ca="1" si="40"/>
        <v>0.7676313957033909</v>
      </c>
      <c r="AT299" s="29">
        <v>0</v>
      </c>
      <c r="AV299" s="22">
        <v>44844</v>
      </c>
      <c r="AW299" s="26">
        <f t="shared" ca="1" si="41"/>
        <v>0.79887612140674469</v>
      </c>
      <c r="AX299" s="29">
        <v>0</v>
      </c>
      <c r="AZ299" s="22">
        <v>44844</v>
      </c>
      <c r="BA299" s="26">
        <f t="shared" ca="1" si="42"/>
        <v>0.96667904799346027</v>
      </c>
      <c r="BB299" s="29">
        <v>0</v>
      </c>
      <c r="BC299"/>
      <c r="BD299" s="25"/>
      <c r="BF299" s="22">
        <v>44844</v>
      </c>
      <c r="BG299" s="26">
        <f t="shared" ca="1" si="43"/>
        <v>0.7880397885524002</v>
      </c>
      <c r="BH299" s="29">
        <v>0</v>
      </c>
      <c r="BJ299" s="22">
        <v>44844</v>
      </c>
      <c r="BK299" s="26">
        <f t="shared" ca="1" si="44"/>
        <v>3.2632240157367987E-2</v>
      </c>
      <c r="BL299" s="29">
        <v>0</v>
      </c>
      <c r="BN299" s="22">
        <v>44844</v>
      </c>
      <c r="BO299" s="26">
        <f t="shared" ca="1" si="45"/>
        <v>0.38191807842055558</v>
      </c>
      <c r="BP299" s="29">
        <v>0</v>
      </c>
      <c r="BR299" s="22">
        <v>44844</v>
      </c>
      <c r="BS299" s="26">
        <f t="shared" ca="1" si="46"/>
        <v>2.9402086407030015E-2</v>
      </c>
      <c r="BT299" s="29">
        <v>0</v>
      </c>
      <c r="BV299" s="22">
        <v>44844</v>
      </c>
      <c r="BW299" s="26">
        <f t="shared" ca="1" si="47"/>
        <v>0.39520290337340946</v>
      </c>
      <c r="BX299" s="29">
        <v>0</v>
      </c>
    </row>
    <row r="300" spans="2:77" ht="12.75" x14ac:dyDescent="0.2">
      <c r="B300" s="22">
        <v>44845</v>
      </c>
      <c r="C300" s="26">
        <f t="shared" ca="1" si="0"/>
        <v>0.19067399418739772</v>
      </c>
      <c r="D300" s="29">
        <f t="shared" ca="1" si="48"/>
        <v>58</v>
      </c>
      <c r="F300" s="22">
        <v>44845</v>
      </c>
      <c r="G300" s="26">
        <f t="shared" ca="1" si="31"/>
        <v>0.54908276334767203</v>
      </c>
      <c r="H300" s="29">
        <f t="shared" ca="1" si="27"/>
        <v>218</v>
      </c>
      <c r="J300" s="22">
        <v>44845</v>
      </c>
      <c r="K300" s="26">
        <f t="shared" ca="1" si="32"/>
        <v>0.52180804029791383</v>
      </c>
      <c r="L300" s="29">
        <f t="shared" ca="1" si="28"/>
        <v>151</v>
      </c>
      <c r="N300" s="22">
        <v>44845</v>
      </c>
      <c r="O300" s="26">
        <f t="shared" ca="1" si="33"/>
        <v>0.1303924935048717</v>
      </c>
      <c r="P300" s="29">
        <f t="shared" ca="1" si="29"/>
        <v>213</v>
      </c>
      <c r="R300" s="22">
        <v>44845</v>
      </c>
      <c r="S300" s="26">
        <f t="shared" ca="1" si="34"/>
        <v>0.72279664813166877</v>
      </c>
      <c r="T300" s="29">
        <f t="shared" ca="1" si="30"/>
        <v>145</v>
      </c>
      <c r="V300" s="22">
        <v>44845</v>
      </c>
      <c r="W300" s="26">
        <f t="shared" ca="1" si="35"/>
        <v>0.41873410015759982</v>
      </c>
      <c r="X300" s="29">
        <v>0</v>
      </c>
      <c r="Z300" s="22">
        <v>44845</v>
      </c>
      <c r="AA300" s="26">
        <f t="shared" ca="1" si="36"/>
        <v>0.11840334838828515</v>
      </c>
      <c r="AB300" s="29">
        <v>0</v>
      </c>
      <c r="AC300"/>
      <c r="AD300" s="25"/>
      <c r="AF300" s="22">
        <v>44845</v>
      </c>
      <c r="AG300" s="26">
        <f t="shared" ca="1" si="37"/>
        <v>0.82899535471673347</v>
      </c>
      <c r="AH300" s="29">
        <v>0</v>
      </c>
      <c r="AJ300" s="22">
        <v>44845</v>
      </c>
      <c r="AK300" s="26">
        <f t="shared" ca="1" si="38"/>
        <v>0.75134328958875773</v>
      </c>
      <c r="AL300" s="29">
        <v>0</v>
      </c>
      <c r="AN300" s="22">
        <v>44845</v>
      </c>
      <c r="AO300" s="26">
        <f t="shared" ca="1" si="39"/>
        <v>0.708118135397932</v>
      </c>
      <c r="AP300" s="29">
        <v>0</v>
      </c>
      <c r="AR300" s="22">
        <v>44845</v>
      </c>
      <c r="AS300" s="26">
        <f t="shared" ca="1" si="40"/>
        <v>0.94165641185227444</v>
      </c>
      <c r="AT300" s="29">
        <v>0</v>
      </c>
      <c r="AV300" s="22">
        <v>44845</v>
      </c>
      <c r="AW300" s="26">
        <f t="shared" ca="1" si="41"/>
        <v>1.7548372976547655E-2</v>
      </c>
      <c r="AX300" s="29">
        <v>0</v>
      </c>
      <c r="AZ300" s="22">
        <v>44845</v>
      </c>
      <c r="BA300" s="26">
        <f t="shared" ca="1" si="42"/>
        <v>0.73208045797153332</v>
      </c>
      <c r="BB300" s="29">
        <v>0</v>
      </c>
      <c r="BC300"/>
      <c r="BD300" s="25"/>
      <c r="BF300" s="22">
        <v>44845</v>
      </c>
      <c r="BG300" s="26">
        <f t="shared" ca="1" si="43"/>
        <v>0.41880681068431602</v>
      </c>
      <c r="BH300" s="29">
        <v>0</v>
      </c>
      <c r="BJ300" s="22">
        <v>44845</v>
      </c>
      <c r="BK300" s="26">
        <f t="shared" ca="1" si="44"/>
        <v>7.4609679282405472E-2</v>
      </c>
      <c r="BL300" s="29">
        <v>0</v>
      </c>
      <c r="BN300" s="22">
        <v>44845</v>
      </c>
      <c r="BO300" s="26">
        <f t="shared" ca="1" si="45"/>
        <v>0.26063460790590276</v>
      </c>
      <c r="BP300" s="29">
        <v>0</v>
      </c>
      <c r="BR300" s="22">
        <v>44845</v>
      </c>
      <c r="BS300" s="26">
        <f t="shared" ca="1" si="46"/>
        <v>0.75805808750227688</v>
      </c>
      <c r="BT300" s="29">
        <v>0</v>
      </c>
      <c r="BV300" s="22">
        <v>44845</v>
      </c>
      <c r="BW300" s="26">
        <f t="shared" ca="1" si="47"/>
        <v>0.34454541279525175</v>
      </c>
      <c r="BX300" s="29">
        <v>0</v>
      </c>
    </row>
    <row r="301" spans="2:77" ht="12.75" x14ac:dyDescent="0.2">
      <c r="B301" s="22">
        <v>44846</v>
      </c>
      <c r="C301" s="26">
        <f t="shared" ca="1" si="0"/>
        <v>0.16881635032941988</v>
      </c>
      <c r="D301" s="29">
        <f t="shared" ca="1" si="48"/>
        <v>56</v>
      </c>
      <c r="F301" s="22">
        <v>44846</v>
      </c>
      <c r="G301" s="26">
        <f t="shared" ca="1" si="31"/>
        <v>0.83292284322406196</v>
      </c>
      <c r="H301" s="29">
        <f t="shared" ca="1" si="27"/>
        <v>230</v>
      </c>
      <c r="J301" s="22">
        <v>44846</v>
      </c>
      <c r="K301" s="26">
        <f t="shared" ca="1" si="32"/>
        <v>0.86980059506257812</v>
      </c>
      <c r="L301" s="29">
        <f t="shared" ca="1" si="28"/>
        <v>162</v>
      </c>
      <c r="N301" s="22">
        <v>44846</v>
      </c>
      <c r="O301" s="26">
        <f t="shared" ca="1" si="33"/>
        <v>0.99914442900289679</v>
      </c>
      <c r="P301" s="29">
        <f t="shared" ca="1" si="29"/>
        <v>278</v>
      </c>
      <c r="R301" s="22">
        <v>44846</v>
      </c>
      <c r="S301" s="26">
        <f t="shared" ca="1" si="34"/>
        <v>0.64896827601424467</v>
      </c>
      <c r="T301" s="29">
        <f t="shared" ca="1" si="30"/>
        <v>143</v>
      </c>
      <c r="V301" s="22">
        <v>44846</v>
      </c>
      <c r="W301" s="26">
        <f t="shared" ca="1" si="35"/>
        <v>0.26204880126016716</v>
      </c>
      <c r="X301" s="29">
        <v>0</v>
      </c>
      <c r="Z301" s="22">
        <v>44846</v>
      </c>
      <c r="AA301" s="26">
        <f t="shared" ca="1" si="36"/>
        <v>0.1867084468170761</v>
      </c>
      <c r="AB301" s="29">
        <v>0</v>
      </c>
      <c r="AC301"/>
      <c r="AD301" s="25"/>
      <c r="AF301" s="22">
        <v>44846</v>
      </c>
      <c r="AG301" s="26">
        <f t="shared" ca="1" si="37"/>
        <v>0.68738406799219642</v>
      </c>
      <c r="AH301" s="29">
        <v>0</v>
      </c>
      <c r="AJ301" s="22">
        <v>44846</v>
      </c>
      <c r="AK301" s="26">
        <f t="shared" ca="1" si="38"/>
        <v>0.61822140963236927</v>
      </c>
      <c r="AL301" s="29">
        <v>0</v>
      </c>
      <c r="AN301" s="22">
        <v>44846</v>
      </c>
      <c r="AO301" s="26">
        <f t="shared" ca="1" si="39"/>
        <v>0.62366852653450733</v>
      </c>
      <c r="AP301" s="29">
        <v>0</v>
      </c>
      <c r="AR301" s="22">
        <v>44846</v>
      </c>
      <c r="AS301" s="26">
        <f t="shared" ca="1" si="40"/>
        <v>0.1710028485364411</v>
      </c>
      <c r="AT301" s="29">
        <v>0</v>
      </c>
      <c r="AV301" s="22">
        <v>44846</v>
      </c>
      <c r="AW301" s="26">
        <f t="shared" ca="1" si="41"/>
        <v>0.63706446699578023</v>
      </c>
      <c r="AX301" s="29">
        <v>0</v>
      </c>
      <c r="AZ301" s="22">
        <v>44846</v>
      </c>
      <c r="BA301" s="26">
        <f t="shared" ca="1" si="42"/>
        <v>0.14110375670281761</v>
      </c>
      <c r="BB301" s="29">
        <v>0</v>
      </c>
      <c r="BC301"/>
      <c r="BD301" s="25"/>
      <c r="BF301" s="22">
        <v>44846</v>
      </c>
      <c r="BG301" s="26">
        <f t="shared" ca="1" si="43"/>
        <v>0.58115878831480372</v>
      </c>
      <c r="BH301" s="29">
        <v>0</v>
      </c>
      <c r="BJ301" s="22">
        <v>44846</v>
      </c>
      <c r="BK301" s="26">
        <f t="shared" ca="1" si="44"/>
        <v>0.22029959768451668</v>
      </c>
      <c r="BL301" s="29">
        <v>0</v>
      </c>
      <c r="BN301" s="22">
        <v>44846</v>
      </c>
      <c r="BO301" s="26">
        <f t="shared" ca="1" si="45"/>
        <v>0.51210575135890091</v>
      </c>
      <c r="BP301" s="29">
        <v>0</v>
      </c>
      <c r="BR301" s="22">
        <v>44846</v>
      </c>
      <c r="BS301" s="26">
        <f t="shared" ca="1" si="46"/>
        <v>0.19950745874293574</v>
      </c>
      <c r="BT301" s="29">
        <v>0</v>
      </c>
      <c r="BV301" s="22">
        <v>44846</v>
      </c>
      <c r="BW301" s="26">
        <f t="shared" ca="1" si="47"/>
        <v>0.89761282238840279</v>
      </c>
      <c r="BX301" s="29">
        <v>0</v>
      </c>
    </row>
    <row r="302" spans="2:77" ht="12.75" x14ac:dyDescent="0.2">
      <c r="B302" s="22">
        <v>44847</v>
      </c>
      <c r="C302" s="26">
        <f t="shared" ca="1" si="0"/>
        <v>5.6811573030590146E-2</v>
      </c>
      <c r="D302" s="29">
        <f t="shared" ca="1" si="48"/>
        <v>44</v>
      </c>
      <c r="F302" s="22">
        <v>44847</v>
      </c>
      <c r="G302" s="26">
        <f t="shared" ca="1" si="31"/>
        <v>0.69511189306577281</v>
      </c>
      <c r="H302" s="29">
        <f t="shared" ca="1" si="27"/>
        <v>223</v>
      </c>
      <c r="J302" s="22">
        <v>44847</v>
      </c>
      <c r="K302" s="26">
        <f t="shared" ca="1" si="32"/>
        <v>0.88704951298612811</v>
      </c>
      <c r="L302" s="29">
        <f t="shared" ca="1" si="28"/>
        <v>163</v>
      </c>
      <c r="N302" s="22">
        <v>44847</v>
      </c>
      <c r="O302" s="26">
        <f t="shared" ca="1" si="33"/>
        <v>7.3616885481964212E-2</v>
      </c>
      <c r="P302" s="29">
        <f t="shared" ca="1" si="29"/>
        <v>208</v>
      </c>
      <c r="R302" s="22">
        <v>44847</v>
      </c>
      <c r="S302" s="26">
        <f t="shared" ca="1" si="34"/>
        <v>0.38038367944056117</v>
      </c>
      <c r="T302" s="29">
        <f t="shared" ca="1" si="30"/>
        <v>136</v>
      </c>
      <c r="V302" s="22">
        <v>44847</v>
      </c>
      <c r="W302" s="26">
        <f t="shared" ca="1" si="35"/>
        <v>0.74203936352773281</v>
      </c>
      <c r="X302" s="29">
        <v>0</v>
      </c>
      <c r="Z302" s="22">
        <v>44847</v>
      </c>
      <c r="AA302" s="26">
        <f t="shared" ca="1" si="36"/>
        <v>0.92043685250071317</v>
      </c>
      <c r="AB302" s="29">
        <v>0</v>
      </c>
      <c r="AC302"/>
      <c r="AD302" s="25"/>
      <c r="AF302" s="22">
        <v>44847</v>
      </c>
      <c r="AG302" s="26">
        <f t="shared" ca="1" si="37"/>
        <v>4.1169171685106143E-2</v>
      </c>
      <c r="AH302" s="29">
        <v>0</v>
      </c>
      <c r="AJ302" s="22">
        <v>44847</v>
      </c>
      <c r="AK302" s="26">
        <f t="shared" ca="1" si="38"/>
        <v>5.3428093357930639E-2</v>
      </c>
      <c r="AL302" s="29">
        <v>0</v>
      </c>
      <c r="AN302" s="22">
        <v>44847</v>
      </c>
      <c r="AO302" s="26">
        <f t="shared" ca="1" si="39"/>
        <v>0.17457058327625785</v>
      </c>
      <c r="AP302" s="29">
        <v>0</v>
      </c>
      <c r="AR302" s="22">
        <v>44847</v>
      </c>
      <c r="AS302" s="26">
        <f t="shared" ca="1" si="40"/>
        <v>0.29032584735372724</v>
      </c>
      <c r="AT302" s="29">
        <v>0</v>
      </c>
      <c r="AV302" s="22">
        <v>44847</v>
      </c>
      <c r="AW302" s="26">
        <f t="shared" ca="1" si="41"/>
        <v>0.71997265893469942</v>
      </c>
      <c r="AX302" s="29">
        <v>0</v>
      </c>
      <c r="AZ302" s="22">
        <v>44847</v>
      </c>
      <c r="BA302" s="26">
        <f t="shared" ca="1" si="42"/>
        <v>0.61105762654757878</v>
      </c>
      <c r="BB302" s="29">
        <v>0</v>
      </c>
      <c r="BC302"/>
      <c r="BD302" s="25"/>
      <c r="BF302" s="22">
        <v>44847</v>
      </c>
      <c r="BG302" s="26">
        <f t="shared" ca="1" si="43"/>
        <v>0.63951962453064659</v>
      </c>
      <c r="BH302" s="29">
        <v>0</v>
      </c>
      <c r="BJ302" s="22">
        <v>44847</v>
      </c>
      <c r="BK302" s="26">
        <f t="shared" ca="1" si="44"/>
        <v>0.31340041527069107</v>
      </c>
      <c r="BL302" s="29">
        <v>0</v>
      </c>
      <c r="BN302" s="22">
        <v>44847</v>
      </c>
      <c r="BO302" s="26">
        <f t="shared" ca="1" si="45"/>
        <v>0.71372399846578394</v>
      </c>
      <c r="BP302" s="29">
        <v>0</v>
      </c>
      <c r="BR302" s="22">
        <v>44847</v>
      </c>
      <c r="BS302" s="26">
        <f t="shared" ca="1" si="46"/>
        <v>0.94164785867002221</v>
      </c>
      <c r="BT302" s="29">
        <v>0</v>
      </c>
      <c r="BV302" s="22">
        <v>44847</v>
      </c>
      <c r="BW302" s="26">
        <f t="shared" ca="1" si="47"/>
        <v>2.7718075812355414E-2</v>
      </c>
      <c r="BX302" s="29">
        <v>0</v>
      </c>
    </row>
    <row r="303" spans="2:77" ht="12.75" x14ac:dyDescent="0.2">
      <c r="B303" s="22">
        <v>44848</v>
      </c>
      <c r="C303" s="26">
        <f t="shared" ca="1" si="0"/>
        <v>0.41690555524015949</v>
      </c>
      <c r="D303" s="29">
        <f t="shared" ca="1" si="48"/>
        <v>71</v>
      </c>
      <c r="F303" s="22">
        <v>44848</v>
      </c>
      <c r="G303" s="26">
        <f t="shared" ca="1" si="31"/>
        <v>0.73132718242461991</v>
      </c>
      <c r="H303" s="29">
        <f t="shared" ca="1" si="27"/>
        <v>225</v>
      </c>
      <c r="J303" s="22">
        <v>44848</v>
      </c>
      <c r="K303" s="26">
        <f t="shared" ca="1" si="32"/>
        <v>0.51577857357243473</v>
      </c>
      <c r="L303" s="29">
        <f t="shared" ca="1" si="28"/>
        <v>151</v>
      </c>
      <c r="N303" s="22">
        <v>44848</v>
      </c>
      <c r="O303" s="26">
        <f t="shared" ca="1" si="33"/>
        <v>0.96832154712093521</v>
      </c>
      <c r="P303" s="29">
        <f t="shared" ca="1" si="29"/>
        <v>258</v>
      </c>
      <c r="R303" s="22">
        <v>44848</v>
      </c>
      <c r="S303" s="26">
        <f t="shared" ca="1" si="34"/>
        <v>0.25392330778772543</v>
      </c>
      <c r="T303" s="29">
        <f t="shared" ca="1" si="30"/>
        <v>133</v>
      </c>
      <c r="V303" s="22">
        <v>44848</v>
      </c>
      <c r="W303" s="26">
        <f t="shared" ca="1" si="35"/>
        <v>0.6610819445900985</v>
      </c>
      <c r="X303" s="29">
        <v>0</v>
      </c>
      <c r="Z303" s="22">
        <v>44848</v>
      </c>
      <c r="AA303" s="26">
        <f t="shared" ca="1" si="36"/>
        <v>0.19527121150262472</v>
      </c>
      <c r="AB303" s="29">
        <v>0</v>
      </c>
      <c r="AC303"/>
      <c r="AD303" s="25"/>
      <c r="AF303" s="22">
        <v>44848</v>
      </c>
      <c r="AG303" s="26">
        <f t="shared" ca="1" si="37"/>
        <v>0.8377207197333274</v>
      </c>
      <c r="AH303" s="29">
        <v>0</v>
      </c>
      <c r="AJ303" s="22">
        <v>44848</v>
      </c>
      <c r="AK303" s="26">
        <f t="shared" ca="1" si="38"/>
        <v>0.85142234759518753</v>
      </c>
      <c r="AL303" s="29">
        <v>0</v>
      </c>
      <c r="AN303" s="22">
        <v>44848</v>
      </c>
      <c r="AO303" s="26">
        <f t="shared" ca="1" si="39"/>
        <v>0.55461650205353163</v>
      </c>
      <c r="AP303" s="29">
        <v>0</v>
      </c>
      <c r="AR303" s="22">
        <v>44848</v>
      </c>
      <c r="AS303" s="26">
        <f t="shared" ca="1" si="40"/>
        <v>0.57616352171369645</v>
      </c>
      <c r="AT303" s="29">
        <v>0</v>
      </c>
      <c r="AV303" s="22">
        <v>44848</v>
      </c>
      <c r="AW303" s="26">
        <f t="shared" ca="1" si="41"/>
        <v>0.24511198845231918</v>
      </c>
      <c r="AX303" s="29">
        <v>0</v>
      </c>
      <c r="AZ303" s="22">
        <v>44848</v>
      </c>
      <c r="BA303" s="26">
        <f t="shared" ca="1" si="42"/>
        <v>0.34266745064404769</v>
      </c>
      <c r="BB303" s="29">
        <v>0</v>
      </c>
      <c r="BC303"/>
      <c r="BD303" s="25"/>
      <c r="BF303" s="22">
        <v>44848</v>
      </c>
      <c r="BG303" s="26">
        <f t="shared" ca="1" si="43"/>
        <v>0.95312092614671329</v>
      </c>
      <c r="BH303" s="29">
        <v>0</v>
      </c>
      <c r="BJ303" s="22">
        <v>44848</v>
      </c>
      <c r="BK303" s="26">
        <f t="shared" ca="1" si="44"/>
        <v>1.6656414046344437E-2</v>
      </c>
      <c r="BL303" s="29">
        <v>0</v>
      </c>
      <c r="BN303" s="22">
        <v>44848</v>
      </c>
      <c r="BO303" s="26">
        <f t="shared" ca="1" si="45"/>
        <v>9.8952220835500149E-2</v>
      </c>
      <c r="BP303" s="29">
        <v>0</v>
      </c>
      <c r="BR303" s="22">
        <v>44848</v>
      </c>
      <c r="BS303" s="26">
        <f t="shared" ca="1" si="46"/>
        <v>0.11922820512501975</v>
      </c>
      <c r="BT303" s="29">
        <v>0</v>
      </c>
      <c r="BV303" s="22">
        <v>44848</v>
      </c>
      <c r="BW303" s="26">
        <f t="shared" ca="1" si="47"/>
        <v>0.40277654168334054</v>
      </c>
      <c r="BX303" s="29">
        <v>0</v>
      </c>
    </row>
    <row r="304" spans="2:77" ht="12.75" x14ac:dyDescent="0.2">
      <c r="B304" s="22">
        <v>44849</v>
      </c>
      <c r="C304" s="26">
        <f t="shared" ca="1" si="0"/>
        <v>0.32129948863522984</v>
      </c>
      <c r="D304" s="29">
        <f t="shared" ca="1" si="48"/>
        <v>66</v>
      </c>
      <c r="F304" s="22">
        <v>44849</v>
      </c>
      <c r="G304" s="26">
        <f t="shared" ca="1" si="31"/>
        <v>0.27103338466419391</v>
      </c>
      <c r="H304" s="29">
        <f t="shared" ca="1" si="27"/>
        <v>207</v>
      </c>
      <c r="J304" s="22">
        <v>44849</v>
      </c>
      <c r="K304" s="26">
        <f t="shared" ca="1" si="32"/>
        <v>0.53111547907134238</v>
      </c>
      <c r="L304" s="29">
        <f t="shared" ca="1" si="28"/>
        <v>151</v>
      </c>
      <c r="N304" s="22">
        <v>44849</v>
      </c>
      <c r="O304" s="26">
        <f t="shared" ca="1" si="33"/>
        <v>0.62933146249080174</v>
      </c>
      <c r="P304" s="29">
        <f t="shared" ca="1" si="29"/>
        <v>235</v>
      </c>
      <c r="R304" s="22">
        <v>44849</v>
      </c>
      <c r="S304" s="26">
        <f t="shared" ca="1" si="34"/>
        <v>0.66401744563047105</v>
      </c>
      <c r="T304" s="29">
        <f t="shared" ca="1" si="30"/>
        <v>143</v>
      </c>
      <c r="V304" s="22">
        <v>44849</v>
      </c>
      <c r="W304" s="26">
        <f t="shared" ca="1" si="35"/>
        <v>0.96993374104000096</v>
      </c>
      <c r="X304" s="29">
        <v>0</v>
      </c>
      <c r="Z304" s="22">
        <v>44849</v>
      </c>
      <c r="AA304" s="26">
        <f t="shared" ca="1" si="36"/>
        <v>0.78971098953130614</v>
      </c>
      <c r="AB304" s="29">
        <v>0</v>
      </c>
      <c r="AC304"/>
      <c r="AD304" s="25"/>
      <c r="AF304" s="22">
        <v>44849</v>
      </c>
      <c r="AG304" s="26">
        <f t="shared" ca="1" si="37"/>
        <v>0.87432748821055395</v>
      </c>
      <c r="AH304" s="29">
        <v>0</v>
      </c>
      <c r="AJ304" s="22">
        <v>44849</v>
      </c>
      <c r="AK304" s="26">
        <f t="shared" ca="1" si="38"/>
        <v>0.15340337946666749</v>
      </c>
      <c r="AL304" s="29">
        <v>0</v>
      </c>
      <c r="AN304" s="22">
        <v>44849</v>
      </c>
      <c r="AO304" s="26">
        <f t="shared" ca="1" si="39"/>
        <v>0.83019561931766561</v>
      </c>
      <c r="AP304" s="29">
        <v>0</v>
      </c>
      <c r="AR304" s="22">
        <v>44849</v>
      </c>
      <c r="AS304" s="26">
        <f t="shared" ca="1" si="40"/>
        <v>0.52839570455949347</v>
      </c>
      <c r="AT304" s="29">
        <v>0</v>
      </c>
      <c r="AV304" s="22">
        <v>44849</v>
      </c>
      <c r="AW304" s="26">
        <f t="shared" ca="1" si="41"/>
        <v>0.31833172897537876</v>
      </c>
      <c r="AX304" s="29">
        <v>0</v>
      </c>
      <c r="AZ304" s="22">
        <v>44849</v>
      </c>
      <c r="BA304" s="26">
        <f t="shared" ca="1" si="42"/>
        <v>0.96448255899079904</v>
      </c>
      <c r="BB304" s="29">
        <v>0</v>
      </c>
      <c r="BC304"/>
      <c r="BD304" s="25"/>
      <c r="BF304" s="22">
        <v>44849</v>
      </c>
      <c r="BG304" s="26">
        <f t="shared" ca="1" si="43"/>
        <v>0.93602045206070561</v>
      </c>
      <c r="BH304" s="29">
        <v>0</v>
      </c>
      <c r="BJ304" s="22">
        <v>44849</v>
      </c>
      <c r="BK304" s="26">
        <f t="shared" ca="1" si="44"/>
        <v>0.93982336666839328</v>
      </c>
      <c r="BL304" s="29">
        <v>0</v>
      </c>
      <c r="BN304" s="22">
        <v>44849</v>
      </c>
      <c r="BO304" s="26">
        <f t="shared" ca="1" si="45"/>
        <v>0.37433220882364759</v>
      </c>
      <c r="BP304" s="29">
        <v>0</v>
      </c>
      <c r="BR304" s="22">
        <v>44849</v>
      </c>
      <c r="BS304" s="26">
        <f t="shared" ca="1" si="46"/>
        <v>0.25113300666136817</v>
      </c>
      <c r="BT304" s="29">
        <v>0</v>
      </c>
      <c r="BV304" s="22">
        <v>44849</v>
      </c>
      <c r="BW304" s="26">
        <f t="shared" ca="1" si="47"/>
        <v>3.2940080768091407E-2</v>
      </c>
      <c r="BX304" s="29">
        <v>0</v>
      </c>
    </row>
    <row r="305" spans="2:77" ht="12.75" x14ac:dyDescent="0.2">
      <c r="B305" s="22">
        <v>44850</v>
      </c>
      <c r="C305" s="26">
        <f t="shared" ca="1" si="0"/>
        <v>4.7771074259810531E-2</v>
      </c>
      <c r="D305" s="29">
        <f t="shared" ca="1" si="48"/>
        <v>42</v>
      </c>
      <c r="F305" s="22">
        <v>44850</v>
      </c>
      <c r="G305" s="26">
        <f t="shared" ca="1" si="31"/>
        <v>0.3988000029722818</v>
      </c>
      <c r="H305" s="29">
        <f t="shared" ca="1" si="27"/>
        <v>212</v>
      </c>
      <c r="J305" s="22">
        <v>44850</v>
      </c>
      <c r="K305" s="26">
        <f t="shared" ca="1" si="32"/>
        <v>0.9029235176197653</v>
      </c>
      <c r="L305" s="29">
        <f t="shared" ca="1" si="28"/>
        <v>163</v>
      </c>
      <c r="N305" s="22">
        <v>44850</v>
      </c>
      <c r="O305" s="26">
        <f t="shared" ca="1" si="33"/>
        <v>0.94701165851304314</v>
      </c>
      <c r="P305" s="29">
        <f t="shared" ca="1" si="29"/>
        <v>255</v>
      </c>
      <c r="R305" s="22">
        <v>44850</v>
      </c>
      <c r="S305" s="26">
        <f t="shared" ca="1" si="34"/>
        <v>0.28412306656968578</v>
      </c>
      <c r="T305" s="29">
        <f t="shared" ca="1" si="30"/>
        <v>134</v>
      </c>
      <c r="V305" s="22">
        <v>44850</v>
      </c>
      <c r="W305" s="26">
        <f t="shared" ca="1" si="35"/>
        <v>0.44950336618501818</v>
      </c>
      <c r="X305" s="29">
        <v>0</v>
      </c>
      <c r="Z305" s="22">
        <v>44850</v>
      </c>
      <c r="AA305" s="26">
        <f t="shared" ca="1" si="36"/>
        <v>0.43237672178260289</v>
      </c>
      <c r="AB305" s="29">
        <v>0</v>
      </c>
      <c r="AC305"/>
      <c r="AD305" s="25"/>
      <c r="AF305" s="22">
        <v>44850</v>
      </c>
      <c r="AG305" s="26">
        <f t="shared" ca="1" si="37"/>
        <v>0.33555935944568027</v>
      </c>
      <c r="AH305" s="29">
        <v>0</v>
      </c>
      <c r="AJ305" s="22">
        <v>44850</v>
      </c>
      <c r="AK305" s="26">
        <f t="shared" ca="1" si="38"/>
        <v>0.18452296321095873</v>
      </c>
      <c r="AL305" s="29">
        <v>0</v>
      </c>
      <c r="AN305" s="22">
        <v>44850</v>
      </c>
      <c r="AO305" s="26">
        <f t="shared" ca="1" si="39"/>
        <v>0.28142530487535622</v>
      </c>
      <c r="AP305" s="29">
        <v>0</v>
      </c>
      <c r="AR305" s="22">
        <v>44850</v>
      </c>
      <c r="AS305" s="26">
        <f t="shared" ca="1" si="40"/>
        <v>0.79650456477319953</v>
      </c>
      <c r="AT305" s="29">
        <v>0</v>
      </c>
      <c r="AV305" s="22">
        <v>44850</v>
      </c>
      <c r="AW305" s="26">
        <f t="shared" ca="1" si="41"/>
        <v>0.2493324981727062</v>
      </c>
      <c r="AX305" s="29">
        <v>0</v>
      </c>
      <c r="AZ305" s="22">
        <v>44850</v>
      </c>
      <c r="BA305" s="26">
        <f t="shared" ca="1" si="42"/>
        <v>0.3675229844241038</v>
      </c>
      <c r="BB305" s="29">
        <v>0</v>
      </c>
      <c r="BC305"/>
      <c r="BD305" s="25"/>
      <c r="BF305" s="22">
        <v>44850</v>
      </c>
      <c r="BG305" s="26">
        <f t="shared" ca="1" si="43"/>
        <v>0.32322124493700144</v>
      </c>
      <c r="BH305" s="29">
        <v>0</v>
      </c>
      <c r="BJ305" s="22">
        <v>44850</v>
      </c>
      <c r="BK305" s="26">
        <f t="shared" ca="1" si="44"/>
        <v>0.9843877347289921</v>
      </c>
      <c r="BL305" s="29">
        <v>0</v>
      </c>
      <c r="BN305" s="22">
        <v>44850</v>
      </c>
      <c r="BO305" s="26">
        <f t="shared" ca="1" si="45"/>
        <v>0.43571185410778179</v>
      </c>
      <c r="BP305" s="29">
        <v>0</v>
      </c>
      <c r="BR305" s="22">
        <v>44850</v>
      </c>
      <c r="BS305" s="26">
        <f t="shared" ca="1" si="46"/>
        <v>5.2190280060802952E-2</v>
      </c>
      <c r="BT305" s="29">
        <v>0</v>
      </c>
      <c r="BV305" s="22">
        <v>44850</v>
      </c>
      <c r="BW305" s="26">
        <f t="shared" ca="1" si="47"/>
        <v>0.37845522666765896</v>
      </c>
      <c r="BX305" s="29">
        <v>0</v>
      </c>
    </row>
    <row r="306" spans="2:77" ht="12.75" x14ac:dyDescent="0.2">
      <c r="B306" s="22">
        <v>44851</v>
      </c>
      <c r="C306" s="26">
        <f t="shared" ca="1" si="0"/>
        <v>0.49960228893533221</v>
      </c>
      <c r="D306" s="29">
        <v>0</v>
      </c>
      <c r="F306" s="22">
        <v>44851</v>
      </c>
      <c r="G306" s="26">
        <f t="shared" ca="1" si="31"/>
        <v>0.75980233644782469</v>
      </c>
      <c r="H306" s="29">
        <v>0</v>
      </c>
      <c r="J306" s="22">
        <v>44851</v>
      </c>
      <c r="K306" s="26">
        <f t="shared" ca="1" si="32"/>
        <v>0.80337745419604889</v>
      </c>
      <c r="L306" s="29">
        <v>0</v>
      </c>
      <c r="N306" s="22">
        <v>44851</v>
      </c>
      <c r="O306" s="26">
        <f t="shared" ca="1" si="33"/>
        <v>0.17869428969435242</v>
      </c>
      <c r="P306" s="29">
        <v>0</v>
      </c>
      <c r="R306" s="22">
        <v>44851</v>
      </c>
      <c r="S306" s="26">
        <f t="shared" ca="1" si="34"/>
        <v>0.52516324609879395</v>
      </c>
      <c r="T306" s="29">
        <v>0</v>
      </c>
      <c r="V306" s="22">
        <v>44851</v>
      </c>
      <c r="W306" s="26">
        <f t="shared" ca="1" si="35"/>
        <v>0.89040873222450778</v>
      </c>
      <c r="X306" s="29">
        <v>0</v>
      </c>
      <c r="Z306" s="22">
        <v>44851</v>
      </c>
      <c r="AA306" s="26">
        <f t="shared" ca="1" si="36"/>
        <v>0.86723471197675861</v>
      </c>
      <c r="AB306" s="29">
        <v>0</v>
      </c>
      <c r="AC306"/>
      <c r="AD306" s="25"/>
      <c r="AF306" s="22">
        <v>44851</v>
      </c>
      <c r="AG306" s="26">
        <f t="shared" ca="1" si="37"/>
        <v>0.60011369873477105</v>
      </c>
      <c r="AH306" s="29">
        <v>0</v>
      </c>
      <c r="AJ306" s="22">
        <v>44851</v>
      </c>
      <c r="AK306" s="26">
        <f t="shared" ca="1" si="38"/>
        <v>0.60405927088719902</v>
      </c>
      <c r="AL306" s="29">
        <v>0</v>
      </c>
      <c r="AN306" s="22">
        <v>44851</v>
      </c>
      <c r="AO306" s="26">
        <f t="shared" ca="1" si="39"/>
        <v>0.63864422256233633</v>
      </c>
      <c r="AP306" s="29">
        <v>0</v>
      </c>
      <c r="AR306" s="22">
        <v>44851</v>
      </c>
      <c r="AS306" s="26">
        <f t="shared" ca="1" si="40"/>
        <v>0.68278039358153642</v>
      </c>
      <c r="AT306" s="29">
        <v>0</v>
      </c>
      <c r="AV306" s="22">
        <v>44851</v>
      </c>
      <c r="AW306" s="26">
        <f t="shared" ca="1" si="41"/>
        <v>0.20134440862577663</v>
      </c>
      <c r="AX306" s="29">
        <v>0</v>
      </c>
      <c r="AZ306" s="22">
        <v>44851</v>
      </c>
      <c r="BA306" s="26">
        <f t="shared" ca="1" si="42"/>
        <v>0.56786656432669902</v>
      </c>
      <c r="BB306" s="29">
        <v>0</v>
      </c>
      <c r="BC306"/>
      <c r="BD306" s="25"/>
      <c r="BF306" s="22">
        <v>44851</v>
      </c>
      <c r="BG306" s="26">
        <f t="shared" ca="1" si="43"/>
        <v>0.90920062493630005</v>
      </c>
      <c r="BH306" s="29">
        <v>0</v>
      </c>
      <c r="BJ306" s="22">
        <v>44851</v>
      </c>
      <c r="BK306" s="26">
        <f t="shared" ca="1" si="44"/>
        <v>4.2310641733694254E-2</v>
      </c>
      <c r="BL306" s="29">
        <v>0</v>
      </c>
      <c r="BN306" s="22">
        <v>44851</v>
      </c>
      <c r="BO306" s="26">
        <f t="shared" ca="1" si="45"/>
        <v>0.9320399444512677</v>
      </c>
      <c r="BP306" s="29">
        <v>0</v>
      </c>
      <c r="BR306" s="22">
        <v>44851</v>
      </c>
      <c r="BS306" s="26">
        <f t="shared" ca="1" si="46"/>
        <v>0.48600007160579684</v>
      </c>
      <c r="BT306" s="29">
        <v>0</v>
      </c>
      <c r="BV306" s="22">
        <v>44851</v>
      </c>
      <c r="BW306" s="26">
        <f t="shared" ca="1" si="47"/>
        <v>0.95083755721588559</v>
      </c>
      <c r="BX306" s="29">
        <v>0</v>
      </c>
    </row>
    <row r="307" spans="2:77" ht="12.75" x14ac:dyDescent="0.2">
      <c r="B307" s="22">
        <v>44852</v>
      </c>
      <c r="C307" s="26">
        <f t="shared" ca="1" si="0"/>
        <v>0.6283561637343017</v>
      </c>
      <c r="D307" s="29">
        <v>0</v>
      </c>
      <c r="F307" s="22">
        <v>44852</v>
      </c>
      <c r="G307" s="26">
        <f t="shared" ca="1" si="31"/>
        <v>0.36121351540085522</v>
      </c>
      <c r="H307" s="29">
        <v>0</v>
      </c>
      <c r="J307" s="22">
        <v>44852</v>
      </c>
      <c r="K307" s="26">
        <f t="shared" ca="1" si="32"/>
        <v>0.42352885412610497</v>
      </c>
      <c r="L307" s="29">
        <v>0</v>
      </c>
      <c r="N307" s="22">
        <v>44852</v>
      </c>
      <c r="O307" s="26">
        <f t="shared" ca="1" si="33"/>
        <v>0.88934347148900605</v>
      </c>
      <c r="P307" s="29">
        <v>0</v>
      </c>
      <c r="R307" s="22">
        <v>44852</v>
      </c>
      <c r="S307" s="26">
        <f t="shared" ca="1" si="34"/>
        <v>0.84436925147622088</v>
      </c>
      <c r="T307" s="29">
        <v>0</v>
      </c>
      <c r="V307" s="22">
        <v>44852</v>
      </c>
      <c r="W307" s="26">
        <f t="shared" ca="1" si="35"/>
        <v>0.14213734144733403</v>
      </c>
      <c r="X307" s="29">
        <v>0</v>
      </c>
      <c r="Z307" s="22">
        <v>44852</v>
      </c>
      <c r="AA307" s="26">
        <f t="shared" ca="1" si="36"/>
        <v>0.66186261745305675</v>
      </c>
      <c r="AB307" s="29">
        <v>0</v>
      </c>
      <c r="AC307"/>
      <c r="AD307" s="25"/>
      <c r="AF307" s="22">
        <v>44852</v>
      </c>
      <c r="AG307" s="26">
        <f t="shared" ca="1" si="37"/>
        <v>0.56708675460307001</v>
      </c>
      <c r="AH307" s="29">
        <v>0</v>
      </c>
      <c r="AJ307" s="22">
        <v>44852</v>
      </c>
      <c r="AK307" s="26">
        <f t="shared" ca="1" si="38"/>
        <v>0.6620767680089682</v>
      </c>
      <c r="AL307" s="29">
        <v>0</v>
      </c>
      <c r="AN307" s="22">
        <v>44852</v>
      </c>
      <c r="AO307" s="26">
        <f t="shared" ca="1" si="39"/>
        <v>0.61546468462893011</v>
      </c>
      <c r="AP307" s="29">
        <v>0</v>
      </c>
      <c r="AR307" s="22">
        <v>44852</v>
      </c>
      <c r="AS307" s="26">
        <f t="shared" ca="1" si="40"/>
        <v>0.70776941487084</v>
      </c>
      <c r="AT307" s="29">
        <v>0</v>
      </c>
      <c r="AV307" s="22">
        <v>44852</v>
      </c>
      <c r="AW307" s="26">
        <f t="shared" ca="1" si="41"/>
        <v>0.50395829062682806</v>
      </c>
      <c r="AX307" s="29">
        <v>0</v>
      </c>
      <c r="AZ307" s="22">
        <v>44852</v>
      </c>
      <c r="BA307" s="26">
        <f t="shared" ca="1" si="42"/>
        <v>3.0048761140831659E-2</v>
      </c>
      <c r="BB307" s="29">
        <v>0</v>
      </c>
      <c r="BC307"/>
      <c r="BD307" s="25"/>
      <c r="BF307" s="22">
        <v>44852</v>
      </c>
      <c r="BG307" s="26">
        <f t="shared" ca="1" si="43"/>
        <v>0.72343565392138343</v>
      </c>
      <c r="BH307" s="29">
        <v>0</v>
      </c>
      <c r="BJ307" s="22">
        <v>44852</v>
      </c>
      <c r="BK307" s="26">
        <f t="shared" ca="1" si="44"/>
        <v>0.68911859854308377</v>
      </c>
      <c r="BL307" s="29">
        <v>0</v>
      </c>
      <c r="BN307" s="22">
        <v>44852</v>
      </c>
      <c r="BO307" s="26">
        <f t="shared" ca="1" si="45"/>
        <v>0.49954780917022545</v>
      </c>
      <c r="BP307" s="29">
        <v>0</v>
      </c>
      <c r="BR307" s="22">
        <v>44852</v>
      </c>
      <c r="BS307" s="26">
        <f t="shared" ca="1" si="46"/>
        <v>8.3357655365844274E-2</v>
      </c>
      <c r="BT307" s="29">
        <v>0</v>
      </c>
      <c r="BV307" s="22">
        <v>44852</v>
      </c>
      <c r="BW307" s="26">
        <f t="shared" ca="1" si="47"/>
        <v>0.1394625302776058</v>
      </c>
      <c r="BX307" s="29">
        <v>0</v>
      </c>
    </row>
    <row r="308" spans="2:77" ht="12.75" x14ac:dyDescent="0.2">
      <c r="B308" s="22">
        <v>44853</v>
      </c>
      <c r="C308" s="26">
        <f t="shared" ca="1" si="0"/>
        <v>0.2309672108360934</v>
      </c>
      <c r="D308" s="29">
        <v>0</v>
      </c>
      <c r="F308" s="22">
        <v>44853</v>
      </c>
      <c r="G308" s="26">
        <f t="shared" ca="1" si="31"/>
        <v>0.1500659369441063</v>
      </c>
      <c r="H308" s="29">
        <v>0</v>
      </c>
      <c r="J308" s="22">
        <v>44853</v>
      </c>
      <c r="K308" s="26">
        <f t="shared" ca="1" si="32"/>
        <v>0.83508976404336976</v>
      </c>
      <c r="L308" s="29">
        <v>0</v>
      </c>
      <c r="N308" s="22">
        <v>44853</v>
      </c>
      <c r="O308" s="26">
        <f t="shared" ca="1" si="33"/>
        <v>0.90073054405915953</v>
      </c>
      <c r="P308" s="29">
        <v>0</v>
      </c>
      <c r="R308" s="22">
        <v>44853</v>
      </c>
      <c r="S308" s="26">
        <f t="shared" ca="1" si="34"/>
        <v>0.19302169645157807</v>
      </c>
      <c r="T308" s="29">
        <v>0</v>
      </c>
      <c r="V308" s="22">
        <v>44853</v>
      </c>
      <c r="W308" s="26">
        <f t="shared" ca="1" si="35"/>
        <v>0.42321871238939246</v>
      </c>
      <c r="X308" s="29">
        <v>0</v>
      </c>
      <c r="Z308" s="22">
        <v>44853</v>
      </c>
      <c r="AA308" s="26">
        <f t="shared" ca="1" si="36"/>
        <v>0.76771125303478627</v>
      </c>
      <c r="AB308" s="29">
        <v>0</v>
      </c>
      <c r="AC308"/>
      <c r="AD308" s="25"/>
      <c r="AF308" s="22">
        <v>44853</v>
      </c>
      <c r="AG308" s="26">
        <f t="shared" ca="1" si="37"/>
        <v>0.73535202932516774</v>
      </c>
      <c r="AH308" s="29">
        <v>0</v>
      </c>
      <c r="AJ308" s="22">
        <v>44853</v>
      </c>
      <c r="AK308" s="26">
        <f t="shared" ca="1" si="38"/>
        <v>2.7559917548054202E-2</v>
      </c>
      <c r="AL308" s="29">
        <v>0</v>
      </c>
      <c r="AN308" s="22">
        <v>44853</v>
      </c>
      <c r="AO308" s="26">
        <f t="shared" ca="1" si="39"/>
        <v>0.4792537573040494</v>
      </c>
      <c r="AP308" s="29">
        <v>0</v>
      </c>
      <c r="AR308" s="22">
        <v>44853</v>
      </c>
      <c r="AS308" s="26">
        <f t="shared" ca="1" si="40"/>
        <v>6.6029932350362586E-2</v>
      </c>
      <c r="AT308" s="29">
        <v>0</v>
      </c>
      <c r="AV308" s="22">
        <v>44853</v>
      </c>
      <c r="AW308" s="26">
        <f t="shared" ca="1" si="41"/>
        <v>0.84549680261059856</v>
      </c>
      <c r="AX308" s="29">
        <v>0</v>
      </c>
      <c r="AZ308" s="22">
        <v>44853</v>
      </c>
      <c r="BA308" s="26">
        <f t="shared" ca="1" si="42"/>
        <v>0.74709323548152862</v>
      </c>
      <c r="BB308" s="29">
        <v>0</v>
      </c>
      <c r="BC308"/>
      <c r="BD308" s="25"/>
      <c r="BF308" s="22">
        <v>44853</v>
      </c>
      <c r="BG308" s="26">
        <f t="shared" ca="1" si="43"/>
        <v>0.89217592677511848</v>
      </c>
      <c r="BH308" s="29">
        <v>0</v>
      </c>
      <c r="BJ308" s="22">
        <v>44853</v>
      </c>
      <c r="BK308" s="26">
        <f t="shared" ca="1" si="44"/>
        <v>2.3521529108124439E-2</v>
      </c>
      <c r="BL308" s="29">
        <v>0</v>
      </c>
      <c r="BN308" s="22">
        <v>44853</v>
      </c>
      <c r="BO308" s="26">
        <f t="shared" ca="1" si="45"/>
        <v>0.81493719530981235</v>
      </c>
      <c r="BP308" s="29">
        <v>0</v>
      </c>
      <c r="BR308" s="22">
        <v>44853</v>
      </c>
      <c r="BS308" s="26">
        <f t="shared" ca="1" si="46"/>
        <v>0.44143145895343194</v>
      </c>
      <c r="BT308" s="29">
        <v>0</v>
      </c>
      <c r="BV308" s="22">
        <v>44853</v>
      </c>
      <c r="BW308" s="26">
        <f t="shared" ca="1" si="47"/>
        <v>0.16235366435717191</v>
      </c>
      <c r="BX308" s="29">
        <v>0</v>
      </c>
    </row>
    <row r="309" spans="2:77" ht="12.75" x14ac:dyDescent="0.2">
      <c r="B309" s="22">
        <v>44854</v>
      </c>
      <c r="C309" s="26">
        <f t="shared" ca="1" si="0"/>
        <v>0.19795735148450044</v>
      </c>
      <c r="D309" s="29">
        <v>0</v>
      </c>
      <c r="F309" s="22">
        <v>44854</v>
      </c>
      <c r="G309" s="26">
        <f t="shared" ca="1" si="31"/>
        <v>0.96553438733256092</v>
      </c>
      <c r="H309" s="29">
        <v>0</v>
      </c>
      <c r="J309" s="22">
        <v>44854</v>
      </c>
      <c r="K309" s="26">
        <f t="shared" ca="1" si="32"/>
        <v>0.94949826191684261</v>
      </c>
      <c r="L309" s="29">
        <v>0</v>
      </c>
      <c r="N309" s="22">
        <v>44854</v>
      </c>
      <c r="O309" s="26">
        <f t="shared" ca="1" si="33"/>
        <v>0.5056137563623716</v>
      </c>
      <c r="P309" s="29">
        <v>0</v>
      </c>
      <c r="R309" s="22">
        <v>44854</v>
      </c>
      <c r="S309" s="26">
        <f t="shared" ca="1" si="34"/>
        <v>0.67648418900706286</v>
      </c>
      <c r="T309" s="29">
        <v>0</v>
      </c>
      <c r="V309" s="22">
        <v>44854</v>
      </c>
      <c r="W309" s="26">
        <f t="shared" ca="1" si="35"/>
        <v>0.1380476381709036</v>
      </c>
      <c r="X309" s="29">
        <v>0</v>
      </c>
      <c r="Z309" s="22">
        <v>44854</v>
      </c>
      <c r="AA309" s="26">
        <f t="shared" ca="1" si="36"/>
        <v>0.13960604105556895</v>
      </c>
      <c r="AB309" s="29">
        <v>0</v>
      </c>
      <c r="AC309"/>
      <c r="AD309" s="25"/>
      <c r="AF309" s="22">
        <v>44854</v>
      </c>
      <c r="AG309" s="26">
        <f t="shared" ca="1" si="37"/>
        <v>0.83988910320424526</v>
      </c>
      <c r="AH309" s="29">
        <v>0</v>
      </c>
      <c r="AJ309" s="22">
        <v>44854</v>
      </c>
      <c r="AK309" s="26">
        <f t="shared" ca="1" si="38"/>
        <v>0.98330486110371507</v>
      </c>
      <c r="AL309" s="29">
        <v>0</v>
      </c>
      <c r="AN309" s="22">
        <v>44854</v>
      </c>
      <c r="AO309" s="26">
        <f t="shared" ca="1" si="39"/>
        <v>0.49593197939912048</v>
      </c>
      <c r="AP309" s="29">
        <v>0</v>
      </c>
      <c r="AR309" s="22">
        <v>44854</v>
      </c>
      <c r="AS309" s="26">
        <f t="shared" ca="1" si="40"/>
        <v>0.18466248665944796</v>
      </c>
      <c r="AT309" s="29">
        <v>0</v>
      </c>
      <c r="AV309" s="22">
        <v>44854</v>
      </c>
      <c r="AW309" s="26">
        <f t="shared" ca="1" si="41"/>
        <v>1.7537951036779242E-2</v>
      </c>
      <c r="AX309" s="29">
        <v>0</v>
      </c>
      <c r="AZ309" s="22">
        <v>44854</v>
      </c>
      <c r="BA309" s="26">
        <f t="shared" ca="1" si="42"/>
        <v>0.43460233413699634</v>
      </c>
      <c r="BB309" s="29">
        <v>0</v>
      </c>
      <c r="BC309"/>
      <c r="BD309" s="25"/>
      <c r="BF309" s="22">
        <v>44854</v>
      </c>
      <c r="BG309" s="26">
        <f t="shared" ca="1" si="43"/>
        <v>0.99822755225895676</v>
      </c>
      <c r="BH309" s="29">
        <v>0</v>
      </c>
      <c r="BJ309" s="22">
        <v>44854</v>
      </c>
      <c r="BK309" s="26">
        <f t="shared" ca="1" si="44"/>
        <v>5.167483612400392E-2</v>
      </c>
      <c r="BL309" s="29">
        <v>0</v>
      </c>
      <c r="BN309" s="22">
        <v>44854</v>
      </c>
      <c r="BO309" s="26">
        <f t="shared" ca="1" si="45"/>
        <v>0.6207164672164347</v>
      </c>
      <c r="BP309" s="29">
        <v>0</v>
      </c>
      <c r="BR309" s="22">
        <v>44854</v>
      </c>
      <c r="BS309" s="26">
        <f t="shared" ca="1" si="46"/>
        <v>0.88273041098714011</v>
      </c>
      <c r="BT309" s="29">
        <v>0</v>
      </c>
      <c r="BV309" s="22">
        <v>44854</v>
      </c>
      <c r="BW309" s="26">
        <f t="shared" ca="1" si="47"/>
        <v>0.75767369005790797</v>
      </c>
      <c r="BX309" s="29">
        <v>0</v>
      </c>
    </row>
    <row r="310" spans="2:77" ht="12.75" x14ac:dyDescent="0.2">
      <c r="B310" s="22">
        <v>44855</v>
      </c>
      <c r="C310" s="26">
        <f t="shared" ca="1" si="0"/>
        <v>0.32981770864963789</v>
      </c>
      <c r="D310" s="29">
        <v>0</v>
      </c>
      <c r="F310" s="22">
        <v>44855</v>
      </c>
      <c r="G310" s="26">
        <f t="shared" ca="1" si="31"/>
        <v>0.61723840638438265</v>
      </c>
      <c r="H310" s="29">
        <v>0</v>
      </c>
      <c r="J310" s="22">
        <v>44855</v>
      </c>
      <c r="K310" s="26">
        <f t="shared" ca="1" si="32"/>
        <v>0.34976427869738047</v>
      </c>
      <c r="L310" s="29">
        <v>0</v>
      </c>
      <c r="N310" s="22">
        <v>44855</v>
      </c>
      <c r="O310" s="26">
        <f t="shared" ca="1" si="33"/>
        <v>0.62106820765687654</v>
      </c>
      <c r="P310" s="29">
        <v>0</v>
      </c>
      <c r="R310" s="22">
        <v>44855</v>
      </c>
      <c r="S310" s="26">
        <f t="shared" ca="1" si="34"/>
        <v>0.36249784990903611</v>
      </c>
      <c r="T310" s="29">
        <v>0</v>
      </c>
      <c r="V310" s="22">
        <v>44855</v>
      </c>
      <c r="W310" s="26">
        <f t="shared" ca="1" si="35"/>
        <v>0.20940522745246093</v>
      </c>
      <c r="X310" s="29">
        <v>0</v>
      </c>
      <c r="Z310" s="22">
        <v>44855</v>
      </c>
      <c r="AA310" s="26">
        <f t="shared" ca="1" si="36"/>
        <v>0.91189073359417538</v>
      </c>
      <c r="AB310" s="29">
        <v>0</v>
      </c>
      <c r="AC310"/>
      <c r="AD310" s="25"/>
      <c r="AF310" s="22">
        <v>44855</v>
      </c>
      <c r="AG310" s="26">
        <f t="shared" ca="1" si="37"/>
        <v>0.80482138780282486</v>
      </c>
      <c r="AH310" s="29">
        <v>0</v>
      </c>
      <c r="AJ310" s="22">
        <v>44855</v>
      </c>
      <c r="AK310" s="26">
        <f t="shared" ca="1" si="38"/>
        <v>0.82184584841237074</v>
      </c>
      <c r="AL310" s="29">
        <v>0</v>
      </c>
      <c r="AN310" s="22">
        <v>44855</v>
      </c>
      <c r="AO310" s="26">
        <f t="shared" ca="1" si="39"/>
        <v>0.35423478913116435</v>
      </c>
      <c r="AP310" s="29">
        <v>0</v>
      </c>
      <c r="AR310" s="22">
        <v>44855</v>
      </c>
      <c r="AS310" s="26">
        <f t="shared" ca="1" si="40"/>
        <v>0.86653104345956966</v>
      </c>
      <c r="AT310" s="29">
        <v>0</v>
      </c>
      <c r="AV310" s="22">
        <v>44855</v>
      </c>
      <c r="AW310" s="26">
        <f t="shared" ca="1" si="41"/>
        <v>0.18857587475259707</v>
      </c>
      <c r="AX310" s="29">
        <v>0</v>
      </c>
      <c r="AZ310" s="22">
        <v>44855</v>
      </c>
      <c r="BA310" s="26">
        <f t="shared" ca="1" si="42"/>
        <v>0.70482225029014856</v>
      </c>
      <c r="BB310" s="29">
        <v>0</v>
      </c>
      <c r="BC310"/>
      <c r="BD310" s="25"/>
      <c r="BF310" s="22">
        <v>44855</v>
      </c>
      <c r="BG310" s="26">
        <f t="shared" ca="1" si="43"/>
        <v>0.66704712593052284</v>
      </c>
      <c r="BH310" s="29">
        <v>0</v>
      </c>
      <c r="BJ310" s="22">
        <v>44855</v>
      </c>
      <c r="BK310" s="26">
        <f t="shared" ca="1" si="44"/>
        <v>0.17955361142255366</v>
      </c>
      <c r="BL310" s="29">
        <v>0</v>
      </c>
      <c r="BN310" s="22">
        <v>44855</v>
      </c>
      <c r="BO310" s="26">
        <f t="shared" ca="1" si="45"/>
        <v>0.63011562065948734</v>
      </c>
      <c r="BP310" s="29">
        <v>0</v>
      </c>
      <c r="BR310" s="22">
        <v>44855</v>
      </c>
      <c r="BS310" s="26">
        <f t="shared" ca="1" si="46"/>
        <v>0.74355519589810981</v>
      </c>
      <c r="BT310" s="29">
        <v>0</v>
      </c>
      <c r="BV310" s="22">
        <v>44855</v>
      </c>
      <c r="BW310" s="26">
        <f t="shared" ca="1" si="47"/>
        <v>0.50043965737277729</v>
      </c>
      <c r="BX310" s="29">
        <v>0</v>
      </c>
    </row>
    <row r="311" spans="2:77" ht="12.75" x14ac:dyDescent="0.2">
      <c r="B311" s="22">
        <v>44856</v>
      </c>
      <c r="C311" s="26">
        <f t="shared" ca="1" si="0"/>
        <v>0.90590871067918344</v>
      </c>
      <c r="D311" s="29">
        <v>0</v>
      </c>
      <c r="F311" s="22">
        <v>44856</v>
      </c>
      <c r="G311" s="26">
        <f t="shared" ca="1" si="31"/>
        <v>0.73654567307261898</v>
      </c>
      <c r="H311" s="29">
        <v>0</v>
      </c>
      <c r="J311" s="22">
        <v>44856</v>
      </c>
      <c r="K311" s="26">
        <f t="shared" ca="1" si="32"/>
        <v>0.35770820140850568</v>
      </c>
      <c r="L311" s="29">
        <v>0</v>
      </c>
      <c r="N311" s="22">
        <v>44856</v>
      </c>
      <c r="O311" s="26">
        <f t="shared" ca="1" si="33"/>
        <v>0.75573352221017376</v>
      </c>
      <c r="P311" s="29">
        <v>0</v>
      </c>
      <c r="R311" s="22">
        <v>44856</v>
      </c>
      <c r="S311" s="26">
        <f t="shared" ca="1" si="34"/>
        <v>0.49452914453781527</v>
      </c>
      <c r="T311" s="29">
        <v>0</v>
      </c>
      <c r="V311" s="22">
        <v>44856</v>
      </c>
      <c r="W311" s="26">
        <f t="shared" ca="1" si="35"/>
        <v>0.49879467308607905</v>
      </c>
      <c r="X311" s="29">
        <v>0</v>
      </c>
      <c r="Z311" s="22">
        <v>44856</v>
      </c>
      <c r="AA311" s="26">
        <f t="shared" ca="1" si="36"/>
        <v>0.30851209554690717</v>
      </c>
      <c r="AB311" s="29">
        <v>0</v>
      </c>
      <c r="AC311"/>
      <c r="AD311" s="25"/>
      <c r="AF311" s="22">
        <v>44856</v>
      </c>
      <c r="AG311" s="26">
        <f t="shared" ca="1" si="37"/>
        <v>0.8263763705440289</v>
      </c>
      <c r="AH311" s="29">
        <v>0</v>
      </c>
      <c r="AJ311" s="22">
        <v>44856</v>
      </c>
      <c r="AK311" s="26">
        <f t="shared" ca="1" si="38"/>
        <v>0.37972177636116</v>
      </c>
      <c r="AL311" s="29">
        <v>0</v>
      </c>
      <c r="AN311" s="22">
        <v>44856</v>
      </c>
      <c r="AO311" s="26">
        <f t="shared" ca="1" si="39"/>
        <v>0.82800345069533621</v>
      </c>
      <c r="AP311" s="29">
        <v>0</v>
      </c>
      <c r="AR311" s="22">
        <v>44856</v>
      </c>
      <c r="AS311" s="26">
        <f t="shared" ca="1" si="40"/>
        <v>0.11997490669946631</v>
      </c>
      <c r="AT311" s="29">
        <v>0</v>
      </c>
      <c r="AV311" s="22">
        <v>44856</v>
      </c>
      <c r="AW311" s="26">
        <f t="shared" ca="1" si="41"/>
        <v>9.24620021816005E-2</v>
      </c>
      <c r="AX311" s="29">
        <v>0</v>
      </c>
      <c r="AZ311" s="22">
        <v>44856</v>
      </c>
      <c r="BA311" s="26">
        <f t="shared" ca="1" si="42"/>
        <v>0.34590197256476429</v>
      </c>
      <c r="BB311" s="29">
        <v>0</v>
      </c>
      <c r="BC311"/>
      <c r="BD311" s="25"/>
      <c r="BF311" s="22">
        <v>44856</v>
      </c>
      <c r="BG311" s="26">
        <f t="shared" ca="1" si="43"/>
        <v>0.18978812940142853</v>
      </c>
      <c r="BH311" s="29">
        <v>0</v>
      </c>
      <c r="BJ311" s="22">
        <v>44856</v>
      </c>
      <c r="BK311" s="26">
        <f t="shared" ca="1" si="44"/>
        <v>0.8539147909005409</v>
      </c>
      <c r="BL311" s="29">
        <v>0</v>
      </c>
      <c r="BN311" s="22">
        <v>44856</v>
      </c>
      <c r="BO311" s="26">
        <f t="shared" ca="1" si="45"/>
        <v>0.56889436093168411</v>
      </c>
      <c r="BP311" s="29">
        <v>0</v>
      </c>
      <c r="BR311" s="22">
        <v>44856</v>
      </c>
      <c r="BS311" s="26">
        <f t="shared" ca="1" si="46"/>
        <v>6.6172549660273194E-2</v>
      </c>
      <c r="BT311" s="29">
        <v>0</v>
      </c>
      <c r="BV311" s="22">
        <v>44856</v>
      </c>
      <c r="BW311" s="26">
        <f t="shared" ca="1" si="47"/>
        <v>0.31374350315925037</v>
      </c>
      <c r="BX311" s="29">
        <v>0</v>
      </c>
    </row>
    <row r="312" spans="2:77" ht="12.75" x14ac:dyDescent="0.2">
      <c r="B312" s="22">
        <v>44857</v>
      </c>
      <c r="C312" s="26">
        <f t="shared" ca="1" si="0"/>
        <v>0.99448828313362336</v>
      </c>
      <c r="D312" s="29">
        <v>0</v>
      </c>
      <c r="F312" s="22">
        <v>44857</v>
      </c>
      <c r="G312" s="26">
        <f t="shared" ca="1" si="31"/>
        <v>0.1649064698781747</v>
      </c>
      <c r="H312" s="29">
        <v>0</v>
      </c>
      <c r="J312" s="22">
        <v>44857</v>
      </c>
      <c r="K312" s="26">
        <f t="shared" ca="1" si="32"/>
        <v>0.76325889908826205</v>
      </c>
      <c r="L312" s="29">
        <v>0</v>
      </c>
      <c r="N312" s="22">
        <v>44857</v>
      </c>
      <c r="O312" s="26">
        <f t="shared" ca="1" si="33"/>
        <v>0.72961125736331034</v>
      </c>
      <c r="P312" s="29">
        <v>0</v>
      </c>
      <c r="R312" s="22">
        <v>44857</v>
      </c>
      <c r="S312" s="26">
        <f t="shared" ca="1" si="34"/>
        <v>0.90404388912762867</v>
      </c>
      <c r="T312" s="29">
        <v>0</v>
      </c>
      <c r="V312" s="22">
        <v>44857</v>
      </c>
      <c r="W312" s="26">
        <f t="shared" ca="1" si="35"/>
        <v>0.7333899407421669</v>
      </c>
      <c r="X312" s="29">
        <v>0</v>
      </c>
      <c r="Z312" s="22">
        <v>44857</v>
      </c>
      <c r="AA312" s="26">
        <f t="shared" ca="1" si="36"/>
        <v>0.57193777461208795</v>
      </c>
      <c r="AB312" s="29">
        <v>0</v>
      </c>
      <c r="AC312"/>
      <c r="AD312" s="25"/>
      <c r="AF312" s="22">
        <v>44857</v>
      </c>
      <c r="AG312" s="26">
        <f t="shared" ca="1" si="37"/>
        <v>0.34577246643473136</v>
      </c>
      <c r="AH312" s="29">
        <v>0</v>
      </c>
      <c r="AJ312" s="22">
        <v>44857</v>
      </c>
      <c r="AK312" s="26">
        <f t="shared" ca="1" si="38"/>
        <v>0.7431816958432842</v>
      </c>
      <c r="AL312" s="29">
        <v>0</v>
      </c>
      <c r="AN312" s="22">
        <v>44857</v>
      </c>
      <c r="AO312" s="26">
        <f t="shared" ca="1" si="39"/>
        <v>8.0256920085134076E-2</v>
      </c>
      <c r="AP312" s="29">
        <v>0</v>
      </c>
      <c r="AR312" s="22">
        <v>44857</v>
      </c>
      <c r="AS312" s="26">
        <f t="shared" ca="1" si="40"/>
        <v>0.17801243586386295</v>
      </c>
      <c r="AT312" s="29">
        <v>0</v>
      </c>
      <c r="AV312" s="22">
        <v>44857</v>
      </c>
      <c r="AW312" s="26">
        <f t="shared" ca="1" si="41"/>
        <v>0.57930325193342269</v>
      </c>
      <c r="AX312" s="29">
        <v>0</v>
      </c>
      <c r="AZ312" s="22">
        <v>44857</v>
      </c>
      <c r="BA312" s="26">
        <f t="shared" ca="1" si="42"/>
        <v>5.2417372176641108E-2</v>
      </c>
      <c r="BB312" s="29">
        <v>0</v>
      </c>
      <c r="BC312"/>
      <c r="BD312" s="25"/>
      <c r="BF312" s="22">
        <v>44857</v>
      </c>
      <c r="BG312" s="26">
        <f t="shared" ca="1" si="43"/>
        <v>0.93330333838310187</v>
      </c>
      <c r="BH312" s="29">
        <v>0</v>
      </c>
      <c r="BJ312" s="22">
        <v>44857</v>
      </c>
      <c r="BK312" s="26">
        <f t="shared" ca="1" si="44"/>
        <v>4.5313684371398599E-3</v>
      </c>
      <c r="BL312" s="29">
        <v>0</v>
      </c>
      <c r="BN312" s="22">
        <v>44857</v>
      </c>
      <c r="BO312" s="26">
        <f t="shared" ca="1" si="45"/>
        <v>0.19521735305810561</v>
      </c>
      <c r="BP312" s="29">
        <v>0</v>
      </c>
      <c r="BR312" s="22">
        <v>44857</v>
      </c>
      <c r="BS312" s="26">
        <f t="shared" ca="1" si="46"/>
        <v>0.24641122514786784</v>
      </c>
      <c r="BT312" s="29">
        <v>0</v>
      </c>
      <c r="BV312" s="22">
        <v>44857</v>
      </c>
      <c r="BW312" s="26">
        <f t="shared" ca="1" si="47"/>
        <v>0.57300665337016399</v>
      </c>
      <c r="BX312" s="29">
        <v>0</v>
      </c>
    </row>
    <row r="313" spans="2:77" ht="12.75" x14ac:dyDescent="0.2">
      <c r="B313" s="22">
        <v>44858</v>
      </c>
      <c r="C313" s="26">
        <f t="shared" ca="1" si="0"/>
        <v>0.45920240239434928</v>
      </c>
      <c r="D313" s="29">
        <v>0</v>
      </c>
      <c r="F313" s="22">
        <v>44858</v>
      </c>
      <c r="G313" s="26">
        <f t="shared" ca="1" si="31"/>
        <v>0.37452263935629126</v>
      </c>
      <c r="H313" s="29">
        <v>0</v>
      </c>
      <c r="J313" s="22">
        <v>44858</v>
      </c>
      <c r="K313" s="26">
        <f t="shared" ca="1" si="32"/>
        <v>5.4595524020443431E-2</v>
      </c>
      <c r="L313" s="29">
        <v>0</v>
      </c>
      <c r="N313" s="22">
        <v>44858</v>
      </c>
      <c r="O313" s="26">
        <f t="shared" ca="1" si="33"/>
        <v>0.2919987614157421</v>
      </c>
      <c r="P313" s="29">
        <v>0</v>
      </c>
      <c r="R313" s="22">
        <v>44858</v>
      </c>
      <c r="S313" s="26">
        <f t="shared" ca="1" si="34"/>
        <v>0.9265708543905018</v>
      </c>
      <c r="T313" s="29">
        <v>0</v>
      </c>
      <c r="V313" s="22">
        <v>44858</v>
      </c>
      <c r="W313" s="26">
        <f t="shared" ca="1" si="35"/>
        <v>0.26476660468871804</v>
      </c>
      <c r="X313" s="29">
        <v>0</v>
      </c>
      <c r="Z313" s="22">
        <v>44858</v>
      </c>
      <c r="AA313" s="26">
        <f t="shared" ca="1" si="36"/>
        <v>0.95320702425636827</v>
      </c>
      <c r="AB313" s="29">
        <v>0</v>
      </c>
      <c r="AC313"/>
      <c r="AD313" s="25"/>
      <c r="AF313" s="22">
        <v>44858</v>
      </c>
      <c r="AG313" s="26">
        <f t="shared" ca="1" si="37"/>
        <v>0.10958500086026046</v>
      </c>
      <c r="AH313" s="29">
        <v>0</v>
      </c>
      <c r="AJ313" s="22">
        <v>44858</v>
      </c>
      <c r="AK313" s="26">
        <f t="shared" ca="1" si="38"/>
        <v>0.1021855496403441</v>
      </c>
      <c r="AL313" s="29">
        <v>0</v>
      </c>
      <c r="AN313" s="22">
        <v>44858</v>
      </c>
      <c r="AO313" s="26">
        <f t="shared" ca="1" si="39"/>
        <v>0.78144064870666186</v>
      </c>
      <c r="AP313" s="29">
        <v>0</v>
      </c>
      <c r="AR313" s="22">
        <v>44858</v>
      </c>
      <c r="AS313" s="26">
        <f t="shared" ca="1" si="40"/>
        <v>0.87359313003177186</v>
      </c>
      <c r="AT313" s="29">
        <v>0</v>
      </c>
      <c r="AV313" s="22">
        <v>44858</v>
      </c>
      <c r="AW313" s="26">
        <f t="shared" ca="1" si="41"/>
        <v>0.50875790310180835</v>
      </c>
      <c r="AX313" s="29">
        <v>0</v>
      </c>
      <c r="AZ313" s="22">
        <v>44858</v>
      </c>
      <c r="BA313" s="26">
        <f t="shared" ca="1" si="42"/>
        <v>0.82578935217411942</v>
      </c>
      <c r="BB313" s="29">
        <v>0</v>
      </c>
      <c r="BC313"/>
      <c r="BD313" s="25"/>
      <c r="BF313" s="22">
        <v>44858</v>
      </c>
      <c r="BG313" s="26">
        <f t="shared" ca="1" si="43"/>
        <v>0.72130075268470317</v>
      </c>
      <c r="BH313" s="29">
        <v>0</v>
      </c>
      <c r="BJ313" s="22">
        <v>44858</v>
      </c>
      <c r="BK313" s="26">
        <f t="shared" ca="1" si="44"/>
        <v>1.3135657117034238E-2</v>
      </c>
      <c r="BL313" s="29">
        <v>0</v>
      </c>
      <c r="BN313" s="22">
        <v>44858</v>
      </c>
      <c r="BO313" s="26">
        <f t="shared" ca="1" si="45"/>
        <v>0.95840486805363678</v>
      </c>
      <c r="BP313" s="29">
        <v>0</v>
      </c>
      <c r="BR313" s="22">
        <v>44858</v>
      </c>
      <c r="BS313" s="26">
        <f t="shared" ca="1" si="46"/>
        <v>0.75846631925374686</v>
      </c>
      <c r="BT313" s="29">
        <v>0</v>
      </c>
      <c r="BV313" s="22">
        <v>44858</v>
      </c>
      <c r="BW313" s="26">
        <f t="shared" ca="1" si="47"/>
        <v>0.12828697965718006</v>
      </c>
      <c r="BX313" s="29">
        <v>0</v>
      </c>
    </row>
    <row r="314" spans="2:77" ht="12.75" x14ac:dyDescent="0.2">
      <c r="B314" s="22">
        <v>44859</v>
      </c>
      <c r="C314" s="26">
        <f t="shared" ca="1" si="0"/>
        <v>0.41725815120321486</v>
      </c>
      <c r="D314" s="29">
        <v>0</v>
      </c>
      <c r="F314" s="22">
        <v>44859</v>
      </c>
      <c r="G314" s="26">
        <f t="shared" ca="1" si="31"/>
        <v>0.83257628808414463</v>
      </c>
      <c r="H314" s="29">
        <v>0</v>
      </c>
      <c r="J314" s="22">
        <v>44859</v>
      </c>
      <c r="K314" s="26">
        <f t="shared" ca="1" si="32"/>
        <v>0.94112985530270776</v>
      </c>
      <c r="L314" s="29">
        <v>0</v>
      </c>
      <c r="N314" s="22">
        <v>44859</v>
      </c>
      <c r="O314" s="26">
        <f t="shared" ca="1" si="33"/>
        <v>0.12794291588989981</v>
      </c>
      <c r="P314" s="29">
        <v>0</v>
      </c>
      <c r="R314" s="22">
        <v>44859</v>
      </c>
      <c r="S314" s="26">
        <f t="shared" ca="1" si="34"/>
        <v>0.12944314967900572</v>
      </c>
      <c r="T314" s="29">
        <v>0</v>
      </c>
      <c r="V314" s="22">
        <v>44859</v>
      </c>
      <c r="W314" s="26">
        <f t="shared" ca="1" si="35"/>
        <v>0.66283474958090272</v>
      </c>
      <c r="X314" s="29">
        <v>0</v>
      </c>
      <c r="Z314" s="22">
        <v>44859</v>
      </c>
      <c r="AA314" s="26">
        <f t="shared" ca="1" si="36"/>
        <v>1.4923419964266937E-2</v>
      </c>
      <c r="AB314" s="29">
        <v>0</v>
      </c>
      <c r="AC314"/>
      <c r="AD314" s="25"/>
      <c r="AF314" s="22">
        <v>44859</v>
      </c>
      <c r="AG314" s="26">
        <f t="shared" ca="1" si="37"/>
        <v>0.68701816991949638</v>
      </c>
      <c r="AH314" s="29">
        <v>0</v>
      </c>
      <c r="AJ314" s="22">
        <v>44859</v>
      </c>
      <c r="AK314" s="26">
        <f t="shared" ca="1" si="38"/>
        <v>0.65926949526766043</v>
      </c>
      <c r="AL314" s="29">
        <v>0</v>
      </c>
      <c r="AN314" s="22">
        <v>44859</v>
      </c>
      <c r="AO314" s="26">
        <f t="shared" ca="1" si="39"/>
        <v>0.84419703868348239</v>
      </c>
      <c r="AP314" s="29">
        <v>0</v>
      </c>
      <c r="AR314" s="22">
        <v>44859</v>
      </c>
      <c r="AS314" s="26">
        <f t="shared" ca="1" si="40"/>
        <v>0.36417644101228708</v>
      </c>
      <c r="AT314" s="29">
        <v>0</v>
      </c>
      <c r="AV314" s="22">
        <v>44859</v>
      </c>
      <c r="AW314" s="26">
        <f t="shared" ca="1" si="41"/>
        <v>0.47088285838207899</v>
      </c>
      <c r="AX314" s="29">
        <v>0</v>
      </c>
      <c r="AZ314" s="22">
        <v>44859</v>
      </c>
      <c r="BA314" s="26">
        <f t="shared" ca="1" si="42"/>
        <v>0.78457039421195107</v>
      </c>
      <c r="BB314" s="29">
        <v>0</v>
      </c>
      <c r="BC314"/>
      <c r="BD314" s="25"/>
      <c r="BF314" s="22">
        <v>44859</v>
      </c>
      <c r="BG314" s="26">
        <f t="shared" ca="1" si="43"/>
        <v>0.74706205446364526</v>
      </c>
      <c r="BH314" s="29">
        <v>0</v>
      </c>
      <c r="BJ314" s="22">
        <v>44859</v>
      </c>
      <c r="BK314" s="26">
        <f t="shared" ca="1" si="44"/>
        <v>0.8149937671469093</v>
      </c>
      <c r="BL314" s="29">
        <v>0</v>
      </c>
      <c r="BN314" s="22">
        <v>44859</v>
      </c>
      <c r="BO314" s="26">
        <f t="shared" ca="1" si="45"/>
        <v>0.8846866886737258</v>
      </c>
      <c r="BP314" s="29">
        <v>0</v>
      </c>
      <c r="BR314" s="22">
        <v>44859</v>
      </c>
      <c r="BS314" s="26">
        <f t="shared" ca="1" si="46"/>
        <v>0.52699661845572598</v>
      </c>
      <c r="BT314" s="29">
        <v>0</v>
      </c>
      <c r="BV314" s="22">
        <v>44859</v>
      </c>
      <c r="BW314" s="26">
        <f t="shared" ca="1" si="47"/>
        <v>0.57929841215533118</v>
      </c>
      <c r="BX314" s="29">
        <v>0</v>
      </c>
    </row>
    <row r="315" spans="2:77" ht="12.75" x14ac:dyDescent="0.2">
      <c r="B315" s="22">
        <v>44860</v>
      </c>
      <c r="C315" s="26">
        <f t="shared" ca="1" si="0"/>
        <v>0.56924475944457809</v>
      </c>
      <c r="D315" s="29">
        <f t="shared" ca="1" si="48"/>
        <v>79</v>
      </c>
      <c r="F315" s="22">
        <v>44860</v>
      </c>
      <c r="G315" s="26">
        <f t="shared" ca="1" si="31"/>
        <v>0.83124547153778683</v>
      </c>
      <c r="H315" s="29">
        <f t="shared" ca="1" si="27"/>
        <v>230</v>
      </c>
      <c r="J315" s="22">
        <v>44860</v>
      </c>
      <c r="K315" s="26">
        <f t="shared" ca="1" si="32"/>
        <v>0.42027204728441525</v>
      </c>
      <c r="L315" s="29">
        <f t="shared" ca="1" si="28"/>
        <v>148</v>
      </c>
      <c r="N315" s="22">
        <v>44860</v>
      </c>
      <c r="O315" s="26">
        <f t="shared" ca="1" si="33"/>
        <v>0.30352871512348456</v>
      </c>
      <c r="P315" s="29">
        <f t="shared" ca="1" si="29"/>
        <v>222</v>
      </c>
      <c r="R315" s="22">
        <v>44860</v>
      </c>
      <c r="S315" s="26">
        <f t="shared" ca="1" si="34"/>
        <v>0.76678611791597484</v>
      </c>
      <c r="T315" s="29">
        <f t="shared" ca="1" si="30"/>
        <v>146</v>
      </c>
      <c r="V315" s="22">
        <v>44860</v>
      </c>
      <c r="W315" s="26">
        <f t="shared" ca="1" si="35"/>
        <v>0.89046888322714923</v>
      </c>
      <c r="X315" s="29">
        <v>0</v>
      </c>
      <c r="Z315" s="22">
        <v>44860</v>
      </c>
      <c r="AA315" s="26">
        <f t="shared" ca="1" si="36"/>
        <v>0.6853990160040615</v>
      </c>
      <c r="AB315" s="29">
        <v>0</v>
      </c>
      <c r="AC315"/>
      <c r="AD315" s="25"/>
      <c r="AF315" s="22">
        <v>44860</v>
      </c>
      <c r="AG315" s="26">
        <f t="shared" ca="1" si="37"/>
        <v>0.78832444602069029</v>
      </c>
      <c r="AH315" s="29">
        <v>0</v>
      </c>
      <c r="AJ315" s="22">
        <v>44860</v>
      </c>
      <c r="AK315" s="26">
        <f t="shared" ca="1" si="38"/>
        <v>0.44752805020652631</v>
      </c>
      <c r="AL315" s="29">
        <v>0</v>
      </c>
      <c r="AN315" s="22">
        <v>44860</v>
      </c>
      <c r="AO315" s="26">
        <f t="shared" ca="1" si="39"/>
        <v>4.9536091836963281E-2</v>
      </c>
      <c r="AP315" s="29">
        <v>0</v>
      </c>
      <c r="AR315" s="22">
        <v>44860</v>
      </c>
      <c r="AS315" s="26">
        <f t="shared" ca="1" si="40"/>
        <v>0.97185145182546517</v>
      </c>
      <c r="AT315" s="29">
        <v>0</v>
      </c>
      <c r="AV315" s="22">
        <v>44860</v>
      </c>
      <c r="AW315" s="26">
        <f t="shared" ca="1" si="41"/>
        <v>0.20913908484863408</v>
      </c>
      <c r="AX315" s="29">
        <v>0</v>
      </c>
      <c r="AZ315" s="22">
        <v>44860</v>
      </c>
      <c r="BA315" s="26">
        <f t="shared" ca="1" si="42"/>
        <v>0.74778197023857951</v>
      </c>
      <c r="BB315" s="29">
        <v>0</v>
      </c>
      <c r="BC315"/>
      <c r="BD315" s="25"/>
      <c r="BF315" s="22">
        <v>44860</v>
      </c>
      <c r="BG315" s="26">
        <f t="shared" ca="1" si="43"/>
        <v>0.83177668906699875</v>
      </c>
      <c r="BH315" s="29">
        <v>0</v>
      </c>
      <c r="BJ315" s="22">
        <v>44860</v>
      </c>
      <c r="BK315" s="26">
        <f t="shared" ca="1" si="44"/>
        <v>0.49044522562406001</v>
      </c>
      <c r="BL315" s="29">
        <v>0</v>
      </c>
      <c r="BN315" s="22">
        <v>44860</v>
      </c>
      <c r="BO315" s="26">
        <f t="shared" ca="1" si="45"/>
        <v>0.90124539809408599</v>
      </c>
      <c r="BP315" s="29">
        <v>0</v>
      </c>
      <c r="BR315" s="22">
        <v>44860</v>
      </c>
      <c r="BS315" s="26">
        <f t="shared" ca="1" si="46"/>
        <v>0.88038637782560691</v>
      </c>
      <c r="BT315" s="29">
        <v>0</v>
      </c>
      <c r="BV315" s="22">
        <v>44860</v>
      </c>
      <c r="BW315" s="26">
        <f t="shared" ca="1" si="47"/>
        <v>0.28969341411644889</v>
      </c>
      <c r="BX315" s="29">
        <v>0</v>
      </c>
    </row>
    <row r="316" spans="2:77" ht="12.75" x14ac:dyDescent="0.2">
      <c r="B316" s="22">
        <v>44861</v>
      </c>
      <c r="C316" s="26">
        <f t="shared" ca="1" si="0"/>
        <v>0.86847017939480198</v>
      </c>
      <c r="D316" s="29">
        <f t="shared" ca="1" si="48"/>
        <v>98</v>
      </c>
      <c r="F316" s="22">
        <v>44861</v>
      </c>
      <c r="G316" s="26">
        <f t="shared" ca="1" si="31"/>
        <v>0.97228044116976819</v>
      </c>
      <c r="H316" s="29">
        <f t="shared" ca="1" si="27"/>
        <v>243</v>
      </c>
      <c r="J316" s="22">
        <v>44861</v>
      </c>
      <c r="K316" s="26">
        <f t="shared" ca="1" si="32"/>
        <v>0.37348528296197947</v>
      </c>
      <c r="L316" s="29">
        <f t="shared" ca="1" si="28"/>
        <v>147</v>
      </c>
      <c r="N316" s="22">
        <v>44861</v>
      </c>
      <c r="O316" s="26">
        <f t="shared" ca="1" si="33"/>
        <v>0.3629461747956626</v>
      </c>
      <c r="P316" s="29">
        <f t="shared" ca="1" si="29"/>
        <v>224</v>
      </c>
      <c r="R316" s="22">
        <v>44861</v>
      </c>
      <c r="S316" s="26">
        <f t="shared" ca="1" si="34"/>
        <v>0.25221315654343091</v>
      </c>
      <c r="T316" s="29">
        <f t="shared" ca="1" si="30"/>
        <v>133</v>
      </c>
      <c r="V316" s="22">
        <v>44861</v>
      </c>
      <c r="W316" s="26">
        <f t="shared" ca="1" si="35"/>
        <v>0.45545591986258249</v>
      </c>
      <c r="X316" s="29">
        <v>0</v>
      </c>
      <c r="Z316" s="22">
        <v>44861</v>
      </c>
      <c r="AA316" s="26">
        <f t="shared" ca="1" si="36"/>
        <v>0.7250203994974328</v>
      </c>
      <c r="AB316" s="29">
        <v>0</v>
      </c>
      <c r="AC316"/>
      <c r="AD316" s="25"/>
      <c r="AF316" s="22">
        <v>44861</v>
      </c>
      <c r="AG316" s="26">
        <f t="shared" ca="1" si="37"/>
        <v>0.39008148655593722</v>
      </c>
      <c r="AH316" s="29">
        <v>0</v>
      </c>
      <c r="AJ316" s="22">
        <v>44861</v>
      </c>
      <c r="AK316" s="26">
        <f t="shared" ca="1" si="38"/>
        <v>0.96934498981448658</v>
      </c>
      <c r="AL316" s="29">
        <v>0</v>
      </c>
      <c r="AN316" s="22">
        <v>44861</v>
      </c>
      <c r="AO316" s="26">
        <f t="shared" ca="1" si="39"/>
        <v>0.61579682557458981</v>
      </c>
      <c r="AP316" s="29">
        <v>0</v>
      </c>
      <c r="AR316" s="22">
        <v>44861</v>
      </c>
      <c r="AS316" s="26">
        <f t="shared" ca="1" si="40"/>
        <v>0.10400678011947795</v>
      </c>
      <c r="AT316" s="29">
        <v>0</v>
      </c>
      <c r="AV316" s="22">
        <v>44861</v>
      </c>
      <c r="AW316" s="26">
        <f t="shared" ca="1" si="41"/>
        <v>0.5210945735387954</v>
      </c>
      <c r="AX316" s="29">
        <v>0</v>
      </c>
      <c r="AZ316" s="22">
        <v>44861</v>
      </c>
      <c r="BA316" s="26">
        <f t="shared" ca="1" si="42"/>
        <v>0.35454414441172433</v>
      </c>
      <c r="BB316" s="29">
        <v>0</v>
      </c>
      <c r="BC316"/>
      <c r="BD316" s="25"/>
      <c r="BF316" s="22">
        <v>44861</v>
      </c>
      <c r="BG316" s="26">
        <f t="shared" ca="1" si="43"/>
        <v>5.5116850524159711E-2</v>
      </c>
      <c r="BH316" s="29">
        <v>0</v>
      </c>
      <c r="BJ316" s="22">
        <v>44861</v>
      </c>
      <c r="BK316" s="26">
        <f t="shared" ca="1" si="44"/>
        <v>0.81638282927814765</v>
      </c>
      <c r="BL316" s="29">
        <v>0</v>
      </c>
      <c r="BN316" s="22">
        <v>44861</v>
      </c>
      <c r="BO316" s="26">
        <f t="shared" ca="1" si="45"/>
        <v>0.4741141027598611</v>
      </c>
      <c r="BP316" s="29">
        <v>0</v>
      </c>
      <c r="BR316" s="22">
        <v>44861</v>
      </c>
      <c r="BS316" s="26">
        <f t="shared" ca="1" si="46"/>
        <v>2.8853457589718579E-2</v>
      </c>
      <c r="BT316" s="29">
        <v>0</v>
      </c>
      <c r="BV316" s="22">
        <v>44861</v>
      </c>
      <c r="BW316" s="26">
        <f t="shared" ca="1" si="47"/>
        <v>0.2164162780633494</v>
      </c>
      <c r="BX316" s="29">
        <v>0</v>
      </c>
    </row>
    <row r="317" spans="2:77" ht="12.75" x14ac:dyDescent="0.2">
      <c r="B317" s="22">
        <v>44862</v>
      </c>
      <c r="C317" s="26">
        <f t="shared" ca="1" si="0"/>
        <v>0.37577074634245666</v>
      </c>
      <c r="D317" s="29">
        <f t="shared" ca="1" si="48"/>
        <v>69</v>
      </c>
      <c r="F317" s="22">
        <v>44862</v>
      </c>
      <c r="G317" s="26">
        <f t="shared" ca="1" si="31"/>
        <v>0.3868551046851153</v>
      </c>
      <c r="H317" s="29">
        <f t="shared" ca="1" si="27"/>
        <v>212</v>
      </c>
      <c r="J317" s="22">
        <v>44862</v>
      </c>
      <c r="K317" s="26">
        <f t="shared" ca="1" si="32"/>
        <v>0.17276074574758649</v>
      </c>
      <c r="L317" s="29">
        <f t="shared" ca="1" si="28"/>
        <v>141</v>
      </c>
      <c r="N317" s="22">
        <v>44862</v>
      </c>
      <c r="O317" s="26">
        <f t="shared" ca="1" si="33"/>
        <v>0.42888959031803331</v>
      </c>
      <c r="P317" s="29">
        <f t="shared" ca="1" si="29"/>
        <v>227</v>
      </c>
      <c r="R317" s="22">
        <v>44862</v>
      </c>
      <c r="S317" s="26">
        <f t="shared" ca="1" si="34"/>
        <v>0.89099291347407417</v>
      </c>
      <c r="T317" s="29">
        <f t="shared" ca="1" si="30"/>
        <v>151</v>
      </c>
      <c r="V317" s="22">
        <v>44862</v>
      </c>
      <c r="W317" s="26">
        <f t="shared" ca="1" si="35"/>
        <v>0.18142707782780121</v>
      </c>
      <c r="X317" s="29">
        <v>0</v>
      </c>
      <c r="Z317" s="22">
        <v>44862</v>
      </c>
      <c r="AA317" s="26">
        <f t="shared" ca="1" si="36"/>
        <v>0.82294059332653824</v>
      </c>
      <c r="AB317" s="29">
        <v>0</v>
      </c>
      <c r="AC317"/>
      <c r="AD317" s="25"/>
      <c r="AF317" s="22">
        <v>44862</v>
      </c>
      <c r="AG317" s="26">
        <f t="shared" ca="1" si="37"/>
        <v>0.3838736469964813</v>
      </c>
      <c r="AH317" s="29">
        <v>0</v>
      </c>
      <c r="AJ317" s="22">
        <v>44862</v>
      </c>
      <c r="AK317" s="26">
        <f t="shared" ca="1" si="38"/>
        <v>0.56298009364733526</v>
      </c>
      <c r="AL317" s="29">
        <v>0</v>
      </c>
      <c r="AN317" s="22">
        <v>44862</v>
      </c>
      <c r="AO317" s="26">
        <f t="shared" ca="1" si="39"/>
        <v>0.72753814778567305</v>
      </c>
      <c r="AP317" s="29">
        <v>0</v>
      </c>
      <c r="AR317" s="22">
        <v>44862</v>
      </c>
      <c r="AS317" s="26">
        <f t="shared" ca="1" si="40"/>
        <v>4.5024268326576244E-2</v>
      </c>
      <c r="AT317" s="29">
        <v>0</v>
      </c>
      <c r="AV317" s="22">
        <v>44862</v>
      </c>
      <c r="AW317" s="26">
        <f t="shared" ca="1" si="41"/>
        <v>0.4340285536477605</v>
      </c>
      <c r="AX317" s="29">
        <v>0</v>
      </c>
      <c r="AZ317" s="22">
        <v>44862</v>
      </c>
      <c r="BA317" s="26">
        <f t="shared" ca="1" si="42"/>
        <v>0.16763147645199217</v>
      </c>
      <c r="BB317" s="29">
        <v>0</v>
      </c>
      <c r="BC317"/>
      <c r="BD317" s="25"/>
      <c r="BF317" s="22">
        <v>44862</v>
      </c>
      <c r="BG317" s="26">
        <f t="shared" ca="1" si="43"/>
        <v>0.837072235746532</v>
      </c>
      <c r="BH317" s="29">
        <v>0</v>
      </c>
      <c r="BJ317" s="22">
        <v>44862</v>
      </c>
      <c r="BK317" s="26">
        <f t="shared" ca="1" si="44"/>
        <v>0.33447520600822334</v>
      </c>
      <c r="BL317" s="29">
        <v>0</v>
      </c>
      <c r="BN317" s="22">
        <v>44862</v>
      </c>
      <c r="BO317" s="26">
        <f t="shared" ca="1" si="45"/>
        <v>0.21039037167318209</v>
      </c>
      <c r="BP317" s="29">
        <v>0</v>
      </c>
      <c r="BR317" s="22">
        <v>44862</v>
      </c>
      <c r="BS317" s="26">
        <f t="shared" ca="1" si="46"/>
        <v>0.89950270088807016</v>
      </c>
      <c r="BT317" s="29">
        <v>0</v>
      </c>
      <c r="BV317" s="22">
        <v>44862</v>
      </c>
      <c r="BW317" s="26">
        <f t="shared" ca="1" si="47"/>
        <v>0.39160192071204591</v>
      </c>
      <c r="BX317" s="29">
        <v>0</v>
      </c>
    </row>
    <row r="318" spans="2:77" ht="12.75" x14ac:dyDescent="0.2">
      <c r="B318" s="22">
        <v>44863</v>
      </c>
      <c r="C318" s="26">
        <f t="shared" ca="1" si="0"/>
        <v>0.47045630151934292</v>
      </c>
      <c r="D318" s="29">
        <f t="shared" ca="1" si="48"/>
        <v>74</v>
      </c>
      <c r="F318" s="22">
        <v>44863</v>
      </c>
      <c r="G318" s="26">
        <f t="shared" ca="1" si="31"/>
        <v>0.9439142485452392</v>
      </c>
      <c r="H318" s="29">
        <f t="shared" ca="1" si="27"/>
        <v>239</v>
      </c>
      <c r="J318" s="22">
        <v>44863</v>
      </c>
      <c r="K318" s="26">
        <f t="shared" ca="1" si="32"/>
        <v>0.82055071792311873</v>
      </c>
      <c r="L318" s="29">
        <f t="shared" ca="1" si="28"/>
        <v>160</v>
      </c>
      <c r="N318" s="22">
        <v>44863</v>
      </c>
      <c r="O318" s="26">
        <f t="shared" ca="1" si="33"/>
        <v>0.16011000063056502</v>
      </c>
      <c r="P318" s="29">
        <f t="shared" ca="1" si="29"/>
        <v>215</v>
      </c>
      <c r="R318" s="22">
        <v>44863</v>
      </c>
      <c r="S318" s="26">
        <f t="shared" ca="1" si="34"/>
        <v>0.7680500921314547</v>
      </c>
      <c r="T318" s="29">
        <f t="shared" ca="1" si="30"/>
        <v>146</v>
      </c>
      <c r="V318" s="22">
        <v>44863</v>
      </c>
      <c r="W318" s="26">
        <f t="shared" ca="1" si="35"/>
        <v>0.1971815894414517</v>
      </c>
      <c r="X318" s="29">
        <v>0</v>
      </c>
      <c r="Z318" s="22">
        <v>44863</v>
      </c>
      <c r="AA318" s="26">
        <f t="shared" ca="1" si="36"/>
        <v>0.98364679361789431</v>
      </c>
      <c r="AB318" s="29">
        <v>0</v>
      </c>
      <c r="AC318"/>
      <c r="AD318" s="25"/>
      <c r="AF318" s="22">
        <v>44863</v>
      </c>
      <c r="AG318" s="26">
        <f t="shared" ca="1" si="37"/>
        <v>0.11181363324655225</v>
      </c>
      <c r="AH318" s="29">
        <v>0</v>
      </c>
      <c r="AJ318" s="22">
        <v>44863</v>
      </c>
      <c r="AK318" s="26">
        <f t="shared" ca="1" si="38"/>
        <v>0.39893750250968196</v>
      </c>
      <c r="AL318" s="29">
        <v>0</v>
      </c>
      <c r="AN318" s="22">
        <v>44863</v>
      </c>
      <c r="AO318" s="26">
        <f t="shared" ca="1" si="39"/>
        <v>0.41989568839306757</v>
      </c>
      <c r="AP318" s="29">
        <v>0</v>
      </c>
      <c r="AR318" s="22">
        <v>44863</v>
      </c>
      <c r="AS318" s="26">
        <f t="shared" ca="1" si="40"/>
        <v>0.70936345473220053</v>
      </c>
      <c r="AT318" s="29">
        <v>0</v>
      </c>
      <c r="AV318" s="22">
        <v>44863</v>
      </c>
      <c r="AW318" s="26">
        <f t="shared" ca="1" si="41"/>
        <v>0.77867083467555198</v>
      </c>
      <c r="AX318" s="29">
        <v>0</v>
      </c>
      <c r="AZ318" s="22">
        <v>44863</v>
      </c>
      <c r="BA318" s="26">
        <f t="shared" ca="1" si="42"/>
        <v>0.7067222868485673</v>
      </c>
      <c r="BB318" s="29">
        <v>0</v>
      </c>
      <c r="BC318"/>
      <c r="BD318" s="25"/>
      <c r="BF318" s="22">
        <v>44863</v>
      </c>
      <c r="BG318" s="26">
        <f t="shared" ca="1" si="43"/>
        <v>5.3090464451346908E-2</v>
      </c>
      <c r="BH318" s="29">
        <v>0</v>
      </c>
      <c r="BJ318" s="22">
        <v>44863</v>
      </c>
      <c r="BK318" s="26">
        <f t="shared" ca="1" si="44"/>
        <v>0.62968891334567834</v>
      </c>
      <c r="BL318" s="29">
        <v>0</v>
      </c>
      <c r="BN318" s="22">
        <v>44863</v>
      </c>
      <c r="BO318" s="26">
        <f t="shared" ca="1" si="45"/>
        <v>0.11631101766272889</v>
      </c>
      <c r="BP318" s="29">
        <v>0</v>
      </c>
      <c r="BR318" s="22">
        <v>44863</v>
      </c>
      <c r="BS318" s="26">
        <f t="shared" ca="1" si="46"/>
        <v>0.20009353281534803</v>
      </c>
      <c r="BT318" s="29">
        <v>0</v>
      </c>
      <c r="BV318" s="22">
        <v>44863</v>
      </c>
      <c r="BW318" s="26">
        <f t="shared" ca="1" si="47"/>
        <v>0.57850910470172046</v>
      </c>
      <c r="BX318" s="29">
        <v>0</v>
      </c>
    </row>
    <row r="319" spans="2:77" ht="12.75" x14ac:dyDescent="0.2">
      <c r="B319" s="22">
        <v>44864</v>
      </c>
      <c r="C319" s="26">
        <f t="shared" ca="1" si="0"/>
        <v>4.4205928955469376E-2</v>
      </c>
      <c r="D319" s="29">
        <f t="shared" ca="1" si="48"/>
        <v>41</v>
      </c>
      <c r="F319" s="22">
        <v>44864</v>
      </c>
      <c r="G319" s="26">
        <f t="shared" ca="1" si="31"/>
        <v>0.85228520849869527</v>
      </c>
      <c r="H319" s="29">
        <f t="shared" ca="1" si="27"/>
        <v>231</v>
      </c>
      <c r="J319" s="22">
        <v>44864</v>
      </c>
      <c r="K319" s="26">
        <f t="shared" ca="1" si="32"/>
        <v>0.87199742759960086</v>
      </c>
      <c r="L319" s="29">
        <f t="shared" ca="1" si="28"/>
        <v>162</v>
      </c>
      <c r="N319" s="22">
        <v>44864</v>
      </c>
      <c r="O319" s="26">
        <f t="shared" ca="1" si="33"/>
        <v>0.52000669826706436</v>
      </c>
      <c r="P319" s="29">
        <f t="shared" ca="1" si="29"/>
        <v>231</v>
      </c>
      <c r="R319" s="22">
        <v>44864</v>
      </c>
      <c r="S319" s="26">
        <f t="shared" ca="1" si="34"/>
        <v>0.99338383428750587</v>
      </c>
      <c r="T319" s="29">
        <f t="shared" ca="1" si="30"/>
        <v>162</v>
      </c>
      <c r="V319" s="22">
        <v>44864</v>
      </c>
      <c r="W319" s="26">
        <f t="shared" ca="1" si="35"/>
        <v>0.18050076375927071</v>
      </c>
      <c r="X319" s="29">
        <v>0</v>
      </c>
      <c r="Z319" s="22">
        <v>44864</v>
      </c>
      <c r="AA319" s="26">
        <f t="shared" ca="1" si="36"/>
        <v>0.75716565492177723</v>
      </c>
      <c r="AB319" s="29">
        <v>0</v>
      </c>
      <c r="AC319"/>
      <c r="AD319" s="25"/>
      <c r="AF319" s="22">
        <v>44864</v>
      </c>
      <c r="AG319" s="26">
        <f t="shared" ca="1" si="37"/>
        <v>0.77110717691408637</v>
      </c>
      <c r="AH319" s="29">
        <v>0</v>
      </c>
      <c r="AJ319" s="22">
        <v>44864</v>
      </c>
      <c r="AK319" s="26">
        <f t="shared" ca="1" si="38"/>
        <v>0.42312418029693732</v>
      </c>
      <c r="AL319" s="29">
        <v>0</v>
      </c>
      <c r="AN319" s="22">
        <v>44864</v>
      </c>
      <c r="AO319" s="26">
        <f t="shared" ca="1" si="39"/>
        <v>3.3039712297996293E-2</v>
      </c>
      <c r="AP319" s="29">
        <v>0</v>
      </c>
      <c r="AR319" s="22">
        <v>44864</v>
      </c>
      <c r="AS319" s="26">
        <f t="shared" ca="1" si="40"/>
        <v>0.71371364051088093</v>
      </c>
      <c r="AT319" s="29">
        <v>0</v>
      </c>
      <c r="AV319" s="22">
        <v>44864</v>
      </c>
      <c r="AW319" s="26">
        <f t="shared" ca="1" si="41"/>
        <v>0.49012533228133737</v>
      </c>
      <c r="AX319" s="29">
        <v>0</v>
      </c>
      <c r="AZ319" s="22">
        <v>44864</v>
      </c>
      <c r="BA319" s="26">
        <f t="shared" ca="1" si="42"/>
        <v>0.77069305197250293</v>
      </c>
      <c r="BB319" s="29">
        <v>0</v>
      </c>
      <c r="BC319"/>
      <c r="BD319" s="25"/>
      <c r="BF319" s="22">
        <v>44864</v>
      </c>
      <c r="BG319" s="26">
        <f t="shared" ca="1" si="43"/>
        <v>0.91018927167336827</v>
      </c>
      <c r="BH319" s="29">
        <v>0</v>
      </c>
      <c r="BJ319" s="22">
        <v>44864</v>
      </c>
      <c r="BK319" s="26">
        <f t="shared" ca="1" si="44"/>
        <v>0.12537836335106878</v>
      </c>
      <c r="BL319" s="29">
        <v>0</v>
      </c>
      <c r="BN319" s="22">
        <v>44864</v>
      </c>
      <c r="BO319" s="26">
        <f t="shared" ca="1" si="45"/>
        <v>0.30672828388945805</v>
      </c>
      <c r="BP319" s="29">
        <v>0</v>
      </c>
      <c r="BR319" s="22">
        <v>44864</v>
      </c>
      <c r="BS319" s="26">
        <f t="shared" ca="1" si="46"/>
        <v>0.61382040713000519</v>
      </c>
      <c r="BT319" s="29">
        <v>0</v>
      </c>
      <c r="BV319" s="22">
        <v>44864</v>
      </c>
      <c r="BW319" s="26">
        <f t="shared" ca="1" si="47"/>
        <v>0.68668917612930269</v>
      </c>
      <c r="BX319" s="29">
        <v>0</v>
      </c>
    </row>
    <row r="320" spans="2:77" ht="12.75" x14ac:dyDescent="0.2">
      <c r="B320" s="22">
        <v>44865</v>
      </c>
      <c r="C320" s="26">
        <f t="shared" ca="1" si="0"/>
        <v>7.2673999407789736E-2</v>
      </c>
      <c r="D320" s="29">
        <f t="shared" ca="1" si="48"/>
        <v>46</v>
      </c>
      <c r="E320">
        <v>1727</v>
      </c>
      <c r="F320" s="22">
        <v>44865</v>
      </c>
      <c r="G320" s="26">
        <f t="shared" ca="1" si="31"/>
        <v>0.53654035219995055</v>
      </c>
      <c r="H320" s="29">
        <f t="shared" ca="1" si="27"/>
        <v>217</v>
      </c>
      <c r="I320">
        <v>4725</v>
      </c>
      <c r="J320" s="22">
        <v>44865</v>
      </c>
      <c r="K320" s="26">
        <f t="shared" ca="1" si="32"/>
        <v>0.67309827733411598</v>
      </c>
      <c r="L320" s="29">
        <f t="shared" ca="1" si="28"/>
        <v>155</v>
      </c>
      <c r="M320">
        <v>3278</v>
      </c>
      <c r="N320" s="22">
        <v>44865</v>
      </c>
      <c r="O320" s="26">
        <f t="shared" ca="1" si="33"/>
        <v>0.19892745918321153</v>
      </c>
      <c r="P320" s="29">
        <f t="shared" ca="1" si="29"/>
        <v>217</v>
      </c>
      <c r="Q320">
        <v>5084</v>
      </c>
      <c r="R320" s="22">
        <v>44865</v>
      </c>
      <c r="S320" s="26">
        <f t="shared" ca="1" si="34"/>
        <v>0.36783599993573279</v>
      </c>
      <c r="T320" s="29">
        <f t="shared" ca="1" si="30"/>
        <v>136</v>
      </c>
      <c r="U320">
        <v>3015</v>
      </c>
      <c r="V320" s="22">
        <v>44865</v>
      </c>
      <c r="W320" s="26">
        <f t="shared" ca="1" si="35"/>
        <v>0.36237399344755283</v>
      </c>
      <c r="X320" s="29">
        <v>0</v>
      </c>
      <c r="Y320">
        <v>0</v>
      </c>
      <c r="Z320" s="22">
        <v>44865</v>
      </c>
      <c r="AA320" s="26">
        <f t="shared" ca="1" si="36"/>
        <v>0.86115702537184913</v>
      </c>
      <c r="AB320" s="29">
        <v>0</v>
      </c>
      <c r="AC320">
        <v>0</v>
      </c>
      <c r="AD320" s="25"/>
      <c r="AF320" s="22">
        <v>44865</v>
      </c>
      <c r="AG320" s="26">
        <f t="shared" ca="1" si="37"/>
        <v>0.15868914919907151</v>
      </c>
      <c r="AH320" s="29">
        <v>0</v>
      </c>
      <c r="AI320">
        <v>0</v>
      </c>
      <c r="AJ320" s="22">
        <v>44865</v>
      </c>
      <c r="AK320" s="26">
        <f t="shared" ca="1" si="38"/>
        <v>0.49253098381539517</v>
      </c>
      <c r="AL320" s="29">
        <v>0</v>
      </c>
      <c r="AM320">
        <v>0</v>
      </c>
      <c r="AN320" s="22">
        <v>44865</v>
      </c>
      <c r="AO320" s="26">
        <f t="shared" ca="1" si="39"/>
        <v>0.99372053254987935</v>
      </c>
      <c r="AP320" s="29">
        <v>0</v>
      </c>
      <c r="AQ320">
        <v>0</v>
      </c>
      <c r="AR320" s="22">
        <v>44865</v>
      </c>
      <c r="AS320" s="26">
        <f t="shared" ca="1" si="40"/>
        <v>0.8805676037710134</v>
      </c>
      <c r="AT320" s="29">
        <v>0</v>
      </c>
      <c r="AU320">
        <v>0</v>
      </c>
      <c r="AV320" s="22">
        <v>44865</v>
      </c>
      <c r="AW320" s="26">
        <f t="shared" ca="1" si="41"/>
        <v>0.16980756684353882</v>
      </c>
      <c r="AX320" s="29">
        <v>0</v>
      </c>
      <c r="AY320">
        <v>0</v>
      </c>
      <c r="AZ320" s="22">
        <v>44865</v>
      </c>
      <c r="BA320" s="26">
        <f t="shared" ca="1" si="42"/>
        <v>0.15096420188086257</v>
      </c>
      <c r="BB320" s="29">
        <v>0</v>
      </c>
      <c r="BC320">
        <v>0</v>
      </c>
      <c r="BD320" s="25"/>
      <c r="BF320" s="22">
        <v>44865</v>
      </c>
      <c r="BG320" s="26">
        <f t="shared" ca="1" si="43"/>
        <v>0.59311233333260094</v>
      </c>
      <c r="BH320" s="29">
        <v>0</v>
      </c>
      <c r="BI320">
        <v>0</v>
      </c>
      <c r="BJ320" s="22">
        <v>44865</v>
      </c>
      <c r="BK320" s="26">
        <f t="shared" ca="1" si="44"/>
        <v>0.56205809651372429</v>
      </c>
      <c r="BL320" s="29">
        <v>0</v>
      </c>
      <c r="BM320">
        <v>0</v>
      </c>
      <c r="BN320" s="22">
        <v>44865</v>
      </c>
      <c r="BO320" s="26">
        <f t="shared" ca="1" si="45"/>
        <v>0.58430876262881093</v>
      </c>
      <c r="BP320" s="29">
        <v>0</v>
      </c>
      <c r="BQ320">
        <v>0</v>
      </c>
      <c r="BR320" s="22">
        <v>44865</v>
      </c>
      <c r="BS320" s="26">
        <f t="shared" ca="1" si="46"/>
        <v>4.9415065838913974E-2</v>
      </c>
      <c r="BT320" s="29">
        <v>0</v>
      </c>
      <c r="BU320">
        <v>0</v>
      </c>
      <c r="BV320" s="22">
        <v>44865</v>
      </c>
      <c r="BW320" s="26">
        <f t="shared" ca="1" si="47"/>
        <v>3.8130623901046046E-2</v>
      </c>
      <c r="BX320" s="29">
        <v>0</v>
      </c>
      <c r="BY320">
        <v>0</v>
      </c>
    </row>
    <row r="321" spans="2:76" ht="12.75" x14ac:dyDescent="0.2">
      <c r="B321" s="22">
        <v>44866</v>
      </c>
      <c r="C321" s="26">
        <f t="shared" ca="1" si="0"/>
        <v>0.21012280144746909</v>
      </c>
      <c r="D321" s="29">
        <f ca="1">ROUNDUP(_xlfn.NORM.INV(C320,C$10,C$12),0)</f>
        <v>46</v>
      </c>
      <c r="F321" s="22">
        <v>44866</v>
      </c>
      <c r="G321" s="26">
        <f t="shared" ca="1" si="31"/>
        <v>0.72280671544813258</v>
      </c>
      <c r="H321" s="29">
        <f ca="1">ROUNDUP(_xlfn.NORM.INV(G320,G$10,G$12),0)</f>
        <v>217</v>
      </c>
      <c r="J321" s="22">
        <v>44866</v>
      </c>
      <c r="K321" s="26">
        <f t="shared" ca="1" si="32"/>
        <v>0.63138533571437749</v>
      </c>
      <c r="L321" s="29">
        <f ca="1">ROUNDUP(_xlfn.NORM.INV(K320,K$10,K$12),0)</f>
        <v>155</v>
      </c>
      <c r="N321" s="22">
        <v>44866</v>
      </c>
      <c r="O321" s="26">
        <f t="shared" ca="1" si="33"/>
        <v>0.49895380084571073</v>
      </c>
      <c r="P321" s="29">
        <f ca="1">ROUNDUP(_xlfn.NORM.INV(O320,O$10,O$12),0)</f>
        <v>217</v>
      </c>
      <c r="R321" s="22">
        <v>44866</v>
      </c>
      <c r="S321" s="26">
        <f t="shared" ca="1" si="34"/>
        <v>0.29506579641255759</v>
      </c>
      <c r="T321" s="29">
        <f ca="1">ROUNDUP(_xlfn.NORM.INV(S320,S$10,S$12),0)</f>
        <v>136</v>
      </c>
      <c r="V321" s="22">
        <v>44866</v>
      </c>
      <c r="W321" s="26">
        <f t="shared" ca="1" si="35"/>
        <v>0.43152445013462515</v>
      </c>
      <c r="X321" s="29">
        <v>0</v>
      </c>
      <c r="Z321" s="22">
        <v>44866</v>
      </c>
      <c r="AA321" s="26">
        <f t="shared" ca="1" si="36"/>
        <v>0.46188889235433317</v>
      </c>
      <c r="AB321" s="29">
        <v>0</v>
      </c>
      <c r="AC321"/>
      <c r="AD321" s="25"/>
      <c r="AF321" s="22">
        <v>44866</v>
      </c>
      <c r="AG321" s="26">
        <f t="shared" ca="1" si="37"/>
        <v>0.66226628826712886</v>
      </c>
      <c r="AH321" s="29">
        <v>0</v>
      </c>
      <c r="AJ321" s="22">
        <v>44866</v>
      </c>
      <c r="AK321" s="26">
        <f t="shared" ca="1" si="38"/>
        <v>0.91502928618606694</v>
      </c>
      <c r="AL321" s="29">
        <v>0</v>
      </c>
      <c r="AN321" s="22">
        <v>44866</v>
      </c>
      <c r="AO321" s="26">
        <f t="shared" ca="1" si="39"/>
        <v>0.33937462043137301</v>
      </c>
      <c r="AP321" s="29">
        <v>0</v>
      </c>
      <c r="AR321" s="22">
        <v>44866</v>
      </c>
      <c r="AS321" s="26">
        <f t="shared" ca="1" si="40"/>
        <v>0.78468144467559153</v>
      </c>
      <c r="AT321" s="29">
        <v>0</v>
      </c>
      <c r="AV321" s="22">
        <v>44866</v>
      </c>
      <c r="AW321" s="26">
        <f t="shared" ca="1" si="41"/>
        <v>3.5244508214448134E-3</v>
      </c>
      <c r="AX321" s="29">
        <v>0</v>
      </c>
      <c r="AZ321" s="22">
        <v>44866</v>
      </c>
      <c r="BA321" s="26">
        <f t="shared" ca="1" si="42"/>
        <v>0.93980280532531857</v>
      </c>
      <c r="BB321" s="29">
        <v>0</v>
      </c>
      <c r="BC321"/>
      <c r="BD321" s="25"/>
      <c r="BF321" s="22">
        <v>44866</v>
      </c>
      <c r="BG321" s="26">
        <f t="shared" ca="1" si="43"/>
        <v>0.299712643759669</v>
      </c>
      <c r="BH321" s="29">
        <v>0</v>
      </c>
      <c r="BJ321" s="22">
        <v>44866</v>
      </c>
      <c r="BK321" s="26">
        <f t="shared" ca="1" si="44"/>
        <v>0.68603150525757217</v>
      </c>
      <c r="BL321" s="29">
        <v>0</v>
      </c>
      <c r="BN321" s="22">
        <v>44866</v>
      </c>
      <c r="BO321" s="26">
        <f t="shared" ca="1" si="45"/>
        <v>0.20198251543676982</v>
      </c>
      <c r="BP321" s="29">
        <v>0</v>
      </c>
      <c r="BR321" s="22">
        <v>44866</v>
      </c>
      <c r="BS321" s="26">
        <f t="shared" ca="1" si="46"/>
        <v>0.76008361561528837</v>
      </c>
      <c r="BT321" s="29">
        <v>0</v>
      </c>
      <c r="BV321" s="22">
        <v>44866</v>
      </c>
      <c r="BW321" s="26">
        <f t="shared" ca="1" si="47"/>
        <v>1.5651502039194631E-2</v>
      </c>
      <c r="BX321" s="29">
        <v>0</v>
      </c>
    </row>
    <row r="322" spans="2:76" ht="12.75" x14ac:dyDescent="0.2">
      <c r="B322" s="22">
        <v>44867</v>
      </c>
      <c r="C322" s="26">
        <f t="shared" ca="1" si="0"/>
        <v>0.77187872526021128</v>
      </c>
      <c r="D322" s="29">
        <f t="shared" ca="1" si="48"/>
        <v>90</v>
      </c>
      <c r="F322" s="22">
        <v>44867</v>
      </c>
      <c r="G322" s="26">
        <f t="shared" ca="1" si="31"/>
        <v>4.1721433595655277E-2</v>
      </c>
      <c r="H322" s="29">
        <f t="shared" ca="1" si="27"/>
        <v>191</v>
      </c>
      <c r="J322" s="22">
        <v>44867</v>
      </c>
      <c r="K322" s="26">
        <f t="shared" ca="1" si="32"/>
        <v>0.96995168989231983</v>
      </c>
      <c r="L322" s="29">
        <f t="shared" ca="1" si="28"/>
        <v>169</v>
      </c>
      <c r="N322" s="22">
        <v>44867</v>
      </c>
      <c r="O322" s="26">
        <f t="shared" ca="1" si="33"/>
        <v>2.2666499250948324E-2</v>
      </c>
      <c r="P322" s="29">
        <f t="shared" ca="1" si="29"/>
        <v>199</v>
      </c>
      <c r="R322" s="22">
        <v>44867</v>
      </c>
      <c r="S322" s="26">
        <f t="shared" ca="1" si="34"/>
        <v>0.30276627029418535</v>
      </c>
      <c r="T322" s="29">
        <f t="shared" ca="1" si="30"/>
        <v>134</v>
      </c>
      <c r="V322" s="22">
        <v>44867</v>
      </c>
      <c r="W322" s="26">
        <f t="shared" ca="1" si="35"/>
        <v>0.82330510364106613</v>
      </c>
      <c r="X322" s="29">
        <v>0</v>
      </c>
      <c r="Z322" s="22">
        <v>44867</v>
      </c>
      <c r="AA322" s="26">
        <f t="shared" ca="1" si="36"/>
        <v>9.0260068042934849E-2</v>
      </c>
      <c r="AB322" s="29">
        <v>0</v>
      </c>
      <c r="AC322"/>
      <c r="AD322" s="25"/>
      <c r="AF322" s="22">
        <v>44867</v>
      </c>
      <c r="AG322" s="26">
        <f t="shared" ca="1" si="37"/>
        <v>0.4545566864766557</v>
      </c>
      <c r="AH322" s="29">
        <v>0</v>
      </c>
      <c r="AJ322" s="22">
        <v>44867</v>
      </c>
      <c r="AK322" s="26">
        <f t="shared" ca="1" si="38"/>
        <v>0.24105979485125495</v>
      </c>
      <c r="AL322" s="29">
        <v>0</v>
      </c>
      <c r="AN322" s="22">
        <v>44867</v>
      </c>
      <c r="AO322" s="26">
        <f t="shared" ca="1" si="39"/>
        <v>0.25124628176115182</v>
      </c>
      <c r="AP322" s="29">
        <v>0</v>
      </c>
      <c r="AR322" s="22">
        <v>44867</v>
      </c>
      <c r="AS322" s="26">
        <f t="shared" ca="1" si="40"/>
        <v>5.4922237949514119E-2</v>
      </c>
      <c r="AT322" s="29">
        <v>0</v>
      </c>
      <c r="AV322" s="22">
        <v>44867</v>
      </c>
      <c r="AW322" s="26">
        <f t="shared" ca="1" si="41"/>
        <v>0.98515945968766216</v>
      </c>
      <c r="AX322" s="29">
        <v>0</v>
      </c>
      <c r="AZ322" s="22">
        <v>44867</v>
      </c>
      <c r="BA322" s="26">
        <f t="shared" ca="1" si="42"/>
        <v>0.96747428997017304</v>
      </c>
      <c r="BB322" s="29">
        <v>0</v>
      </c>
      <c r="BC322"/>
      <c r="BD322" s="25"/>
      <c r="BF322" s="22">
        <v>44867</v>
      </c>
      <c r="BG322" s="26">
        <f t="shared" ca="1" si="43"/>
        <v>0.36782903896266361</v>
      </c>
      <c r="BH322" s="29">
        <v>0</v>
      </c>
      <c r="BJ322" s="22">
        <v>44867</v>
      </c>
      <c r="BK322" s="26">
        <f t="shared" ca="1" si="44"/>
        <v>0.23792894255076757</v>
      </c>
      <c r="BL322" s="29">
        <v>0</v>
      </c>
      <c r="BN322" s="22">
        <v>44867</v>
      </c>
      <c r="BO322" s="26">
        <f t="shared" ca="1" si="45"/>
        <v>0.38584609353760835</v>
      </c>
      <c r="BP322" s="29">
        <v>0</v>
      </c>
      <c r="BR322" s="22">
        <v>44867</v>
      </c>
      <c r="BS322" s="26">
        <f t="shared" ca="1" si="46"/>
        <v>0.26895035378889853</v>
      </c>
      <c r="BT322" s="29">
        <v>0</v>
      </c>
      <c r="BV322" s="22">
        <v>44867</v>
      </c>
      <c r="BW322" s="26">
        <f t="shared" ca="1" si="47"/>
        <v>0.71842765242037698</v>
      </c>
      <c r="BX322" s="29">
        <v>0</v>
      </c>
    </row>
    <row r="323" spans="2:76" ht="12.75" x14ac:dyDescent="0.2">
      <c r="B323" s="22">
        <v>44868</v>
      </c>
      <c r="C323" s="26">
        <f t="shared" ca="1" si="0"/>
        <v>9.6036648790937873E-2</v>
      </c>
      <c r="D323" s="29">
        <f t="shared" ca="1" si="48"/>
        <v>49</v>
      </c>
      <c r="F323" s="22">
        <v>44868</v>
      </c>
      <c r="G323" s="26">
        <f t="shared" ca="1" si="31"/>
        <v>0.90963839549098313</v>
      </c>
      <c r="H323" s="29">
        <f t="shared" ca="1" si="27"/>
        <v>235</v>
      </c>
      <c r="J323" s="22">
        <v>44868</v>
      </c>
      <c r="K323" s="26">
        <f t="shared" ca="1" si="32"/>
        <v>8.4706775767781517E-2</v>
      </c>
      <c r="L323" s="29">
        <f t="shared" ca="1" si="28"/>
        <v>137</v>
      </c>
      <c r="N323" s="22">
        <v>44868</v>
      </c>
      <c r="O323" s="26">
        <f t="shared" ca="1" si="33"/>
        <v>0.11372373776114142</v>
      </c>
      <c r="P323" s="29">
        <f t="shared" ca="1" si="29"/>
        <v>211</v>
      </c>
      <c r="R323" s="22">
        <v>44868</v>
      </c>
      <c r="S323" s="26">
        <f t="shared" ca="1" si="34"/>
        <v>0.72834695675459737</v>
      </c>
      <c r="T323" s="29">
        <f t="shared" ca="1" si="30"/>
        <v>145</v>
      </c>
      <c r="V323" s="22">
        <v>44868</v>
      </c>
      <c r="W323" s="26">
        <f t="shared" ca="1" si="35"/>
        <v>0.12280701893099821</v>
      </c>
      <c r="X323" s="29">
        <v>0</v>
      </c>
      <c r="Z323" s="22">
        <v>44868</v>
      </c>
      <c r="AA323" s="26">
        <f t="shared" ca="1" si="36"/>
        <v>0.1322835460724151</v>
      </c>
      <c r="AB323" s="29">
        <v>0</v>
      </c>
      <c r="AC323"/>
      <c r="AD323" s="25"/>
      <c r="AF323" s="22">
        <v>44868</v>
      </c>
      <c r="AG323" s="26">
        <f t="shared" ca="1" si="37"/>
        <v>0.84365255190869637</v>
      </c>
      <c r="AH323" s="29">
        <v>0</v>
      </c>
      <c r="AJ323" s="22">
        <v>44868</v>
      </c>
      <c r="AK323" s="26">
        <f t="shared" ca="1" si="38"/>
        <v>0.90612426346446684</v>
      </c>
      <c r="AL323" s="29">
        <v>0</v>
      </c>
      <c r="AN323" s="22">
        <v>44868</v>
      </c>
      <c r="AO323" s="26">
        <f t="shared" ca="1" si="39"/>
        <v>0.93813637002184758</v>
      </c>
      <c r="AP323" s="29">
        <v>0</v>
      </c>
      <c r="AR323" s="22">
        <v>44868</v>
      </c>
      <c r="AS323" s="26">
        <f t="shared" ca="1" si="40"/>
        <v>0.56473208203727887</v>
      </c>
      <c r="AT323" s="29">
        <v>0</v>
      </c>
      <c r="AV323" s="22">
        <v>44868</v>
      </c>
      <c r="AW323" s="26">
        <f t="shared" ca="1" si="41"/>
        <v>0.41424036804333575</v>
      </c>
      <c r="AX323" s="29">
        <v>0</v>
      </c>
      <c r="AZ323" s="22">
        <v>44868</v>
      </c>
      <c r="BA323" s="26">
        <f t="shared" ca="1" si="42"/>
        <v>5.9606785064317491E-2</v>
      </c>
      <c r="BB323" s="29">
        <v>0</v>
      </c>
      <c r="BC323"/>
      <c r="BD323" s="25"/>
      <c r="BF323" s="22">
        <v>44868</v>
      </c>
      <c r="BG323" s="26">
        <f t="shared" ca="1" si="43"/>
        <v>0.30143246422671943</v>
      </c>
      <c r="BH323" s="29">
        <v>0</v>
      </c>
      <c r="BJ323" s="22">
        <v>44868</v>
      </c>
      <c r="BK323" s="26">
        <f t="shared" ca="1" si="44"/>
        <v>0.22346361475362897</v>
      </c>
      <c r="BL323" s="29">
        <v>0</v>
      </c>
      <c r="BN323" s="22">
        <v>44868</v>
      </c>
      <c r="BO323" s="26">
        <f t="shared" ca="1" si="45"/>
        <v>0.47466478004623003</v>
      </c>
      <c r="BP323" s="29">
        <v>0</v>
      </c>
      <c r="BR323" s="22">
        <v>44868</v>
      </c>
      <c r="BS323" s="26">
        <f t="shared" ca="1" si="46"/>
        <v>0.75550071279860054</v>
      </c>
      <c r="BT323" s="29">
        <v>0</v>
      </c>
      <c r="BV323" s="22">
        <v>44868</v>
      </c>
      <c r="BW323" s="26">
        <f t="shared" ca="1" si="47"/>
        <v>0.91501877542263588</v>
      </c>
      <c r="BX323" s="29">
        <v>0</v>
      </c>
    </row>
    <row r="324" spans="2:76" ht="12.75" x14ac:dyDescent="0.2">
      <c r="B324" s="22">
        <v>44869</v>
      </c>
      <c r="C324" s="26">
        <f t="shared" ca="1" si="0"/>
        <v>0.14158331199310481</v>
      </c>
      <c r="D324" s="29">
        <f t="shared" ca="1" si="48"/>
        <v>54</v>
      </c>
      <c r="F324" s="22">
        <v>44869</v>
      </c>
      <c r="G324" s="26">
        <f t="shared" ca="1" si="31"/>
        <v>7.9591535857385431E-2</v>
      </c>
      <c r="H324" s="29">
        <f t="shared" ref="H324:H387" ca="1" si="49">ROUNDUP(_xlfn.NORM.INV(G324,G$10,G$12),0)</f>
        <v>196</v>
      </c>
      <c r="J324" s="22">
        <v>44869</v>
      </c>
      <c r="K324" s="26">
        <f t="shared" ca="1" si="32"/>
        <v>0.37543993913773632</v>
      </c>
      <c r="L324" s="29">
        <f t="shared" ref="L324:L387" ca="1" si="50">ROUNDUP(_xlfn.NORM.INV(K324,K$10,K$12),0)</f>
        <v>147</v>
      </c>
      <c r="N324" s="22">
        <v>44869</v>
      </c>
      <c r="O324" s="26">
        <f t="shared" ca="1" si="33"/>
        <v>0.94411795875525861</v>
      </c>
      <c r="P324" s="29">
        <f t="shared" ref="P324:P387" ca="1" si="51">ROUNDUP(_xlfn.NORM.INV(O324,O$10,O$12),0)</f>
        <v>254</v>
      </c>
      <c r="R324" s="22">
        <v>44869</v>
      </c>
      <c r="S324" s="26">
        <f t="shared" ca="1" si="34"/>
        <v>0.99021102297331121</v>
      </c>
      <c r="T324" s="29">
        <f t="shared" ref="T324:T387" ca="1" si="52">ROUNDUP(_xlfn.NORM.INV(S324,S$10,S$12),0)</f>
        <v>161</v>
      </c>
      <c r="V324" s="22">
        <v>44869</v>
      </c>
      <c r="W324" s="26">
        <f t="shared" ca="1" si="35"/>
        <v>0.35131470617642035</v>
      </c>
      <c r="X324" s="29">
        <v>0</v>
      </c>
      <c r="Z324" s="22">
        <v>44869</v>
      </c>
      <c r="AA324" s="26">
        <f t="shared" ca="1" si="36"/>
        <v>0.13327326533079353</v>
      </c>
      <c r="AB324" s="29">
        <v>0</v>
      </c>
      <c r="AC324"/>
      <c r="AD324" s="25"/>
      <c r="AF324" s="22">
        <v>44869</v>
      </c>
      <c r="AG324" s="26">
        <f t="shared" ca="1" si="37"/>
        <v>0.18671499028000127</v>
      </c>
      <c r="AH324" s="29">
        <v>0</v>
      </c>
      <c r="AJ324" s="22">
        <v>44869</v>
      </c>
      <c r="AK324" s="26">
        <f t="shared" ca="1" si="38"/>
        <v>0.90819032855617521</v>
      </c>
      <c r="AL324" s="29">
        <v>0</v>
      </c>
      <c r="AN324" s="22">
        <v>44869</v>
      </c>
      <c r="AO324" s="26">
        <f t="shared" ca="1" si="39"/>
        <v>0.12193870048021005</v>
      </c>
      <c r="AP324" s="29">
        <v>0</v>
      </c>
      <c r="AR324" s="22">
        <v>44869</v>
      </c>
      <c r="AS324" s="26">
        <f t="shared" ca="1" si="40"/>
        <v>0.51932389138312285</v>
      </c>
      <c r="AT324" s="29">
        <v>0</v>
      </c>
      <c r="AV324" s="22">
        <v>44869</v>
      </c>
      <c r="AW324" s="26">
        <f t="shared" ca="1" si="41"/>
        <v>8.4037992981485066E-2</v>
      </c>
      <c r="AX324" s="29">
        <v>0</v>
      </c>
      <c r="AZ324" s="22">
        <v>44869</v>
      </c>
      <c r="BA324" s="26">
        <f t="shared" ca="1" si="42"/>
        <v>0.95871228985323032</v>
      </c>
      <c r="BB324" s="29">
        <v>0</v>
      </c>
      <c r="BC324"/>
      <c r="BD324" s="25"/>
      <c r="BF324" s="22">
        <v>44869</v>
      </c>
      <c r="BG324" s="26">
        <f t="shared" ca="1" si="43"/>
        <v>0.78320073675635571</v>
      </c>
      <c r="BH324" s="29">
        <v>0</v>
      </c>
      <c r="BJ324" s="22">
        <v>44869</v>
      </c>
      <c r="BK324" s="26">
        <f t="shared" ca="1" si="44"/>
        <v>0.52335430990353382</v>
      </c>
      <c r="BL324" s="29">
        <v>0</v>
      </c>
      <c r="BN324" s="22">
        <v>44869</v>
      </c>
      <c r="BO324" s="26">
        <f t="shared" ca="1" si="45"/>
        <v>0.89413091874817141</v>
      </c>
      <c r="BP324" s="29">
        <v>0</v>
      </c>
      <c r="BR324" s="22">
        <v>44869</v>
      </c>
      <c r="BS324" s="26">
        <f t="shared" ca="1" si="46"/>
        <v>9.9826067106870586E-2</v>
      </c>
      <c r="BT324" s="29">
        <v>0</v>
      </c>
      <c r="BV324" s="22">
        <v>44869</v>
      </c>
      <c r="BW324" s="26">
        <f t="shared" ca="1" si="47"/>
        <v>0.90417624988450018</v>
      </c>
      <c r="BX324" s="29">
        <v>0</v>
      </c>
    </row>
    <row r="325" spans="2:76" ht="12.75" x14ac:dyDescent="0.2">
      <c r="B325" s="22">
        <v>44870</v>
      </c>
      <c r="C325" s="26">
        <f t="shared" ca="1" si="0"/>
        <v>0.28237385865989728</v>
      </c>
      <c r="D325" s="29">
        <f t="shared" ca="1" si="48"/>
        <v>64</v>
      </c>
      <c r="F325" s="22">
        <v>44870</v>
      </c>
      <c r="G325" s="26">
        <f t="shared" ca="1" si="31"/>
        <v>0.96931157746859198</v>
      </c>
      <c r="H325" s="29">
        <f t="shared" ca="1" si="49"/>
        <v>243</v>
      </c>
      <c r="J325" s="22">
        <v>44870</v>
      </c>
      <c r="K325" s="26">
        <f t="shared" ca="1" si="32"/>
        <v>8.2900019165953354E-2</v>
      </c>
      <c r="L325" s="29">
        <f t="shared" ca="1" si="50"/>
        <v>137</v>
      </c>
      <c r="N325" s="22">
        <v>44870</v>
      </c>
      <c r="O325" s="26">
        <f t="shared" ca="1" si="33"/>
        <v>0.62905178932451966</v>
      </c>
      <c r="P325" s="29">
        <f t="shared" ca="1" si="51"/>
        <v>235</v>
      </c>
      <c r="R325" s="22">
        <v>44870</v>
      </c>
      <c r="S325" s="26">
        <f t="shared" ca="1" si="34"/>
        <v>0.42128350446538554</v>
      </c>
      <c r="T325" s="29">
        <f t="shared" ca="1" si="52"/>
        <v>137</v>
      </c>
      <c r="V325" s="22">
        <v>44870</v>
      </c>
      <c r="W325" s="26">
        <f t="shared" ca="1" si="35"/>
        <v>0.4792622765369644</v>
      </c>
      <c r="X325" s="29">
        <v>0</v>
      </c>
      <c r="Z325" s="22">
        <v>44870</v>
      </c>
      <c r="AA325" s="26">
        <f t="shared" ca="1" si="36"/>
        <v>0.21399886526529233</v>
      </c>
      <c r="AB325" s="29">
        <v>0</v>
      </c>
      <c r="AC325"/>
      <c r="AD325" s="25"/>
      <c r="AF325" s="22">
        <v>44870</v>
      </c>
      <c r="AG325" s="26">
        <f t="shared" ca="1" si="37"/>
        <v>0.93659445940865704</v>
      </c>
      <c r="AH325" s="29">
        <v>0</v>
      </c>
      <c r="AJ325" s="22">
        <v>44870</v>
      </c>
      <c r="AK325" s="26">
        <f t="shared" ca="1" si="38"/>
        <v>0.37241805429114871</v>
      </c>
      <c r="AL325" s="29">
        <v>0</v>
      </c>
      <c r="AN325" s="22">
        <v>44870</v>
      </c>
      <c r="AO325" s="26">
        <f t="shared" ca="1" si="39"/>
        <v>0.22183429004552357</v>
      </c>
      <c r="AP325" s="29">
        <v>0</v>
      </c>
      <c r="AR325" s="22">
        <v>44870</v>
      </c>
      <c r="AS325" s="26">
        <f t="shared" ca="1" si="40"/>
        <v>0.64085587847983749</v>
      </c>
      <c r="AT325" s="29">
        <v>0</v>
      </c>
      <c r="AV325" s="22">
        <v>44870</v>
      </c>
      <c r="AW325" s="26">
        <f t="shared" ca="1" si="41"/>
        <v>0.97934942153939353</v>
      </c>
      <c r="AX325" s="29">
        <v>0</v>
      </c>
      <c r="AZ325" s="22">
        <v>44870</v>
      </c>
      <c r="BA325" s="26">
        <f t="shared" ca="1" si="42"/>
        <v>0.58064697451978819</v>
      </c>
      <c r="BB325" s="29">
        <v>0</v>
      </c>
      <c r="BC325"/>
      <c r="BD325" s="25"/>
      <c r="BF325" s="22">
        <v>44870</v>
      </c>
      <c r="BG325" s="26">
        <f t="shared" ca="1" si="43"/>
        <v>0.74046384902911444</v>
      </c>
      <c r="BH325" s="29">
        <v>0</v>
      </c>
      <c r="BJ325" s="22">
        <v>44870</v>
      </c>
      <c r="BK325" s="26">
        <f t="shared" ca="1" si="44"/>
        <v>0.75661263397447565</v>
      </c>
      <c r="BL325" s="29">
        <v>0</v>
      </c>
      <c r="BN325" s="22">
        <v>44870</v>
      </c>
      <c r="BO325" s="26">
        <f t="shared" ca="1" si="45"/>
        <v>0.86124592776427245</v>
      </c>
      <c r="BP325" s="29">
        <v>0</v>
      </c>
      <c r="BR325" s="22">
        <v>44870</v>
      </c>
      <c r="BS325" s="26">
        <f t="shared" ca="1" si="46"/>
        <v>0.37834109066059707</v>
      </c>
      <c r="BT325" s="29">
        <v>0</v>
      </c>
      <c r="BV325" s="22">
        <v>44870</v>
      </c>
      <c r="BW325" s="26">
        <f t="shared" ca="1" si="47"/>
        <v>0.3977222512264047</v>
      </c>
      <c r="BX325" s="29">
        <v>0</v>
      </c>
    </row>
    <row r="326" spans="2:76" ht="12.75" x14ac:dyDescent="0.2">
      <c r="B326" s="22">
        <v>44871</v>
      </c>
      <c r="C326" s="26">
        <f t="shared" ca="1" si="0"/>
        <v>1.7613093671757563E-2</v>
      </c>
      <c r="D326" s="29">
        <f t="shared" ca="1" si="48"/>
        <v>33</v>
      </c>
      <c r="F326" s="22">
        <v>44871</v>
      </c>
      <c r="G326" s="26">
        <f t="shared" ca="1" si="31"/>
        <v>0.89798343379822598</v>
      </c>
      <c r="H326" s="29">
        <f t="shared" ca="1" si="49"/>
        <v>234</v>
      </c>
      <c r="J326" s="22">
        <v>44871</v>
      </c>
      <c r="K326" s="26">
        <f t="shared" ca="1" si="32"/>
        <v>0.58656103235802259</v>
      </c>
      <c r="L326" s="29">
        <f t="shared" ca="1" si="50"/>
        <v>153</v>
      </c>
      <c r="N326" s="22">
        <v>44871</v>
      </c>
      <c r="O326" s="26">
        <f t="shared" ca="1" si="33"/>
        <v>0.58424503017181062</v>
      </c>
      <c r="P326" s="29">
        <f t="shared" ca="1" si="51"/>
        <v>233</v>
      </c>
      <c r="R326" s="22">
        <v>44871</v>
      </c>
      <c r="S326" s="26">
        <f t="shared" ca="1" si="34"/>
        <v>0.76924304493261697</v>
      </c>
      <c r="T326" s="29">
        <f t="shared" ca="1" si="52"/>
        <v>146</v>
      </c>
      <c r="V326" s="22">
        <v>44871</v>
      </c>
      <c r="W326" s="26">
        <f t="shared" ca="1" si="35"/>
        <v>0.56881988561360797</v>
      </c>
      <c r="X326" s="29">
        <v>0</v>
      </c>
      <c r="Z326" s="22">
        <v>44871</v>
      </c>
      <c r="AA326" s="26">
        <f t="shared" ca="1" si="36"/>
        <v>0.10602201030651648</v>
      </c>
      <c r="AB326" s="29">
        <v>0</v>
      </c>
      <c r="AC326"/>
      <c r="AD326" s="25"/>
      <c r="AF326" s="22">
        <v>44871</v>
      </c>
      <c r="AG326" s="26">
        <f t="shared" ca="1" si="37"/>
        <v>0.16676005945064976</v>
      </c>
      <c r="AH326" s="29">
        <v>0</v>
      </c>
      <c r="AJ326" s="22">
        <v>44871</v>
      </c>
      <c r="AK326" s="26">
        <f t="shared" ca="1" si="38"/>
        <v>0.3315929459421042</v>
      </c>
      <c r="AL326" s="29">
        <v>0</v>
      </c>
      <c r="AN326" s="22">
        <v>44871</v>
      </c>
      <c r="AO326" s="26">
        <f t="shared" ca="1" si="39"/>
        <v>0.99300972946913924</v>
      </c>
      <c r="AP326" s="29">
        <v>0</v>
      </c>
      <c r="AR326" s="22">
        <v>44871</v>
      </c>
      <c r="AS326" s="26">
        <f t="shared" ca="1" si="40"/>
        <v>0.81608349457816376</v>
      </c>
      <c r="AT326" s="29">
        <v>0</v>
      </c>
      <c r="AV326" s="22">
        <v>44871</v>
      </c>
      <c r="AW326" s="26">
        <f t="shared" ca="1" si="41"/>
        <v>0.65660615130344502</v>
      </c>
      <c r="AX326" s="29">
        <v>0</v>
      </c>
      <c r="AZ326" s="22">
        <v>44871</v>
      </c>
      <c r="BA326" s="26">
        <f t="shared" ca="1" si="42"/>
        <v>1.7371014524127149E-2</v>
      </c>
      <c r="BB326" s="29">
        <v>0</v>
      </c>
      <c r="BC326"/>
      <c r="BD326" s="25"/>
      <c r="BF326" s="22">
        <v>44871</v>
      </c>
      <c r="BG326" s="26">
        <f t="shared" ca="1" si="43"/>
        <v>0.58226246034694251</v>
      </c>
      <c r="BH326" s="29">
        <v>0</v>
      </c>
      <c r="BJ326" s="22">
        <v>44871</v>
      </c>
      <c r="BK326" s="26">
        <f t="shared" ca="1" si="44"/>
        <v>0.96779870743154472</v>
      </c>
      <c r="BL326" s="29">
        <v>0</v>
      </c>
      <c r="BN326" s="22">
        <v>44871</v>
      </c>
      <c r="BO326" s="26">
        <f t="shared" ca="1" si="45"/>
        <v>0.63778958442835787</v>
      </c>
      <c r="BP326" s="29">
        <v>0</v>
      </c>
      <c r="BR326" s="22">
        <v>44871</v>
      </c>
      <c r="BS326" s="26">
        <f t="shared" ca="1" si="46"/>
        <v>0.23598558353874077</v>
      </c>
      <c r="BT326" s="29">
        <v>0</v>
      </c>
      <c r="BV326" s="22">
        <v>44871</v>
      </c>
      <c r="BW326" s="26">
        <f t="shared" ca="1" si="47"/>
        <v>0.33365341333877008</v>
      </c>
      <c r="BX326" s="29">
        <v>0</v>
      </c>
    </row>
    <row r="327" spans="2:76" ht="12.75" x14ac:dyDescent="0.2">
      <c r="B327" s="22">
        <v>44872</v>
      </c>
      <c r="C327" s="26">
        <f t="shared" ca="1" si="0"/>
        <v>0.56812023960424551</v>
      </c>
      <c r="D327" s="29">
        <f t="shared" ca="1" si="48"/>
        <v>79</v>
      </c>
      <c r="F327" s="22">
        <v>44872</v>
      </c>
      <c r="G327" s="26">
        <f t="shared" ca="1" si="31"/>
        <v>0.60148315820577136</v>
      </c>
      <c r="H327" s="29">
        <f t="shared" ca="1" si="49"/>
        <v>220</v>
      </c>
      <c r="J327" s="22">
        <v>44872</v>
      </c>
      <c r="K327" s="26">
        <f t="shared" ca="1" si="32"/>
        <v>0.47871630075177507</v>
      </c>
      <c r="L327" s="29">
        <f t="shared" ca="1" si="50"/>
        <v>150</v>
      </c>
      <c r="N327" s="22">
        <v>44872</v>
      </c>
      <c r="O327" s="26">
        <f t="shared" ca="1" si="33"/>
        <v>0.74870735574952763</v>
      </c>
      <c r="P327" s="29">
        <f t="shared" ca="1" si="51"/>
        <v>240</v>
      </c>
      <c r="R327" s="22">
        <v>44872</v>
      </c>
      <c r="S327" s="26">
        <f t="shared" ca="1" si="34"/>
        <v>6.2741033875068353E-2</v>
      </c>
      <c r="T327" s="29">
        <f t="shared" ca="1" si="52"/>
        <v>125</v>
      </c>
      <c r="V327" s="22">
        <v>44872</v>
      </c>
      <c r="W327" s="26">
        <f t="shared" ca="1" si="35"/>
        <v>0.84983487000176539</v>
      </c>
      <c r="X327" s="29">
        <v>0</v>
      </c>
      <c r="Z327" s="22">
        <v>44872</v>
      </c>
      <c r="AA327" s="26">
        <f t="shared" ca="1" si="36"/>
        <v>0.16034194974258542</v>
      </c>
      <c r="AB327" s="29">
        <v>0</v>
      </c>
      <c r="AC327"/>
      <c r="AD327" s="25"/>
      <c r="AF327" s="22">
        <v>44872</v>
      </c>
      <c r="AG327" s="26">
        <f t="shared" ca="1" si="37"/>
        <v>0.85578857764525329</v>
      </c>
      <c r="AH327" s="29">
        <v>0</v>
      </c>
      <c r="AJ327" s="22">
        <v>44872</v>
      </c>
      <c r="AK327" s="26">
        <f t="shared" ca="1" si="38"/>
        <v>0.47308990385204985</v>
      </c>
      <c r="AL327" s="29">
        <v>0</v>
      </c>
      <c r="AN327" s="22">
        <v>44872</v>
      </c>
      <c r="AO327" s="26">
        <f t="shared" ca="1" si="39"/>
        <v>0.21030167775795472</v>
      </c>
      <c r="AP327" s="29">
        <v>0</v>
      </c>
      <c r="AR327" s="22">
        <v>44872</v>
      </c>
      <c r="AS327" s="26">
        <f t="shared" ca="1" si="40"/>
        <v>0.70846484441650448</v>
      </c>
      <c r="AT327" s="29">
        <v>0</v>
      </c>
      <c r="AV327" s="22">
        <v>44872</v>
      </c>
      <c r="AW327" s="26">
        <f t="shared" ca="1" si="41"/>
        <v>0.94329065834617398</v>
      </c>
      <c r="AX327" s="29">
        <v>0</v>
      </c>
      <c r="AZ327" s="22">
        <v>44872</v>
      </c>
      <c r="BA327" s="26">
        <f t="shared" ca="1" si="42"/>
        <v>4.2902722892001699E-2</v>
      </c>
      <c r="BB327" s="29">
        <v>0</v>
      </c>
      <c r="BC327"/>
      <c r="BD327" s="25"/>
      <c r="BF327" s="22">
        <v>44872</v>
      </c>
      <c r="BG327" s="26">
        <f t="shared" ca="1" si="43"/>
        <v>0.45868173048881788</v>
      </c>
      <c r="BH327" s="29">
        <v>0</v>
      </c>
      <c r="BJ327" s="22">
        <v>44872</v>
      </c>
      <c r="BK327" s="26">
        <f t="shared" ca="1" si="44"/>
        <v>0.66467822405057875</v>
      </c>
      <c r="BL327" s="29">
        <v>0</v>
      </c>
      <c r="BN327" s="22">
        <v>44872</v>
      </c>
      <c r="BO327" s="26">
        <f t="shared" ca="1" si="45"/>
        <v>0.62057235634828523</v>
      </c>
      <c r="BP327" s="29">
        <v>0</v>
      </c>
      <c r="BR327" s="22">
        <v>44872</v>
      </c>
      <c r="BS327" s="26">
        <f t="shared" ca="1" si="46"/>
        <v>0.61888354430326298</v>
      </c>
      <c r="BT327" s="29">
        <v>0</v>
      </c>
      <c r="BV327" s="22">
        <v>44872</v>
      </c>
      <c r="BW327" s="26">
        <f t="shared" ca="1" si="47"/>
        <v>0.93126342779491533</v>
      </c>
      <c r="BX327" s="29">
        <v>0</v>
      </c>
    </row>
    <row r="328" spans="2:76" ht="12.75" x14ac:dyDescent="0.2">
      <c r="B328" s="22">
        <v>44873</v>
      </c>
      <c r="C328" s="26">
        <f t="shared" ca="1" si="0"/>
        <v>0.30872472791619709</v>
      </c>
      <c r="D328" s="29">
        <f t="shared" ca="1" si="48"/>
        <v>66</v>
      </c>
      <c r="F328" s="22">
        <v>44873</v>
      </c>
      <c r="G328" s="26">
        <f t="shared" ca="1" si="31"/>
        <v>0.17487709943828356</v>
      </c>
      <c r="H328" s="29">
        <f t="shared" ca="1" si="49"/>
        <v>202</v>
      </c>
      <c r="J328" s="22">
        <v>44873</v>
      </c>
      <c r="K328" s="26">
        <f t="shared" ca="1" si="32"/>
        <v>0.77432653938586471</v>
      </c>
      <c r="L328" s="29">
        <f t="shared" ca="1" si="50"/>
        <v>158</v>
      </c>
      <c r="N328" s="22">
        <v>44873</v>
      </c>
      <c r="O328" s="26">
        <f t="shared" ca="1" si="33"/>
        <v>0.6229066844731812</v>
      </c>
      <c r="P328" s="29">
        <f t="shared" ca="1" si="51"/>
        <v>235</v>
      </c>
      <c r="R328" s="22">
        <v>44873</v>
      </c>
      <c r="S328" s="26">
        <f t="shared" ca="1" si="34"/>
        <v>0.9641435231075457</v>
      </c>
      <c r="T328" s="29">
        <f t="shared" ca="1" si="52"/>
        <v>156</v>
      </c>
      <c r="V328" s="22">
        <v>44873</v>
      </c>
      <c r="W328" s="26">
        <f t="shared" ca="1" si="35"/>
        <v>9.7114397415684506E-2</v>
      </c>
      <c r="X328" s="29">
        <v>0</v>
      </c>
      <c r="Z328" s="22">
        <v>44873</v>
      </c>
      <c r="AA328" s="26">
        <f t="shared" ca="1" si="36"/>
        <v>0.7556572876385097</v>
      </c>
      <c r="AB328" s="29">
        <v>0</v>
      </c>
      <c r="AC328"/>
      <c r="AD328" s="25"/>
      <c r="AF328" s="22">
        <v>44873</v>
      </c>
      <c r="AG328" s="26">
        <f t="shared" ca="1" si="37"/>
        <v>0.7855148454848645</v>
      </c>
      <c r="AH328" s="29">
        <v>0</v>
      </c>
      <c r="AJ328" s="22">
        <v>44873</v>
      </c>
      <c r="AK328" s="26">
        <f t="shared" ca="1" si="38"/>
        <v>3.443491353650685E-2</v>
      </c>
      <c r="AL328" s="29">
        <v>0</v>
      </c>
      <c r="AN328" s="22">
        <v>44873</v>
      </c>
      <c r="AO328" s="26">
        <f t="shared" ca="1" si="39"/>
        <v>0.39766217795071723</v>
      </c>
      <c r="AP328" s="29">
        <v>0</v>
      </c>
      <c r="AR328" s="22">
        <v>44873</v>
      </c>
      <c r="AS328" s="26">
        <f t="shared" ca="1" si="40"/>
        <v>0.80535961184764637</v>
      </c>
      <c r="AT328" s="29">
        <v>0</v>
      </c>
      <c r="AV328" s="22">
        <v>44873</v>
      </c>
      <c r="AW328" s="26">
        <f t="shared" ca="1" si="41"/>
        <v>3.8297358190414466E-2</v>
      </c>
      <c r="AX328" s="29">
        <v>0</v>
      </c>
      <c r="AZ328" s="22">
        <v>44873</v>
      </c>
      <c r="BA328" s="26">
        <f t="shared" ca="1" si="42"/>
        <v>4.7467444288344707E-2</v>
      </c>
      <c r="BB328" s="29">
        <v>0</v>
      </c>
      <c r="BC328"/>
      <c r="BD328" s="25"/>
      <c r="BF328" s="22">
        <v>44873</v>
      </c>
      <c r="BG328" s="26">
        <f t="shared" ca="1" si="43"/>
        <v>0.43573398246132444</v>
      </c>
      <c r="BH328" s="29">
        <v>0</v>
      </c>
      <c r="BJ328" s="22">
        <v>44873</v>
      </c>
      <c r="BK328" s="26">
        <f t="shared" ca="1" si="44"/>
        <v>0.90500675261189922</v>
      </c>
      <c r="BL328" s="29">
        <v>0</v>
      </c>
      <c r="BN328" s="22">
        <v>44873</v>
      </c>
      <c r="BO328" s="26">
        <f t="shared" ca="1" si="45"/>
        <v>0.13331190236317425</v>
      </c>
      <c r="BP328" s="29">
        <v>0</v>
      </c>
      <c r="BR328" s="22">
        <v>44873</v>
      </c>
      <c r="BS328" s="26">
        <f t="shared" ca="1" si="46"/>
        <v>0.65325136145518781</v>
      </c>
      <c r="BT328" s="29">
        <v>0</v>
      </c>
      <c r="BV328" s="22">
        <v>44873</v>
      </c>
      <c r="BW328" s="26">
        <f t="shared" ca="1" si="47"/>
        <v>0.64841902109013438</v>
      </c>
      <c r="BX328" s="29">
        <v>0</v>
      </c>
    </row>
    <row r="329" spans="2:76" ht="12.75" x14ac:dyDescent="0.2">
      <c r="B329" s="22">
        <v>44874</v>
      </c>
      <c r="C329" s="26">
        <f t="shared" ca="1" si="0"/>
        <v>1.2624263723624574E-2</v>
      </c>
      <c r="D329" s="29">
        <f t="shared" ca="1" si="48"/>
        <v>31</v>
      </c>
      <c r="F329" s="22">
        <v>44874</v>
      </c>
      <c r="G329" s="26">
        <f t="shared" ca="1" si="31"/>
        <v>0.60732385020710666</v>
      </c>
      <c r="H329" s="29">
        <f t="shared" ca="1" si="49"/>
        <v>220</v>
      </c>
      <c r="J329" s="22">
        <v>44874</v>
      </c>
      <c r="K329" s="26">
        <f t="shared" ca="1" si="32"/>
        <v>0.47779156727452399</v>
      </c>
      <c r="L329" s="29">
        <f t="shared" ca="1" si="50"/>
        <v>150</v>
      </c>
      <c r="N329" s="22">
        <v>44874</v>
      </c>
      <c r="O329" s="26">
        <f t="shared" ca="1" si="33"/>
        <v>0.26763193829710208</v>
      </c>
      <c r="P329" s="29">
        <f t="shared" ca="1" si="51"/>
        <v>220</v>
      </c>
      <c r="R329" s="22">
        <v>44874</v>
      </c>
      <c r="S329" s="26">
        <f t="shared" ca="1" si="34"/>
        <v>2.8761474731817227E-2</v>
      </c>
      <c r="T329" s="29">
        <f t="shared" ca="1" si="52"/>
        <v>122</v>
      </c>
      <c r="V329" s="22">
        <v>44874</v>
      </c>
      <c r="W329" s="26">
        <f t="shared" ca="1" si="35"/>
        <v>0.70289168711161887</v>
      </c>
      <c r="X329" s="29">
        <v>0</v>
      </c>
      <c r="Z329" s="22">
        <v>44874</v>
      </c>
      <c r="AA329" s="26">
        <f t="shared" ca="1" si="36"/>
        <v>0.78648837885429057</v>
      </c>
      <c r="AB329" s="29">
        <v>0</v>
      </c>
      <c r="AC329"/>
      <c r="AD329" s="25"/>
      <c r="AF329" s="22">
        <v>44874</v>
      </c>
      <c r="AG329" s="26">
        <f t="shared" ca="1" si="37"/>
        <v>0.24481303288219225</v>
      </c>
      <c r="AH329" s="29">
        <v>0</v>
      </c>
      <c r="AJ329" s="22">
        <v>44874</v>
      </c>
      <c r="AK329" s="26">
        <f t="shared" ca="1" si="38"/>
        <v>0.87120468487289915</v>
      </c>
      <c r="AL329" s="29">
        <v>0</v>
      </c>
      <c r="AN329" s="22">
        <v>44874</v>
      </c>
      <c r="AO329" s="26">
        <f t="shared" ca="1" si="39"/>
        <v>0.15068812617268645</v>
      </c>
      <c r="AP329" s="29">
        <v>0</v>
      </c>
      <c r="AR329" s="22">
        <v>44874</v>
      </c>
      <c r="AS329" s="26">
        <f t="shared" ca="1" si="40"/>
        <v>0.47159804195953314</v>
      </c>
      <c r="AT329" s="29">
        <v>0</v>
      </c>
      <c r="AV329" s="22">
        <v>44874</v>
      </c>
      <c r="AW329" s="26">
        <f t="shared" ca="1" si="41"/>
        <v>0.67070097862633427</v>
      </c>
      <c r="AX329" s="29">
        <v>0</v>
      </c>
      <c r="AZ329" s="22">
        <v>44874</v>
      </c>
      <c r="BA329" s="26">
        <f t="shared" ca="1" si="42"/>
        <v>0.16154534609853355</v>
      </c>
      <c r="BB329" s="29">
        <v>0</v>
      </c>
      <c r="BC329"/>
      <c r="BD329" s="25"/>
      <c r="BF329" s="22">
        <v>44874</v>
      </c>
      <c r="BG329" s="26">
        <f t="shared" ca="1" si="43"/>
        <v>0.8140821385061966</v>
      </c>
      <c r="BH329" s="29">
        <v>0</v>
      </c>
      <c r="BJ329" s="22">
        <v>44874</v>
      </c>
      <c r="BK329" s="26">
        <f t="shared" ca="1" si="44"/>
        <v>0.86418719965741964</v>
      </c>
      <c r="BL329" s="29">
        <v>0</v>
      </c>
      <c r="BN329" s="22">
        <v>44874</v>
      </c>
      <c r="BO329" s="26">
        <f t="shared" ca="1" si="45"/>
        <v>0.3813227438668213</v>
      </c>
      <c r="BP329" s="29">
        <v>0</v>
      </c>
      <c r="BR329" s="22">
        <v>44874</v>
      </c>
      <c r="BS329" s="26">
        <f t="shared" ca="1" si="46"/>
        <v>0.30921932078471492</v>
      </c>
      <c r="BT329" s="29">
        <v>0</v>
      </c>
      <c r="BV329" s="22">
        <v>44874</v>
      </c>
      <c r="BW329" s="26">
        <f t="shared" ca="1" si="47"/>
        <v>0.1599798521889394</v>
      </c>
      <c r="BX329" s="29">
        <v>0</v>
      </c>
    </row>
    <row r="330" spans="2:76" ht="12.75" x14ac:dyDescent="0.2">
      <c r="B330" s="22">
        <v>44875</v>
      </c>
      <c r="C330" s="26">
        <f t="shared" ca="1" si="0"/>
        <v>0.16729465381279285</v>
      </c>
      <c r="D330" s="29">
        <f t="shared" ca="1" si="48"/>
        <v>56</v>
      </c>
      <c r="F330" s="22">
        <v>44875</v>
      </c>
      <c r="G330" s="26">
        <f t="shared" ca="1" si="31"/>
        <v>0.3390054922183563</v>
      </c>
      <c r="H330" s="29">
        <f t="shared" ca="1" si="49"/>
        <v>210</v>
      </c>
      <c r="J330" s="22">
        <v>44875</v>
      </c>
      <c r="K330" s="26">
        <f t="shared" ca="1" si="32"/>
        <v>0.37449919850758495</v>
      </c>
      <c r="L330" s="29">
        <f t="shared" ca="1" si="50"/>
        <v>147</v>
      </c>
      <c r="N330" s="22">
        <v>44875</v>
      </c>
      <c r="O330" s="26">
        <f t="shared" ca="1" si="33"/>
        <v>0.23620157677086173</v>
      </c>
      <c r="P330" s="29">
        <f t="shared" ca="1" si="51"/>
        <v>219</v>
      </c>
      <c r="R330" s="22">
        <v>44875</v>
      </c>
      <c r="S330" s="26">
        <f t="shared" ca="1" si="34"/>
        <v>0.75794874817984692</v>
      </c>
      <c r="T330" s="29">
        <f t="shared" ca="1" si="52"/>
        <v>146</v>
      </c>
      <c r="V330" s="22">
        <v>44875</v>
      </c>
      <c r="W330" s="26">
        <f t="shared" ca="1" si="35"/>
        <v>0.92781368594227198</v>
      </c>
      <c r="X330" s="29">
        <v>0</v>
      </c>
      <c r="Z330" s="22">
        <v>44875</v>
      </c>
      <c r="AA330" s="26">
        <f t="shared" ca="1" si="36"/>
        <v>0.5977557167768951</v>
      </c>
      <c r="AB330" s="29">
        <v>0</v>
      </c>
      <c r="AC330"/>
      <c r="AD330" s="25"/>
      <c r="AF330" s="22">
        <v>44875</v>
      </c>
      <c r="AG330" s="26">
        <f t="shared" ca="1" si="37"/>
        <v>0.1654973143977474</v>
      </c>
      <c r="AH330" s="29">
        <v>0</v>
      </c>
      <c r="AJ330" s="22">
        <v>44875</v>
      </c>
      <c r="AK330" s="26">
        <f t="shared" ca="1" si="38"/>
        <v>0.760060117449329</v>
      </c>
      <c r="AL330" s="29">
        <v>0</v>
      </c>
      <c r="AN330" s="22">
        <v>44875</v>
      </c>
      <c r="AO330" s="26">
        <f t="shared" ca="1" si="39"/>
        <v>0.32223309572938974</v>
      </c>
      <c r="AP330" s="29">
        <v>0</v>
      </c>
      <c r="AR330" s="22">
        <v>44875</v>
      </c>
      <c r="AS330" s="26">
        <f t="shared" ca="1" si="40"/>
        <v>0.65306914737134547</v>
      </c>
      <c r="AT330" s="29">
        <v>0</v>
      </c>
      <c r="AV330" s="22">
        <v>44875</v>
      </c>
      <c r="AW330" s="26">
        <f t="shared" ca="1" si="41"/>
        <v>0.13270191647272456</v>
      </c>
      <c r="AX330" s="29">
        <v>0</v>
      </c>
      <c r="AZ330" s="22">
        <v>44875</v>
      </c>
      <c r="BA330" s="26">
        <f t="shared" ca="1" si="42"/>
        <v>0.16076837438952507</v>
      </c>
      <c r="BB330" s="29">
        <v>0</v>
      </c>
      <c r="BC330"/>
      <c r="BD330" s="25"/>
      <c r="BF330" s="22">
        <v>44875</v>
      </c>
      <c r="BG330" s="26">
        <f t="shared" ca="1" si="43"/>
        <v>1.5497590552617124E-2</v>
      </c>
      <c r="BH330" s="29">
        <v>0</v>
      </c>
      <c r="BJ330" s="22">
        <v>44875</v>
      </c>
      <c r="BK330" s="26">
        <f t="shared" ca="1" si="44"/>
        <v>0.44647735280739431</v>
      </c>
      <c r="BL330" s="29">
        <v>0</v>
      </c>
      <c r="BN330" s="22">
        <v>44875</v>
      </c>
      <c r="BO330" s="26">
        <f t="shared" ca="1" si="45"/>
        <v>0.13067924105666295</v>
      </c>
      <c r="BP330" s="29">
        <v>0</v>
      </c>
      <c r="BR330" s="22">
        <v>44875</v>
      </c>
      <c r="BS330" s="26">
        <f t="shared" ca="1" si="46"/>
        <v>0.31210316301266428</v>
      </c>
      <c r="BT330" s="29">
        <v>0</v>
      </c>
      <c r="BV330" s="22">
        <v>44875</v>
      </c>
      <c r="BW330" s="26">
        <f t="shared" ca="1" si="47"/>
        <v>0.66976014123751682</v>
      </c>
      <c r="BX330" s="29">
        <v>0</v>
      </c>
    </row>
    <row r="331" spans="2:76" ht="12.75" x14ac:dyDescent="0.2">
      <c r="B331" s="22">
        <v>44876</v>
      </c>
      <c r="C331" s="26">
        <f t="shared" ca="1" si="0"/>
        <v>0.50383396441023376</v>
      </c>
      <c r="D331" s="29">
        <f t="shared" ca="1" si="48"/>
        <v>76</v>
      </c>
      <c r="F331" s="22">
        <v>44876</v>
      </c>
      <c r="G331" s="26">
        <f t="shared" ca="1" si="31"/>
        <v>0.22888922466575401</v>
      </c>
      <c r="H331" s="29">
        <f t="shared" ca="1" si="49"/>
        <v>205</v>
      </c>
      <c r="J331" s="22">
        <v>44876</v>
      </c>
      <c r="K331" s="26">
        <f t="shared" ca="1" si="32"/>
        <v>0.4810002404826822</v>
      </c>
      <c r="L331" s="29">
        <f t="shared" ca="1" si="50"/>
        <v>150</v>
      </c>
      <c r="N331" s="22">
        <v>44876</v>
      </c>
      <c r="O331" s="26">
        <f t="shared" ca="1" si="33"/>
        <v>0.5183753153986308</v>
      </c>
      <c r="P331" s="29">
        <f t="shared" ca="1" si="51"/>
        <v>231</v>
      </c>
      <c r="R331" s="22">
        <v>44876</v>
      </c>
      <c r="S331" s="26">
        <f t="shared" ca="1" si="34"/>
        <v>0.54673111385001394</v>
      </c>
      <c r="T331" s="29">
        <f t="shared" ca="1" si="52"/>
        <v>140</v>
      </c>
      <c r="V331" s="22">
        <v>44876</v>
      </c>
      <c r="W331" s="26">
        <f t="shared" ca="1" si="35"/>
        <v>0.23769273493872667</v>
      </c>
      <c r="X331" s="29">
        <v>0</v>
      </c>
      <c r="Z331" s="22">
        <v>44876</v>
      </c>
      <c r="AA331" s="26">
        <f t="shared" ca="1" si="36"/>
        <v>0.18019649948045724</v>
      </c>
      <c r="AB331" s="29">
        <v>0</v>
      </c>
      <c r="AC331"/>
      <c r="AD331" s="25"/>
      <c r="AF331" s="22">
        <v>44876</v>
      </c>
      <c r="AG331" s="26">
        <f t="shared" ca="1" si="37"/>
        <v>0.6701438022708579</v>
      </c>
      <c r="AH331" s="29">
        <v>0</v>
      </c>
      <c r="AJ331" s="22">
        <v>44876</v>
      </c>
      <c r="AK331" s="26">
        <f t="shared" ca="1" si="38"/>
        <v>0.30540755810912146</v>
      </c>
      <c r="AL331" s="29">
        <v>0</v>
      </c>
      <c r="AN331" s="22">
        <v>44876</v>
      </c>
      <c r="AO331" s="26">
        <f t="shared" ca="1" si="39"/>
        <v>0.94961589282134318</v>
      </c>
      <c r="AP331" s="29">
        <v>0</v>
      </c>
      <c r="AR331" s="22">
        <v>44876</v>
      </c>
      <c r="AS331" s="26">
        <f t="shared" ca="1" si="40"/>
        <v>0.78397476244700981</v>
      </c>
      <c r="AT331" s="29">
        <v>0</v>
      </c>
      <c r="AV331" s="22">
        <v>44876</v>
      </c>
      <c r="AW331" s="26">
        <f t="shared" ca="1" si="41"/>
        <v>0.16871263049022078</v>
      </c>
      <c r="AX331" s="29">
        <v>0</v>
      </c>
      <c r="AZ331" s="22">
        <v>44876</v>
      </c>
      <c r="BA331" s="26">
        <f t="shared" ca="1" si="42"/>
        <v>0.12079684112987465</v>
      </c>
      <c r="BB331" s="29">
        <v>0</v>
      </c>
      <c r="BC331"/>
      <c r="BD331" s="25"/>
      <c r="BF331" s="22">
        <v>44876</v>
      </c>
      <c r="BG331" s="26">
        <f t="shared" ca="1" si="43"/>
        <v>0.19636658398919427</v>
      </c>
      <c r="BH331" s="29">
        <v>0</v>
      </c>
      <c r="BJ331" s="22">
        <v>44876</v>
      </c>
      <c r="BK331" s="26">
        <f t="shared" ca="1" si="44"/>
        <v>0.35274551659887599</v>
      </c>
      <c r="BL331" s="29">
        <v>0</v>
      </c>
      <c r="BN331" s="22">
        <v>44876</v>
      </c>
      <c r="BO331" s="26">
        <f t="shared" ca="1" si="45"/>
        <v>0.37481099389798178</v>
      </c>
      <c r="BP331" s="29">
        <v>0</v>
      </c>
      <c r="BR331" s="22">
        <v>44876</v>
      </c>
      <c r="BS331" s="26">
        <f t="shared" ca="1" si="46"/>
        <v>0.94209009653572617</v>
      </c>
      <c r="BT331" s="29">
        <v>0</v>
      </c>
      <c r="BV331" s="22">
        <v>44876</v>
      </c>
      <c r="BW331" s="26">
        <f t="shared" ca="1" si="47"/>
        <v>0.72325167652747702</v>
      </c>
      <c r="BX331" s="29">
        <v>0</v>
      </c>
    </row>
    <row r="332" spans="2:76" ht="12.75" x14ac:dyDescent="0.2">
      <c r="B332" s="22">
        <v>44877</v>
      </c>
      <c r="C332" s="26">
        <f t="shared" ca="1" si="0"/>
        <v>0.14156649798729637</v>
      </c>
      <c r="D332" s="29">
        <f t="shared" ca="1" si="48"/>
        <v>54</v>
      </c>
      <c r="F332" s="22">
        <v>44877</v>
      </c>
      <c r="G332" s="26">
        <f t="shared" ca="1" si="31"/>
        <v>0.13626711236124023</v>
      </c>
      <c r="H332" s="29">
        <f t="shared" ca="1" si="49"/>
        <v>200</v>
      </c>
      <c r="J332" s="22">
        <v>44877</v>
      </c>
      <c r="K332" s="26">
        <f t="shared" ca="1" si="32"/>
        <v>0.599879162607177</v>
      </c>
      <c r="L332" s="29">
        <f t="shared" ca="1" si="50"/>
        <v>153</v>
      </c>
      <c r="N332" s="22">
        <v>44877</v>
      </c>
      <c r="O332" s="26">
        <f t="shared" ca="1" si="33"/>
        <v>0.55690841185994011</v>
      </c>
      <c r="P332" s="29">
        <f t="shared" ca="1" si="51"/>
        <v>232</v>
      </c>
      <c r="R332" s="22">
        <v>44877</v>
      </c>
      <c r="S332" s="26">
        <f t="shared" ca="1" si="34"/>
        <v>0.78966077811576296</v>
      </c>
      <c r="T332" s="29">
        <f t="shared" ca="1" si="52"/>
        <v>147</v>
      </c>
      <c r="V332" s="22">
        <v>44877</v>
      </c>
      <c r="W332" s="26">
        <f t="shared" ca="1" si="35"/>
        <v>0.13095101855237512</v>
      </c>
      <c r="X332" s="29">
        <v>0</v>
      </c>
      <c r="Z332" s="22">
        <v>44877</v>
      </c>
      <c r="AA332" s="26">
        <f t="shared" ca="1" si="36"/>
        <v>0.49567656870729981</v>
      </c>
      <c r="AB332" s="29">
        <v>0</v>
      </c>
      <c r="AC332"/>
      <c r="AD332" s="25"/>
      <c r="AF332" s="22">
        <v>44877</v>
      </c>
      <c r="AG332" s="26">
        <f t="shared" ca="1" si="37"/>
        <v>0.9169629693506397</v>
      </c>
      <c r="AH332" s="29">
        <v>0</v>
      </c>
      <c r="AJ332" s="22">
        <v>44877</v>
      </c>
      <c r="AK332" s="26">
        <f t="shared" ca="1" si="38"/>
        <v>2.3014129370792724E-2</v>
      </c>
      <c r="AL332" s="29">
        <v>0</v>
      </c>
      <c r="AN332" s="22">
        <v>44877</v>
      </c>
      <c r="AO332" s="26">
        <f t="shared" ca="1" si="39"/>
        <v>0.47949060561840917</v>
      </c>
      <c r="AP332" s="29">
        <v>0</v>
      </c>
      <c r="AR332" s="22">
        <v>44877</v>
      </c>
      <c r="AS332" s="26">
        <f t="shared" ca="1" si="40"/>
        <v>0.73614097707554127</v>
      </c>
      <c r="AT332" s="29">
        <v>0</v>
      </c>
      <c r="AV332" s="22">
        <v>44877</v>
      </c>
      <c r="AW332" s="26">
        <f t="shared" ca="1" si="41"/>
        <v>1.4652202045421947E-2</v>
      </c>
      <c r="AX332" s="29">
        <v>0</v>
      </c>
      <c r="AZ332" s="22">
        <v>44877</v>
      </c>
      <c r="BA332" s="26">
        <f t="shared" ca="1" si="42"/>
        <v>0.3228292784556247</v>
      </c>
      <c r="BB332" s="29">
        <v>0</v>
      </c>
      <c r="BC332"/>
      <c r="BD332" s="25"/>
      <c r="BF332" s="22">
        <v>44877</v>
      </c>
      <c r="BG332" s="26">
        <f t="shared" ca="1" si="43"/>
        <v>6.8233540003247328E-2</v>
      </c>
      <c r="BH332" s="29">
        <v>0</v>
      </c>
      <c r="BJ332" s="22">
        <v>44877</v>
      </c>
      <c r="BK332" s="26">
        <f t="shared" ca="1" si="44"/>
        <v>0.82447395274464885</v>
      </c>
      <c r="BL332" s="29">
        <v>0</v>
      </c>
      <c r="BN332" s="22">
        <v>44877</v>
      </c>
      <c r="BO332" s="26">
        <f t="shared" ca="1" si="45"/>
        <v>0.32083555704173039</v>
      </c>
      <c r="BP332" s="29">
        <v>0</v>
      </c>
      <c r="BR332" s="22">
        <v>44877</v>
      </c>
      <c r="BS332" s="26">
        <f t="shared" ca="1" si="46"/>
        <v>0.52401151911455401</v>
      </c>
      <c r="BT332" s="29">
        <v>0</v>
      </c>
      <c r="BV332" s="22">
        <v>44877</v>
      </c>
      <c r="BW332" s="26">
        <f t="shared" ca="1" si="47"/>
        <v>0.67839399101219855</v>
      </c>
      <c r="BX332" s="29">
        <v>0</v>
      </c>
    </row>
    <row r="333" spans="2:76" ht="12.75" x14ac:dyDescent="0.2">
      <c r="B333" s="22">
        <v>44878</v>
      </c>
      <c r="C333" s="26">
        <f t="shared" ca="1" si="0"/>
        <v>0.58382587391219065</v>
      </c>
      <c r="D333" s="29">
        <f t="shared" ca="1" si="48"/>
        <v>80</v>
      </c>
      <c r="F333" s="22">
        <v>44878</v>
      </c>
      <c r="G333" s="26">
        <f t="shared" ca="1" si="31"/>
        <v>0.12081260370458169</v>
      </c>
      <c r="H333" s="29">
        <f t="shared" ca="1" si="49"/>
        <v>199</v>
      </c>
      <c r="J333" s="22">
        <v>44878</v>
      </c>
      <c r="K333" s="26">
        <f t="shared" ca="1" si="32"/>
        <v>0.43947722063566697</v>
      </c>
      <c r="L333" s="29">
        <f t="shared" ca="1" si="50"/>
        <v>149</v>
      </c>
      <c r="N333" s="22">
        <v>44878</v>
      </c>
      <c r="O333" s="26">
        <f t="shared" ca="1" si="33"/>
        <v>0.3882407811886045</v>
      </c>
      <c r="P333" s="29">
        <f t="shared" ca="1" si="51"/>
        <v>226</v>
      </c>
      <c r="R333" s="22">
        <v>44878</v>
      </c>
      <c r="S333" s="26">
        <f t="shared" ca="1" si="34"/>
        <v>0.2927946014911168</v>
      </c>
      <c r="T333" s="29">
        <f t="shared" ca="1" si="52"/>
        <v>134</v>
      </c>
      <c r="V333" s="22">
        <v>44878</v>
      </c>
      <c r="W333" s="26">
        <f t="shared" ca="1" si="35"/>
        <v>5.3766605290930025E-2</v>
      </c>
      <c r="X333" s="29">
        <v>0</v>
      </c>
      <c r="Z333" s="22">
        <v>44878</v>
      </c>
      <c r="AA333" s="26">
        <f t="shared" ca="1" si="36"/>
        <v>0.19014084463637104</v>
      </c>
      <c r="AB333" s="29">
        <v>0</v>
      </c>
      <c r="AC333"/>
      <c r="AD333" s="25"/>
      <c r="AF333" s="22">
        <v>44878</v>
      </c>
      <c r="AG333" s="26">
        <f t="shared" ca="1" si="37"/>
        <v>0.87373798288921833</v>
      </c>
      <c r="AH333" s="29">
        <v>0</v>
      </c>
      <c r="AJ333" s="22">
        <v>44878</v>
      </c>
      <c r="AK333" s="26">
        <f t="shared" ca="1" si="38"/>
        <v>0.70244648818878752</v>
      </c>
      <c r="AL333" s="29">
        <v>0</v>
      </c>
      <c r="AN333" s="22">
        <v>44878</v>
      </c>
      <c r="AO333" s="26">
        <f t="shared" ca="1" si="39"/>
        <v>0.38907319580468669</v>
      </c>
      <c r="AP333" s="29">
        <v>0</v>
      </c>
      <c r="AR333" s="22">
        <v>44878</v>
      </c>
      <c r="AS333" s="26">
        <f t="shared" ca="1" si="40"/>
        <v>0.82905848255917769</v>
      </c>
      <c r="AT333" s="29">
        <v>0</v>
      </c>
      <c r="AV333" s="22">
        <v>44878</v>
      </c>
      <c r="AW333" s="26">
        <f t="shared" ca="1" si="41"/>
        <v>0.53930313010428432</v>
      </c>
      <c r="AX333" s="29">
        <v>0</v>
      </c>
      <c r="AZ333" s="22">
        <v>44878</v>
      </c>
      <c r="BA333" s="26">
        <f t="shared" ca="1" si="42"/>
        <v>0.58909086179973291</v>
      </c>
      <c r="BB333" s="29">
        <v>0</v>
      </c>
      <c r="BC333"/>
      <c r="BD333" s="25"/>
      <c r="BF333" s="22">
        <v>44878</v>
      </c>
      <c r="BG333" s="26">
        <f t="shared" ca="1" si="43"/>
        <v>0.93674070035807855</v>
      </c>
      <c r="BH333" s="29">
        <v>0</v>
      </c>
      <c r="BJ333" s="22">
        <v>44878</v>
      </c>
      <c r="BK333" s="26">
        <f t="shared" ca="1" si="44"/>
        <v>0.75608936810655181</v>
      </c>
      <c r="BL333" s="29">
        <v>0</v>
      </c>
      <c r="BN333" s="22">
        <v>44878</v>
      </c>
      <c r="BO333" s="26">
        <f t="shared" ca="1" si="45"/>
        <v>3.5502929603041133E-2</v>
      </c>
      <c r="BP333" s="29">
        <v>0</v>
      </c>
      <c r="BR333" s="22">
        <v>44878</v>
      </c>
      <c r="BS333" s="26">
        <f t="shared" ca="1" si="46"/>
        <v>0.2469951545002228</v>
      </c>
      <c r="BT333" s="29">
        <v>0</v>
      </c>
      <c r="BV333" s="22">
        <v>44878</v>
      </c>
      <c r="BW333" s="26">
        <f t="shared" ca="1" si="47"/>
        <v>0.3236599890837798</v>
      </c>
      <c r="BX333" s="29">
        <v>0</v>
      </c>
    </row>
    <row r="334" spans="2:76" ht="12.75" x14ac:dyDescent="0.2">
      <c r="B334" s="22">
        <v>44879</v>
      </c>
      <c r="C334" s="26">
        <f t="shared" ca="1" si="0"/>
        <v>0.15583516300624034</v>
      </c>
      <c r="D334" s="29">
        <f t="shared" ca="1" si="48"/>
        <v>55</v>
      </c>
      <c r="F334" s="22">
        <v>44879</v>
      </c>
      <c r="G334" s="26">
        <f t="shared" ca="1" si="31"/>
        <v>0.64179651257806269</v>
      </c>
      <c r="H334" s="29">
        <f t="shared" ca="1" si="49"/>
        <v>221</v>
      </c>
      <c r="J334" s="22">
        <v>44879</v>
      </c>
      <c r="K334" s="26">
        <f t="shared" ca="1" si="32"/>
        <v>0.46429580328153908</v>
      </c>
      <c r="L334" s="29">
        <f t="shared" ca="1" si="50"/>
        <v>150</v>
      </c>
      <c r="N334" s="22">
        <v>44879</v>
      </c>
      <c r="O334" s="26">
        <f t="shared" ca="1" si="33"/>
        <v>0.75265832097248442</v>
      </c>
      <c r="P334" s="29">
        <f t="shared" ca="1" si="51"/>
        <v>240</v>
      </c>
      <c r="R334" s="22">
        <v>44879</v>
      </c>
      <c r="S334" s="26">
        <f t="shared" ca="1" si="34"/>
        <v>0.58938619800662984</v>
      </c>
      <c r="T334" s="29">
        <f t="shared" ca="1" si="52"/>
        <v>141</v>
      </c>
      <c r="V334" s="22">
        <v>44879</v>
      </c>
      <c r="W334" s="26">
        <f t="shared" ca="1" si="35"/>
        <v>0.43748611213614419</v>
      </c>
      <c r="X334" s="29">
        <v>0</v>
      </c>
      <c r="Z334" s="22">
        <v>44879</v>
      </c>
      <c r="AA334" s="26">
        <f t="shared" ca="1" si="36"/>
        <v>0.97426034834701181</v>
      </c>
      <c r="AB334" s="29">
        <v>0</v>
      </c>
      <c r="AC334"/>
      <c r="AD334" s="25"/>
      <c r="AF334" s="22">
        <v>44879</v>
      </c>
      <c r="AG334" s="26">
        <f t="shared" ca="1" si="37"/>
        <v>0.5662004677800766</v>
      </c>
      <c r="AH334" s="29">
        <v>0</v>
      </c>
      <c r="AJ334" s="22">
        <v>44879</v>
      </c>
      <c r="AK334" s="26">
        <f t="shared" ca="1" si="38"/>
        <v>0.87277371644042101</v>
      </c>
      <c r="AL334" s="29">
        <v>0</v>
      </c>
      <c r="AN334" s="22">
        <v>44879</v>
      </c>
      <c r="AO334" s="26">
        <f t="shared" ca="1" si="39"/>
        <v>0.19424577305645518</v>
      </c>
      <c r="AP334" s="29">
        <v>0</v>
      </c>
      <c r="AR334" s="22">
        <v>44879</v>
      </c>
      <c r="AS334" s="26">
        <f t="shared" ca="1" si="40"/>
        <v>0.50730482092319662</v>
      </c>
      <c r="AT334" s="29">
        <v>0</v>
      </c>
      <c r="AV334" s="22">
        <v>44879</v>
      </c>
      <c r="AW334" s="26">
        <f t="shared" ca="1" si="41"/>
        <v>0.49753250155953244</v>
      </c>
      <c r="AX334" s="29">
        <v>0</v>
      </c>
      <c r="AZ334" s="22">
        <v>44879</v>
      </c>
      <c r="BA334" s="26">
        <f t="shared" ca="1" si="42"/>
        <v>0.12118821565723181</v>
      </c>
      <c r="BB334" s="29">
        <v>0</v>
      </c>
      <c r="BC334"/>
      <c r="BD334" s="25"/>
      <c r="BF334" s="22">
        <v>44879</v>
      </c>
      <c r="BG334" s="26">
        <f t="shared" ca="1" si="43"/>
        <v>0.69657292187766551</v>
      </c>
      <c r="BH334" s="29">
        <v>0</v>
      </c>
      <c r="BJ334" s="22">
        <v>44879</v>
      </c>
      <c r="BK334" s="26">
        <f t="shared" ca="1" si="44"/>
        <v>0.61160659812336271</v>
      </c>
      <c r="BL334" s="29">
        <v>0</v>
      </c>
      <c r="BN334" s="22">
        <v>44879</v>
      </c>
      <c r="BO334" s="26">
        <f t="shared" ca="1" si="45"/>
        <v>2.6821068020315253E-2</v>
      </c>
      <c r="BP334" s="29">
        <v>0</v>
      </c>
      <c r="BR334" s="22">
        <v>44879</v>
      </c>
      <c r="BS334" s="26">
        <f t="shared" ca="1" si="46"/>
        <v>0.75550963934195714</v>
      </c>
      <c r="BT334" s="29">
        <v>0</v>
      </c>
      <c r="BV334" s="22">
        <v>44879</v>
      </c>
      <c r="BW334" s="26">
        <f t="shared" ca="1" si="47"/>
        <v>5.1062245910935444E-2</v>
      </c>
      <c r="BX334" s="29">
        <v>0</v>
      </c>
    </row>
    <row r="335" spans="2:76" ht="12.75" x14ac:dyDescent="0.2">
      <c r="B335" s="22">
        <v>44880</v>
      </c>
      <c r="C335" s="26">
        <f t="shared" ca="1" si="0"/>
        <v>4.0807343411209063E-2</v>
      </c>
      <c r="D335" s="29">
        <f t="shared" ca="1" si="48"/>
        <v>41</v>
      </c>
      <c r="F335" s="22">
        <v>44880</v>
      </c>
      <c r="G335" s="26">
        <f t="shared" ca="1" si="31"/>
        <v>0.4840208855942163</v>
      </c>
      <c r="H335" s="29">
        <f t="shared" ca="1" si="49"/>
        <v>215</v>
      </c>
      <c r="J335" s="22">
        <v>44880</v>
      </c>
      <c r="K335" s="26">
        <f t="shared" ca="1" si="32"/>
        <v>0.52598122329142893</v>
      </c>
      <c r="L335" s="29">
        <f t="shared" ca="1" si="50"/>
        <v>151</v>
      </c>
      <c r="N335" s="22">
        <v>44880</v>
      </c>
      <c r="O335" s="26">
        <f t="shared" ca="1" si="33"/>
        <v>0.22301955474278823</v>
      </c>
      <c r="P335" s="29">
        <f t="shared" ca="1" si="51"/>
        <v>218</v>
      </c>
      <c r="R335" s="22">
        <v>44880</v>
      </c>
      <c r="S335" s="26">
        <f t="shared" ca="1" si="34"/>
        <v>0.36621486919012025</v>
      </c>
      <c r="T335" s="29">
        <f t="shared" ca="1" si="52"/>
        <v>136</v>
      </c>
      <c r="V335" s="22">
        <v>44880</v>
      </c>
      <c r="W335" s="26">
        <f t="shared" ca="1" si="35"/>
        <v>0.46620161522561487</v>
      </c>
      <c r="X335" s="29">
        <v>0</v>
      </c>
      <c r="Z335" s="22">
        <v>44880</v>
      </c>
      <c r="AA335" s="26">
        <f t="shared" ca="1" si="36"/>
        <v>0.79962893915816857</v>
      </c>
      <c r="AB335" s="29">
        <v>0</v>
      </c>
      <c r="AC335"/>
      <c r="AD335" s="25"/>
      <c r="AF335" s="22">
        <v>44880</v>
      </c>
      <c r="AG335" s="26">
        <f t="shared" ca="1" si="37"/>
        <v>0.46698279360821049</v>
      </c>
      <c r="AH335" s="29">
        <v>0</v>
      </c>
      <c r="AJ335" s="22">
        <v>44880</v>
      </c>
      <c r="AK335" s="26">
        <f t="shared" ca="1" si="38"/>
        <v>0.76009542392118257</v>
      </c>
      <c r="AL335" s="29">
        <v>0</v>
      </c>
      <c r="AN335" s="22">
        <v>44880</v>
      </c>
      <c r="AO335" s="26">
        <f t="shared" ca="1" si="39"/>
        <v>0.34704212553217673</v>
      </c>
      <c r="AP335" s="29">
        <v>0</v>
      </c>
      <c r="AR335" s="22">
        <v>44880</v>
      </c>
      <c r="AS335" s="26">
        <f t="shared" ca="1" si="40"/>
        <v>0.66898477520837352</v>
      </c>
      <c r="AT335" s="29">
        <v>0</v>
      </c>
      <c r="AV335" s="22">
        <v>44880</v>
      </c>
      <c r="AW335" s="26">
        <f t="shared" ca="1" si="41"/>
        <v>0.72018490627443743</v>
      </c>
      <c r="AX335" s="29">
        <v>0</v>
      </c>
      <c r="AZ335" s="22">
        <v>44880</v>
      </c>
      <c r="BA335" s="26">
        <f t="shared" ca="1" si="42"/>
        <v>0.5664869113439599</v>
      </c>
      <c r="BB335" s="29">
        <v>0</v>
      </c>
      <c r="BC335"/>
      <c r="BD335" s="25"/>
      <c r="BF335" s="22">
        <v>44880</v>
      </c>
      <c r="BG335" s="26">
        <f t="shared" ca="1" si="43"/>
        <v>0.93897965926483373</v>
      </c>
      <c r="BH335" s="29">
        <v>0</v>
      </c>
      <c r="BJ335" s="22">
        <v>44880</v>
      </c>
      <c r="BK335" s="26">
        <f t="shared" ca="1" si="44"/>
        <v>0.97136998121341733</v>
      </c>
      <c r="BL335" s="29">
        <v>0</v>
      </c>
      <c r="BN335" s="22">
        <v>44880</v>
      </c>
      <c r="BO335" s="26">
        <f t="shared" ca="1" si="45"/>
        <v>0.31232955047567712</v>
      </c>
      <c r="BP335" s="29">
        <v>0</v>
      </c>
      <c r="BR335" s="22">
        <v>44880</v>
      </c>
      <c r="BS335" s="26">
        <f t="shared" ca="1" si="46"/>
        <v>0.63438677619285888</v>
      </c>
      <c r="BT335" s="29">
        <v>0</v>
      </c>
      <c r="BV335" s="22">
        <v>44880</v>
      </c>
      <c r="BW335" s="26">
        <f t="shared" ca="1" si="47"/>
        <v>0.73942770542573244</v>
      </c>
      <c r="BX335" s="29">
        <v>0</v>
      </c>
    </row>
    <row r="336" spans="2:76" ht="12.75" x14ac:dyDescent="0.2">
      <c r="B336" s="22">
        <v>44881</v>
      </c>
      <c r="C336" s="26">
        <f t="shared" ca="1" si="0"/>
        <v>0.97231099281507039</v>
      </c>
      <c r="D336" s="29">
        <f t="shared" ca="1" si="48"/>
        <v>114</v>
      </c>
      <c r="F336" s="22">
        <v>44881</v>
      </c>
      <c r="G336" s="26">
        <f t="shared" ca="1" si="31"/>
        <v>0.28927407341939604</v>
      </c>
      <c r="H336" s="29">
        <f t="shared" ca="1" si="49"/>
        <v>208</v>
      </c>
      <c r="J336" s="22">
        <v>44881</v>
      </c>
      <c r="K336" s="26">
        <f t="shared" ca="1" si="32"/>
        <v>0.79950372169636874</v>
      </c>
      <c r="L336" s="29">
        <f t="shared" ca="1" si="50"/>
        <v>159</v>
      </c>
      <c r="N336" s="22">
        <v>44881</v>
      </c>
      <c r="O336" s="26">
        <f t="shared" ca="1" si="33"/>
        <v>0.8729653157988283</v>
      </c>
      <c r="P336" s="29">
        <f t="shared" ca="1" si="51"/>
        <v>247</v>
      </c>
      <c r="R336" s="22">
        <v>44881</v>
      </c>
      <c r="S336" s="26">
        <f t="shared" ca="1" si="34"/>
        <v>0.89589924531323883</v>
      </c>
      <c r="T336" s="29">
        <f t="shared" ca="1" si="52"/>
        <v>151</v>
      </c>
      <c r="V336" s="22">
        <v>44881</v>
      </c>
      <c r="W336" s="26">
        <f t="shared" ca="1" si="35"/>
        <v>0.46504112354115423</v>
      </c>
      <c r="X336" s="29">
        <v>0</v>
      </c>
      <c r="Z336" s="22">
        <v>44881</v>
      </c>
      <c r="AA336" s="26">
        <f t="shared" ca="1" si="36"/>
        <v>0.82174951794450424</v>
      </c>
      <c r="AB336" s="29">
        <v>0</v>
      </c>
      <c r="AC336"/>
      <c r="AD336" s="25"/>
      <c r="AF336" s="22">
        <v>44881</v>
      </c>
      <c r="AG336" s="26">
        <f t="shared" ca="1" si="37"/>
        <v>0.59296337425020329</v>
      </c>
      <c r="AH336" s="29">
        <v>0</v>
      </c>
      <c r="AJ336" s="22">
        <v>44881</v>
      </c>
      <c r="AK336" s="26">
        <f t="shared" ca="1" si="38"/>
        <v>0.92388900740703983</v>
      </c>
      <c r="AL336" s="29">
        <v>0</v>
      </c>
      <c r="AN336" s="22">
        <v>44881</v>
      </c>
      <c r="AO336" s="26">
        <f t="shared" ca="1" si="39"/>
        <v>1.2925379996601816E-2</v>
      </c>
      <c r="AP336" s="29">
        <v>0</v>
      </c>
      <c r="AR336" s="22">
        <v>44881</v>
      </c>
      <c r="AS336" s="26">
        <f t="shared" ca="1" si="40"/>
        <v>0.23350488942487635</v>
      </c>
      <c r="AT336" s="29">
        <v>0</v>
      </c>
      <c r="AV336" s="22">
        <v>44881</v>
      </c>
      <c r="AW336" s="26">
        <f t="shared" ca="1" si="41"/>
        <v>0.80596450559546862</v>
      </c>
      <c r="AX336" s="29">
        <v>0</v>
      </c>
      <c r="AZ336" s="22">
        <v>44881</v>
      </c>
      <c r="BA336" s="26">
        <f t="shared" ca="1" si="42"/>
        <v>0.59078698670509755</v>
      </c>
      <c r="BB336" s="29">
        <v>0</v>
      </c>
      <c r="BC336"/>
      <c r="BD336" s="25"/>
      <c r="BF336" s="22">
        <v>44881</v>
      </c>
      <c r="BG336" s="26">
        <f t="shared" ca="1" si="43"/>
        <v>0.67377674477468086</v>
      </c>
      <c r="BH336" s="29">
        <v>0</v>
      </c>
      <c r="BJ336" s="22">
        <v>44881</v>
      </c>
      <c r="BK336" s="26">
        <f t="shared" ca="1" si="44"/>
        <v>0.1384384403609783</v>
      </c>
      <c r="BL336" s="29">
        <v>0</v>
      </c>
      <c r="BN336" s="22">
        <v>44881</v>
      </c>
      <c r="BO336" s="26">
        <f t="shared" ca="1" si="45"/>
        <v>0.22569145991199746</v>
      </c>
      <c r="BP336" s="29">
        <v>0</v>
      </c>
      <c r="BR336" s="22">
        <v>44881</v>
      </c>
      <c r="BS336" s="26">
        <f t="shared" ca="1" si="46"/>
        <v>0.12895664384367422</v>
      </c>
      <c r="BT336" s="29">
        <v>0</v>
      </c>
      <c r="BV336" s="22">
        <v>44881</v>
      </c>
      <c r="BW336" s="26">
        <f t="shared" ca="1" si="47"/>
        <v>0.31066115559459095</v>
      </c>
      <c r="BX336" s="29">
        <v>0</v>
      </c>
    </row>
    <row r="337" spans="2:77" ht="12.75" x14ac:dyDescent="0.2">
      <c r="B337" s="22">
        <v>44882</v>
      </c>
      <c r="C337" s="26">
        <f t="shared" ca="1" si="0"/>
        <v>0.21770728837561637</v>
      </c>
      <c r="D337" s="29">
        <f t="shared" ca="1" si="48"/>
        <v>60</v>
      </c>
      <c r="F337" s="22">
        <v>44882</v>
      </c>
      <c r="G337" s="26">
        <f t="shared" ca="1" si="31"/>
        <v>0.9320762170696304</v>
      </c>
      <c r="H337" s="29">
        <f t="shared" ca="1" si="49"/>
        <v>237</v>
      </c>
      <c r="J337" s="22">
        <v>44882</v>
      </c>
      <c r="K337" s="26">
        <f t="shared" ca="1" si="32"/>
        <v>0.84355010090609628</v>
      </c>
      <c r="L337" s="29">
        <f t="shared" ca="1" si="50"/>
        <v>161</v>
      </c>
      <c r="N337" s="22">
        <v>44882</v>
      </c>
      <c r="O337" s="26">
        <f t="shared" ca="1" si="33"/>
        <v>0.18804589958001805</v>
      </c>
      <c r="P337" s="29">
        <f t="shared" ca="1" si="51"/>
        <v>216</v>
      </c>
      <c r="R337" s="22">
        <v>44882</v>
      </c>
      <c r="S337" s="26">
        <f t="shared" ca="1" si="34"/>
        <v>0.91040227424811548</v>
      </c>
      <c r="T337" s="29">
        <f t="shared" ca="1" si="52"/>
        <v>152</v>
      </c>
      <c r="V337" s="22">
        <v>44882</v>
      </c>
      <c r="W337" s="26">
        <f t="shared" ca="1" si="35"/>
        <v>7.7844605055921945E-2</v>
      </c>
      <c r="X337" s="29">
        <v>0</v>
      </c>
      <c r="Z337" s="22">
        <v>44882</v>
      </c>
      <c r="AA337" s="26">
        <f t="shared" ca="1" si="36"/>
        <v>0.53643020448024181</v>
      </c>
      <c r="AB337" s="29">
        <v>0</v>
      </c>
      <c r="AC337"/>
      <c r="AD337" s="25"/>
      <c r="AF337" s="22">
        <v>44882</v>
      </c>
      <c r="AG337" s="26">
        <f t="shared" ca="1" si="37"/>
        <v>0.9030407257101567</v>
      </c>
      <c r="AH337" s="29">
        <v>0</v>
      </c>
      <c r="AJ337" s="22">
        <v>44882</v>
      </c>
      <c r="AK337" s="26">
        <f t="shared" ca="1" si="38"/>
        <v>0.73263436227738488</v>
      </c>
      <c r="AL337" s="29">
        <v>0</v>
      </c>
      <c r="AN337" s="22">
        <v>44882</v>
      </c>
      <c r="AO337" s="26">
        <f t="shared" ca="1" si="39"/>
        <v>0.4198774487964736</v>
      </c>
      <c r="AP337" s="29">
        <v>0</v>
      </c>
      <c r="AR337" s="22">
        <v>44882</v>
      </c>
      <c r="AS337" s="26">
        <f t="shared" ca="1" si="40"/>
        <v>0.57637257480769899</v>
      </c>
      <c r="AT337" s="29">
        <v>0</v>
      </c>
      <c r="AV337" s="22">
        <v>44882</v>
      </c>
      <c r="AW337" s="26">
        <f t="shared" ca="1" si="41"/>
        <v>0.508584449144732</v>
      </c>
      <c r="AX337" s="29">
        <v>0</v>
      </c>
      <c r="AZ337" s="22">
        <v>44882</v>
      </c>
      <c r="BA337" s="26">
        <f t="shared" ca="1" si="42"/>
        <v>0.53820522100173318</v>
      </c>
      <c r="BB337" s="29">
        <v>0</v>
      </c>
      <c r="BC337"/>
      <c r="BD337" s="25"/>
      <c r="BF337" s="22">
        <v>44882</v>
      </c>
      <c r="BG337" s="26">
        <f t="shared" ca="1" si="43"/>
        <v>0.54054143617097039</v>
      </c>
      <c r="BH337" s="29">
        <v>0</v>
      </c>
      <c r="BJ337" s="22">
        <v>44882</v>
      </c>
      <c r="BK337" s="26">
        <f t="shared" ca="1" si="44"/>
        <v>0.76711300602437504</v>
      </c>
      <c r="BL337" s="29">
        <v>0</v>
      </c>
      <c r="BN337" s="22">
        <v>44882</v>
      </c>
      <c r="BO337" s="26">
        <f t="shared" ca="1" si="45"/>
        <v>0.36248474034324785</v>
      </c>
      <c r="BP337" s="29">
        <v>0</v>
      </c>
      <c r="BR337" s="22">
        <v>44882</v>
      </c>
      <c r="BS337" s="26">
        <f t="shared" ca="1" si="46"/>
        <v>0.72993372928608324</v>
      </c>
      <c r="BT337" s="29">
        <v>0</v>
      </c>
      <c r="BV337" s="22">
        <v>44882</v>
      </c>
      <c r="BW337" s="26">
        <f t="shared" ca="1" si="47"/>
        <v>0.50679682607975773</v>
      </c>
      <c r="BX337" s="29">
        <v>0</v>
      </c>
    </row>
    <row r="338" spans="2:77" ht="12.75" x14ac:dyDescent="0.2">
      <c r="B338" s="22">
        <v>44883</v>
      </c>
      <c r="C338" s="26">
        <f t="shared" ca="1" si="0"/>
        <v>0.18465828326502709</v>
      </c>
      <c r="D338" s="29">
        <f t="shared" ref="D338:D401" ca="1" si="53">ROUNDUP(_xlfn.NORM.INV(C338,C$10,C$12),0)</f>
        <v>58</v>
      </c>
      <c r="F338" s="22">
        <v>44883</v>
      </c>
      <c r="G338" s="26">
        <f t="shared" ca="1" si="31"/>
        <v>0.77250977770031137</v>
      </c>
      <c r="H338" s="29">
        <f t="shared" ca="1" si="49"/>
        <v>227</v>
      </c>
      <c r="J338" s="22">
        <v>44883</v>
      </c>
      <c r="K338" s="26">
        <f t="shared" ca="1" si="32"/>
        <v>0.88081379996604936</v>
      </c>
      <c r="L338" s="29">
        <f t="shared" ca="1" si="50"/>
        <v>162</v>
      </c>
      <c r="N338" s="22">
        <v>44883</v>
      </c>
      <c r="O338" s="26">
        <f t="shared" ca="1" si="33"/>
        <v>0.17997657677476486</v>
      </c>
      <c r="P338" s="29">
        <f t="shared" ca="1" si="51"/>
        <v>216</v>
      </c>
      <c r="R338" s="22">
        <v>44883</v>
      </c>
      <c r="S338" s="26">
        <f t="shared" ca="1" si="34"/>
        <v>0.79828020687749168</v>
      </c>
      <c r="T338" s="29">
        <f t="shared" ca="1" si="52"/>
        <v>147</v>
      </c>
      <c r="V338" s="22">
        <v>44883</v>
      </c>
      <c r="W338" s="26">
        <f t="shared" ca="1" si="35"/>
        <v>0.45697738945271948</v>
      </c>
      <c r="X338" s="29">
        <v>0</v>
      </c>
      <c r="Z338" s="22">
        <v>44883</v>
      </c>
      <c r="AA338" s="26">
        <f t="shared" ca="1" si="36"/>
        <v>0.78493023924190841</v>
      </c>
      <c r="AB338" s="29">
        <v>0</v>
      </c>
      <c r="AC338"/>
      <c r="AD338" s="25"/>
      <c r="AF338" s="22">
        <v>44883</v>
      </c>
      <c r="AG338" s="26">
        <f t="shared" ca="1" si="37"/>
        <v>0.84606991515538943</v>
      </c>
      <c r="AH338" s="29">
        <v>0</v>
      </c>
      <c r="AJ338" s="22">
        <v>44883</v>
      </c>
      <c r="AK338" s="26">
        <f t="shared" ca="1" si="38"/>
        <v>0.25351665953231106</v>
      </c>
      <c r="AL338" s="29">
        <v>0</v>
      </c>
      <c r="AN338" s="22">
        <v>44883</v>
      </c>
      <c r="AO338" s="26">
        <f t="shared" ca="1" si="39"/>
        <v>0.26400687498984055</v>
      </c>
      <c r="AP338" s="29">
        <v>0</v>
      </c>
      <c r="AR338" s="22">
        <v>44883</v>
      </c>
      <c r="AS338" s="26">
        <f t="shared" ca="1" si="40"/>
        <v>0.18831559461672231</v>
      </c>
      <c r="AT338" s="29">
        <v>0</v>
      </c>
      <c r="AV338" s="22">
        <v>44883</v>
      </c>
      <c r="AW338" s="26">
        <f t="shared" ca="1" si="41"/>
        <v>0.72646817844709166</v>
      </c>
      <c r="AX338" s="29">
        <v>0</v>
      </c>
      <c r="AZ338" s="22">
        <v>44883</v>
      </c>
      <c r="BA338" s="26">
        <f t="shared" ca="1" si="42"/>
        <v>0.46275964382645018</v>
      </c>
      <c r="BB338" s="29">
        <v>0</v>
      </c>
      <c r="BC338"/>
      <c r="BD338" s="25"/>
      <c r="BF338" s="22">
        <v>44883</v>
      </c>
      <c r="BG338" s="26">
        <f t="shared" ca="1" si="43"/>
        <v>0.35127204329321438</v>
      </c>
      <c r="BH338" s="29">
        <v>0</v>
      </c>
      <c r="BJ338" s="22">
        <v>44883</v>
      </c>
      <c r="BK338" s="26">
        <f t="shared" ca="1" si="44"/>
        <v>0.79623220583454724</v>
      </c>
      <c r="BL338" s="29">
        <v>0</v>
      </c>
      <c r="BN338" s="22">
        <v>44883</v>
      </c>
      <c r="BO338" s="26">
        <f t="shared" ca="1" si="45"/>
        <v>0.76843890640263868</v>
      </c>
      <c r="BP338" s="29">
        <v>0</v>
      </c>
      <c r="BR338" s="22">
        <v>44883</v>
      </c>
      <c r="BS338" s="26">
        <f t="shared" ca="1" si="46"/>
        <v>0.58297126925872822</v>
      </c>
      <c r="BT338" s="29">
        <v>0</v>
      </c>
      <c r="BV338" s="22">
        <v>44883</v>
      </c>
      <c r="BW338" s="26">
        <f t="shared" ca="1" si="47"/>
        <v>0.80189303616778529</v>
      </c>
      <c r="BX338" s="29">
        <v>0</v>
      </c>
    </row>
    <row r="339" spans="2:77" ht="12.75" x14ac:dyDescent="0.2">
      <c r="B339" s="22">
        <v>44884</v>
      </c>
      <c r="C339" s="26">
        <f t="shared" ca="1" si="0"/>
        <v>0.54215885742852743</v>
      </c>
      <c r="D339" s="29">
        <f t="shared" ca="1" si="53"/>
        <v>78</v>
      </c>
      <c r="F339" s="22">
        <v>44884</v>
      </c>
      <c r="G339" s="26">
        <f t="shared" ca="1" si="31"/>
        <v>0.63363254638666544</v>
      </c>
      <c r="H339" s="29">
        <f t="shared" ca="1" si="49"/>
        <v>221</v>
      </c>
      <c r="J339" s="22">
        <v>44884</v>
      </c>
      <c r="K339" s="26">
        <f t="shared" ca="1" si="32"/>
        <v>0.33071236004565818</v>
      </c>
      <c r="L339" s="29">
        <f t="shared" ca="1" si="50"/>
        <v>146</v>
      </c>
      <c r="N339" s="22">
        <v>44884</v>
      </c>
      <c r="O339" s="26">
        <f t="shared" ca="1" si="33"/>
        <v>0.22829860940069524</v>
      </c>
      <c r="P339" s="29">
        <f t="shared" ca="1" si="51"/>
        <v>218</v>
      </c>
      <c r="R339" s="22">
        <v>44884</v>
      </c>
      <c r="S339" s="26">
        <f t="shared" ca="1" si="34"/>
        <v>0.22031309077386696</v>
      </c>
      <c r="T339" s="29">
        <f t="shared" ca="1" si="52"/>
        <v>132</v>
      </c>
      <c r="V339" s="22">
        <v>44884</v>
      </c>
      <c r="W339" s="26">
        <f t="shared" ca="1" si="35"/>
        <v>0.39890786512742193</v>
      </c>
      <c r="X339" s="29">
        <v>0</v>
      </c>
      <c r="Z339" s="22">
        <v>44884</v>
      </c>
      <c r="AA339" s="26">
        <f t="shared" ca="1" si="36"/>
        <v>0.41637653806587649</v>
      </c>
      <c r="AB339" s="29">
        <v>0</v>
      </c>
      <c r="AC339"/>
      <c r="AD339" s="25"/>
      <c r="AF339" s="22">
        <v>44884</v>
      </c>
      <c r="AG339" s="26">
        <f t="shared" ca="1" si="37"/>
        <v>0.68883472540395285</v>
      </c>
      <c r="AH339" s="29">
        <v>0</v>
      </c>
      <c r="AJ339" s="22">
        <v>44884</v>
      </c>
      <c r="AK339" s="26">
        <f t="shared" ca="1" si="38"/>
        <v>2.3039260204270606E-3</v>
      </c>
      <c r="AL339" s="29">
        <v>0</v>
      </c>
      <c r="AN339" s="22">
        <v>44884</v>
      </c>
      <c r="AO339" s="26">
        <f t="shared" ca="1" si="39"/>
        <v>0.631679185851997</v>
      </c>
      <c r="AP339" s="29">
        <v>0</v>
      </c>
      <c r="AR339" s="22">
        <v>44884</v>
      </c>
      <c r="AS339" s="26">
        <f t="shared" ca="1" si="40"/>
        <v>0.48833167384720244</v>
      </c>
      <c r="AT339" s="29">
        <v>0</v>
      </c>
      <c r="AV339" s="22">
        <v>44884</v>
      </c>
      <c r="AW339" s="26">
        <f t="shared" ca="1" si="41"/>
        <v>0.90174079710909583</v>
      </c>
      <c r="AX339" s="29">
        <v>0</v>
      </c>
      <c r="AZ339" s="22">
        <v>44884</v>
      </c>
      <c r="BA339" s="26">
        <f t="shared" ca="1" si="42"/>
        <v>0.31650759162103537</v>
      </c>
      <c r="BB339" s="29">
        <v>0</v>
      </c>
      <c r="BC339"/>
      <c r="BD339" s="25"/>
      <c r="BF339" s="22">
        <v>44884</v>
      </c>
      <c r="BG339" s="26">
        <f t="shared" ca="1" si="43"/>
        <v>0.37816368811545653</v>
      </c>
      <c r="BH339" s="29">
        <v>0</v>
      </c>
      <c r="BJ339" s="22">
        <v>44884</v>
      </c>
      <c r="BK339" s="26">
        <f t="shared" ca="1" si="44"/>
        <v>0.85174075530804538</v>
      </c>
      <c r="BL339" s="29">
        <v>0</v>
      </c>
      <c r="BN339" s="22">
        <v>44884</v>
      </c>
      <c r="BO339" s="26">
        <f t="shared" ca="1" si="45"/>
        <v>1.0876817173004039E-2</v>
      </c>
      <c r="BP339" s="29">
        <v>0</v>
      </c>
      <c r="BR339" s="22">
        <v>44884</v>
      </c>
      <c r="BS339" s="26">
        <f t="shared" ca="1" si="46"/>
        <v>0.63009796371105575</v>
      </c>
      <c r="BT339" s="29">
        <v>0</v>
      </c>
      <c r="BV339" s="22">
        <v>44884</v>
      </c>
      <c r="BW339" s="26">
        <f t="shared" ca="1" si="47"/>
        <v>0.21460844041809823</v>
      </c>
      <c r="BX339" s="29">
        <v>0</v>
      </c>
    </row>
    <row r="340" spans="2:77" ht="12.75" x14ac:dyDescent="0.2">
      <c r="B340" s="22">
        <v>44885</v>
      </c>
      <c r="C340" s="26">
        <f t="shared" ca="1" si="0"/>
        <v>0.94461189385399058</v>
      </c>
      <c r="D340" s="29">
        <f t="shared" ca="1" si="53"/>
        <v>107</v>
      </c>
      <c r="F340" s="22">
        <v>44885</v>
      </c>
      <c r="G340" s="26">
        <f t="shared" ca="1" si="31"/>
        <v>0.47637756281884147</v>
      </c>
      <c r="H340" s="29">
        <f t="shared" ca="1" si="49"/>
        <v>215</v>
      </c>
      <c r="J340" s="22">
        <v>44885</v>
      </c>
      <c r="K340" s="26">
        <f t="shared" ca="1" si="32"/>
        <v>0.98295382060514158</v>
      </c>
      <c r="L340" s="29">
        <f t="shared" ca="1" si="50"/>
        <v>172</v>
      </c>
      <c r="N340" s="22">
        <v>44885</v>
      </c>
      <c r="O340" s="26">
        <f t="shared" ca="1" si="33"/>
        <v>0.39750956628514</v>
      </c>
      <c r="P340" s="29">
        <f t="shared" ca="1" si="51"/>
        <v>226</v>
      </c>
      <c r="R340" s="22">
        <v>44885</v>
      </c>
      <c r="S340" s="26">
        <f t="shared" ca="1" si="34"/>
        <v>0.80167543340617897</v>
      </c>
      <c r="T340" s="29">
        <f t="shared" ca="1" si="52"/>
        <v>147</v>
      </c>
      <c r="V340" s="22">
        <v>44885</v>
      </c>
      <c r="W340" s="26">
        <f t="shared" ca="1" si="35"/>
        <v>0.27802246142302423</v>
      </c>
      <c r="X340" s="29">
        <v>0</v>
      </c>
      <c r="Z340" s="22">
        <v>44885</v>
      </c>
      <c r="AA340" s="26">
        <f t="shared" ca="1" si="36"/>
        <v>0.96871832485881759</v>
      </c>
      <c r="AB340" s="29">
        <v>0</v>
      </c>
      <c r="AC340"/>
      <c r="AD340" s="25"/>
      <c r="AF340" s="22">
        <v>44885</v>
      </c>
      <c r="AG340" s="26">
        <f t="shared" ca="1" si="37"/>
        <v>0.17874215970141594</v>
      </c>
      <c r="AH340" s="29">
        <v>0</v>
      </c>
      <c r="AJ340" s="22">
        <v>44885</v>
      </c>
      <c r="AK340" s="26">
        <f t="shared" ca="1" si="38"/>
        <v>0.36709455553495407</v>
      </c>
      <c r="AL340" s="29">
        <v>0</v>
      </c>
      <c r="AN340" s="22">
        <v>44885</v>
      </c>
      <c r="AO340" s="26">
        <f t="shared" ca="1" si="39"/>
        <v>0.76710454387526972</v>
      </c>
      <c r="AP340" s="29">
        <v>0</v>
      </c>
      <c r="AR340" s="22">
        <v>44885</v>
      </c>
      <c r="AS340" s="26">
        <f t="shared" ca="1" si="40"/>
        <v>4.4621804048045832E-2</v>
      </c>
      <c r="AT340" s="29">
        <v>0</v>
      </c>
      <c r="AV340" s="22">
        <v>44885</v>
      </c>
      <c r="AW340" s="26">
        <f t="shared" ca="1" si="41"/>
        <v>0.4527869668731308</v>
      </c>
      <c r="AX340" s="29">
        <v>0</v>
      </c>
      <c r="AZ340" s="22">
        <v>44885</v>
      </c>
      <c r="BA340" s="26">
        <f t="shared" ca="1" si="42"/>
        <v>0.59411993562774446</v>
      </c>
      <c r="BB340" s="29">
        <v>0</v>
      </c>
      <c r="BC340"/>
      <c r="BD340" s="25"/>
      <c r="BF340" s="22">
        <v>44885</v>
      </c>
      <c r="BG340" s="26">
        <f t="shared" ca="1" si="43"/>
        <v>0.85748275522018902</v>
      </c>
      <c r="BH340" s="29">
        <v>0</v>
      </c>
      <c r="BJ340" s="22">
        <v>44885</v>
      </c>
      <c r="BK340" s="26">
        <f t="shared" ca="1" si="44"/>
        <v>0.20511716269526559</v>
      </c>
      <c r="BL340" s="29">
        <v>0</v>
      </c>
      <c r="BN340" s="22">
        <v>44885</v>
      </c>
      <c r="BO340" s="26">
        <f t="shared" ca="1" si="45"/>
        <v>0.7291755612940003</v>
      </c>
      <c r="BP340" s="29">
        <v>0</v>
      </c>
      <c r="BR340" s="22">
        <v>44885</v>
      </c>
      <c r="BS340" s="26">
        <f t="shared" ca="1" si="46"/>
        <v>0.84132604775772968</v>
      </c>
      <c r="BT340" s="29">
        <v>0</v>
      </c>
      <c r="BV340" s="22">
        <v>44885</v>
      </c>
      <c r="BW340" s="26">
        <f t="shared" ca="1" si="47"/>
        <v>0.30135440776643885</v>
      </c>
      <c r="BX340" s="29">
        <v>0</v>
      </c>
    </row>
    <row r="341" spans="2:77" ht="12.75" x14ac:dyDescent="0.2">
      <c r="B341" s="22">
        <v>44886</v>
      </c>
      <c r="C341" s="26">
        <f t="shared" ca="1" si="0"/>
        <v>8.6010689389016459E-2</v>
      </c>
      <c r="D341" s="29">
        <f t="shared" ca="1" si="53"/>
        <v>48</v>
      </c>
      <c r="F341" s="22">
        <v>44886</v>
      </c>
      <c r="G341" s="26">
        <f t="shared" ca="1" si="31"/>
        <v>0.41132884475015619</v>
      </c>
      <c r="H341" s="29">
        <f t="shared" ca="1" si="49"/>
        <v>213</v>
      </c>
      <c r="J341" s="22">
        <v>44886</v>
      </c>
      <c r="K341" s="26">
        <f t="shared" ca="1" si="32"/>
        <v>0.31831121574003673</v>
      </c>
      <c r="L341" s="29">
        <f t="shared" ca="1" si="50"/>
        <v>146</v>
      </c>
      <c r="N341" s="22">
        <v>44886</v>
      </c>
      <c r="O341" s="26">
        <f t="shared" ca="1" si="33"/>
        <v>0.13933708761976138</v>
      </c>
      <c r="P341" s="29">
        <f t="shared" ca="1" si="51"/>
        <v>213</v>
      </c>
      <c r="R341" s="22">
        <v>44886</v>
      </c>
      <c r="S341" s="26">
        <f t="shared" ca="1" si="34"/>
        <v>0.74717057126112618</v>
      </c>
      <c r="T341" s="29">
        <f t="shared" ca="1" si="52"/>
        <v>145</v>
      </c>
      <c r="V341" s="22">
        <v>44886</v>
      </c>
      <c r="W341" s="26">
        <f t="shared" ca="1" si="35"/>
        <v>0.72732617735652771</v>
      </c>
      <c r="X341" s="29">
        <v>0</v>
      </c>
      <c r="Z341" s="22">
        <v>44886</v>
      </c>
      <c r="AA341" s="26">
        <f t="shared" ca="1" si="36"/>
        <v>0.85695939887333139</v>
      </c>
      <c r="AB341" s="29">
        <v>0</v>
      </c>
      <c r="AC341"/>
      <c r="AD341" s="25"/>
      <c r="AF341" s="22">
        <v>44886</v>
      </c>
      <c r="AG341" s="26">
        <f t="shared" ca="1" si="37"/>
        <v>0.73490125996369227</v>
      </c>
      <c r="AH341" s="29">
        <v>0</v>
      </c>
      <c r="AJ341" s="22">
        <v>44886</v>
      </c>
      <c r="AK341" s="26">
        <f t="shared" ca="1" si="38"/>
        <v>0.43948630965163593</v>
      </c>
      <c r="AL341" s="29">
        <v>0</v>
      </c>
      <c r="AN341" s="22">
        <v>44886</v>
      </c>
      <c r="AO341" s="26">
        <f t="shared" ca="1" si="39"/>
        <v>1.7999730448370332E-4</v>
      </c>
      <c r="AP341" s="29">
        <v>0</v>
      </c>
      <c r="AR341" s="22">
        <v>44886</v>
      </c>
      <c r="AS341" s="26">
        <f t="shared" ca="1" si="40"/>
        <v>0.31584230419745229</v>
      </c>
      <c r="AT341" s="29">
        <v>0</v>
      </c>
      <c r="AV341" s="22">
        <v>44886</v>
      </c>
      <c r="AW341" s="26">
        <f t="shared" ca="1" si="41"/>
        <v>0.69073217276398269</v>
      </c>
      <c r="AX341" s="29">
        <v>0</v>
      </c>
      <c r="AZ341" s="22">
        <v>44886</v>
      </c>
      <c r="BA341" s="26">
        <f t="shared" ca="1" si="42"/>
        <v>0.89212296125253132</v>
      </c>
      <c r="BB341" s="29">
        <v>0</v>
      </c>
      <c r="BC341"/>
      <c r="BD341" s="25"/>
      <c r="BF341" s="22">
        <v>44886</v>
      </c>
      <c r="BG341" s="26">
        <f t="shared" ca="1" si="43"/>
        <v>0.51938675346433127</v>
      </c>
      <c r="BH341" s="29">
        <v>0</v>
      </c>
      <c r="BJ341" s="22">
        <v>44886</v>
      </c>
      <c r="BK341" s="26">
        <f t="shared" ca="1" si="44"/>
        <v>0.64739712497292345</v>
      </c>
      <c r="BL341" s="29">
        <v>0</v>
      </c>
      <c r="BN341" s="22">
        <v>44886</v>
      </c>
      <c r="BO341" s="26">
        <f t="shared" ca="1" si="45"/>
        <v>0.61764112180084918</v>
      </c>
      <c r="BP341" s="29">
        <v>0</v>
      </c>
      <c r="BR341" s="22">
        <v>44886</v>
      </c>
      <c r="BS341" s="26">
        <f t="shared" ca="1" si="46"/>
        <v>0.67443684401217174</v>
      </c>
      <c r="BT341" s="29">
        <v>0</v>
      </c>
      <c r="BV341" s="22">
        <v>44886</v>
      </c>
      <c r="BW341" s="26">
        <f t="shared" ca="1" si="47"/>
        <v>0.40852070981924593</v>
      </c>
      <c r="BX341" s="29">
        <v>0</v>
      </c>
    </row>
    <row r="342" spans="2:77" ht="12.75" x14ac:dyDescent="0.2">
      <c r="B342" s="22">
        <v>44887</v>
      </c>
      <c r="C342" s="26">
        <f t="shared" ca="1" si="0"/>
        <v>0.82797650653325272</v>
      </c>
      <c r="D342" s="29">
        <f t="shared" ca="1" si="53"/>
        <v>94</v>
      </c>
      <c r="F342" s="22">
        <v>44887</v>
      </c>
      <c r="G342" s="26">
        <f t="shared" ca="1" si="31"/>
        <v>0.36955383285046917</v>
      </c>
      <c r="H342" s="29">
        <f t="shared" ca="1" si="49"/>
        <v>211</v>
      </c>
      <c r="J342" s="22">
        <v>44887</v>
      </c>
      <c r="K342" s="26">
        <f t="shared" ca="1" si="32"/>
        <v>0.54087878015445623</v>
      </c>
      <c r="L342" s="29">
        <f t="shared" ca="1" si="50"/>
        <v>152</v>
      </c>
      <c r="N342" s="22">
        <v>44887</v>
      </c>
      <c r="O342" s="26">
        <f t="shared" ca="1" si="33"/>
        <v>0.23869132589946052</v>
      </c>
      <c r="P342" s="29">
        <f t="shared" ca="1" si="51"/>
        <v>219</v>
      </c>
      <c r="R342" s="22">
        <v>44887</v>
      </c>
      <c r="S342" s="26">
        <f t="shared" ca="1" si="34"/>
        <v>5.886824987559014E-2</v>
      </c>
      <c r="T342" s="29">
        <f t="shared" ca="1" si="52"/>
        <v>125</v>
      </c>
      <c r="V342" s="22">
        <v>44887</v>
      </c>
      <c r="W342" s="26">
        <f t="shared" ca="1" si="35"/>
        <v>0.355483130549611</v>
      </c>
      <c r="X342" s="29">
        <v>0</v>
      </c>
      <c r="Z342" s="22">
        <v>44887</v>
      </c>
      <c r="AA342" s="26">
        <f t="shared" ca="1" si="36"/>
        <v>0.25585009921665969</v>
      </c>
      <c r="AB342" s="29">
        <v>0</v>
      </c>
      <c r="AC342"/>
      <c r="AD342" s="25"/>
      <c r="AF342" s="22">
        <v>44887</v>
      </c>
      <c r="AG342" s="26">
        <f t="shared" ca="1" si="37"/>
        <v>0.91435185548476494</v>
      </c>
      <c r="AH342" s="29">
        <v>0</v>
      </c>
      <c r="AJ342" s="22">
        <v>44887</v>
      </c>
      <c r="AK342" s="26">
        <f t="shared" ca="1" si="38"/>
        <v>0.94296929824631293</v>
      </c>
      <c r="AL342" s="29">
        <v>0</v>
      </c>
      <c r="AN342" s="22">
        <v>44887</v>
      </c>
      <c r="AO342" s="26">
        <f t="shared" ca="1" si="39"/>
        <v>0.47834499408693298</v>
      </c>
      <c r="AP342" s="29">
        <v>0</v>
      </c>
      <c r="AR342" s="22">
        <v>44887</v>
      </c>
      <c r="AS342" s="26">
        <f t="shared" ca="1" si="40"/>
        <v>0.59883388680914507</v>
      </c>
      <c r="AT342" s="29">
        <v>0</v>
      </c>
      <c r="AV342" s="22">
        <v>44887</v>
      </c>
      <c r="AW342" s="26">
        <f t="shared" ca="1" si="41"/>
        <v>0.45363099293176101</v>
      </c>
      <c r="AX342" s="29">
        <v>0</v>
      </c>
      <c r="AZ342" s="22">
        <v>44887</v>
      </c>
      <c r="BA342" s="26">
        <f t="shared" ca="1" si="42"/>
        <v>0.44816416199872433</v>
      </c>
      <c r="BB342" s="29">
        <v>0</v>
      </c>
      <c r="BC342"/>
      <c r="BD342" s="25"/>
      <c r="BF342" s="22">
        <v>44887</v>
      </c>
      <c r="BG342" s="26">
        <f t="shared" ca="1" si="43"/>
        <v>0.4187567239950557</v>
      </c>
      <c r="BH342" s="29">
        <v>0</v>
      </c>
      <c r="BJ342" s="22">
        <v>44887</v>
      </c>
      <c r="BK342" s="26">
        <f t="shared" ca="1" si="44"/>
        <v>0.98239192243313722</v>
      </c>
      <c r="BL342" s="29">
        <v>0</v>
      </c>
      <c r="BN342" s="22">
        <v>44887</v>
      </c>
      <c r="BO342" s="26">
        <f t="shared" ca="1" si="45"/>
        <v>0.17463124806494101</v>
      </c>
      <c r="BP342" s="29">
        <v>0</v>
      </c>
      <c r="BR342" s="22">
        <v>44887</v>
      </c>
      <c r="BS342" s="26">
        <f t="shared" ca="1" si="46"/>
        <v>0.62187799296195634</v>
      </c>
      <c r="BT342" s="29">
        <v>0</v>
      </c>
      <c r="BV342" s="22">
        <v>44887</v>
      </c>
      <c r="BW342" s="26">
        <f t="shared" ca="1" si="47"/>
        <v>0.95706387705888074</v>
      </c>
      <c r="BX342" s="29">
        <v>0</v>
      </c>
    </row>
    <row r="343" spans="2:77" ht="12.75" x14ac:dyDescent="0.2">
      <c r="B343" s="22">
        <v>44888</v>
      </c>
      <c r="C343" s="26">
        <f t="shared" ca="1" si="0"/>
        <v>0.27696225027017407</v>
      </c>
      <c r="D343" s="29">
        <f t="shared" ca="1" si="53"/>
        <v>64</v>
      </c>
      <c r="F343" s="22">
        <v>44888</v>
      </c>
      <c r="G343" s="26">
        <f t="shared" ca="1" si="31"/>
        <v>0.72431136116316663</v>
      </c>
      <c r="H343" s="29">
        <f t="shared" ca="1" si="49"/>
        <v>224</v>
      </c>
      <c r="J343" s="22">
        <v>44888</v>
      </c>
      <c r="K343" s="26">
        <f t="shared" ca="1" si="32"/>
        <v>0.55537484324302477</v>
      </c>
      <c r="L343" s="29">
        <f t="shared" ca="1" si="50"/>
        <v>152</v>
      </c>
      <c r="N343" s="22">
        <v>44888</v>
      </c>
      <c r="O343" s="26">
        <f t="shared" ca="1" si="33"/>
        <v>0.92615728492908567</v>
      </c>
      <c r="P343" s="29">
        <f t="shared" ca="1" si="51"/>
        <v>252</v>
      </c>
      <c r="R343" s="22">
        <v>44888</v>
      </c>
      <c r="S343" s="26">
        <f t="shared" ca="1" si="34"/>
        <v>0.26480628748879476</v>
      </c>
      <c r="T343" s="29">
        <f t="shared" ca="1" si="52"/>
        <v>133</v>
      </c>
      <c r="V343" s="22">
        <v>44888</v>
      </c>
      <c r="W343" s="26">
        <f t="shared" ca="1" si="35"/>
        <v>0.85996767788108153</v>
      </c>
      <c r="X343" s="29">
        <v>0</v>
      </c>
      <c r="Z343" s="22">
        <v>44888</v>
      </c>
      <c r="AA343" s="26">
        <f t="shared" ca="1" si="36"/>
        <v>0.19797646268203262</v>
      </c>
      <c r="AB343" s="29">
        <v>0</v>
      </c>
      <c r="AC343"/>
      <c r="AD343" s="25"/>
      <c r="AF343" s="22">
        <v>44888</v>
      </c>
      <c r="AG343" s="26">
        <f t="shared" ca="1" si="37"/>
        <v>0.887036195806157</v>
      </c>
      <c r="AH343" s="29">
        <v>0</v>
      </c>
      <c r="AJ343" s="22">
        <v>44888</v>
      </c>
      <c r="AK343" s="26">
        <f t="shared" ca="1" si="38"/>
        <v>0.2736715107389831</v>
      </c>
      <c r="AL343" s="29">
        <v>0</v>
      </c>
      <c r="AN343" s="22">
        <v>44888</v>
      </c>
      <c r="AO343" s="26">
        <f t="shared" ca="1" si="39"/>
        <v>0.73227316684943256</v>
      </c>
      <c r="AP343" s="29">
        <v>0</v>
      </c>
      <c r="AR343" s="22">
        <v>44888</v>
      </c>
      <c r="AS343" s="26">
        <f t="shared" ca="1" si="40"/>
        <v>0.46954478952760847</v>
      </c>
      <c r="AT343" s="29">
        <v>0</v>
      </c>
      <c r="AV343" s="22">
        <v>44888</v>
      </c>
      <c r="AW343" s="26">
        <f t="shared" ca="1" si="41"/>
        <v>0.70535055116107015</v>
      </c>
      <c r="AX343" s="29">
        <v>0</v>
      </c>
      <c r="AZ343" s="22">
        <v>44888</v>
      </c>
      <c r="BA343" s="26">
        <f t="shared" ca="1" si="42"/>
        <v>0.61771688743169806</v>
      </c>
      <c r="BB343" s="29">
        <v>0</v>
      </c>
      <c r="BC343"/>
      <c r="BD343" s="25"/>
      <c r="BF343" s="22">
        <v>44888</v>
      </c>
      <c r="BG343" s="26">
        <f t="shared" ca="1" si="43"/>
        <v>0.6923777205664674</v>
      </c>
      <c r="BH343" s="29">
        <v>0</v>
      </c>
      <c r="BJ343" s="22">
        <v>44888</v>
      </c>
      <c r="BK343" s="26">
        <f t="shared" ca="1" si="44"/>
        <v>5.7942246950220322E-2</v>
      </c>
      <c r="BL343" s="29">
        <v>0</v>
      </c>
      <c r="BN343" s="22">
        <v>44888</v>
      </c>
      <c r="BO343" s="26">
        <f t="shared" ca="1" si="45"/>
        <v>0.6412561895746226</v>
      </c>
      <c r="BP343" s="29">
        <v>0</v>
      </c>
      <c r="BR343" s="22">
        <v>44888</v>
      </c>
      <c r="BS343" s="26">
        <f t="shared" ca="1" si="46"/>
        <v>0.41151138281964605</v>
      </c>
      <c r="BT343" s="29">
        <v>0</v>
      </c>
      <c r="BV343" s="22">
        <v>44888</v>
      </c>
      <c r="BW343" s="26">
        <f t="shared" ca="1" si="47"/>
        <v>0.49455365204137869</v>
      </c>
      <c r="BX343" s="29">
        <v>0</v>
      </c>
    </row>
    <row r="344" spans="2:77" ht="12.75" x14ac:dyDescent="0.2">
      <c r="B344" s="22">
        <v>44889</v>
      </c>
      <c r="C344" s="26">
        <f t="shared" ca="1" si="0"/>
        <v>0.15979726737547062</v>
      </c>
      <c r="D344" s="29">
        <f t="shared" ca="1" si="53"/>
        <v>56</v>
      </c>
      <c r="F344" s="22">
        <v>44889</v>
      </c>
      <c r="G344" s="26">
        <f t="shared" ca="1" si="31"/>
        <v>2.7582176242904821E-2</v>
      </c>
      <c r="H344" s="29">
        <f t="shared" ca="1" si="49"/>
        <v>188</v>
      </c>
      <c r="J344" s="22">
        <v>44889</v>
      </c>
      <c r="K344" s="26">
        <f t="shared" ca="1" si="32"/>
        <v>0.69681795597849716</v>
      </c>
      <c r="L344" s="29">
        <f t="shared" ca="1" si="50"/>
        <v>156</v>
      </c>
      <c r="N344" s="22">
        <v>44889</v>
      </c>
      <c r="O344" s="26">
        <f t="shared" ca="1" si="33"/>
        <v>0.24888543102537442</v>
      </c>
      <c r="P344" s="29">
        <f t="shared" ca="1" si="51"/>
        <v>219</v>
      </c>
      <c r="R344" s="22">
        <v>44889</v>
      </c>
      <c r="S344" s="26">
        <f t="shared" ca="1" si="34"/>
        <v>0.41770896312337158</v>
      </c>
      <c r="T344" s="29">
        <f t="shared" ca="1" si="52"/>
        <v>137</v>
      </c>
      <c r="V344" s="22">
        <v>44889</v>
      </c>
      <c r="W344" s="26">
        <f t="shared" ca="1" si="35"/>
        <v>0.47330469632917072</v>
      </c>
      <c r="X344" s="29">
        <v>0</v>
      </c>
      <c r="Z344" s="22">
        <v>44889</v>
      </c>
      <c r="AA344" s="26">
        <f t="shared" ca="1" si="36"/>
        <v>9.9323922553846589E-2</v>
      </c>
      <c r="AB344" s="29">
        <v>0</v>
      </c>
      <c r="AC344"/>
      <c r="AD344" s="25"/>
      <c r="AF344" s="22">
        <v>44889</v>
      </c>
      <c r="AG344" s="26">
        <f t="shared" ca="1" si="37"/>
        <v>5.9075133905041821E-2</v>
      </c>
      <c r="AH344" s="29">
        <v>0</v>
      </c>
      <c r="AJ344" s="22">
        <v>44889</v>
      </c>
      <c r="AK344" s="26">
        <f t="shared" ca="1" si="38"/>
        <v>7.4149613895377553E-2</v>
      </c>
      <c r="AL344" s="29">
        <v>0</v>
      </c>
      <c r="AN344" s="22">
        <v>44889</v>
      </c>
      <c r="AO344" s="26">
        <f t="shared" ca="1" si="39"/>
        <v>0.45498202664368526</v>
      </c>
      <c r="AP344" s="29">
        <v>0</v>
      </c>
      <c r="AR344" s="22">
        <v>44889</v>
      </c>
      <c r="AS344" s="26">
        <f t="shared" ca="1" si="40"/>
        <v>0.18306608203162766</v>
      </c>
      <c r="AT344" s="29">
        <v>0</v>
      </c>
      <c r="AV344" s="22">
        <v>44889</v>
      </c>
      <c r="AW344" s="26">
        <f t="shared" ca="1" si="41"/>
        <v>0.27879370732449149</v>
      </c>
      <c r="AX344" s="29">
        <v>0</v>
      </c>
      <c r="AZ344" s="22">
        <v>44889</v>
      </c>
      <c r="BA344" s="26">
        <f t="shared" ca="1" si="42"/>
        <v>0.74379107423124902</v>
      </c>
      <c r="BB344" s="29">
        <v>0</v>
      </c>
      <c r="BC344"/>
      <c r="BD344" s="25"/>
      <c r="BF344" s="22">
        <v>44889</v>
      </c>
      <c r="BG344" s="26">
        <f t="shared" ca="1" si="43"/>
        <v>0.13678685688672787</v>
      </c>
      <c r="BH344" s="29">
        <v>0</v>
      </c>
      <c r="BJ344" s="22">
        <v>44889</v>
      </c>
      <c r="BK344" s="26">
        <f t="shared" ca="1" si="44"/>
        <v>0.98207525852205169</v>
      </c>
      <c r="BL344" s="29">
        <v>0</v>
      </c>
      <c r="BN344" s="22">
        <v>44889</v>
      </c>
      <c r="BO344" s="26">
        <f t="shared" ca="1" si="45"/>
        <v>0.71188854874657725</v>
      </c>
      <c r="BP344" s="29">
        <v>0</v>
      </c>
      <c r="BR344" s="22">
        <v>44889</v>
      </c>
      <c r="BS344" s="26">
        <f t="shared" ca="1" si="46"/>
        <v>0.33032220080324159</v>
      </c>
      <c r="BT344" s="29">
        <v>0</v>
      </c>
      <c r="BV344" s="22">
        <v>44889</v>
      </c>
      <c r="BW344" s="26">
        <f t="shared" ca="1" si="47"/>
        <v>0.76760667217329559</v>
      </c>
      <c r="BX344" s="29">
        <v>0</v>
      </c>
    </row>
    <row r="345" spans="2:77" ht="12.75" x14ac:dyDescent="0.2">
      <c r="B345" s="22">
        <v>44890</v>
      </c>
      <c r="C345" s="26">
        <f t="shared" ca="1" si="0"/>
        <v>0.43573509131483246</v>
      </c>
      <c r="D345" s="29">
        <f t="shared" ca="1" si="53"/>
        <v>72</v>
      </c>
      <c r="F345" s="22">
        <v>44890</v>
      </c>
      <c r="G345" s="26">
        <f t="shared" ca="1" si="31"/>
        <v>0.41189398880030015</v>
      </c>
      <c r="H345" s="29">
        <f t="shared" ca="1" si="49"/>
        <v>213</v>
      </c>
      <c r="J345" s="22">
        <v>44890</v>
      </c>
      <c r="K345" s="26">
        <f t="shared" ca="1" si="32"/>
        <v>0.63827169017432606</v>
      </c>
      <c r="L345" s="29">
        <f t="shared" ca="1" si="50"/>
        <v>154</v>
      </c>
      <c r="N345" s="22">
        <v>44890</v>
      </c>
      <c r="O345" s="26">
        <f t="shared" ca="1" si="33"/>
        <v>0.94170590448679503</v>
      </c>
      <c r="P345" s="29">
        <f t="shared" ca="1" si="51"/>
        <v>254</v>
      </c>
      <c r="R345" s="22">
        <v>44890</v>
      </c>
      <c r="S345" s="26">
        <f t="shared" ca="1" si="34"/>
        <v>0.77614238161859284</v>
      </c>
      <c r="T345" s="29">
        <f t="shared" ca="1" si="52"/>
        <v>146</v>
      </c>
      <c r="V345" s="22">
        <v>44890</v>
      </c>
      <c r="W345" s="26">
        <f t="shared" ca="1" si="35"/>
        <v>0.53863579241353665</v>
      </c>
      <c r="X345" s="29">
        <v>0</v>
      </c>
      <c r="Z345" s="22">
        <v>44890</v>
      </c>
      <c r="AA345" s="26">
        <f t="shared" ca="1" si="36"/>
        <v>0.15745749375173657</v>
      </c>
      <c r="AB345" s="29">
        <v>0</v>
      </c>
      <c r="AC345"/>
      <c r="AD345" s="25"/>
      <c r="AF345" s="22">
        <v>44890</v>
      </c>
      <c r="AG345" s="26">
        <f t="shared" ca="1" si="37"/>
        <v>0.51766582646023351</v>
      </c>
      <c r="AH345" s="29">
        <v>0</v>
      </c>
      <c r="AJ345" s="22">
        <v>44890</v>
      </c>
      <c r="AK345" s="26">
        <f t="shared" ca="1" si="38"/>
        <v>0.50985396929376026</v>
      </c>
      <c r="AL345" s="29">
        <v>0</v>
      </c>
      <c r="AN345" s="22">
        <v>44890</v>
      </c>
      <c r="AO345" s="26">
        <f t="shared" ca="1" si="39"/>
        <v>0.15635466175533097</v>
      </c>
      <c r="AP345" s="29">
        <v>0</v>
      </c>
      <c r="AR345" s="22">
        <v>44890</v>
      </c>
      <c r="AS345" s="26">
        <f t="shared" ca="1" si="40"/>
        <v>4.2183778284120899E-2</v>
      </c>
      <c r="AT345" s="29">
        <v>0</v>
      </c>
      <c r="AV345" s="22">
        <v>44890</v>
      </c>
      <c r="AW345" s="26">
        <f t="shared" ca="1" si="41"/>
        <v>0.33493332617977034</v>
      </c>
      <c r="AX345" s="29">
        <v>0</v>
      </c>
      <c r="AZ345" s="22">
        <v>44890</v>
      </c>
      <c r="BA345" s="26">
        <f t="shared" ca="1" si="42"/>
        <v>0.38482150265063053</v>
      </c>
      <c r="BB345" s="29">
        <v>0</v>
      </c>
      <c r="BC345"/>
      <c r="BD345" s="25"/>
      <c r="BF345" s="22">
        <v>44890</v>
      </c>
      <c r="BG345" s="26">
        <f t="shared" ca="1" si="43"/>
        <v>0.73096087429837275</v>
      </c>
      <c r="BH345" s="29">
        <v>0</v>
      </c>
      <c r="BJ345" s="22">
        <v>44890</v>
      </c>
      <c r="BK345" s="26">
        <f t="shared" ca="1" si="44"/>
        <v>0.90781602324039745</v>
      </c>
      <c r="BL345" s="29">
        <v>0</v>
      </c>
      <c r="BN345" s="22">
        <v>44890</v>
      </c>
      <c r="BO345" s="26">
        <f t="shared" ca="1" si="45"/>
        <v>0.45819688742118114</v>
      </c>
      <c r="BP345" s="29">
        <v>0</v>
      </c>
      <c r="BR345" s="22">
        <v>44890</v>
      </c>
      <c r="BS345" s="26">
        <f t="shared" ca="1" si="46"/>
        <v>0.35773950620293871</v>
      </c>
      <c r="BT345" s="29">
        <v>0</v>
      </c>
      <c r="BV345" s="22">
        <v>44890</v>
      </c>
      <c r="BW345" s="26">
        <f t="shared" ca="1" si="47"/>
        <v>0.3433816452017423</v>
      </c>
      <c r="BX345" s="29">
        <v>0</v>
      </c>
    </row>
    <row r="346" spans="2:77" ht="12.75" x14ac:dyDescent="0.2">
      <c r="B346" s="22">
        <v>44891</v>
      </c>
      <c r="C346" s="26">
        <f t="shared" ca="1" si="0"/>
        <v>0.76541469227511538</v>
      </c>
      <c r="D346" s="29">
        <f t="shared" ca="1" si="53"/>
        <v>90</v>
      </c>
      <c r="F346" s="22">
        <v>44891</v>
      </c>
      <c r="G346" s="26">
        <f t="shared" ca="1" si="31"/>
        <v>0.83253648790692025</v>
      </c>
      <c r="H346" s="29">
        <f t="shared" ca="1" si="49"/>
        <v>230</v>
      </c>
      <c r="J346" s="22">
        <v>44891</v>
      </c>
      <c r="K346" s="26">
        <f t="shared" ca="1" si="32"/>
        <v>3.850099902923898E-2</v>
      </c>
      <c r="L346" s="29">
        <f t="shared" ca="1" si="50"/>
        <v>133</v>
      </c>
      <c r="N346" s="22">
        <v>44891</v>
      </c>
      <c r="O346" s="26">
        <f t="shared" ca="1" si="33"/>
        <v>3.6330210952340458E-2</v>
      </c>
      <c r="P346" s="29">
        <f t="shared" ca="1" si="51"/>
        <v>202</v>
      </c>
      <c r="R346" s="22">
        <v>44891</v>
      </c>
      <c r="S346" s="26">
        <f t="shared" ca="1" si="34"/>
        <v>0.58776963315958752</v>
      </c>
      <c r="T346" s="29">
        <f t="shared" ca="1" si="52"/>
        <v>141</v>
      </c>
      <c r="V346" s="22">
        <v>44891</v>
      </c>
      <c r="W346" s="26">
        <f t="shared" ca="1" si="35"/>
        <v>0.63747814538518455</v>
      </c>
      <c r="X346" s="29">
        <v>0</v>
      </c>
      <c r="Z346" s="22">
        <v>44891</v>
      </c>
      <c r="AA346" s="26">
        <f t="shared" ca="1" si="36"/>
        <v>0.50830958754437827</v>
      </c>
      <c r="AB346" s="29">
        <v>0</v>
      </c>
      <c r="AC346"/>
      <c r="AD346" s="25"/>
      <c r="AF346" s="22">
        <v>44891</v>
      </c>
      <c r="AG346" s="26">
        <f t="shared" ca="1" si="37"/>
        <v>0.36082018418378425</v>
      </c>
      <c r="AH346" s="29">
        <v>0</v>
      </c>
      <c r="AJ346" s="22">
        <v>44891</v>
      </c>
      <c r="AK346" s="26">
        <f t="shared" ca="1" si="38"/>
        <v>0.98789627557208537</v>
      </c>
      <c r="AL346" s="29">
        <v>0</v>
      </c>
      <c r="AN346" s="22">
        <v>44891</v>
      </c>
      <c r="AO346" s="26">
        <f t="shared" ca="1" si="39"/>
        <v>0.39780052909519348</v>
      </c>
      <c r="AP346" s="29">
        <v>0</v>
      </c>
      <c r="AR346" s="22">
        <v>44891</v>
      </c>
      <c r="AS346" s="26">
        <f t="shared" ca="1" si="40"/>
        <v>0.17283517842035878</v>
      </c>
      <c r="AT346" s="29">
        <v>0</v>
      </c>
      <c r="AV346" s="22">
        <v>44891</v>
      </c>
      <c r="AW346" s="26">
        <f t="shared" ca="1" si="41"/>
        <v>0.12608655038012284</v>
      </c>
      <c r="AX346" s="29">
        <v>0</v>
      </c>
      <c r="AZ346" s="22">
        <v>44891</v>
      </c>
      <c r="BA346" s="26">
        <f t="shared" ca="1" si="42"/>
        <v>0.68149306768339002</v>
      </c>
      <c r="BB346" s="29">
        <v>0</v>
      </c>
      <c r="BC346"/>
      <c r="BD346" s="25"/>
      <c r="BF346" s="22">
        <v>44891</v>
      </c>
      <c r="BG346" s="26">
        <f t="shared" ca="1" si="43"/>
        <v>8.5381520733035621E-2</v>
      </c>
      <c r="BH346" s="29">
        <v>0</v>
      </c>
      <c r="BJ346" s="22">
        <v>44891</v>
      </c>
      <c r="BK346" s="26">
        <f t="shared" ca="1" si="44"/>
        <v>0.13184899232397562</v>
      </c>
      <c r="BL346" s="29">
        <v>0</v>
      </c>
      <c r="BN346" s="22">
        <v>44891</v>
      </c>
      <c r="BO346" s="26">
        <f t="shared" ca="1" si="45"/>
        <v>0.33591380074786958</v>
      </c>
      <c r="BP346" s="29">
        <v>0</v>
      </c>
      <c r="BR346" s="22">
        <v>44891</v>
      </c>
      <c r="BS346" s="26">
        <f t="shared" ca="1" si="46"/>
        <v>0.8904292462630663</v>
      </c>
      <c r="BT346" s="29">
        <v>0</v>
      </c>
      <c r="BV346" s="22">
        <v>44891</v>
      </c>
      <c r="BW346" s="26">
        <f t="shared" ca="1" si="47"/>
        <v>0.56657069850160025</v>
      </c>
      <c r="BX346" s="29">
        <v>0</v>
      </c>
    </row>
    <row r="347" spans="2:77" ht="12.75" x14ac:dyDescent="0.2">
      <c r="B347" s="22">
        <v>44892</v>
      </c>
      <c r="C347" s="26">
        <f t="shared" ca="1" si="0"/>
        <v>0.83167948616674858</v>
      </c>
      <c r="D347" s="29">
        <f t="shared" ca="1" si="53"/>
        <v>95</v>
      </c>
      <c r="F347" s="22">
        <v>44892</v>
      </c>
      <c r="G347" s="26">
        <f t="shared" ca="1" si="31"/>
        <v>0.38439540844387976</v>
      </c>
      <c r="H347" s="29">
        <f t="shared" ca="1" si="49"/>
        <v>212</v>
      </c>
      <c r="J347" s="22">
        <v>44892</v>
      </c>
      <c r="K347" s="26">
        <f t="shared" ca="1" si="32"/>
        <v>0.63302030889378813</v>
      </c>
      <c r="L347" s="29">
        <f t="shared" ca="1" si="50"/>
        <v>154</v>
      </c>
      <c r="N347" s="22">
        <v>44892</v>
      </c>
      <c r="O347" s="26">
        <f t="shared" ca="1" si="33"/>
        <v>0.62338861005292434</v>
      </c>
      <c r="P347" s="29">
        <f t="shared" ca="1" si="51"/>
        <v>235</v>
      </c>
      <c r="R347" s="22">
        <v>44892</v>
      </c>
      <c r="S347" s="26">
        <f t="shared" ca="1" si="34"/>
        <v>0.90877672066973525</v>
      </c>
      <c r="T347" s="29">
        <f t="shared" ca="1" si="52"/>
        <v>152</v>
      </c>
      <c r="V347" s="22">
        <v>44892</v>
      </c>
      <c r="W347" s="26">
        <f t="shared" ca="1" si="35"/>
        <v>0.69750530757436202</v>
      </c>
      <c r="X347" s="29">
        <v>0</v>
      </c>
      <c r="Z347" s="22">
        <v>44892</v>
      </c>
      <c r="AA347" s="26">
        <f t="shared" ca="1" si="36"/>
        <v>0.82768066612575464</v>
      </c>
      <c r="AB347" s="29">
        <v>0</v>
      </c>
      <c r="AC347"/>
      <c r="AD347" s="25"/>
      <c r="AF347" s="22">
        <v>44892</v>
      </c>
      <c r="AG347" s="26">
        <f t="shared" ca="1" si="37"/>
        <v>0.87373579154992209</v>
      </c>
      <c r="AH347" s="29">
        <v>0</v>
      </c>
      <c r="AJ347" s="22">
        <v>44892</v>
      </c>
      <c r="AK347" s="26">
        <f t="shared" ca="1" si="38"/>
        <v>0.39274120128583268</v>
      </c>
      <c r="AL347" s="29">
        <v>0</v>
      </c>
      <c r="AN347" s="22">
        <v>44892</v>
      </c>
      <c r="AO347" s="26">
        <f t="shared" ca="1" si="39"/>
        <v>0.78183848957655144</v>
      </c>
      <c r="AP347" s="29">
        <v>0</v>
      </c>
      <c r="AR347" s="22">
        <v>44892</v>
      </c>
      <c r="AS347" s="26">
        <f t="shared" ca="1" si="40"/>
        <v>0.91552554865593272</v>
      </c>
      <c r="AT347" s="29">
        <v>0</v>
      </c>
      <c r="AV347" s="22">
        <v>44892</v>
      </c>
      <c r="AW347" s="26">
        <f t="shared" ca="1" si="41"/>
        <v>0.22382253017910403</v>
      </c>
      <c r="AX347" s="29">
        <v>0</v>
      </c>
      <c r="AZ347" s="22">
        <v>44892</v>
      </c>
      <c r="BA347" s="26">
        <f t="shared" ca="1" si="42"/>
        <v>0.57770844541195232</v>
      </c>
      <c r="BB347" s="29">
        <v>0</v>
      </c>
      <c r="BC347"/>
      <c r="BD347" s="25"/>
      <c r="BF347" s="22">
        <v>44892</v>
      </c>
      <c r="BG347" s="26">
        <f t="shared" ca="1" si="43"/>
        <v>0.52991625823852528</v>
      </c>
      <c r="BH347" s="29">
        <v>0</v>
      </c>
      <c r="BJ347" s="22">
        <v>44892</v>
      </c>
      <c r="BK347" s="26">
        <f t="shared" ca="1" si="44"/>
        <v>0.4508325362146427</v>
      </c>
      <c r="BL347" s="29">
        <v>0</v>
      </c>
      <c r="BN347" s="22">
        <v>44892</v>
      </c>
      <c r="BO347" s="26">
        <f t="shared" ca="1" si="45"/>
        <v>0.66262761071908804</v>
      </c>
      <c r="BP347" s="29">
        <v>0</v>
      </c>
      <c r="BR347" s="22">
        <v>44892</v>
      </c>
      <c r="BS347" s="26">
        <f t="shared" ca="1" si="46"/>
        <v>0.72361736845097702</v>
      </c>
      <c r="BT347" s="29">
        <v>0</v>
      </c>
      <c r="BV347" s="22">
        <v>44892</v>
      </c>
      <c r="BW347" s="26">
        <f t="shared" ca="1" si="47"/>
        <v>0.30695084381359239</v>
      </c>
      <c r="BX347" s="29">
        <v>0</v>
      </c>
    </row>
    <row r="348" spans="2:77" ht="12.75" x14ac:dyDescent="0.2">
      <c r="B348" s="22">
        <v>44893</v>
      </c>
      <c r="C348" s="26">
        <f t="shared" ca="1" si="0"/>
        <v>0.60128308285134791</v>
      </c>
      <c r="D348" s="29">
        <f t="shared" ca="1" si="53"/>
        <v>81</v>
      </c>
      <c r="F348" s="22">
        <v>44893</v>
      </c>
      <c r="G348" s="26">
        <f t="shared" ca="1" si="31"/>
        <v>0.99903904498646268</v>
      </c>
      <c r="H348" s="29">
        <f t="shared" ca="1" si="49"/>
        <v>260</v>
      </c>
      <c r="J348" s="22">
        <v>44893</v>
      </c>
      <c r="K348" s="26">
        <f t="shared" ca="1" si="32"/>
        <v>0.85426983812408386</v>
      </c>
      <c r="L348" s="29">
        <f t="shared" ca="1" si="50"/>
        <v>161</v>
      </c>
      <c r="N348" s="22">
        <v>44893</v>
      </c>
      <c r="O348" s="26">
        <f t="shared" ca="1" si="33"/>
        <v>0.97725993626245478</v>
      </c>
      <c r="P348" s="29">
        <f t="shared" ca="1" si="51"/>
        <v>260</v>
      </c>
      <c r="R348" s="22">
        <v>44893</v>
      </c>
      <c r="S348" s="26">
        <f t="shared" ca="1" si="34"/>
        <v>0.23363790366079062</v>
      </c>
      <c r="T348" s="29">
        <f t="shared" ca="1" si="52"/>
        <v>133</v>
      </c>
      <c r="V348" s="22">
        <v>44893</v>
      </c>
      <c r="W348" s="26">
        <f t="shared" ca="1" si="35"/>
        <v>0.10159956543754967</v>
      </c>
      <c r="X348" s="29">
        <v>0</v>
      </c>
      <c r="Z348" s="22">
        <v>44893</v>
      </c>
      <c r="AA348" s="26">
        <f t="shared" ca="1" si="36"/>
        <v>0.10918031751769808</v>
      </c>
      <c r="AB348" s="29">
        <v>0</v>
      </c>
      <c r="AC348"/>
      <c r="AD348" s="25"/>
      <c r="AF348" s="22">
        <v>44893</v>
      </c>
      <c r="AG348" s="26">
        <f t="shared" ca="1" si="37"/>
        <v>0.37062246859933845</v>
      </c>
      <c r="AH348" s="29">
        <v>0</v>
      </c>
      <c r="AJ348" s="22">
        <v>44893</v>
      </c>
      <c r="AK348" s="26">
        <f t="shared" ca="1" si="38"/>
        <v>0.41523922479623276</v>
      </c>
      <c r="AL348" s="29">
        <v>0</v>
      </c>
      <c r="AN348" s="22">
        <v>44893</v>
      </c>
      <c r="AO348" s="26">
        <f t="shared" ca="1" si="39"/>
        <v>0.46287366709117783</v>
      </c>
      <c r="AP348" s="29">
        <v>0</v>
      </c>
      <c r="AR348" s="22">
        <v>44893</v>
      </c>
      <c r="AS348" s="26">
        <f t="shared" ca="1" si="40"/>
        <v>0.5916858082145332</v>
      </c>
      <c r="AT348" s="29">
        <v>0</v>
      </c>
      <c r="AV348" s="22">
        <v>44893</v>
      </c>
      <c r="AW348" s="26">
        <f t="shared" ca="1" si="41"/>
        <v>0.96692435855756742</v>
      </c>
      <c r="AX348" s="29">
        <v>0</v>
      </c>
      <c r="AZ348" s="22">
        <v>44893</v>
      </c>
      <c r="BA348" s="26">
        <f t="shared" ca="1" si="42"/>
        <v>0.29798037704333913</v>
      </c>
      <c r="BB348" s="29">
        <v>0</v>
      </c>
      <c r="BC348"/>
      <c r="BD348" s="25"/>
      <c r="BF348" s="22">
        <v>44893</v>
      </c>
      <c r="BG348" s="26">
        <f t="shared" ca="1" si="43"/>
        <v>0.30338997768860188</v>
      </c>
      <c r="BH348" s="29">
        <v>0</v>
      </c>
      <c r="BJ348" s="22">
        <v>44893</v>
      </c>
      <c r="BK348" s="26">
        <f t="shared" ca="1" si="44"/>
        <v>0.91978185706637339</v>
      </c>
      <c r="BL348" s="29">
        <v>0</v>
      </c>
      <c r="BN348" s="22">
        <v>44893</v>
      </c>
      <c r="BO348" s="26">
        <f t="shared" ca="1" si="45"/>
        <v>0.42431760102588945</v>
      </c>
      <c r="BP348" s="29">
        <v>0</v>
      </c>
      <c r="BR348" s="22">
        <v>44893</v>
      </c>
      <c r="BS348" s="26">
        <f t="shared" ca="1" si="46"/>
        <v>4.1785029526840822E-2</v>
      </c>
      <c r="BT348" s="29">
        <v>0</v>
      </c>
      <c r="BV348" s="22">
        <v>44893</v>
      </c>
      <c r="BW348" s="26">
        <f t="shared" ca="1" si="47"/>
        <v>0.99282774965421428</v>
      </c>
      <c r="BX348" s="29">
        <v>0</v>
      </c>
    </row>
    <row r="349" spans="2:77" ht="12.75" x14ac:dyDescent="0.2">
      <c r="B349" s="22">
        <v>44894</v>
      </c>
      <c r="C349" s="26">
        <f t="shared" ca="1" si="0"/>
        <v>0.70232710360868278</v>
      </c>
      <c r="D349" s="29">
        <f t="shared" ca="1" si="53"/>
        <v>86</v>
      </c>
      <c r="F349" s="22">
        <v>44894</v>
      </c>
      <c r="G349" s="26">
        <f t="shared" ca="1" si="31"/>
        <v>0.41723117074814065</v>
      </c>
      <c r="H349" s="29">
        <f t="shared" ca="1" si="49"/>
        <v>213</v>
      </c>
      <c r="J349" s="22">
        <v>44894</v>
      </c>
      <c r="K349" s="26">
        <f t="shared" ca="1" si="32"/>
        <v>1.1192572235959264E-2</v>
      </c>
      <c r="L349" s="29">
        <f t="shared" ca="1" si="50"/>
        <v>128</v>
      </c>
      <c r="N349" s="22">
        <v>44894</v>
      </c>
      <c r="O349" s="26">
        <f t="shared" ca="1" si="33"/>
        <v>0.36488170672016351</v>
      </c>
      <c r="P349" s="29">
        <f t="shared" ca="1" si="51"/>
        <v>225</v>
      </c>
      <c r="R349" s="22">
        <v>44894</v>
      </c>
      <c r="S349" s="26">
        <f t="shared" ca="1" si="34"/>
        <v>0.41350070376215675</v>
      </c>
      <c r="T349" s="29">
        <f t="shared" ca="1" si="52"/>
        <v>137</v>
      </c>
      <c r="V349" s="22">
        <v>44894</v>
      </c>
      <c r="W349" s="26">
        <f t="shared" ca="1" si="35"/>
        <v>0.89363701595512435</v>
      </c>
      <c r="X349" s="29">
        <v>0</v>
      </c>
      <c r="Z349" s="22">
        <v>44894</v>
      </c>
      <c r="AA349" s="26">
        <f t="shared" ca="1" si="36"/>
        <v>0.26128950705875764</v>
      </c>
      <c r="AB349" s="29">
        <v>0</v>
      </c>
      <c r="AC349"/>
      <c r="AD349" s="25"/>
      <c r="AF349" s="22">
        <v>44894</v>
      </c>
      <c r="AG349" s="26">
        <f t="shared" ca="1" si="37"/>
        <v>0.16906726741277123</v>
      </c>
      <c r="AH349" s="29">
        <v>0</v>
      </c>
      <c r="AJ349" s="22">
        <v>44894</v>
      </c>
      <c r="AK349" s="26">
        <f t="shared" ca="1" si="38"/>
        <v>0.44498187703803194</v>
      </c>
      <c r="AL349" s="29">
        <v>0</v>
      </c>
      <c r="AN349" s="22">
        <v>44894</v>
      </c>
      <c r="AO349" s="26">
        <f t="shared" ca="1" si="39"/>
        <v>0.19538322529832031</v>
      </c>
      <c r="AP349" s="29">
        <v>0</v>
      </c>
      <c r="AR349" s="22">
        <v>44894</v>
      </c>
      <c r="AS349" s="26">
        <f t="shared" ca="1" si="40"/>
        <v>0.64537992247878417</v>
      </c>
      <c r="AT349" s="29">
        <v>0</v>
      </c>
      <c r="AV349" s="22">
        <v>44894</v>
      </c>
      <c r="AW349" s="26">
        <f t="shared" ca="1" si="41"/>
        <v>0.88338357800133305</v>
      </c>
      <c r="AX349" s="29">
        <v>0</v>
      </c>
      <c r="AZ349" s="22">
        <v>44894</v>
      </c>
      <c r="BA349" s="26">
        <f t="shared" ca="1" si="42"/>
        <v>0.57093767033926557</v>
      </c>
      <c r="BB349" s="29">
        <v>0</v>
      </c>
      <c r="BC349"/>
      <c r="BD349" s="25"/>
      <c r="BF349" s="22">
        <v>44894</v>
      </c>
      <c r="BG349" s="26">
        <f t="shared" ca="1" si="43"/>
        <v>0.64989849119281762</v>
      </c>
      <c r="BH349" s="29">
        <v>0</v>
      </c>
      <c r="BJ349" s="22">
        <v>44894</v>
      </c>
      <c r="BK349" s="26">
        <f t="shared" ca="1" si="44"/>
        <v>0.8973474509587549</v>
      </c>
      <c r="BL349" s="29">
        <v>0</v>
      </c>
      <c r="BN349" s="22">
        <v>44894</v>
      </c>
      <c r="BO349" s="26">
        <f t="shared" ca="1" si="45"/>
        <v>0.72560324294385614</v>
      </c>
      <c r="BP349" s="29">
        <v>0</v>
      </c>
      <c r="BR349" s="22">
        <v>44894</v>
      </c>
      <c r="BS349" s="26">
        <f t="shared" ca="1" si="46"/>
        <v>0.4785485424214988</v>
      </c>
      <c r="BT349" s="29">
        <v>0</v>
      </c>
      <c r="BV349" s="22">
        <v>44894</v>
      </c>
      <c r="BW349" s="26">
        <f t="shared" ca="1" si="47"/>
        <v>0.4658574473441871</v>
      </c>
      <c r="BX349" s="29">
        <v>0</v>
      </c>
    </row>
    <row r="350" spans="2:77" ht="12.75" x14ac:dyDescent="0.2">
      <c r="B350" s="22">
        <v>44895</v>
      </c>
      <c r="C350" s="26">
        <f t="shared" ca="1" si="0"/>
        <v>0.85623848576291173</v>
      </c>
      <c r="D350" s="29">
        <f t="shared" ca="1" si="53"/>
        <v>97</v>
      </c>
      <c r="E350">
        <v>2380</v>
      </c>
      <c r="F350" s="22">
        <v>44895</v>
      </c>
      <c r="G350" s="26">
        <f t="shared" ca="1" si="31"/>
        <v>0.97700845424283655</v>
      </c>
      <c r="H350" s="29">
        <f t="shared" ca="1" si="49"/>
        <v>245</v>
      </c>
      <c r="I350">
        <v>6472</v>
      </c>
      <c r="J350" s="22">
        <v>44895</v>
      </c>
      <c r="K350" s="26">
        <f t="shared" ca="1" si="32"/>
        <v>0.52494513242903418</v>
      </c>
      <c r="L350" s="29">
        <f t="shared" ca="1" si="50"/>
        <v>151</v>
      </c>
      <c r="M350">
        <v>4518</v>
      </c>
      <c r="N350" s="22">
        <v>44895</v>
      </c>
      <c r="O350" s="26">
        <f t="shared" ca="1" si="33"/>
        <v>0.85851722921989249</v>
      </c>
      <c r="P350" s="29">
        <f t="shared" ca="1" si="51"/>
        <v>246</v>
      </c>
      <c r="Q350">
        <v>6926</v>
      </c>
      <c r="R350" s="22">
        <v>44895</v>
      </c>
      <c r="S350" s="26">
        <f t="shared" ca="1" si="34"/>
        <v>0.58510960632973019</v>
      </c>
      <c r="T350" s="29">
        <f t="shared" ca="1" si="52"/>
        <v>141</v>
      </c>
      <c r="U350">
        <v>4165</v>
      </c>
      <c r="V350" s="22">
        <v>44895</v>
      </c>
      <c r="W350" s="26">
        <f t="shared" ca="1" si="35"/>
        <v>0.16444094322307212</v>
      </c>
      <c r="X350" s="29">
        <v>0</v>
      </c>
      <c r="Y350">
        <v>0</v>
      </c>
      <c r="Z350" s="22">
        <v>44895</v>
      </c>
      <c r="AA350" s="26">
        <f t="shared" ca="1" si="36"/>
        <v>0.1390875869894902</v>
      </c>
      <c r="AB350" s="29">
        <v>0</v>
      </c>
      <c r="AC350">
        <v>0</v>
      </c>
      <c r="AD350" s="25"/>
      <c r="AF350" s="22">
        <v>44895</v>
      </c>
      <c r="AG350" s="26">
        <f t="shared" ca="1" si="37"/>
        <v>0.15417963098899679</v>
      </c>
      <c r="AH350" s="29">
        <v>0</v>
      </c>
      <c r="AI350">
        <v>0</v>
      </c>
      <c r="AJ350" s="22">
        <v>44895</v>
      </c>
      <c r="AK350" s="26">
        <f t="shared" ca="1" si="38"/>
        <v>0.16640103935141015</v>
      </c>
      <c r="AL350" s="29">
        <v>0</v>
      </c>
      <c r="AM350">
        <v>0</v>
      </c>
      <c r="AN350" s="22">
        <v>44895</v>
      </c>
      <c r="AO350" s="26">
        <f t="shared" ca="1" si="39"/>
        <v>0.36270813580264494</v>
      </c>
      <c r="AP350" s="29">
        <v>0</v>
      </c>
      <c r="AQ350">
        <v>0</v>
      </c>
      <c r="AR350" s="22">
        <v>44895</v>
      </c>
      <c r="AS350" s="26">
        <f t="shared" ca="1" si="40"/>
        <v>0.40296254318743197</v>
      </c>
      <c r="AT350" s="29">
        <v>0</v>
      </c>
      <c r="AU350">
        <v>0</v>
      </c>
      <c r="AV350" s="22">
        <v>44895</v>
      </c>
      <c r="AW350" s="26">
        <f t="shared" ca="1" si="41"/>
        <v>0.90963726503713371</v>
      </c>
      <c r="AX350" s="29">
        <v>0</v>
      </c>
      <c r="AY350">
        <v>0</v>
      </c>
      <c r="AZ350" s="22">
        <v>44895</v>
      </c>
      <c r="BA350" s="26">
        <f t="shared" ca="1" si="42"/>
        <v>0.42286872881692472</v>
      </c>
      <c r="BB350" s="29">
        <v>0</v>
      </c>
      <c r="BC350">
        <v>0</v>
      </c>
      <c r="BD350" s="25"/>
      <c r="BF350" s="22">
        <v>44895</v>
      </c>
      <c r="BG350" s="26">
        <f t="shared" ca="1" si="43"/>
        <v>3.3695013960181042E-2</v>
      </c>
      <c r="BH350" s="29">
        <v>0</v>
      </c>
      <c r="BI350">
        <v>0</v>
      </c>
      <c r="BJ350" s="22">
        <v>44895</v>
      </c>
      <c r="BK350" s="26">
        <f t="shared" ca="1" si="44"/>
        <v>0.62992729751927246</v>
      </c>
      <c r="BL350" s="29">
        <v>0</v>
      </c>
      <c r="BM350">
        <v>0</v>
      </c>
      <c r="BN350" s="22">
        <v>44895</v>
      </c>
      <c r="BO350" s="26">
        <f t="shared" ca="1" si="45"/>
        <v>0.29475018507437012</v>
      </c>
      <c r="BP350" s="29">
        <v>0</v>
      </c>
      <c r="BQ350">
        <v>0</v>
      </c>
      <c r="BR350" s="22">
        <v>44895</v>
      </c>
      <c r="BS350" s="26">
        <f t="shared" ca="1" si="46"/>
        <v>0.27610104897953025</v>
      </c>
      <c r="BT350" s="29">
        <v>0</v>
      </c>
      <c r="BU350">
        <v>0</v>
      </c>
      <c r="BV350" s="22">
        <v>44895</v>
      </c>
      <c r="BW350" s="26">
        <f t="shared" ca="1" si="47"/>
        <v>0.72476910391484506</v>
      </c>
      <c r="BX350" s="29">
        <v>0</v>
      </c>
      <c r="BY350">
        <v>0</v>
      </c>
    </row>
    <row r="351" spans="2:77" ht="12.75" x14ac:dyDescent="0.2">
      <c r="B351" s="22">
        <v>44896</v>
      </c>
      <c r="C351" s="26">
        <f t="shared" ca="1" si="0"/>
        <v>0.49641722092810225</v>
      </c>
      <c r="D351" s="29">
        <f ca="1">ROUNDUP(_xlfn.NORM.INV(C350,C$10,C$12),0)</f>
        <v>97</v>
      </c>
      <c r="F351" s="22">
        <v>44896</v>
      </c>
      <c r="G351" s="26">
        <f t="shared" ca="1" si="31"/>
        <v>0.61378231636995784</v>
      </c>
      <c r="H351" s="29">
        <f ca="1">ROUNDUP(_xlfn.NORM.INV(G350,G$10,G$12),0)</f>
        <v>245</v>
      </c>
      <c r="J351" s="22">
        <v>44896</v>
      </c>
      <c r="K351" s="26">
        <f t="shared" ca="1" si="32"/>
        <v>0.69421337920135595</v>
      </c>
      <c r="L351" s="29">
        <f ca="1">ROUNDUP(_xlfn.NORM.INV(K350,K$10,K$12),0)</f>
        <v>151</v>
      </c>
      <c r="N351" s="22">
        <v>44896</v>
      </c>
      <c r="O351" s="26">
        <f t="shared" ca="1" si="33"/>
        <v>0.21414593545057969</v>
      </c>
      <c r="P351" s="29">
        <f ca="1">ROUNDUP(_xlfn.NORM.INV(O350,O$10,O$12),0)</f>
        <v>246</v>
      </c>
      <c r="R351" s="22">
        <v>44896</v>
      </c>
      <c r="S351" s="26">
        <f t="shared" ca="1" si="34"/>
        <v>0.89217641242754231</v>
      </c>
      <c r="T351" s="29">
        <f ca="1">ROUNDUP(_xlfn.NORM.INV(S350,S$10,S$12),0)</f>
        <v>141</v>
      </c>
      <c r="V351" s="22">
        <v>44896</v>
      </c>
      <c r="W351" s="26">
        <f t="shared" ca="1" si="35"/>
        <v>0.10630430099285326</v>
      </c>
      <c r="X351" s="29">
        <v>0</v>
      </c>
      <c r="Z351" s="22">
        <v>44896</v>
      </c>
      <c r="AA351" s="26">
        <f t="shared" ca="1" si="36"/>
        <v>0.78623193032623773</v>
      </c>
      <c r="AB351" s="29">
        <v>0</v>
      </c>
      <c r="AC351"/>
      <c r="AD351" s="25"/>
      <c r="AF351" s="22">
        <v>44896</v>
      </c>
      <c r="AG351" s="26">
        <f t="shared" ca="1" si="37"/>
        <v>0.85441867605777744</v>
      </c>
      <c r="AH351" s="29">
        <v>0</v>
      </c>
      <c r="AJ351" s="22">
        <v>44896</v>
      </c>
      <c r="AK351" s="26">
        <f t="shared" ca="1" si="38"/>
        <v>0.57301764855703385</v>
      </c>
      <c r="AL351" s="29">
        <v>0</v>
      </c>
      <c r="AN351" s="22">
        <v>44896</v>
      </c>
      <c r="AO351" s="26">
        <f t="shared" ca="1" si="39"/>
        <v>0.17955299702077465</v>
      </c>
      <c r="AP351" s="29">
        <v>0</v>
      </c>
      <c r="AR351" s="22">
        <v>44896</v>
      </c>
      <c r="AS351" s="26">
        <f t="shared" ca="1" si="40"/>
        <v>0.76446098405528717</v>
      </c>
      <c r="AT351" s="29">
        <v>0</v>
      </c>
      <c r="AV351" s="22">
        <v>44896</v>
      </c>
      <c r="AW351" s="26">
        <f t="shared" ca="1" si="41"/>
        <v>0.40219073266060834</v>
      </c>
      <c r="AX351" s="29">
        <v>0</v>
      </c>
      <c r="AZ351" s="22">
        <v>44896</v>
      </c>
      <c r="BA351" s="26">
        <f t="shared" ca="1" si="42"/>
        <v>8.6194476866798708E-2</v>
      </c>
      <c r="BB351" s="29">
        <v>0</v>
      </c>
      <c r="BC351"/>
      <c r="BD351" s="25"/>
      <c r="BF351" s="22">
        <v>44896</v>
      </c>
      <c r="BG351" s="26">
        <f t="shared" ca="1" si="43"/>
        <v>0.54374875541306067</v>
      </c>
      <c r="BH351" s="29">
        <v>0</v>
      </c>
      <c r="BJ351" s="22">
        <v>44896</v>
      </c>
      <c r="BK351" s="26">
        <f t="shared" ca="1" si="44"/>
        <v>0.49401574775281776</v>
      </c>
      <c r="BL351" s="29">
        <v>0</v>
      </c>
      <c r="BN351" s="22">
        <v>44896</v>
      </c>
      <c r="BO351" s="26">
        <f t="shared" ca="1" si="45"/>
        <v>0.36925150843280918</v>
      </c>
      <c r="BP351" s="29">
        <v>0</v>
      </c>
      <c r="BR351" s="22">
        <v>44896</v>
      </c>
      <c r="BS351" s="26">
        <f t="shared" ca="1" si="46"/>
        <v>0.31054224676673403</v>
      </c>
      <c r="BT351" s="29">
        <v>0</v>
      </c>
      <c r="BV351" s="22">
        <v>44896</v>
      </c>
      <c r="BW351" s="26">
        <f t="shared" ca="1" si="47"/>
        <v>0.46558810165767084</v>
      </c>
      <c r="BX351" s="29">
        <v>0</v>
      </c>
    </row>
    <row r="352" spans="2:77" ht="12.75" x14ac:dyDescent="0.2">
      <c r="B352" s="22">
        <v>44897</v>
      </c>
      <c r="C352" s="26">
        <f t="shared" ca="1" si="0"/>
        <v>0.65095033773559541</v>
      </c>
      <c r="D352" s="29">
        <f t="shared" ca="1" si="53"/>
        <v>83</v>
      </c>
      <c r="F352" s="22">
        <v>44897</v>
      </c>
      <c r="G352" s="26">
        <f t="shared" ca="1" si="31"/>
        <v>0.35537296073955649</v>
      </c>
      <c r="H352" s="29">
        <f t="shared" ca="1" si="49"/>
        <v>211</v>
      </c>
      <c r="J352" s="22">
        <v>44897</v>
      </c>
      <c r="K352" s="26">
        <f t="shared" ca="1" si="32"/>
        <v>0.22214896681423224</v>
      </c>
      <c r="L352" s="29">
        <f t="shared" ca="1" si="50"/>
        <v>143</v>
      </c>
      <c r="N352" s="22">
        <v>44897</v>
      </c>
      <c r="O352" s="26">
        <f t="shared" ca="1" si="33"/>
        <v>0.15371080324831665</v>
      </c>
      <c r="P352" s="29">
        <f t="shared" ca="1" si="51"/>
        <v>214</v>
      </c>
      <c r="R352" s="22">
        <v>44897</v>
      </c>
      <c r="S352" s="26">
        <f t="shared" ca="1" si="34"/>
        <v>0.51681066237938489</v>
      </c>
      <c r="T352" s="29">
        <f t="shared" ca="1" si="52"/>
        <v>140</v>
      </c>
      <c r="V352" s="22">
        <v>44897</v>
      </c>
      <c r="W352" s="26">
        <f t="shared" ca="1" si="35"/>
        <v>6.5883003987792121E-2</v>
      </c>
      <c r="X352" s="29">
        <v>0</v>
      </c>
      <c r="Z352" s="22">
        <v>44897</v>
      </c>
      <c r="AA352" s="26">
        <f t="shared" ca="1" si="36"/>
        <v>0.43577037351575754</v>
      </c>
      <c r="AB352" s="29">
        <v>0</v>
      </c>
      <c r="AC352"/>
      <c r="AD352" s="25"/>
      <c r="AF352" s="22">
        <v>44897</v>
      </c>
      <c r="AG352" s="26">
        <f t="shared" ca="1" si="37"/>
        <v>0.37958122399626915</v>
      </c>
      <c r="AH352" s="29">
        <v>0</v>
      </c>
      <c r="AJ352" s="22">
        <v>44897</v>
      </c>
      <c r="AK352" s="26">
        <f t="shared" ca="1" si="38"/>
        <v>0.91293643625541909</v>
      </c>
      <c r="AL352" s="29">
        <v>0</v>
      </c>
      <c r="AN352" s="22">
        <v>44897</v>
      </c>
      <c r="AO352" s="26">
        <f t="shared" ca="1" si="39"/>
        <v>8.094145443898304E-2</v>
      </c>
      <c r="AP352" s="29">
        <v>0</v>
      </c>
      <c r="AR352" s="22">
        <v>44897</v>
      </c>
      <c r="AS352" s="26">
        <f t="shared" ca="1" si="40"/>
        <v>0.26857668156128112</v>
      </c>
      <c r="AT352" s="29">
        <v>0</v>
      </c>
      <c r="AV352" s="22">
        <v>44897</v>
      </c>
      <c r="AW352" s="26">
        <f t="shared" ca="1" si="41"/>
        <v>0.21274706510716412</v>
      </c>
      <c r="AX352" s="29">
        <v>0</v>
      </c>
      <c r="AZ352" s="22">
        <v>44897</v>
      </c>
      <c r="BA352" s="26">
        <f t="shared" ca="1" si="42"/>
        <v>2.8054834915092197E-4</v>
      </c>
      <c r="BB352" s="29">
        <v>0</v>
      </c>
      <c r="BC352"/>
      <c r="BD352" s="25"/>
      <c r="BF352" s="22">
        <v>44897</v>
      </c>
      <c r="BG352" s="26">
        <f t="shared" ca="1" si="43"/>
        <v>0.53789136658991166</v>
      </c>
      <c r="BH352" s="29">
        <v>0</v>
      </c>
      <c r="BJ352" s="22">
        <v>44897</v>
      </c>
      <c r="BK352" s="26">
        <f t="shared" ca="1" si="44"/>
        <v>0.40927352467393396</v>
      </c>
      <c r="BL352" s="29">
        <v>0</v>
      </c>
      <c r="BN352" s="22">
        <v>44897</v>
      </c>
      <c r="BO352" s="26">
        <f t="shared" ca="1" si="45"/>
        <v>0.50710790425734675</v>
      </c>
      <c r="BP352" s="29">
        <v>0</v>
      </c>
      <c r="BR352" s="22">
        <v>44897</v>
      </c>
      <c r="BS352" s="26">
        <f t="shared" ca="1" si="46"/>
        <v>0.89221040417742237</v>
      </c>
      <c r="BT352" s="29">
        <v>0</v>
      </c>
      <c r="BV352" s="22">
        <v>44897</v>
      </c>
      <c r="BW352" s="26">
        <f t="shared" ca="1" si="47"/>
        <v>0.9255883060918989</v>
      </c>
      <c r="BX352" s="29">
        <v>0</v>
      </c>
    </row>
    <row r="353" spans="2:76" ht="12.75" x14ac:dyDescent="0.2">
      <c r="B353" s="22">
        <v>44898</v>
      </c>
      <c r="C353" s="26">
        <f t="shared" ca="1" si="0"/>
        <v>0.75581976081569424</v>
      </c>
      <c r="D353" s="29">
        <f t="shared" ca="1" si="53"/>
        <v>89</v>
      </c>
      <c r="F353" s="22">
        <v>44898</v>
      </c>
      <c r="G353" s="26">
        <f t="shared" ca="1" si="31"/>
        <v>0.91546838703805566</v>
      </c>
      <c r="H353" s="29">
        <f t="shared" ca="1" si="49"/>
        <v>236</v>
      </c>
      <c r="J353" s="22">
        <v>44898</v>
      </c>
      <c r="K353" s="26">
        <f t="shared" ca="1" si="32"/>
        <v>0.36799236305696703</v>
      </c>
      <c r="L353" s="29">
        <f t="shared" ca="1" si="50"/>
        <v>147</v>
      </c>
      <c r="N353" s="22">
        <v>44898</v>
      </c>
      <c r="O353" s="26">
        <f t="shared" ca="1" si="33"/>
        <v>0.11989637450669921</v>
      </c>
      <c r="P353" s="29">
        <f t="shared" ca="1" si="51"/>
        <v>212</v>
      </c>
      <c r="R353" s="22">
        <v>44898</v>
      </c>
      <c r="S353" s="26">
        <f t="shared" ca="1" si="34"/>
        <v>0.9202167970127475</v>
      </c>
      <c r="T353" s="29">
        <f t="shared" ca="1" si="52"/>
        <v>152</v>
      </c>
      <c r="V353" s="22">
        <v>44898</v>
      </c>
      <c r="W353" s="26">
        <f t="shared" ca="1" si="35"/>
        <v>0.77050301095826923</v>
      </c>
      <c r="X353" s="29">
        <v>0</v>
      </c>
      <c r="Z353" s="22">
        <v>44898</v>
      </c>
      <c r="AA353" s="26">
        <f t="shared" ca="1" si="36"/>
        <v>0.99826106790785751</v>
      </c>
      <c r="AB353" s="29">
        <v>0</v>
      </c>
      <c r="AC353"/>
      <c r="AD353" s="25"/>
      <c r="AF353" s="22">
        <v>44898</v>
      </c>
      <c r="AG353" s="26">
        <f t="shared" ca="1" si="37"/>
        <v>0.74896188868418911</v>
      </c>
      <c r="AH353" s="29">
        <v>0</v>
      </c>
      <c r="AJ353" s="22">
        <v>44898</v>
      </c>
      <c r="AK353" s="26">
        <f t="shared" ca="1" si="38"/>
        <v>0.87978663187868644</v>
      </c>
      <c r="AL353" s="29">
        <v>0</v>
      </c>
      <c r="AN353" s="22">
        <v>44898</v>
      </c>
      <c r="AO353" s="26">
        <f t="shared" ca="1" si="39"/>
        <v>0.16035689288535404</v>
      </c>
      <c r="AP353" s="29">
        <v>0</v>
      </c>
      <c r="AR353" s="22">
        <v>44898</v>
      </c>
      <c r="AS353" s="26">
        <f t="shared" ca="1" si="40"/>
        <v>0.64924458472021485</v>
      </c>
      <c r="AT353" s="29">
        <v>0</v>
      </c>
      <c r="AV353" s="22">
        <v>44898</v>
      </c>
      <c r="AW353" s="26">
        <f t="shared" ca="1" si="41"/>
        <v>0.55052347928955137</v>
      </c>
      <c r="AX353" s="29">
        <v>0</v>
      </c>
      <c r="AZ353" s="22">
        <v>44898</v>
      </c>
      <c r="BA353" s="26">
        <f t="shared" ca="1" si="42"/>
        <v>0.9973965244029851</v>
      </c>
      <c r="BB353" s="29">
        <v>0</v>
      </c>
      <c r="BC353"/>
      <c r="BD353" s="25"/>
      <c r="BF353" s="22">
        <v>44898</v>
      </c>
      <c r="BG353" s="26">
        <f t="shared" ca="1" si="43"/>
        <v>0.81405367124732764</v>
      </c>
      <c r="BH353" s="29">
        <v>0</v>
      </c>
      <c r="BJ353" s="22">
        <v>44898</v>
      </c>
      <c r="BK353" s="26">
        <f t="shared" ca="1" si="44"/>
        <v>0.57835823154152388</v>
      </c>
      <c r="BL353" s="29">
        <v>0</v>
      </c>
      <c r="BN353" s="22">
        <v>44898</v>
      </c>
      <c r="BO353" s="26">
        <f t="shared" ca="1" si="45"/>
        <v>6.618502093003642E-2</v>
      </c>
      <c r="BP353" s="29">
        <v>0</v>
      </c>
      <c r="BR353" s="22">
        <v>44898</v>
      </c>
      <c r="BS353" s="26">
        <f t="shared" ca="1" si="46"/>
        <v>0.19514245116360995</v>
      </c>
      <c r="BT353" s="29">
        <v>0</v>
      </c>
      <c r="BV353" s="22">
        <v>44898</v>
      </c>
      <c r="BW353" s="26">
        <f t="shared" ca="1" si="47"/>
        <v>0.94546091024342893</v>
      </c>
      <c r="BX353" s="29">
        <v>0</v>
      </c>
    </row>
    <row r="354" spans="2:76" ht="12.75" x14ac:dyDescent="0.2">
      <c r="B354" s="22">
        <v>44899</v>
      </c>
      <c r="C354" s="26">
        <f t="shared" ca="1" si="0"/>
        <v>0.15307116383339192</v>
      </c>
      <c r="D354" s="29">
        <f t="shared" ca="1" si="53"/>
        <v>55</v>
      </c>
      <c r="F354" s="22">
        <v>44899</v>
      </c>
      <c r="G354" s="26">
        <f t="shared" ca="1" si="31"/>
        <v>9.8011760479058685E-3</v>
      </c>
      <c r="H354" s="29">
        <f t="shared" ca="1" si="49"/>
        <v>182</v>
      </c>
      <c r="J354" s="22">
        <v>44899</v>
      </c>
      <c r="K354" s="26">
        <f t="shared" ca="1" si="32"/>
        <v>0.71479076557718346</v>
      </c>
      <c r="L354" s="29">
        <f t="shared" ca="1" si="50"/>
        <v>156</v>
      </c>
      <c r="N354" s="22">
        <v>44899</v>
      </c>
      <c r="O354" s="26">
        <f t="shared" ca="1" si="33"/>
        <v>0.50060943679150827</v>
      </c>
      <c r="P354" s="29">
        <f t="shared" ca="1" si="51"/>
        <v>230</v>
      </c>
      <c r="R354" s="22">
        <v>44899</v>
      </c>
      <c r="S354" s="26">
        <f t="shared" ca="1" si="34"/>
        <v>0.81202734915177299</v>
      </c>
      <c r="T354" s="29">
        <f t="shared" ca="1" si="52"/>
        <v>147</v>
      </c>
      <c r="V354" s="22">
        <v>44899</v>
      </c>
      <c r="W354" s="26">
        <f t="shared" ca="1" si="35"/>
        <v>0.80398335368331331</v>
      </c>
      <c r="X354" s="29">
        <v>0</v>
      </c>
      <c r="Z354" s="22">
        <v>44899</v>
      </c>
      <c r="AA354" s="26">
        <f t="shared" ca="1" si="36"/>
        <v>0.27607972771622225</v>
      </c>
      <c r="AB354" s="29">
        <v>0</v>
      </c>
      <c r="AC354"/>
      <c r="AD354" s="25"/>
      <c r="AF354" s="22">
        <v>44899</v>
      </c>
      <c r="AG354" s="26">
        <f t="shared" ca="1" si="37"/>
        <v>0.51821002069057465</v>
      </c>
      <c r="AH354" s="29">
        <v>0</v>
      </c>
      <c r="AJ354" s="22">
        <v>44899</v>
      </c>
      <c r="AK354" s="26">
        <f t="shared" ca="1" si="38"/>
        <v>0.99807884183771811</v>
      </c>
      <c r="AL354" s="29">
        <v>0</v>
      </c>
      <c r="AN354" s="22">
        <v>44899</v>
      </c>
      <c r="AO354" s="26">
        <f t="shared" ca="1" si="39"/>
        <v>0.49782935128591521</v>
      </c>
      <c r="AP354" s="29">
        <v>0</v>
      </c>
      <c r="AR354" s="22">
        <v>44899</v>
      </c>
      <c r="AS354" s="26">
        <f t="shared" ca="1" si="40"/>
        <v>0.68672169449417109</v>
      </c>
      <c r="AT354" s="29">
        <v>0</v>
      </c>
      <c r="AV354" s="22">
        <v>44899</v>
      </c>
      <c r="AW354" s="26">
        <f t="shared" ca="1" si="41"/>
        <v>0.91770071515778751</v>
      </c>
      <c r="AX354" s="29">
        <v>0</v>
      </c>
      <c r="AZ354" s="22">
        <v>44899</v>
      </c>
      <c r="BA354" s="26">
        <f t="shared" ca="1" si="42"/>
        <v>0.86587267796020584</v>
      </c>
      <c r="BB354" s="29">
        <v>0</v>
      </c>
      <c r="BC354"/>
      <c r="BD354" s="25"/>
      <c r="BF354" s="22">
        <v>44899</v>
      </c>
      <c r="BG354" s="26">
        <f t="shared" ca="1" si="43"/>
        <v>0.99164556589448882</v>
      </c>
      <c r="BH354" s="29">
        <v>0</v>
      </c>
      <c r="BJ354" s="22">
        <v>44899</v>
      </c>
      <c r="BK354" s="26">
        <f t="shared" ca="1" si="44"/>
        <v>0.79675432137465529</v>
      </c>
      <c r="BL354" s="29">
        <v>0</v>
      </c>
      <c r="BN354" s="22">
        <v>44899</v>
      </c>
      <c r="BO354" s="26">
        <f t="shared" ca="1" si="45"/>
        <v>0.65053090591428508</v>
      </c>
      <c r="BP354" s="29">
        <v>0</v>
      </c>
      <c r="BR354" s="22">
        <v>44899</v>
      </c>
      <c r="BS354" s="26">
        <f t="shared" ca="1" si="46"/>
        <v>0.52996453852757419</v>
      </c>
      <c r="BT354" s="29">
        <v>0</v>
      </c>
      <c r="BV354" s="22">
        <v>44899</v>
      </c>
      <c r="BW354" s="26">
        <f t="shared" ca="1" si="47"/>
        <v>0.14562143415578455</v>
      </c>
      <c r="BX354" s="29">
        <v>0</v>
      </c>
    </row>
    <row r="355" spans="2:76" ht="12.75" x14ac:dyDescent="0.2">
      <c r="B355" s="22">
        <v>44900</v>
      </c>
      <c r="C355" s="26">
        <f t="shared" ca="1" si="0"/>
        <v>0.14880348392188214</v>
      </c>
      <c r="D355" s="29">
        <f t="shared" ca="1" si="53"/>
        <v>55</v>
      </c>
      <c r="F355" s="22">
        <v>44900</v>
      </c>
      <c r="G355" s="26">
        <f t="shared" ca="1" si="31"/>
        <v>0.28104481453145169</v>
      </c>
      <c r="H355" s="29">
        <f t="shared" ca="1" si="49"/>
        <v>208</v>
      </c>
      <c r="J355" s="22">
        <v>44900</v>
      </c>
      <c r="K355" s="26">
        <f t="shared" ca="1" si="32"/>
        <v>0.40511151223224295</v>
      </c>
      <c r="L355" s="29">
        <f t="shared" ca="1" si="50"/>
        <v>148</v>
      </c>
      <c r="N355" s="22">
        <v>44900</v>
      </c>
      <c r="O355" s="26">
        <f t="shared" ca="1" si="33"/>
        <v>0.85135367586733224</v>
      </c>
      <c r="P355" s="29">
        <f t="shared" ca="1" si="51"/>
        <v>246</v>
      </c>
      <c r="R355" s="22">
        <v>44900</v>
      </c>
      <c r="S355" s="26">
        <f t="shared" ca="1" si="34"/>
        <v>3.1751466229294256E-2</v>
      </c>
      <c r="T355" s="29">
        <f t="shared" ca="1" si="52"/>
        <v>122</v>
      </c>
      <c r="V355" s="22">
        <v>44900</v>
      </c>
      <c r="W355" s="26">
        <f t="shared" ca="1" si="35"/>
        <v>0.7572745875804251</v>
      </c>
      <c r="X355" s="29">
        <v>0</v>
      </c>
      <c r="Z355" s="22">
        <v>44900</v>
      </c>
      <c r="AA355" s="26">
        <f t="shared" ca="1" si="36"/>
        <v>0.32774180873991221</v>
      </c>
      <c r="AB355" s="29">
        <v>0</v>
      </c>
      <c r="AC355"/>
      <c r="AD355" s="25"/>
      <c r="AF355" s="22">
        <v>44900</v>
      </c>
      <c r="AG355" s="26">
        <f t="shared" ca="1" si="37"/>
        <v>0.99933117120482184</v>
      </c>
      <c r="AH355" s="29">
        <v>0</v>
      </c>
      <c r="AJ355" s="22">
        <v>44900</v>
      </c>
      <c r="AK355" s="26">
        <f t="shared" ca="1" si="38"/>
        <v>0.46601964805491758</v>
      </c>
      <c r="AL355" s="29">
        <v>0</v>
      </c>
      <c r="AN355" s="22">
        <v>44900</v>
      </c>
      <c r="AO355" s="26">
        <f t="shared" ca="1" si="39"/>
        <v>0.72691905053494588</v>
      </c>
      <c r="AP355" s="29">
        <v>0</v>
      </c>
      <c r="AR355" s="22">
        <v>44900</v>
      </c>
      <c r="AS355" s="26">
        <f t="shared" ca="1" si="40"/>
        <v>0.45927074880083074</v>
      </c>
      <c r="AT355" s="29">
        <v>0</v>
      </c>
      <c r="AV355" s="22">
        <v>44900</v>
      </c>
      <c r="AW355" s="26">
        <f t="shared" ca="1" si="41"/>
        <v>0.90925988928190205</v>
      </c>
      <c r="AX355" s="29">
        <v>0</v>
      </c>
      <c r="AZ355" s="22">
        <v>44900</v>
      </c>
      <c r="BA355" s="26">
        <f t="shared" ca="1" si="42"/>
        <v>0.73764608654746677</v>
      </c>
      <c r="BB355" s="29">
        <v>0</v>
      </c>
      <c r="BC355"/>
      <c r="BD355" s="25"/>
      <c r="BF355" s="22">
        <v>44900</v>
      </c>
      <c r="BG355" s="26">
        <f t="shared" ca="1" si="43"/>
        <v>0.9125949751543635</v>
      </c>
      <c r="BH355" s="29">
        <v>0</v>
      </c>
      <c r="BJ355" s="22">
        <v>44900</v>
      </c>
      <c r="BK355" s="26">
        <f t="shared" ca="1" si="44"/>
        <v>1.8319275375024424E-2</v>
      </c>
      <c r="BL355" s="29">
        <v>0</v>
      </c>
      <c r="BN355" s="22">
        <v>44900</v>
      </c>
      <c r="BO355" s="26">
        <f t="shared" ca="1" si="45"/>
        <v>0.39904914878923048</v>
      </c>
      <c r="BP355" s="29">
        <v>0</v>
      </c>
      <c r="BR355" s="22">
        <v>44900</v>
      </c>
      <c r="BS355" s="26">
        <f t="shared" ca="1" si="46"/>
        <v>3.9273235951170493E-2</v>
      </c>
      <c r="BT355" s="29">
        <v>0</v>
      </c>
      <c r="BV355" s="22">
        <v>44900</v>
      </c>
      <c r="BW355" s="26">
        <f t="shared" ca="1" si="47"/>
        <v>0.80461061422542779</v>
      </c>
      <c r="BX355" s="29">
        <v>0</v>
      </c>
    </row>
    <row r="356" spans="2:76" ht="12.75" x14ac:dyDescent="0.2">
      <c r="B356" s="22">
        <v>44901</v>
      </c>
      <c r="C356" s="26">
        <f t="shared" ca="1" si="0"/>
        <v>0.46356584112495791</v>
      </c>
      <c r="D356" s="29">
        <f t="shared" ca="1" si="53"/>
        <v>74</v>
      </c>
      <c r="F356" s="22">
        <v>44901</v>
      </c>
      <c r="G356" s="26">
        <f t="shared" ca="1" si="31"/>
        <v>6.6595444539977455E-2</v>
      </c>
      <c r="H356" s="29">
        <f t="shared" ca="1" si="49"/>
        <v>194</v>
      </c>
      <c r="J356" s="22">
        <v>44901</v>
      </c>
      <c r="K356" s="26">
        <f t="shared" ca="1" si="32"/>
        <v>0.52062759394798441</v>
      </c>
      <c r="L356" s="29">
        <f t="shared" ca="1" si="50"/>
        <v>151</v>
      </c>
      <c r="N356" s="22">
        <v>44901</v>
      </c>
      <c r="O356" s="26">
        <f t="shared" ca="1" si="33"/>
        <v>0.26373020731998054</v>
      </c>
      <c r="P356" s="29">
        <f t="shared" ca="1" si="51"/>
        <v>220</v>
      </c>
      <c r="R356" s="22">
        <v>44901</v>
      </c>
      <c r="S356" s="26">
        <f t="shared" ca="1" si="34"/>
        <v>0.71803063298246927</v>
      </c>
      <c r="T356" s="29">
        <f t="shared" ca="1" si="52"/>
        <v>145</v>
      </c>
      <c r="V356" s="22">
        <v>44901</v>
      </c>
      <c r="W356" s="26">
        <f t="shared" ca="1" si="35"/>
        <v>0.53079520331336238</v>
      </c>
      <c r="X356" s="29">
        <v>0</v>
      </c>
      <c r="Z356" s="22">
        <v>44901</v>
      </c>
      <c r="AA356" s="26">
        <f t="shared" ca="1" si="36"/>
        <v>0.26581348722848797</v>
      </c>
      <c r="AB356" s="29">
        <v>0</v>
      </c>
      <c r="AC356"/>
      <c r="AD356" s="25"/>
      <c r="AF356" s="22">
        <v>44901</v>
      </c>
      <c r="AG356" s="26">
        <f t="shared" ca="1" si="37"/>
        <v>0.44886851538334893</v>
      </c>
      <c r="AH356" s="29">
        <v>0</v>
      </c>
      <c r="AJ356" s="22">
        <v>44901</v>
      </c>
      <c r="AK356" s="26">
        <f t="shared" ca="1" si="38"/>
        <v>0.14772598431465178</v>
      </c>
      <c r="AL356" s="29">
        <v>0</v>
      </c>
      <c r="AN356" s="22">
        <v>44901</v>
      </c>
      <c r="AO356" s="26">
        <f t="shared" ca="1" si="39"/>
        <v>0.39170538527563392</v>
      </c>
      <c r="AP356" s="29">
        <v>0</v>
      </c>
      <c r="AR356" s="22">
        <v>44901</v>
      </c>
      <c r="AS356" s="26">
        <f t="shared" ca="1" si="40"/>
        <v>0.94764453339199251</v>
      </c>
      <c r="AT356" s="29">
        <v>0</v>
      </c>
      <c r="AV356" s="22">
        <v>44901</v>
      </c>
      <c r="AW356" s="26">
        <f t="shared" ca="1" si="41"/>
        <v>9.6911009278586646E-2</v>
      </c>
      <c r="AX356" s="29">
        <v>0</v>
      </c>
      <c r="AZ356" s="22">
        <v>44901</v>
      </c>
      <c r="BA356" s="26">
        <f t="shared" ca="1" si="42"/>
        <v>0.80001934002076536</v>
      </c>
      <c r="BB356" s="29">
        <v>0</v>
      </c>
      <c r="BC356"/>
      <c r="BD356" s="25"/>
      <c r="BF356" s="22">
        <v>44901</v>
      </c>
      <c r="BG356" s="26">
        <f t="shared" ca="1" si="43"/>
        <v>1.9552366663627807E-2</v>
      </c>
      <c r="BH356" s="29">
        <v>0</v>
      </c>
      <c r="BJ356" s="22">
        <v>44901</v>
      </c>
      <c r="BK356" s="26">
        <f t="shared" ca="1" si="44"/>
        <v>0.23385126289399794</v>
      </c>
      <c r="BL356" s="29">
        <v>0</v>
      </c>
      <c r="BN356" s="22">
        <v>44901</v>
      </c>
      <c r="BO356" s="26">
        <f t="shared" ca="1" si="45"/>
        <v>9.3204963915939354E-2</v>
      </c>
      <c r="BP356" s="29">
        <v>0</v>
      </c>
      <c r="BR356" s="22">
        <v>44901</v>
      </c>
      <c r="BS356" s="26">
        <f t="shared" ca="1" si="46"/>
        <v>0.76842478118169921</v>
      </c>
      <c r="BT356" s="29">
        <v>0</v>
      </c>
      <c r="BV356" s="22">
        <v>44901</v>
      </c>
      <c r="BW356" s="26">
        <f t="shared" ca="1" si="47"/>
        <v>0.15228098306150939</v>
      </c>
      <c r="BX356" s="29">
        <v>0</v>
      </c>
    </row>
    <row r="357" spans="2:76" ht="12.75" x14ac:dyDescent="0.2">
      <c r="B357" s="22">
        <v>44902</v>
      </c>
      <c r="C357" s="26">
        <f t="shared" ca="1" si="0"/>
        <v>0.9136110006012238</v>
      </c>
      <c r="D357" s="29">
        <f t="shared" ca="1" si="53"/>
        <v>103</v>
      </c>
      <c r="F357" s="22">
        <v>44902</v>
      </c>
      <c r="G357" s="26">
        <f t="shared" ca="1" si="31"/>
        <v>0.32763544583997728</v>
      </c>
      <c r="H357" s="29">
        <f t="shared" ca="1" si="49"/>
        <v>209</v>
      </c>
      <c r="J357" s="22">
        <v>44902</v>
      </c>
      <c r="K357" s="26">
        <f t="shared" ca="1" si="32"/>
        <v>8.8002758244450585E-2</v>
      </c>
      <c r="L357" s="29">
        <f t="shared" ca="1" si="50"/>
        <v>137</v>
      </c>
      <c r="N357" s="22">
        <v>44902</v>
      </c>
      <c r="O357" s="26">
        <f t="shared" ca="1" si="33"/>
        <v>0.95905792901636644</v>
      </c>
      <c r="P357" s="29">
        <f t="shared" ca="1" si="51"/>
        <v>256</v>
      </c>
      <c r="R357" s="22">
        <v>44902</v>
      </c>
      <c r="S357" s="26">
        <f t="shared" ca="1" si="34"/>
        <v>2.3356969437506869E-3</v>
      </c>
      <c r="T357" s="29">
        <f t="shared" ca="1" si="52"/>
        <v>113</v>
      </c>
      <c r="V357" s="22">
        <v>44902</v>
      </c>
      <c r="W357" s="26">
        <f t="shared" ca="1" si="35"/>
        <v>4.4042811280530225E-3</v>
      </c>
      <c r="X357" s="29">
        <v>0</v>
      </c>
      <c r="Z357" s="22">
        <v>44902</v>
      </c>
      <c r="AA357" s="26">
        <f t="shared" ca="1" si="36"/>
        <v>0.18203618618542983</v>
      </c>
      <c r="AB357" s="29">
        <v>0</v>
      </c>
      <c r="AC357"/>
      <c r="AD357" s="25"/>
      <c r="AF357" s="22">
        <v>44902</v>
      </c>
      <c r="AG357" s="26">
        <f t="shared" ca="1" si="37"/>
        <v>0.33018004742717288</v>
      </c>
      <c r="AH357" s="29">
        <v>0</v>
      </c>
      <c r="AJ357" s="22">
        <v>44902</v>
      </c>
      <c r="AK357" s="26">
        <f t="shared" ca="1" si="38"/>
        <v>0.7902936056849682</v>
      </c>
      <c r="AL357" s="29">
        <v>0</v>
      </c>
      <c r="AN357" s="22">
        <v>44902</v>
      </c>
      <c r="AO357" s="26">
        <f t="shared" ca="1" si="39"/>
        <v>0.76530668514204381</v>
      </c>
      <c r="AP357" s="29">
        <v>0</v>
      </c>
      <c r="AR357" s="22">
        <v>44902</v>
      </c>
      <c r="AS357" s="26">
        <f t="shared" ca="1" si="40"/>
        <v>0.87847504223225015</v>
      </c>
      <c r="AT357" s="29">
        <v>0</v>
      </c>
      <c r="AV357" s="22">
        <v>44902</v>
      </c>
      <c r="AW357" s="26">
        <f t="shared" ca="1" si="41"/>
        <v>9.7900871650264398E-2</v>
      </c>
      <c r="AX357" s="29">
        <v>0</v>
      </c>
      <c r="AZ357" s="22">
        <v>44902</v>
      </c>
      <c r="BA357" s="26">
        <f t="shared" ca="1" si="42"/>
        <v>0.88855267766124524</v>
      </c>
      <c r="BB357" s="29">
        <v>0</v>
      </c>
      <c r="BC357"/>
      <c r="BD357" s="25"/>
      <c r="BF357" s="22">
        <v>44902</v>
      </c>
      <c r="BG357" s="26">
        <f t="shared" ca="1" si="43"/>
        <v>0.30117870142838288</v>
      </c>
      <c r="BH357" s="29">
        <v>0</v>
      </c>
      <c r="BJ357" s="22">
        <v>44902</v>
      </c>
      <c r="BK357" s="26">
        <f t="shared" ca="1" si="44"/>
        <v>0.29322478093849802</v>
      </c>
      <c r="BL357" s="29">
        <v>0</v>
      </c>
      <c r="BN357" s="22">
        <v>44902</v>
      </c>
      <c r="BO357" s="26">
        <f t="shared" ca="1" si="45"/>
        <v>0.62900464834829706</v>
      </c>
      <c r="BP357" s="29">
        <v>0</v>
      </c>
      <c r="BR357" s="22">
        <v>44902</v>
      </c>
      <c r="BS357" s="26">
        <f t="shared" ca="1" si="46"/>
        <v>0.34137988233865757</v>
      </c>
      <c r="BT357" s="29">
        <v>0</v>
      </c>
      <c r="BV357" s="22">
        <v>44902</v>
      </c>
      <c r="BW357" s="26">
        <f t="shared" ca="1" si="47"/>
        <v>0.35697518516458804</v>
      </c>
      <c r="BX357" s="29">
        <v>0</v>
      </c>
    </row>
    <row r="358" spans="2:76" ht="12.75" x14ac:dyDescent="0.2">
      <c r="B358" s="22">
        <v>44903</v>
      </c>
      <c r="C358" s="26">
        <f t="shared" ca="1" si="0"/>
        <v>0.94165930358218009</v>
      </c>
      <c r="D358" s="29">
        <f t="shared" ca="1" si="53"/>
        <v>107</v>
      </c>
      <c r="F358" s="22">
        <v>44903</v>
      </c>
      <c r="G358" s="26">
        <f t="shared" ca="1" si="31"/>
        <v>0.47608189367272014</v>
      </c>
      <c r="H358" s="29">
        <f t="shared" ca="1" si="49"/>
        <v>215</v>
      </c>
      <c r="J358" s="22">
        <v>44903</v>
      </c>
      <c r="K358" s="26">
        <f t="shared" ca="1" si="32"/>
        <v>0.24786532400247963</v>
      </c>
      <c r="L358" s="29">
        <f t="shared" ca="1" si="50"/>
        <v>144</v>
      </c>
      <c r="N358" s="22">
        <v>44903</v>
      </c>
      <c r="O358" s="26">
        <f t="shared" ca="1" si="33"/>
        <v>0.38880672581842146</v>
      </c>
      <c r="P358" s="29">
        <f t="shared" ca="1" si="51"/>
        <v>226</v>
      </c>
      <c r="R358" s="22">
        <v>44903</v>
      </c>
      <c r="S358" s="26">
        <f t="shared" ca="1" si="34"/>
        <v>0.33263725610154493</v>
      </c>
      <c r="T358" s="29">
        <f t="shared" ca="1" si="52"/>
        <v>135</v>
      </c>
      <c r="V358" s="22">
        <v>44903</v>
      </c>
      <c r="W358" s="26">
        <f t="shared" ca="1" si="35"/>
        <v>0.87304311474035112</v>
      </c>
      <c r="X358" s="29">
        <v>0</v>
      </c>
      <c r="Z358" s="22">
        <v>44903</v>
      </c>
      <c r="AA358" s="26">
        <f t="shared" ca="1" si="36"/>
        <v>0.78213890596454505</v>
      </c>
      <c r="AB358" s="29">
        <v>0</v>
      </c>
      <c r="AC358"/>
      <c r="AD358" s="25"/>
      <c r="AF358" s="22">
        <v>44903</v>
      </c>
      <c r="AG358" s="26">
        <f t="shared" ca="1" si="37"/>
        <v>0.96957725342584411</v>
      </c>
      <c r="AH358" s="29">
        <v>0</v>
      </c>
      <c r="AJ358" s="22">
        <v>44903</v>
      </c>
      <c r="AK358" s="26">
        <f t="shared" ca="1" si="38"/>
        <v>0.37319357939942144</v>
      </c>
      <c r="AL358" s="29">
        <v>0</v>
      </c>
      <c r="AN358" s="22">
        <v>44903</v>
      </c>
      <c r="AO358" s="26">
        <f t="shared" ca="1" si="39"/>
        <v>0.66794192015595366</v>
      </c>
      <c r="AP358" s="29">
        <v>0</v>
      </c>
      <c r="AR358" s="22">
        <v>44903</v>
      </c>
      <c r="AS358" s="26">
        <f t="shared" ca="1" si="40"/>
        <v>0.11646480087174838</v>
      </c>
      <c r="AT358" s="29">
        <v>0</v>
      </c>
      <c r="AV358" s="22">
        <v>44903</v>
      </c>
      <c r="AW358" s="26">
        <f t="shared" ca="1" si="41"/>
        <v>0.26657558463292552</v>
      </c>
      <c r="AX358" s="29">
        <v>0</v>
      </c>
      <c r="AZ358" s="22">
        <v>44903</v>
      </c>
      <c r="BA358" s="26">
        <f t="shared" ca="1" si="42"/>
        <v>2.568350767626848E-3</v>
      </c>
      <c r="BB358" s="29">
        <v>0</v>
      </c>
      <c r="BC358"/>
      <c r="BD358" s="25"/>
      <c r="BF358" s="22">
        <v>44903</v>
      </c>
      <c r="BG358" s="26">
        <f t="shared" ca="1" si="43"/>
        <v>0.31725597580890408</v>
      </c>
      <c r="BH358" s="29">
        <v>0</v>
      </c>
      <c r="BJ358" s="22">
        <v>44903</v>
      </c>
      <c r="BK358" s="26">
        <f t="shared" ca="1" si="44"/>
        <v>0.90608821069651146</v>
      </c>
      <c r="BL358" s="29">
        <v>0</v>
      </c>
      <c r="BN358" s="22">
        <v>44903</v>
      </c>
      <c r="BO358" s="26">
        <f t="shared" ca="1" si="45"/>
        <v>0.59236882906334709</v>
      </c>
      <c r="BP358" s="29">
        <v>0</v>
      </c>
      <c r="BR358" s="22">
        <v>44903</v>
      </c>
      <c r="BS358" s="26">
        <f t="shared" ca="1" si="46"/>
        <v>0.54151874098268515</v>
      </c>
      <c r="BT358" s="29">
        <v>0</v>
      </c>
      <c r="BV358" s="22">
        <v>44903</v>
      </c>
      <c r="BW358" s="26">
        <f t="shared" ca="1" si="47"/>
        <v>0.51452509525644718</v>
      </c>
      <c r="BX358" s="29">
        <v>0</v>
      </c>
    </row>
    <row r="359" spans="2:76" ht="12.75" x14ac:dyDescent="0.2">
      <c r="B359" s="22">
        <v>44904</v>
      </c>
      <c r="C359" s="26">
        <f t="shared" ca="1" si="0"/>
        <v>0.92135755689511489</v>
      </c>
      <c r="D359" s="29">
        <f t="shared" ca="1" si="53"/>
        <v>104</v>
      </c>
      <c r="F359" s="22">
        <v>44904</v>
      </c>
      <c r="G359" s="26">
        <f t="shared" ca="1" si="31"/>
        <v>0.19951475921819173</v>
      </c>
      <c r="H359" s="29">
        <f t="shared" ca="1" si="49"/>
        <v>204</v>
      </c>
      <c r="J359" s="22">
        <v>44904</v>
      </c>
      <c r="K359" s="26">
        <f t="shared" ca="1" si="32"/>
        <v>0.63792685807572713</v>
      </c>
      <c r="L359" s="29">
        <f t="shared" ca="1" si="50"/>
        <v>154</v>
      </c>
      <c r="N359" s="22">
        <v>44904</v>
      </c>
      <c r="O359" s="26">
        <f t="shared" ca="1" si="33"/>
        <v>0.46999661458126796</v>
      </c>
      <c r="P359" s="29">
        <f t="shared" ca="1" si="51"/>
        <v>229</v>
      </c>
      <c r="R359" s="22">
        <v>44904</v>
      </c>
      <c r="S359" s="26">
        <f t="shared" ca="1" si="34"/>
        <v>0.13316718675963224</v>
      </c>
      <c r="T359" s="29">
        <f t="shared" ca="1" si="52"/>
        <v>129</v>
      </c>
      <c r="V359" s="22">
        <v>44904</v>
      </c>
      <c r="W359" s="26">
        <f t="shared" ca="1" si="35"/>
        <v>0.11734502828973614</v>
      </c>
      <c r="X359" s="29">
        <v>0</v>
      </c>
      <c r="Z359" s="22">
        <v>44904</v>
      </c>
      <c r="AA359" s="26">
        <f t="shared" ca="1" si="36"/>
        <v>1.6956092879538032E-2</v>
      </c>
      <c r="AB359" s="29">
        <v>0</v>
      </c>
      <c r="AC359"/>
      <c r="AD359" s="25"/>
      <c r="AF359" s="22">
        <v>44904</v>
      </c>
      <c r="AG359" s="26">
        <f t="shared" ca="1" si="37"/>
        <v>0.93167056553243766</v>
      </c>
      <c r="AH359" s="29">
        <v>0</v>
      </c>
      <c r="AJ359" s="22">
        <v>44904</v>
      </c>
      <c r="AK359" s="26">
        <f t="shared" ca="1" si="38"/>
        <v>0.39344888045064852</v>
      </c>
      <c r="AL359" s="29">
        <v>0</v>
      </c>
      <c r="AN359" s="22">
        <v>44904</v>
      </c>
      <c r="AO359" s="26">
        <f t="shared" ca="1" si="39"/>
        <v>0.70482803146548756</v>
      </c>
      <c r="AP359" s="29">
        <v>0</v>
      </c>
      <c r="AR359" s="22">
        <v>44904</v>
      </c>
      <c r="AS359" s="26">
        <f t="shared" ca="1" si="40"/>
        <v>0.50262055742091649</v>
      </c>
      <c r="AT359" s="29">
        <v>0</v>
      </c>
      <c r="AV359" s="22">
        <v>44904</v>
      </c>
      <c r="AW359" s="26">
        <f t="shared" ca="1" si="41"/>
        <v>0.21625937180154353</v>
      </c>
      <c r="AX359" s="29">
        <v>0</v>
      </c>
      <c r="AZ359" s="22">
        <v>44904</v>
      </c>
      <c r="BA359" s="26">
        <f t="shared" ca="1" si="42"/>
        <v>0.22839816053749062</v>
      </c>
      <c r="BB359" s="29">
        <v>0</v>
      </c>
      <c r="BC359"/>
      <c r="BD359" s="25"/>
      <c r="BF359" s="22">
        <v>44904</v>
      </c>
      <c r="BG359" s="26">
        <f t="shared" ca="1" si="43"/>
        <v>0.65412385862799483</v>
      </c>
      <c r="BH359" s="29">
        <v>0</v>
      </c>
      <c r="BJ359" s="22">
        <v>44904</v>
      </c>
      <c r="BK359" s="26">
        <f t="shared" ca="1" si="44"/>
        <v>0.64450468839512265</v>
      </c>
      <c r="BL359" s="29">
        <v>0</v>
      </c>
      <c r="BN359" s="22">
        <v>44904</v>
      </c>
      <c r="BO359" s="26">
        <f t="shared" ca="1" si="45"/>
        <v>4.3362092857965884E-2</v>
      </c>
      <c r="BP359" s="29">
        <v>0</v>
      </c>
      <c r="BR359" s="22">
        <v>44904</v>
      </c>
      <c r="BS359" s="26">
        <f t="shared" ca="1" si="46"/>
        <v>4.1533047303187076E-2</v>
      </c>
      <c r="BT359" s="29">
        <v>0</v>
      </c>
      <c r="BV359" s="22">
        <v>44904</v>
      </c>
      <c r="BW359" s="26">
        <f t="shared" ca="1" si="47"/>
        <v>0.75105747882769547</v>
      </c>
      <c r="BX359" s="29">
        <v>0</v>
      </c>
    </row>
    <row r="360" spans="2:76" ht="12.75" x14ac:dyDescent="0.2">
      <c r="B360" s="22">
        <v>44905</v>
      </c>
      <c r="C360" s="26">
        <f t="shared" ca="1" si="0"/>
        <v>0.21119892167404897</v>
      </c>
      <c r="D360" s="29">
        <f t="shared" ca="1" si="53"/>
        <v>59</v>
      </c>
      <c r="F360" s="22">
        <v>44905</v>
      </c>
      <c r="G360" s="26">
        <f t="shared" ca="1" si="31"/>
        <v>0.37995208694036897</v>
      </c>
      <c r="H360" s="29">
        <f t="shared" ca="1" si="49"/>
        <v>212</v>
      </c>
      <c r="J360" s="22">
        <v>44905</v>
      </c>
      <c r="K360" s="26">
        <f t="shared" ca="1" si="32"/>
        <v>0.86090884484413799</v>
      </c>
      <c r="L360" s="29">
        <f t="shared" ca="1" si="50"/>
        <v>161</v>
      </c>
      <c r="N360" s="22">
        <v>44905</v>
      </c>
      <c r="O360" s="26">
        <f t="shared" ca="1" si="33"/>
        <v>0.7985687026311723</v>
      </c>
      <c r="P360" s="29">
        <f t="shared" ca="1" si="51"/>
        <v>243</v>
      </c>
      <c r="R360" s="22">
        <v>44905</v>
      </c>
      <c r="S360" s="26">
        <f t="shared" ca="1" si="34"/>
        <v>0.65639292816842154</v>
      </c>
      <c r="T360" s="29">
        <f t="shared" ca="1" si="52"/>
        <v>143</v>
      </c>
      <c r="V360" s="22">
        <v>44905</v>
      </c>
      <c r="W360" s="26">
        <f t="shared" ca="1" si="35"/>
        <v>0.56623196873347037</v>
      </c>
      <c r="X360" s="29">
        <v>0</v>
      </c>
      <c r="Z360" s="22">
        <v>44905</v>
      </c>
      <c r="AA360" s="26">
        <f t="shared" ca="1" si="36"/>
        <v>1.6556537034587926E-2</v>
      </c>
      <c r="AB360" s="29">
        <v>0</v>
      </c>
      <c r="AC360"/>
      <c r="AD360" s="25"/>
      <c r="AF360" s="22">
        <v>44905</v>
      </c>
      <c r="AG360" s="26">
        <f t="shared" ca="1" si="37"/>
        <v>0.47336243998211669</v>
      </c>
      <c r="AH360" s="29">
        <v>0</v>
      </c>
      <c r="AJ360" s="22">
        <v>44905</v>
      </c>
      <c r="AK360" s="26">
        <f t="shared" ca="1" si="38"/>
        <v>2.2797138752998158E-2</v>
      </c>
      <c r="AL360" s="29">
        <v>0</v>
      </c>
      <c r="AN360" s="22">
        <v>44905</v>
      </c>
      <c r="AO360" s="26">
        <f t="shared" ca="1" si="39"/>
        <v>0.55559272023840556</v>
      </c>
      <c r="AP360" s="29">
        <v>0</v>
      </c>
      <c r="AR360" s="22">
        <v>44905</v>
      </c>
      <c r="AS360" s="26">
        <f t="shared" ca="1" si="40"/>
        <v>0.50615779465125543</v>
      </c>
      <c r="AT360" s="29">
        <v>0</v>
      </c>
      <c r="AV360" s="22">
        <v>44905</v>
      </c>
      <c r="AW360" s="26">
        <f t="shared" ca="1" si="41"/>
        <v>1.1852207241284107E-2</v>
      </c>
      <c r="AX360" s="29">
        <v>0</v>
      </c>
      <c r="AZ360" s="22">
        <v>44905</v>
      </c>
      <c r="BA360" s="26">
        <f t="shared" ca="1" si="42"/>
        <v>0.85228814863919167</v>
      </c>
      <c r="BB360" s="29">
        <v>0</v>
      </c>
      <c r="BC360"/>
      <c r="BD360" s="25"/>
      <c r="BF360" s="22">
        <v>44905</v>
      </c>
      <c r="BG360" s="26">
        <f t="shared" ca="1" si="43"/>
        <v>0.2652113391302362</v>
      </c>
      <c r="BH360" s="29">
        <v>0</v>
      </c>
      <c r="BJ360" s="22">
        <v>44905</v>
      </c>
      <c r="BK360" s="26">
        <f t="shared" ca="1" si="44"/>
        <v>0.28808010525513572</v>
      </c>
      <c r="BL360" s="29">
        <v>0</v>
      </c>
      <c r="BN360" s="22">
        <v>44905</v>
      </c>
      <c r="BO360" s="26">
        <f t="shared" ca="1" si="45"/>
        <v>0.68491773187878979</v>
      </c>
      <c r="BP360" s="29">
        <v>0</v>
      </c>
      <c r="BR360" s="22">
        <v>44905</v>
      </c>
      <c r="BS360" s="26">
        <f t="shared" ca="1" si="46"/>
        <v>0.76039079757358785</v>
      </c>
      <c r="BT360" s="29">
        <v>0</v>
      </c>
      <c r="BV360" s="22">
        <v>44905</v>
      </c>
      <c r="BW360" s="26">
        <f t="shared" ca="1" si="47"/>
        <v>7.0607612994002755E-2</v>
      </c>
      <c r="BX360" s="29">
        <v>0</v>
      </c>
    </row>
    <row r="361" spans="2:76" ht="12.75" x14ac:dyDescent="0.2">
      <c r="B361" s="22">
        <v>44906</v>
      </c>
      <c r="C361" s="26">
        <f t="shared" ca="1" si="0"/>
        <v>0.53591583007580701</v>
      </c>
      <c r="D361" s="29">
        <f t="shared" ca="1" si="53"/>
        <v>77</v>
      </c>
      <c r="F361" s="22">
        <v>44906</v>
      </c>
      <c r="G361" s="26">
        <f t="shared" ca="1" si="31"/>
        <v>0.14345589149093063</v>
      </c>
      <c r="H361" s="29">
        <f t="shared" ca="1" si="49"/>
        <v>201</v>
      </c>
      <c r="J361" s="22">
        <v>44906</v>
      </c>
      <c r="K361" s="26">
        <f t="shared" ca="1" si="32"/>
        <v>4.3747062443179385E-2</v>
      </c>
      <c r="L361" s="29">
        <f t="shared" ca="1" si="50"/>
        <v>133</v>
      </c>
      <c r="N361" s="22">
        <v>44906</v>
      </c>
      <c r="O361" s="26">
        <f t="shared" ca="1" si="33"/>
        <v>0.81985878018317726</v>
      </c>
      <c r="P361" s="29">
        <f t="shared" ca="1" si="51"/>
        <v>244</v>
      </c>
      <c r="R361" s="22">
        <v>44906</v>
      </c>
      <c r="S361" s="26">
        <f t="shared" ca="1" si="34"/>
        <v>0.1249299866771697</v>
      </c>
      <c r="T361" s="29">
        <f t="shared" ca="1" si="52"/>
        <v>129</v>
      </c>
      <c r="V361" s="22">
        <v>44906</v>
      </c>
      <c r="W361" s="26">
        <f t="shared" ca="1" si="35"/>
        <v>0.40617311164054504</v>
      </c>
      <c r="X361" s="29">
        <v>0</v>
      </c>
      <c r="Z361" s="22">
        <v>44906</v>
      </c>
      <c r="AA361" s="26">
        <f t="shared" ca="1" si="36"/>
        <v>0.75009480937071349</v>
      </c>
      <c r="AB361" s="29">
        <v>0</v>
      </c>
      <c r="AC361"/>
      <c r="AD361" s="25"/>
      <c r="AF361" s="22">
        <v>44906</v>
      </c>
      <c r="AG361" s="26">
        <f t="shared" ca="1" si="37"/>
        <v>0.4185122248823675</v>
      </c>
      <c r="AH361" s="29">
        <v>0</v>
      </c>
      <c r="AJ361" s="22">
        <v>44906</v>
      </c>
      <c r="AK361" s="26">
        <f t="shared" ca="1" si="38"/>
        <v>7.6966300356267059E-2</v>
      </c>
      <c r="AL361" s="29">
        <v>0</v>
      </c>
      <c r="AN361" s="22">
        <v>44906</v>
      </c>
      <c r="AO361" s="26">
        <f t="shared" ca="1" si="39"/>
        <v>0.2576649352948972</v>
      </c>
      <c r="AP361" s="29">
        <v>0</v>
      </c>
      <c r="AR361" s="22">
        <v>44906</v>
      </c>
      <c r="AS361" s="26">
        <f t="shared" ca="1" si="40"/>
        <v>0.81048142350247765</v>
      </c>
      <c r="AT361" s="29">
        <v>0</v>
      </c>
      <c r="AV361" s="22">
        <v>44906</v>
      </c>
      <c r="AW361" s="26">
        <f t="shared" ca="1" si="41"/>
        <v>0.57452981763865008</v>
      </c>
      <c r="AX361" s="29">
        <v>0</v>
      </c>
      <c r="AZ361" s="22">
        <v>44906</v>
      </c>
      <c r="BA361" s="26">
        <f t="shared" ca="1" si="42"/>
        <v>0.78607734262021778</v>
      </c>
      <c r="BB361" s="29">
        <v>0</v>
      </c>
      <c r="BC361"/>
      <c r="BD361" s="25"/>
      <c r="BF361" s="22">
        <v>44906</v>
      </c>
      <c r="BG361" s="26">
        <f t="shared" ca="1" si="43"/>
        <v>0.90372688049559224</v>
      </c>
      <c r="BH361" s="29">
        <v>0</v>
      </c>
      <c r="BJ361" s="22">
        <v>44906</v>
      </c>
      <c r="BK361" s="26">
        <f t="shared" ca="1" si="44"/>
        <v>0.20433658954703382</v>
      </c>
      <c r="BL361" s="29">
        <v>0</v>
      </c>
      <c r="BN361" s="22">
        <v>44906</v>
      </c>
      <c r="BO361" s="26">
        <f t="shared" ca="1" si="45"/>
        <v>0.13788804499230645</v>
      </c>
      <c r="BP361" s="29">
        <v>0</v>
      </c>
      <c r="BR361" s="22">
        <v>44906</v>
      </c>
      <c r="BS361" s="26">
        <f t="shared" ca="1" si="46"/>
        <v>0.67989112544905583</v>
      </c>
      <c r="BT361" s="29">
        <v>0</v>
      </c>
      <c r="BV361" s="22">
        <v>44906</v>
      </c>
      <c r="BW361" s="26">
        <f t="shared" ca="1" si="47"/>
        <v>0.42879979286987868</v>
      </c>
      <c r="BX361" s="29">
        <v>0</v>
      </c>
    </row>
    <row r="362" spans="2:76" ht="12.75" x14ac:dyDescent="0.2">
      <c r="B362" s="22">
        <v>44907</v>
      </c>
      <c r="C362" s="26">
        <f t="shared" ca="1" si="0"/>
        <v>0.79612676005175276</v>
      </c>
      <c r="D362" s="29">
        <f t="shared" ca="1" si="53"/>
        <v>92</v>
      </c>
      <c r="F362" s="22">
        <v>44907</v>
      </c>
      <c r="G362" s="26">
        <f t="shared" ca="1" si="31"/>
        <v>4.9178402561764756E-3</v>
      </c>
      <c r="H362" s="29">
        <f t="shared" ca="1" si="49"/>
        <v>179</v>
      </c>
      <c r="J362" s="22">
        <v>44907</v>
      </c>
      <c r="K362" s="26">
        <f t="shared" ca="1" si="32"/>
        <v>0.70525183823135074</v>
      </c>
      <c r="L362" s="29">
        <f t="shared" ca="1" si="50"/>
        <v>156</v>
      </c>
      <c r="N362" s="22">
        <v>44907</v>
      </c>
      <c r="O362" s="26">
        <f t="shared" ca="1" si="33"/>
        <v>0.75601471938988862</v>
      </c>
      <c r="P362" s="29">
        <f t="shared" ca="1" si="51"/>
        <v>240</v>
      </c>
      <c r="R362" s="22">
        <v>44907</v>
      </c>
      <c r="S362" s="26">
        <f t="shared" ca="1" si="34"/>
        <v>0.15351978959557933</v>
      </c>
      <c r="T362" s="29">
        <f t="shared" ca="1" si="52"/>
        <v>130</v>
      </c>
      <c r="V362" s="22">
        <v>44907</v>
      </c>
      <c r="W362" s="26">
        <f t="shared" ca="1" si="35"/>
        <v>0.56157625556769464</v>
      </c>
      <c r="X362" s="29">
        <v>0</v>
      </c>
      <c r="Z362" s="22">
        <v>44907</v>
      </c>
      <c r="AA362" s="26">
        <f t="shared" ca="1" si="36"/>
        <v>0.98662511445487766</v>
      </c>
      <c r="AB362" s="29">
        <v>0</v>
      </c>
      <c r="AC362"/>
      <c r="AD362" s="25"/>
      <c r="AF362" s="22">
        <v>44907</v>
      </c>
      <c r="AG362" s="26">
        <f t="shared" ca="1" si="37"/>
        <v>0.56596983780793519</v>
      </c>
      <c r="AH362" s="29">
        <v>0</v>
      </c>
      <c r="AJ362" s="22">
        <v>44907</v>
      </c>
      <c r="AK362" s="26">
        <f t="shared" ca="1" si="38"/>
        <v>0.94094039177388811</v>
      </c>
      <c r="AL362" s="29">
        <v>0</v>
      </c>
      <c r="AN362" s="22">
        <v>44907</v>
      </c>
      <c r="AO362" s="26">
        <f t="shared" ca="1" si="39"/>
        <v>0.11341494584003564</v>
      </c>
      <c r="AP362" s="29">
        <v>0</v>
      </c>
      <c r="AR362" s="22">
        <v>44907</v>
      </c>
      <c r="AS362" s="26">
        <f t="shared" ca="1" si="40"/>
        <v>0.82999523243143836</v>
      </c>
      <c r="AT362" s="29">
        <v>0</v>
      </c>
      <c r="AV362" s="22">
        <v>44907</v>
      </c>
      <c r="AW362" s="26">
        <f t="shared" ca="1" si="41"/>
        <v>0.52537241805348989</v>
      </c>
      <c r="AX362" s="29">
        <v>0</v>
      </c>
      <c r="AZ362" s="22">
        <v>44907</v>
      </c>
      <c r="BA362" s="26">
        <f t="shared" ca="1" si="42"/>
        <v>0.8074251026307242</v>
      </c>
      <c r="BB362" s="29">
        <v>0</v>
      </c>
      <c r="BC362"/>
      <c r="BD362" s="25"/>
      <c r="BF362" s="22">
        <v>44907</v>
      </c>
      <c r="BG362" s="26">
        <f t="shared" ca="1" si="43"/>
        <v>0.62922367454407557</v>
      </c>
      <c r="BH362" s="29">
        <v>0</v>
      </c>
      <c r="BJ362" s="22">
        <v>44907</v>
      </c>
      <c r="BK362" s="26">
        <f t="shared" ca="1" si="44"/>
        <v>0.34269963058705077</v>
      </c>
      <c r="BL362" s="29">
        <v>0</v>
      </c>
      <c r="BN362" s="22">
        <v>44907</v>
      </c>
      <c r="BO362" s="26">
        <f t="shared" ca="1" si="45"/>
        <v>0.97921074700155231</v>
      </c>
      <c r="BP362" s="29">
        <v>0</v>
      </c>
      <c r="BR362" s="22">
        <v>44907</v>
      </c>
      <c r="BS362" s="26">
        <f t="shared" ca="1" si="46"/>
        <v>0.54677130643430549</v>
      </c>
      <c r="BT362" s="29">
        <v>0</v>
      </c>
      <c r="BV362" s="22">
        <v>44907</v>
      </c>
      <c r="BW362" s="26">
        <f t="shared" ca="1" si="47"/>
        <v>0.9001306304456973</v>
      </c>
      <c r="BX362" s="29">
        <v>0</v>
      </c>
    </row>
    <row r="363" spans="2:76" ht="12.75" x14ac:dyDescent="0.2">
      <c r="B363" s="22">
        <v>44908</v>
      </c>
      <c r="C363" s="26">
        <f t="shared" ca="1" si="0"/>
        <v>0.79485868516243252</v>
      </c>
      <c r="D363" s="29">
        <f t="shared" ca="1" si="53"/>
        <v>92</v>
      </c>
      <c r="F363" s="22">
        <v>44908</v>
      </c>
      <c r="G363" s="26">
        <f t="shared" ca="1" si="31"/>
        <v>0.25654188547587986</v>
      </c>
      <c r="H363" s="29">
        <f t="shared" ca="1" si="49"/>
        <v>207</v>
      </c>
      <c r="J363" s="22">
        <v>44908</v>
      </c>
      <c r="K363" s="26">
        <f t="shared" ca="1" si="32"/>
        <v>0.63404523443792182</v>
      </c>
      <c r="L363" s="29">
        <f t="shared" ca="1" si="50"/>
        <v>154</v>
      </c>
      <c r="N363" s="22">
        <v>44908</v>
      </c>
      <c r="O363" s="26">
        <f t="shared" ca="1" si="33"/>
        <v>0.8721926579105308</v>
      </c>
      <c r="P363" s="29">
        <f t="shared" ca="1" si="51"/>
        <v>247</v>
      </c>
      <c r="R363" s="22">
        <v>44908</v>
      </c>
      <c r="S363" s="26">
        <f t="shared" ca="1" si="34"/>
        <v>0.37388249709519927</v>
      </c>
      <c r="T363" s="29">
        <f t="shared" ca="1" si="52"/>
        <v>136</v>
      </c>
      <c r="V363" s="22">
        <v>44908</v>
      </c>
      <c r="W363" s="26">
        <f t="shared" ca="1" si="35"/>
        <v>0.78353180449106308</v>
      </c>
      <c r="X363" s="29">
        <v>0</v>
      </c>
      <c r="Z363" s="22">
        <v>44908</v>
      </c>
      <c r="AA363" s="26">
        <f t="shared" ca="1" si="36"/>
        <v>0.54904885503558087</v>
      </c>
      <c r="AB363" s="29">
        <v>0</v>
      </c>
      <c r="AC363"/>
      <c r="AD363" s="25"/>
      <c r="AF363" s="22">
        <v>44908</v>
      </c>
      <c r="AG363" s="26">
        <f t="shared" ca="1" si="37"/>
        <v>0.4125294545712318</v>
      </c>
      <c r="AH363" s="29">
        <v>0</v>
      </c>
      <c r="AJ363" s="22">
        <v>44908</v>
      </c>
      <c r="AK363" s="26">
        <f t="shared" ca="1" si="38"/>
        <v>6.5379044095394745E-2</v>
      </c>
      <c r="AL363" s="29">
        <v>0</v>
      </c>
      <c r="AN363" s="22">
        <v>44908</v>
      </c>
      <c r="AO363" s="26">
        <f t="shared" ca="1" si="39"/>
        <v>0.97470008435469802</v>
      </c>
      <c r="AP363" s="29">
        <v>0</v>
      </c>
      <c r="AR363" s="22">
        <v>44908</v>
      </c>
      <c r="AS363" s="26">
        <f t="shared" ca="1" si="40"/>
        <v>0.19470274202007176</v>
      </c>
      <c r="AT363" s="29">
        <v>0</v>
      </c>
      <c r="AV363" s="22">
        <v>44908</v>
      </c>
      <c r="AW363" s="26">
        <f t="shared" ca="1" si="41"/>
        <v>0.3779365283906102</v>
      </c>
      <c r="AX363" s="29">
        <v>0</v>
      </c>
      <c r="AZ363" s="22">
        <v>44908</v>
      </c>
      <c r="BA363" s="26">
        <f t="shared" ca="1" si="42"/>
        <v>0.29483625913806433</v>
      </c>
      <c r="BB363" s="29">
        <v>0</v>
      </c>
      <c r="BC363"/>
      <c r="BD363" s="25"/>
      <c r="BF363" s="22">
        <v>44908</v>
      </c>
      <c r="BG363" s="26">
        <f t="shared" ca="1" si="43"/>
        <v>0.66345207704189291</v>
      </c>
      <c r="BH363" s="29">
        <v>0</v>
      </c>
      <c r="BJ363" s="22">
        <v>44908</v>
      </c>
      <c r="BK363" s="26">
        <f t="shared" ca="1" si="44"/>
        <v>0.42956297536532861</v>
      </c>
      <c r="BL363" s="29">
        <v>0</v>
      </c>
      <c r="BN363" s="22">
        <v>44908</v>
      </c>
      <c r="BO363" s="26">
        <f t="shared" ca="1" si="45"/>
        <v>0.67154356413096405</v>
      </c>
      <c r="BP363" s="29">
        <v>0</v>
      </c>
      <c r="BR363" s="22">
        <v>44908</v>
      </c>
      <c r="BS363" s="26">
        <f t="shared" ca="1" si="46"/>
        <v>0.6635083360944608</v>
      </c>
      <c r="BT363" s="29">
        <v>0</v>
      </c>
      <c r="BV363" s="22">
        <v>44908</v>
      </c>
      <c r="BW363" s="26">
        <f t="shared" ca="1" si="47"/>
        <v>0.53315450046797752</v>
      </c>
      <c r="BX363" s="29">
        <v>0</v>
      </c>
    </row>
    <row r="364" spans="2:76" ht="12.75" x14ac:dyDescent="0.2">
      <c r="B364" s="22">
        <v>44909</v>
      </c>
      <c r="C364" s="26">
        <f t="shared" ca="1" si="0"/>
        <v>0.10728160519720042</v>
      </c>
      <c r="D364" s="29">
        <f t="shared" ca="1" si="53"/>
        <v>51</v>
      </c>
      <c r="F364" s="22">
        <v>44909</v>
      </c>
      <c r="G364" s="26">
        <f t="shared" ca="1" si="31"/>
        <v>1.3652846806273322E-2</v>
      </c>
      <c r="H364" s="29">
        <f t="shared" ca="1" si="49"/>
        <v>184</v>
      </c>
      <c r="J364" s="22">
        <v>44909</v>
      </c>
      <c r="K364" s="26">
        <f t="shared" ca="1" si="32"/>
        <v>1.1615159637426431E-2</v>
      </c>
      <c r="L364" s="29">
        <f t="shared" ca="1" si="50"/>
        <v>128</v>
      </c>
      <c r="N364" s="22">
        <v>44909</v>
      </c>
      <c r="O364" s="26">
        <f t="shared" ca="1" si="33"/>
        <v>8.3144640197970188E-2</v>
      </c>
      <c r="P364" s="29">
        <f t="shared" ca="1" si="51"/>
        <v>209</v>
      </c>
      <c r="R364" s="22">
        <v>44909</v>
      </c>
      <c r="S364" s="26">
        <f t="shared" ca="1" si="34"/>
        <v>0.23105945382576776</v>
      </c>
      <c r="T364" s="29">
        <f t="shared" ca="1" si="52"/>
        <v>132</v>
      </c>
      <c r="V364" s="22">
        <v>44909</v>
      </c>
      <c r="W364" s="26">
        <f t="shared" ca="1" si="35"/>
        <v>0.1791887071963536</v>
      </c>
      <c r="X364" s="29">
        <v>0</v>
      </c>
      <c r="Z364" s="22">
        <v>44909</v>
      </c>
      <c r="AA364" s="26">
        <f t="shared" ca="1" si="36"/>
        <v>0.66755032273787041</v>
      </c>
      <c r="AB364" s="29">
        <v>0</v>
      </c>
      <c r="AC364"/>
      <c r="AD364" s="25"/>
      <c r="AF364" s="22">
        <v>44909</v>
      </c>
      <c r="AG364" s="26">
        <f t="shared" ca="1" si="37"/>
        <v>0.96383148120682283</v>
      </c>
      <c r="AH364" s="29">
        <v>0</v>
      </c>
      <c r="AJ364" s="22">
        <v>44909</v>
      </c>
      <c r="AK364" s="26">
        <f t="shared" ca="1" si="38"/>
        <v>0.7492975272168988</v>
      </c>
      <c r="AL364" s="29">
        <v>0</v>
      </c>
      <c r="AN364" s="22">
        <v>44909</v>
      </c>
      <c r="AO364" s="26">
        <f t="shared" ca="1" si="39"/>
        <v>0.80780624739259477</v>
      </c>
      <c r="AP364" s="29">
        <v>0</v>
      </c>
      <c r="AR364" s="22">
        <v>44909</v>
      </c>
      <c r="AS364" s="26">
        <f t="shared" ca="1" si="40"/>
        <v>0.22314360672148725</v>
      </c>
      <c r="AT364" s="29">
        <v>0</v>
      </c>
      <c r="AV364" s="22">
        <v>44909</v>
      </c>
      <c r="AW364" s="26">
        <f t="shared" ca="1" si="41"/>
        <v>0.347104647880215</v>
      </c>
      <c r="AX364" s="29">
        <v>0</v>
      </c>
      <c r="AZ364" s="22">
        <v>44909</v>
      </c>
      <c r="BA364" s="26">
        <f t="shared" ca="1" si="42"/>
        <v>0.23140581527813842</v>
      </c>
      <c r="BB364" s="29">
        <v>0</v>
      </c>
      <c r="BC364"/>
      <c r="BD364" s="25"/>
      <c r="BF364" s="22">
        <v>44909</v>
      </c>
      <c r="BG364" s="26">
        <f t="shared" ca="1" si="43"/>
        <v>8.3760237460020703E-2</v>
      </c>
      <c r="BH364" s="29">
        <v>0</v>
      </c>
      <c r="BJ364" s="22">
        <v>44909</v>
      </c>
      <c r="BK364" s="26">
        <f t="shared" ca="1" si="44"/>
        <v>0.10936582374670922</v>
      </c>
      <c r="BL364" s="29">
        <v>0</v>
      </c>
      <c r="BN364" s="22">
        <v>44909</v>
      </c>
      <c r="BO364" s="26">
        <f t="shared" ca="1" si="45"/>
        <v>0.39008092168665309</v>
      </c>
      <c r="BP364" s="29">
        <v>0</v>
      </c>
      <c r="BR364" s="22">
        <v>44909</v>
      </c>
      <c r="BS364" s="26">
        <f t="shared" ca="1" si="46"/>
        <v>0.13274212212448644</v>
      </c>
      <c r="BT364" s="29">
        <v>0</v>
      </c>
      <c r="BV364" s="22">
        <v>44909</v>
      </c>
      <c r="BW364" s="26">
        <f t="shared" ca="1" si="47"/>
        <v>0.31321518942525284</v>
      </c>
      <c r="BX364" s="29">
        <v>0</v>
      </c>
    </row>
    <row r="365" spans="2:76" ht="12.75" x14ac:dyDescent="0.2">
      <c r="B365" s="22">
        <v>44910</v>
      </c>
      <c r="C365" s="26">
        <f t="shared" ca="1" si="0"/>
        <v>0.33713103290449342</v>
      </c>
      <c r="D365" s="29">
        <f t="shared" ca="1" si="53"/>
        <v>67</v>
      </c>
      <c r="F365" s="22">
        <v>44910</v>
      </c>
      <c r="G365" s="26">
        <f t="shared" ca="1" si="31"/>
        <v>0.56878649704471007</v>
      </c>
      <c r="H365" s="29">
        <f t="shared" ca="1" si="49"/>
        <v>218</v>
      </c>
      <c r="J365" s="22">
        <v>44910</v>
      </c>
      <c r="K365" s="26">
        <f t="shared" ca="1" si="32"/>
        <v>0.51280016785241</v>
      </c>
      <c r="L365" s="29">
        <f t="shared" ca="1" si="50"/>
        <v>151</v>
      </c>
      <c r="N365" s="22">
        <v>44910</v>
      </c>
      <c r="O365" s="26">
        <f t="shared" ca="1" si="33"/>
        <v>0.89055588215673831</v>
      </c>
      <c r="P365" s="29">
        <f t="shared" ca="1" si="51"/>
        <v>249</v>
      </c>
      <c r="R365" s="22">
        <v>44910</v>
      </c>
      <c r="S365" s="26">
        <f t="shared" ca="1" si="34"/>
        <v>0.51774870941232809</v>
      </c>
      <c r="T365" s="29">
        <f t="shared" ca="1" si="52"/>
        <v>140</v>
      </c>
      <c r="V365" s="22">
        <v>44910</v>
      </c>
      <c r="W365" s="26">
        <f t="shared" ca="1" si="35"/>
        <v>0.34216647501594755</v>
      </c>
      <c r="X365" s="29">
        <v>0</v>
      </c>
      <c r="Z365" s="22">
        <v>44910</v>
      </c>
      <c r="AA365" s="26">
        <f t="shared" ca="1" si="36"/>
        <v>0.35894557190140586</v>
      </c>
      <c r="AB365" s="29">
        <v>0</v>
      </c>
      <c r="AC365"/>
      <c r="AD365" s="25"/>
      <c r="AF365" s="22">
        <v>44910</v>
      </c>
      <c r="AG365" s="26">
        <f t="shared" ca="1" si="37"/>
        <v>0.58860942913661107</v>
      </c>
      <c r="AH365" s="29">
        <v>0</v>
      </c>
      <c r="AJ365" s="22">
        <v>44910</v>
      </c>
      <c r="AK365" s="26">
        <f t="shared" ca="1" si="38"/>
        <v>8.5703758170329825E-2</v>
      </c>
      <c r="AL365" s="29">
        <v>0</v>
      </c>
      <c r="AN365" s="22">
        <v>44910</v>
      </c>
      <c r="AO365" s="26">
        <f t="shared" ca="1" si="39"/>
        <v>0.11875396364812985</v>
      </c>
      <c r="AP365" s="29">
        <v>0</v>
      </c>
      <c r="AR365" s="22">
        <v>44910</v>
      </c>
      <c r="AS365" s="26">
        <f t="shared" ca="1" si="40"/>
        <v>0.4835129665047706</v>
      </c>
      <c r="AT365" s="29">
        <v>0</v>
      </c>
      <c r="AV365" s="22">
        <v>44910</v>
      </c>
      <c r="AW365" s="26">
        <f t="shared" ca="1" si="41"/>
        <v>0.1937500892796743</v>
      </c>
      <c r="AX365" s="29">
        <v>0</v>
      </c>
      <c r="AZ365" s="22">
        <v>44910</v>
      </c>
      <c r="BA365" s="26">
        <f t="shared" ca="1" si="42"/>
        <v>0.74673953146818217</v>
      </c>
      <c r="BB365" s="29">
        <v>0</v>
      </c>
      <c r="BC365"/>
      <c r="BD365" s="25"/>
      <c r="BF365" s="22">
        <v>44910</v>
      </c>
      <c r="BG365" s="26">
        <f t="shared" ca="1" si="43"/>
        <v>0.82999678657068465</v>
      </c>
      <c r="BH365" s="29">
        <v>0</v>
      </c>
      <c r="BJ365" s="22">
        <v>44910</v>
      </c>
      <c r="BK365" s="26">
        <f t="shared" ca="1" si="44"/>
        <v>2.8184828854554977E-3</v>
      </c>
      <c r="BL365" s="29">
        <v>0</v>
      </c>
      <c r="BN365" s="22">
        <v>44910</v>
      </c>
      <c r="BO365" s="26">
        <f t="shared" ca="1" si="45"/>
        <v>0.39977411728149737</v>
      </c>
      <c r="BP365" s="29">
        <v>0</v>
      </c>
      <c r="BR365" s="22">
        <v>44910</v>
      </c>
      <c r="BS365" s="26">
        <f t="shared" ca="1" si="46"/>
        <v>0.46490433258149366</v>
      </c>
      <c r="BT365" s="29">
        <v>0</v>
      </c>
      <c r="BV365" s="22">
        <v>44910</v>
      </c>
      <c r="BW365" s="26">
        <f t="shared" ca="1" si="47"/>
        <v>0.47431250404191172</v>
      </c>
      <c r="BX365" s="29">
        <v>0</v>
      </c>
    </row>
    <row r="366" spans="2:76" ht="12.75" x14ac:dyDescent="0.2">
      <c r="B366" s="22">
        <v>44911</v>
      </c>
      <c r="C366" s="26">
        <f t="shared" ca="1" si="0"/>
        <v>0.70212606598965677</v>
      </c>
      <c r="D366" s="29">
        <f t="shared" ca="1" si="53"/>
        <v>86</v>
      </c>
      <c r="F366" s="22">
        <v>44911</v>
      </c>
      <c r="G366" s="26">
        <f t="shared" ca="1" si="31"/>
        <v>0.88803979226964513</v>
      </c>
      <c r="H366" s="29">
        <f t="shared" ca="1" si="49"/>
        <v>233</v>
      </c>
      <c r="J366" s="22">
        <v>44911</v>
      </c>
      <c r="K366" s="26">
        <f t="shared" ca="1" si="32"/>
        <v>0.93526891915089216</v>
      </c>
      <c r="L366" s="29">
        <f t="shared" ca="1" si="50"/>
        <v>166</v>
      </c>
      <c r="N366" s="22">
        <v>44911</v>
      </c>
      <c r="O366" s="26">
        <f t="shared" ca="1" si="33"/>
        <v>0.45872285487465503</v>
      </c>
      <c r="P366" s="29">
        <f t="shared" ca="1" si="51"/>
        <v>228</v>
      </c>
      <c r="R366" s="22">
        <v>44911</v>
      </c>
      <c r="S366" s="26">
        <f t="shared" ca="1" si="34"/>
        <v>6.8663200636630117E-2</v>
      </c>
      <c r="T366" s="29">
        <f t="shared" ca="1" si="52"/>
        <v>126</v>
      </c>
      <c r="V366" s="22">
        <v>44911</v>
      </c>
      <c r="W366" s="26">
        <f t="shared" ca="1" si="35"/>
        <v>0.48120096323058903</v>
      </c>
      <c r="X366" s="29">
        <v>0</v>
      </c>
      <c r="Z366" s="22">
        <v>44911</v>
      </c>
      <c r="AA366" s="26">
        <f t="shared" ca="1" si="36"/>
        <v>0.74051881918264106</v>
      </c>
      <c r="AB366" s="29">
        <v>0</v>
      </c>
      <c r="AC366"/>
      <c r="AD366" s="25"/>
      <c r="AF366" s="22">
        <v>44911</v>
      </c>
      <c r="AG366" s="26">
        <f t="shared" ca="1" si="37"/>
        <v>0.13708513725849236</v>
      </c>
      <c r="AH366" s="29">
        <v>0</v>
      </c>
      <c r="AJ366" s="22">
        <v>44911</v>
      </c>
      <c r="AK366" s="26">
        <f t="shared" ca="1" si="38"/>
        <v>0.50707648227530944</v>
      </c>
      <c r="AL366" s="29">
        <v>0</v>
      </c>
      <c r="AN366" s="22">
        <v>44911</v>
      </c>
      <c r="AO366" s="26">
        <f t="shared" ca="1" si="39"/>
        <v>0.393724160135562</v>
      </c>
      <c r="AP366" s="29">
        <v>0</v>
      </c>
      <c r="AR366" s="22">
        <v>44911</v>
      </c>
      <c r="AS366" s="26">
        <f t="shared" ca="1" si="40"/>
        <v>0.99874606638812857</v>
      </c>
      <c r="AT366" s="29">
        <v>0</v>
      </c>
      <c r="AV366" s="22">
        <v>44911</v>
      </c>
      <c r="AW366" s="26">
        <f t="shared" ca="1" si="41"/>
        <v>0.98206645331107667</v>
      </c>
      <c r="AX366" s="29">
        <v>0</v>
      </c>
      <c r="AZ366" s="22">
        <v>44911</v>
      </c>
      <c r="BA366" s="26">
        <f t="shared" ca="1" si="42"/>
        <v>0.12391806802962213</v>
      </c>
      <c r="BB366" s="29">
        <v>0</v>
      </c>
      <c r="BC366"/>
      <c r="BD366" s="25"/>
      <c r="BF366" s="22">
        <v>44911</v>
      </c>
      <c r="BG366" s="26">
        <f t="shared" ca="1" si="43"/>
        <v>0.6973377307939097</v>
      </c>
      <c r="BH366" s="29">
        <v>0</v>
      </c>
      <c r="BJ366" s="22">
        <v>44911</v>
      </c>
      <c r="BK366" s="26">
        <f t="shared" ca="1" si="44"/>
        <v>7.8752987450823486E-2</v>
      </c>
      <c r="BL366" s="29">
        <v>0</v>
      </c>
      <c r="BN366" s="22">
        <v>44911</v>
      </c>
      <c r="BO366" s="26">
        <f t="shared" ca="1" si="45"/>
        <v>0.97617521799357787</v>
      </c>
      <c r="BP366" s="29">
        <v>0</v>
      </c>
      <c r="BR366" s="22">
        <v>44911</v>
      </c>
      <c r="BS366" s="26">
        <f t="shared" ca="1" si="46"/>
        <v>0.77491761574240858</v>
      </c>
      <c r="BT366" s="29">
        <v>0</v>
      </c>
      <c r="BV366" s="22">
        <v>44911</v>
      </c>
      <c r="BW366" s="26">
        <f t="shared" ca="1" si="47"/>
        <v>0.19290796832217838</v>
      </c>
      <c r="BX366" s="29">
        <v>0</v>
      </c>
    </row>
    <row r="367" spans="2:76" ht="12.75" x14ac:dyDescent="0.2">
      <c r="B367" s="22">
        <v>44912</v>
      </c>
      <c r="C367" s="26">
        <f t="shared" ca="1" si="0"/>
        <v>0.1107261273648692</v>
      </c>
      <c r="D367" s="29">
        <f t="shared" ca="1" si="53"/>
        <v>51</v>
      </c>
      <c r="F367" s="22">
        <v>44912</v>
      </c>
      <c r="G367" s="26">
        <f t="shared" ca="1" si="31"/>
        <v>0.19881318104734225</v>
      </c>
      <c r="H367" s="29">
        <f t="shared" ca="1" si="49"/>
        <v>204</v>
      </c>
      <c r="J367" s="22">
        <v>44912</v>
      </c>
      <c r="K367" s="26">
        <f t="shared" ca="1" si="32"/>
        <v>0.30502640612900955</v>
      </c>
      <c r="L367" s="29">
        <f t="shared" ca="1" si="50"/>
        <v>145</v>
      </c>
      <c r="N367" s="22">
        <v>44912</v>
      </c>
      <c r="O367" s="26">
        <f t="shared" ca="1" si="33"/>
        <v>0.87538900894117322</v>
      </c>
      <c r="P367" s="29">
        <f t="shared" ca="1" si="51"/>
        <v>247</v>
      </c>
      <c r="R367" s="22">
        <v>44912</v>
      </c>
      <c r="S367" s="26">
        <f t="shared" ca="1" si="34"/>
        <v>0.89831154051526907</v>
      </c>
      <c r="T367" s="29">
        <f t="shared" ca="1" si="52"/>
        <v>151</v>
      </c>
      <c r="V367" s="22">
        <v>44912</v>
      </c>
      <c r="W367" s="26">
        <f t="shared" ca="1" si="35"/>
        <v>0.93036927224167565</v>
      </c>
      <c r="X367" s="29">
        <v>0</v>
      </c>
      <c r="Z367" s="22">
        <v>44912</v>
      </c>
      <c r="AA367" s="26">
        <f t="shared" ca="1" si="36"/>
        <v>0.55036997323112291</v>
      </c>
      <c r="AB367" s="29">
        <v>0</v>
      </c>
      <c r="AC367"/>
      <c r="AD367" s="25"/>
      <c r="AF367" s="22">
        <v>44912</v>
      </c>
      <c r="AG367" s="26">
        <f t="shared" ca="1" si="37"/>
        <v>0.93016696811475663</v>
      </c>
      <c r="AH367" s="29">
        <v>0</v>
      </c>
      <c r="AJ367" s="22">
        <v>44912</v>
      </c>
      <c r="AK367" s="26">
        <f t="shared" ca="1" si="38"/>
        <v>0.78899434395008872</v>
      </c>
      <c r="AL367" s="29">
        <v>0</v>
      </c>
      <c r="AN367" s="22">
        <v>44912</v>
      </c>
      <c r="AO367" s="26">
        <f t="shared" ca="1" si="39"/>
        <v>0.78607831542983109</v>
      </c>
      <c r="AP367" s="29">
        <v>0</v>
      </c>
      <c r="AR367" s="22">
        <v>44912</v>
      </c>
      <c r="AS367" s="26">
        <f t="shared" ca="1" si="40"/>
        <v>0.8539871431467253</v>
      </c>
      <c r="AT367" s="29">
        <v>0</v>
      </c>
      <c r="AV367" s="22">
        <v>44912</v>
      </c>
      <c r="AW367" s="26">
        <f t="shared" ca="1" si="41"/>
        <v>0.74165976939253953</v>
      </c>
      <c r="AX367" s="29">
        <v>0</v>
      </c>
      <c r="AZ367" s="22">
        <v>44912</v>
      </c>
      <c r="BA367" s="26">
        <f t="shared" ca="1" si="42"/>
        <v>0.66738090711974596</v>
      </c>
      <c r="BB367" s="29">
        <v>0</v>
      </c>
      <c r="BC367"/>
      <c r="BD367" s="25"/>
      <c r="BF367" s="22">
        <v>44912</v>
      </c>
      <c r="BG367" s="26">
        <f t="shared" ca="1" si="43"/>
        <v>0.15719332551706788</v>
      </c>
      <c r="BH367" s="29">
        <v>0</v>
      </c>
      <c r="BJ367" s="22">
        <v>44912</v>
      </c>
      <c r="BK367" s="26">
        <f t="shared" ca="1" si="44"/>
        <v>0.61511949442813063</v>
      </c>
      <c r="BL367" s="29">
        <v>0</v>
      </c>
      <c r="BN367" s="22">
        <v>44912</v>
      </c>
      <c r="BO367" s="26">
        <f t="shared" ca="1" si="45"/>
        <v>0.79545001015307459</v>
      </c>
      <c r="BP367" s="29">
        <v>0</v>
      </c>
      <c r="BR367" s="22">
        <v>44912</v>
      </c>
      <c r="BS367" s="26">
        <f t="shared" ca="1" si="46"/>
        <v>0.92254650554965956</v>
      </c>
      <c r="BT367" s="29">
        <v>0</v>
      </c>
      <c r="BV367" s="22">
        <v>44912</v>
      </c>
      <c r="BW367" s="26">
        <f t="shared" ca="1" si="47"/>
        <v>0.4725966040953391</v>
      </c>
      <c r="BX367" s="29">
        <v>0</v>
      </c>
    </row>
    <row r="368" spans="2:76" ht="12.75" x14ac:dyDescent="0.2">
      <c r="B368" s="22">
        <v>44913</v>
      </c>
      <c r="C368" s="26">
        <f t="shared" ca="1" si="0"/>
        <v>0.15762431863331572</v>
      </c>
      <c r="D368" s="29">
        <f t="shared" ca="1" si="53"/>
        <v>55</v>
      </c>
      <c r="F368" s="22">
        <v>44913</v>
      </c>
      <c r="G368" s="26">
        <f t="shared" ca="1" si="31"/>
        <v>0.6822033099395729</v>
      </c>
      <c r="H368" s="29">
        <f t="shared" ca="1" si="49"/>
        <v>223</v>
      </c>
      <c r="J368" s="22">
        <v>44913</v>
      </c>
      <c r="K368" s="26">
        <f t="shared" ca="1" si="32"/>
        <v>0.39855076330899653</v>
      </c>
      <c r="L368" s="29">
        <f t="shared" ca="1" si="50"/>
        <v>148</v>
      </c>
      <c r="N368" s="22">
        <v>44913</v>
      </c>
      <c r="O368" s="26">
        <f t="shared" ca="1" si="33"/>
        <v>0.14701357243816182</v>
      </c>
      <c r="P368" s="29">
        <f t="shared" ca="1" si="51"/>
        <v>214</v>
      </c>
      <c r="R368" s="22">
        <v>44913</v>
      </c>
      <c r="S368" s="26">
        <f t="shared" ca="1" si="34"/>
        <v>0.88797916895508633</v>
      </c>
      <c r="T368" s="29">
        <f t="shared" ca="1" si="52"/>
        <v>150</v>
      </c>
      <c r="V368" s="22">
        <v>44913</v>
      </c>
      <c r="W368" s="26">
        <f t="shared" ca="1" si="35"/>
        <v>0.91043796098627983</v>
      </c>
      <c r="X368" s="29">
        <v>0</v>
      </c>
      <c r="Z368" s="22">
        <v>44913</v>
      </c>
      <c r="AA368" s="26">
        <f t="shared" ca="1" si="36"/>
        <v>0.23731182204631063</v>
      </c>
      <c r="AB368" s="29">
        <v>0</v>
      </c>
      <c r="AC368"/>
      <c r="AD368" s="25"/>
      <c r="AF368" s="22">
        <v>44913</v>
      </c>
      <c r="AG368" s="26">
        <f t="shared" ca="1" si="37"/>
        <v>0.94279941146184731</v>
      </c>
      <c r="AH368" s="29">
        <v>0</v>
      </c>
      <c r="AJ368" s="22">
        <v>44913</v>
      </c>
      <c r="AK368" s="26">
        <f t="shared" ca="1" si="38"/>
        <v>0.71599622219832693</v>
      </c>
      <c r="AL368" s="29">
        <v>0</v>
      </c>
      <c r="AN368" s="22">
        <v>44913</v>
      </c>
      <c r="AO368" s="26">
        <f t="shared" ca="1" si="39"/>
        <v>2.888436146120632E-2</v>
      </c>
      <c r="AP368" s="29">
        <v>0</v>
      </c>
      <c r="AR368" s="22">
        <v>44913</v>
      </c>
      <c r="AS368" s="26">
        <f t="shared" ca="1" si="40"/>
        <v>0.25647108285456743</v>
      </c>
      <c r="AT368" s="29">
        <v>0</v>
      </c>
      <c r="AV368" s="22">
        <v>44913</v>
      </c>
      <c r="AW368" s="26">
        <f t="shared" ca="1" si="41"/>
        <v>0.28674571783009362</v>
      </c>
      <c r="AX368" s="29">
        <v>0</v>
      </c>
      <c r="AZ368" s="22">
        <v>44913</v>
      </c>
      <c r="BA368" s="26">
        <f t="shared" ca="1" si="42"/>
        <v>0.89272244575293125</v>
      </c>
      <c r="BB368" s="29">
        <v>0</v>
      </c>
      <c r="BC368"/>
      <c r="BD368" s="25"/>
      <c r="BF368" s="22">
        <v>44913</v>
      </c>
      <c r="BG368" s="26">
        <f t="shared" ca="1" si="43"/>
        <v>0.44589921509474784</v>
      </c>
      <c r="BH368" s="29">
        <v>0</v>
      </c>
      <c r="BJ368" s="22">
        <v>44913</v>
      </c>
      <c r="BK368" s="26">
        <f t="shared" ca="1" si="44"/>
        <v>0.21155199496910837</v>
      </c>
      <c r="BL368" s="29">
        <v>0</v>
      </c>
      <c r="BN368" s="22">
        <v>44913</v>
      </c>
      <c r="BO368" s="26">
        <f t="shared" ca="1" si="45"/>
        <v>0.90374457836678446</v>
      </c>
      <c r="BP368" s="29">
        <v>0</v>
      </c>
      <c r="BR368" s="22">
        <v>44913</v>
      </c>
      <c r="BS368" s="26">
        <f t="shared" ca="1" si="46"/>
        <v>0.60104519044861837</v>
      </c>
      <c r="BT368" s="29">
        <v>0</v>
      </c>
      <c r="BV368" s="22">
        <v>44913</v>
      </c>
      <c r="BW368" s="26">
        <f t="shared" ca="1" si="47"/>
        <v>0.89987177282710951</v>
      </c>
      <c r="BX368" s="29">
        <v>0</v>
      </c>
    </row>
    <row r="369" spans="2:77" ht="12.75" x14ac:dyDescent="0.2">
      <c r="B369" s="22">
        <v>44914</v>
      </c>
      <c r="C369" s="26">
        <f t="shared" ca="1" si="0"/>
        <v>0.66736980169112148</v>
      </c>
      <c r="D369" s="29">
        <v>0</v>
      </c>
      <c r="F369" s="22">
        <v>44914</v>
      </c>
      <c r="G369" s="26">
        <f t="shared" ca="1" si="31"/>
        <v>1.2683897548417922E-2</v>
      </c>
      <c r="H369" s="29">
        <v>0</v>
      </c>
      <c r="J369" s="22">
        <v>44914</v>
      </c>
      <c r="K369" s="26">
        <f t="shared" ca="1" si="32"/>
        <v>3.6911056627433658E-2</v>
      </c>
      <c r="L369" s="29">
        <v>0</v>
      </c>
      <c r="N369" s="22">
        <v>44914</v>
      </c>
      <c r="O369" s="26">
        <f t="shared" ca="1" si="33"/>
        <v>8.6163876236026615E-2</v>
      </c>
      <c r="P369" s="29">
        <v>0</v>
      </c>
      <c r="R369" s="22">
        <v>44914</v>
      </c>
      <c r="S369" s="26">
        <f t="shared" ca="1" si="34"/>
        <v>0.82098831606549882</v>
      </c>
      <c r="T369" s="29">
        <v>0</v>
      </c>
      <c r="V369" s="22">
        <v>44914</v>
      </c>
      <c r="W369" s="26">
        <f t="shared" ca="1" si="35"/>
        <v>0.88806910814453643</v>
      </c>
      <c r="X369" s="29">
        <v>0</v>
      </c>
      <c r="Z369" s="22">
        <v>44914</v>
      </c>
      <c r="AA369" s="26">
        <f t="shared" ca="1" si="36"/>
        <v>0.41942817373322905</v>
      </c>
      <c r="AB369" s="29">
        <v>0</v>
      </c>
      <c r="AC369"/>
      <c r="AD369" s="25"/>
      <c r="AF369" s="22">
        <v>44914</v>
      </c>
      <c r="AG369" s="26">
        <f t="shared" ca="1" si="37"/>
        <v>0.69202343594487847</v>
      </c>
      <c r="AH369" s="29">
        <v>0</v>
      </c>
      <c r="AJ369" s="22">
        <v>44914</v>
      </c>
      <c r="AK369" s="26">
        <f t="shared" ca="1" si="38"/>
        <v>0.90434892150771307</v>
      </c>
      <c r="AL369" s="29">
        <v>0</v>
      </c>
      <c r="AN369" s="22">
        <v>44914</v>
      </c>
      <c r="AO369" s="26">
        <f t="shared" ca="1" si="39"/>
        <v>0.12317041134905615</v>
      </c>
      <c r="AP369" s="29">
        <v>0</v>
      </c>
      <c r="AR369" s="22">
        <v>44914</v>
      </c>
      <c r="AS369" s="26">
        <f t="shared" ca="1" si="40"/>
        <v>0.84931059078532212</v>
      </c>
      <c r="AT369" s="29">
        <v>0</v>
      </c>
      <c r="AV369" s="22">
        <v>44914</v>
      </c>
      <c r="AW369" s="26">
        <f t="shared" ca="1" si="41"/>
        <v>0.66167452421873663</v>
      </c>
      <c r="AX369" s="29">
        <v>0</v>
      </c>
      <c r="AZ369" s="22">
        <v>44914</v>
      </c>
      <c r="BA369" s="26">
        <f t="shared" ca="1" si="42"/>
        <v>0.64507600647061103</v>
      </c>
      <c r="BB369" s="29">
        <v>0</v>
      </c>
      <c r="BC369"/>
      <c r="BD369" s="25"/>
      <c r="BF369" s="22">
        <v>44914</v>
      </c>
      <c r="BG369" s="26">
        <f t="shared" ca="1" si="43"/>
        <v>0.85831504260457614</v>
      </c>
      <c r="BH369" s="29">
        <v>0</v>
      </c>
      <c r="BJ369" s="22">
        <v>44914</v>
      </c>
      <c r="BK369" s="26">
        <f t="shared" ca="1" si="44"/>
        <v>0.61718903385462687</v>
      </c>
      <c r="BL369" s="29">
        <v>0</v>
      </c>
      <c r="BN369" s="22">
        <v>44914</v>
      </c>
      <c r="BO369" s="26">
        <f t="shared" ca="1" si="45"/>
        <v>0.30687531895925446</v>
      </c>
      <c r="BP369" s="29">
        <v>0</v>
      </c>
      <c r="BR369" s="22">
        <v>44914</v>
      </c>
      <c r="BS369" s="26">
        <f t="shared" ca="1" si="46"/>
        <v>0.48092849272989202</v>
      </c>
      <c r="BT369" s="29">
        <v>0</v>
      </c>
      <c r="BV369" s="22">
        <v>44914</v>
      </c>
      <c r="BW369" s="26">
        <f t="shared" ca="1" si="47"/>
        <v>0.82666754250878705</v>
      </c>
      <c r="BX369" s="29">
        <v>0</v>
      </c>
    </row>
    <row r="370" spans="2:77" ht="12.75" x14ac:dyDescent="0.2">
      <c r="B370" s="22">
        <v>44915</v>
      </c>
      <c r="C370" s="26">
        <f t="shared" ca="1" si="0"/>
        <v>0.86813528648649185</v>
      </c>
      <c r="D370" s="29">
        <v>0</v>
      </c>
      <c r="F370" s="22">
        <v>44915</v>
      </c>
      <c r="G370" s="26">
        <f t="shared" ca="1" si="31"/>
        <v>0.43993517242082725</v>
      </c>
      <c r="H370" s="29">
        <v>0</v>
      </c>
      <c r="J370" s="22">
        <v>44915</v>
      </c>
      <c r="K370" s="26">
        <f t="shared" ca="1" si="32"/>
        <v>0.8908613850255277</v>
      </c>
      <c r="L370" s="29">
        <v>0</v>
      </c>
      <c r="N370" s="22">
        <v>44915</v>
      </c>
      <c r="O370" s="26">
        <f t="shared" ca="1" si="33"/>
        <v>7.4168252765407949E-2</v>
      </c>
      <c r="P370" s="29">
        <v>0</v>
      </c>
      <c r="R370" s="22">
        <v>44915</v>
      </c>
      <c r="S370" s="26">
        <f t="shared" ca="1" si="34"/>
        <v>0.59343980432109555</v>
      </c>
      <c r="T370" s="29">
        <v>0</v>
      </c>
      <c r="V370" s="22">
        <v>44915</v>
      </c>
      <c r="W370" s="26">
        <f t="shared" ca="1" si="35"/>
        <v>0.61654593172303862</v>
      </c>
      <c r="X370" s="29">
        <v>0</v>
      </c>
      <c r="Z370" s="22">
        <v>44915</v>
      </c>
      <c r="AA370" s="26">
        <f t="shared" ca="1" si="36"/>
        <v>0.95560854145827945</v>
      </c>
      <c r="AB370" s="29">
        <v>0</v>
      </c>
      <c r="AC370"/>
      <c r="AD370" s="25"/>
      <c r="AF370" s="22">
        <v>44915</v>
      </c>
      <c r="AG370" s="26">
        <f t="shared" ca="1" si="37"/>
        <v>0.10555726353413875</v>
      </c>
      <c r="AH370" s="29">
        <v>0</v>
      </c>
      <c r="AJ370" s="22">
        <v>44915</v>
      </c>
      <c r="AK370" s="26">
        <f t="shared" ca="1" si="38"/>
        <v>0.41373710100518035</v>
      </c>
      <c r="AL370" s="29">
        <v>0</v>
      </c>
      <c r="AN370" s="22">
        <v>44915</v>
      </c>
      <c r="AO370" s="26">
        <f t="shared" ca="1" si="39"/>
        <v>0.64039491169468776</v>
      </c>
      <c r="AP370" s="29">
        <v>0</v>
      </c>
      <c r="AR370" s="22">
        <v>44915</v>
      </c>
      <c r="AS370" s="26">
        <f t="shared" ca="1" si="40"/>
        <v>0.96727299386872745</v>
      </c>
      <c r="AT370" s="29">
        <v>0</v>
      </c>
      <c r="AV370" s="22">
        <v>44915</v>
      </c>
      <c r="AW370" s="26">
        <f t="shared" ca="1" si="41"/>
        <v>0.65878840377596559</v>
      </c>
      <c r="AX370" s="29">
        <v>0</v>
      </c>
      <c r="AZ370" s="22">
        <v>44915</v>
      </c>
      <c r="BA370" s="26">
        <f t="shared" ca="1" si="42"/>
        <v>4.2259479898668628E-3</v>
      </c>
      <c r="BB370" s="29">
        <v>0</v>
      </c>
      <c r="BC370"/>
      <c r="BD370" s="25"/>
      <c r="BF370" s="22">
        <v>44915</v>
      </c>
      <c r="BG370" s="26">
        <f t="shared" ca="1" si="43"/>
        <v>0.66509179585034484</v>
      </c>
      <c r="BH370" s="29">
        <v>0</v>
      </c>
      <c r="BJ370" s="22">
        <v>44915</v>
      </c>
      <c r="BK370" s="26">
        <f t="shared" ca="1" si="44"/>
        <v>0.73464754177765113</v>
      </c>
      <c r="BL370" s="29">
        <v>0</v>
      </c>
      <c r="BN370" s="22">
        <v>44915</v>
      </c>
      <c r="BO370" s="26">
        <f t="shared" ca="1" si="45"/>
        <v>0.66681101802148113</v>
      </c>
      <c r="BP370" s="29">
        <v>0</v>
      </c>
      <c r="BR370" s="22">
        <v>44915</v>
      </c>
      <c r="BS370" s="26">
        <f t="shared" ca="1" si="46"/>
        <v>0.23771109922173028</v>
      </c>
      <c r="BT370" s="29">
        <v>0</v>
      </c>
      <c r="BV370" s="22">
        <v>44915</v>
      </c>
      <c r="BW370" s="26">
        <f t="shared" ca="1" si="47"/>
        <v>0.1936595973041475</v>
      </c>
      <c r="BX370" s="29">
        <v>0</v>
      </c>
    </row>
    <row r="371" spans="2:77" ht="12.75" x14ac:dyDescent="0.2">
      <c r="B371" s="22">
        <v>44916</v>
      </c>
      <c r="C371" s="26">
        <f t="shared" ca="1" si="0"/>
        <v>0.27741603479895749</v>
      </c>
      <c r="D371" s="29">
        <v>0</v>
      </c>
      <c r="F371" s="22">
        <v>44916</v>
      </c>
      <c r="G371" s="26">
        <f t="shared" ca="1" si="31"/>
        <v>9.5149164503030792E-2</v>
      </c>
      <c r="H371" s="29">
        <v>0</v>
      </c>
      <c r="J371" s="22">
        <v>44916</v>
      </c>
      <c r="K371" s="26">
        <f t="shared" ca="1" si="32"/>
        <v>0.36318182410506439</v>
      </c>
      <c r="L371" s="29">
        <v>0</v>
      </c>
      <c r="N371" s="22">
        <v>44916</v>
      </c>
      <c r="O371" s="26">
        <f t="shared" ca="1" si="33"/>
        <v>0.55628946768625531</v>
      </c>
      <c r="P371" s="29">
        <v>0</v>
      </c>
      <c r="R371" s="22">
        <v>44916</v>
      </c>
      <c r="S371" s="26">
        <f t="shared" ca="1" si="34"/>
        <v>0.69413837355091557</v>
      </c>
      <c r="T371" s="29">
        <v>0</v>
      </c>
      <c r="V371" s="22">
        <v>44916</v>
      </c>
      <c r="W371" s="26">
        <f t="shared" ca="1" si="35"/>
        <v>0.32173878410796997</v>
      </c>
      <c r="X371" s="29">
        <v>0</v>
      </c>
      <c r="Z371" s="22">
        <v>44916</v>
      </c>
      <c r="AA371" s="26">
        <f t="shared" ca="1" si="36"/>
        <v>0.96731450576367617</v>
      </c>
      <c r="AB371" s="29">
        <v>0</v>
      </c>
      <c r="AC371"/>
      <c r="AD371" s="25"/>
      <c r="AF371" s="22">
        <v>44916</v>
      </c>
      <c r="AG371" s="26">
        <f t="shared" ca="1" si="37"/>
        <v>0.95506318152288905</v>
      </c>
      <c r="AH371" s="29">
        <v>0</v>
      </c>
      <c r="AJ371" s="22">
        <v>44916</v>
      </c>
      <c r="AK371" s="26">
        <f t="shared" ca="1" si="38"/>
        <v>0.29976293506259888</v>
      </c>
      <c r="AL371" s="29">
        <v>0</v>
      </c>
      <c r="AN371" s="22">
        <v>44916</v>
      </c>
      <c r="AO371" s="26">
        <f t="shared" ca="1" si="39"/>
        <v>0.92634942255711228</v>
      </c>
      <c r="AP371" s="29">
        <v>0</v>
      </c>
      <c r="AR371" s="22">
        <v>44916</v>
      </c>
      <c r="AS371" s="26">
        <f t="shared" ca="1" si="40"/>
        <v>0.98931951617257952</v>
      </c>
      <c r="AT371" s="29">
        <v>0</v>
      </c>
      <c r="AV371" s="22">
        <v>44916</v>
      </c>
      <c r="AW371" s="26">
        <f t="shared" ca="1" si="41"/>
        <v>0.23263835487664297</v>
      </c>
      <c r="AX371" s="29">
        <v>0</v>
      </c>
      <c r="AZ371" s="22">
        <v>44916</v>
      </c>
      <c r="BA371" s="26">
        <f t="shared" ca="1" si="42"/>
        <v>0.94916750787033832</v>
      </c>
      <c r="BB371" s="29">
        <v>0</v>
      </c>
      <c r="BC371"/>
      <c r="BD371" s="25"/>
      <c r="BF371" s="22">
        <v>44916</v>
      </c>
      <c r="BG371" s="26">
        <f t="shared" ca="1" si="43"/>
        <v>0.83637511271483556</v>
      </c>
      <c r="BH371" s="29">
        <v>0</v>
      </c>
      <c r="BJ371" s="22">
        <v>44916</v>
      </c>
      <c r="BK371" s="26">
        <f t="shared" ca="1" si="44"/>
        <v>0.91784380226967455</v>
      </c>
      <c r="BL371" s="29">
        <v>0</v>
      </c>
      <c r="BN371" s="22">
        <v>44916</v>
      </c>
      <c r="BO371" s="26">
        <f t="shared" ca="1" si="45"/>
        <v>0.3665367387438635</v>
      </c>
      <c r="BP371" s="29">
        <v>0</v>
      </c>
      <c r="BR371" s="22">
        <v>44916</v>
      </c>
      <c r="BS371" s="26">
        <f t="shared" ca="1" si="46"/>
        <v>0.52549742035191649</v>
      </c>
      <c r="BT371" s="29">
        <v>0</v>
      </c>
      <c r="BV371" s="22">
        <v>44916</v>
      </c>
      <c r="BW371" s="26">
        <f t="shared" ca="1" si="47"/>
        <v>0.70408110554077408</v>
      </c>
      <c r="BX371" s="29">
        <v>0</v>
      </c>
    </row>
    <row r="372" spans="2:77" ht="12.75" x14ac:dyDescent="0.2">
      <c r="B372" s="22">
        <v>44917</v>
      </c>
      <c r="C372" s="26">
        <f t="shared" ca="1" si="0"/>
        <v>0.39246802121897983</v>
      </c>
      <c r="D372" s="29">
        <v>0</v>
      </c>
      <c r="F372" s="22">
        <v>44917</v>
      </c>
      <c r="G372" s="26">
        <f t="shared" ca="1" si="31"/>
        <v>0.17277367846300329</v>
      </c>
      <c r="H372" s="29">
        <v>0</v>
      </c>
      <c r="J372" s="22">
        <v>44917</v>
      </c>
      <c r="K372" s="26">
        <f t="shared" ca="1" si="32"/>
        <v>0.97582112134934917</v>
      </c>
      <c r="L372" s="29">
        <v>0</v>
      </c>
      <c r="N372" s="22">
        <v>44917</v>
      </c>
      <c r="O372" s="26">
        <f t="shared" ca="1" si="33"/>
        <v>0.76932244009656381</v>
      </c>
      <c r="P372" s="29">
        <v>0</v>
      </c>
      <c r="R372" s="22">
        <v>44917</v>
      </c>
      <c r="S372" s="26">
        <f t="shared" ca="1" si="34"/>
        <v>0.30226787316360126</v>
      </c>
      <c r="T372" s="29">
        <v>0</v>
      </c>
      <c r="V372" s="22">
        <v>44917</v>
      </c>
      <c r="W372" s="26">
        <f t="shared" ca="1" si="35"/>
        <v>0.39543425269641908</v>
      </c>
      <c r="X372" s="29">
        <v>0</v>
      </c>
      <c r="Z372" s="22">
        <v>44917</v>
      </c>
      <c r="AA372" s="26">
        <f t="shared" ca="1" si="36"/>
        <v>0.60709734669793924</v>
      </c>
      <c r="AB372" s="29">
        <v>0</v>
      </c>
      <c r="AC372"/>
      <c r="AD372" s="25"/>
      <c r="AF372" s="22">
        <v>44917</v>
      </c>
      <c r="AG372" s="26">
        <f t="shared" ca="1" si="37"/>
        <v>0.29593149827239573</v>
      </c>
      <c r="AH372" s="29">
        <v>0</v>
      </c>
      <c r="AJ372" s="22">
        <v>44917</v>
      </c>
      <c r="AK372" s="26">
        <f t="shared" ca="1" si="38"/>
        <v>0.79641919308111542</v>
      </c>
      <c r="AL372" s="29">
        <v>0</v>
      </c>
      <c r="AN372" s="22">
        <v>44917</v>
      </c>
      <c r="AO372" s="26">
        <f t="shared" ca="1" si="39"/>
        <v>0.95410437789535918</v>
      </c>
      <c r="AP372" s="29">
        <v>0</v>
      </c>
      <c r="AR372" s="22">
        <v>44917</v>
      </c>
      <c r="AS372" s="26">
        <f t="shared" ca="1" si="40"/>
        <v>0.27547044479340721</v>
      </c>
      <c r="AT372" s="29">
        <v>0</v>
      </c>
      <c r="AV372" s="22">
        <v>44917</v>
      </c>
      <c r="AW372" s="26">
        <f t="shared" ca="1" si="41"/>
        <v>0.86118951903625029</v>
      </c>
      <c r="AX372" s="29">
        <v>0</v>
      </c>
      <c r="AZ372" s="22">
        <v>44917</v>
      </c>
      <c r="BA372" s="26">
        <f t="shared" ca="1" si="42"/>
        <v>0.38832550312326131</v>
      </c>
      <c r="BB372" s="29">
        <v>0</v>
      </c>
      <c r="BC372"/>
      <c r="BD372" s="25"/>
      <c r="BF372" s="22">
        <v>44917</v>
      </c>
      <c r="BG372" s="26">
        <f t="shared" ca="1" si="43"/>
        <v>0.95929199547162403</v>
      </c>
      <c r="BH372" s="29">
        <v>0</v>
      </c>
      <c r="BJ372" s="22">
        <v>44917</v>
      </c>
      <c r="BK372" s="26">
        <f t="shared" ca="1" si="44"/>
        <v>0.66272975286966851</v>
      </c>
      <c r="BL372" s="29">
        <v>0</v>
      </c>
      <c r="BN372" s="22">
        <v>44917</v>
      </c>
      <c r="BO372" s="26">
        <f t="shared" ca="1" si="45"/>
        <v>8.6490685761672625E-2</v>
      </c>
      <c r="BP372" s="29">
        <v>0</v>
      </c>
      <c r="BR372" s="22">
        <v>44917</v>
      </c>
      <c r="BS372" s="26">
        <f t="shared" ca="1" si="46"/>
        <v>2.5500087073480504E-2</v>
      </c>
      <c r="BT372" s="29">
        <v>0</v>
      </c>
      <c r="BV372" s="22">
        <v>44917</v>
      </c>
      <c r="BW372" s="26">
        <f t="shared" ca="1" si="47"/>
        <v>0.60386503059983843</v>
      </c>
      <c r="BX372" s="29">
        <v>0</v>
      </c>
    </row>
    <row r="373" spans="2:77" ht="12.75" x14ac:dyDescent="0.2">
      <c r="B373" s="22">
        <v>44918</v>
      </c>
      <c r="C373" s="26">
        <f t="shared" ca="1" si="0"/>
        <v>0.56700708484386064</v>
      </c>
      <c r="D373" s="29">
        <v>0</v>
      </c>
      <c r="F373" s="22">
        <v>44918</v>
      </c>
      <c r="G373" s="26">
        <f t="shared" ca="1" si="31"/>
        <v>0.9005821670437596</v>
      </c>
      <c r="H373" s="29">
        <v>0</v>
      </c>
      <c r="J373" s="22">
        <v>44918</v>
      </c>
      <c r="K373" s="26">
        <f t="shared" ca="1" si="32"/>
        <v>0.3409394154172366</v>
      </c>
      <c r="L373" s="29">
        <v>0</v>
      </c>
      <c r="N373" s="22">
        <v>44918</v>
      </c>
      <c r="O373" s="26">
        <f t="shared" ca="1" si="33"/>
        <v>0.50483235132538518</v>
      </c>
      <c r="P373" s="29">
        <v>0</v>
      </c>
      <c r="R373" s="22">
        <v>44918</v>
      </c>
      <c r="S373" s="26">
        <f t="shared" ca="1" si="34"/>
        <v>0.23482679267517015</v>
      </c>
      <c r="T373" s="29">
        <v>0</v>
      </c>
      <c r="V373" s="22">
        <v>44918</v>
      </c>
      <c r="W373" s="26">
        <f t="shared" ca="1" si="35"/>
        <v>0.57570025357982879</v>
      </c>
      <c r="X373" s="29">
        <v>0</v>
      </c>
      <c r="Z373" s="22">
        <v>44918</v>
      </c>
      <c r="AA373" s="26">
        <f t="shared" ca="1" si="36"/>
        <v>0.85090751016703337</v>
      </c>
      <c r="AB373" s="29">
        <v>0</v>
      </c>
      <c r="AC373"/>
      <c r="AD373" s="25"/>
      <c r="AF373" s="22">
        <v>44918</v>
      </c>
      <c r="AG373" s="26">
        <f t="shared" ca="1" si="37"/>
        <v>0.93259616184898309</v>
      </c>
      <c r="AH373" s="29">
        <v>0</v>
      </c>
      <c r="AJ373" s="22">
        <v>44918</v>
      </c>
      <c r="AK373" s="26">
        <f t="shared" ca="1" si="38"/>
        <v>0.97574511188356783</v>
      </c>
      <c r="AL373" s="29">
        <v>0</v>
      </c>
      <c r="AN373" s="22">
        <v>44918</v>
      </c>
      <c r="AO373" s="26">
        <f t="shared" ca="1" si="39"/>
        <v>0.64237543357423543</v>
      </c>
      <c r="AP373" s="29">
        <v>0</v>
      </c>
      <c r="AR373" s="22">
        <v>44918</v>
      </c>
      <c r="AS373" s="26">
        <f t="shared" ca="1" si="40"/>
        <v>0.96884670372236437</v>
      </c>
      <c r="AT373" s="29">
        <v>0</v>
      </c>
      <c r="AV373" s="22">
        <v>44918</v>
      </c>
      <c r="AW373" s="26">
        <f t="shared" ca="1" si="41"/>
        <v>0.15700605871977191</v>
      </c>
      <c r="AX373" s="29">
        <v>0</v>
      </c>
      <c r="AZ373" s="22">
        <v>44918</v>
      </c>
      <c r="BA373" s="26">
        <f t="shared" ca="1" si="42"/>
        <v>0.39683535258138092</v>
      </c>
      <c r="BB373" s="29">
        <v>0</v>
      </c>
      <c r="BC373"/>
      <c r="BD373" s="25"/>
      <c r="BF373" s="22">
        <v>44918</v>
      </c>
      <c r="BG373" s="26">
        <f t="shared" ca="1" si="43"/>
        <v>0.85529548979498748</v>
      </c>
      <c r="BH373" s="29">
        <v>0</v>
      </c>
      <c r="BJ373" s="22">
        <v>44918</v>
      </c>
      <c r="BK373" s="26">
        <f t="shared" ca="1" si="44"/>
        <v>0.53997169718790528</v>
      </c>
      <c r="BL373" s="29">
        <v>0</v>
      </c>
      <c r="BN373" s="22">
        <v>44918</v>
      </c>
      <c r="BO373" s="26">
        <f t="shared" ca="1" si="45"/>
        <v>0.92910907550099486</v>
      </c>
      <c r="BP373" s="29">
        <v>0</v>
      </c>
      <c r="BR373" s="22">
        <v>44918</v>
      </c>
      <c r="BS373" s="26">
        <f t="shared" ca="1" si="46"/>
        <v>0.77782317165735371</v>
      </c>
      <c r="BT373" s="29">
        <v>0</v>
      </c>
      <c r="BV373" s="22">
        <v>44918</v>
      </c>
      <c r="BW373" s="26">
        <f t="shared" ca="1" si="47"/>
        <v>0.33453862321382899</v>
      </c>
      <c r="BX373" s="29">
        <v>0</v>
      </c>
    </row>
    <row r="374" spans="2:77" ht="12.75" x14ac:dyDescent="0.2">
      <c r="B374" s="22">
        <v>44919</v>
      </c>
      <c r="C374" s="26">
        <f t="shared" ca="1" si="0"/>
        <v>0.89777504259191321</v>
      </c>
      <c r="D374" s="29">
        <v>0</v>
      </c>
      <c r="F374" s="22">
        <v>44919</v>
      </c>
      <c r="G374" s="26">
        <f t="shared" ca="1" si="31"/>
        <v>0.57354702458492868</v>
      </c>
      <c r="H374" s="29">
        <v>0</v>
      </c>
      <c r="J374" s="22">
        <v>44919</v>
      </c>
      <c r="K374" s="26">
        <f t="shared" ca="1" si="32"/>
        <v>0.87040051536418783</v>
      </c>
      <c r="L374" s="29">
        <v>0</v>
      </c>
      <c r="N374" s="22">
        <v>44919</v>
      </c>
      <c r="O374" s="26">
        <f t="shared" ca="1" si="33"/>
        <v>0.3863467838514123</v>
      </c>
      <c r="P374" s="29">
        <v>0</v>
      </c>
      <c r="R374" s="22">
        <v>44919</v>
      </c>
      <c r="S374" s="26">
        <f t="shared" ca="1" si="34"/>
        <v>0.95392074263786442</v>
      </c>
      <c r="T374" s="29">
        <v>0</v>
      </c>
      <c r="V374" s="22">
        <v>44919</v>
      </c>
      <c r="W374" s="26">
        <f t="shared" ca="1" si="35"/>
        <v>0.17991655532883544</v>
      </c>
      <c r="X374" s="29">
        <v>0</v>
      </c>
      <c r="Z374" s="22">
        <v>44919</v>
      </c>
      <c r="AA374" s="26">
        <f t="shared" ca="1" si="36"/>
        <v>0.56000210408968576</v>
      </c>
      <c r="AB374" s="29">
        <v>0</v>
      </c>
      <c r="AC374"/>
      <c r="AD374" s="25"/>
      <c r="AF374" s="22">
        <v>44919</v>
      </c>
      <c r="AG374" s="26">
        <f t="shared" ca="1" si="37"/>
        <v>7.9589054560110672E-2</v>
      </c>
      <c r="AH374" s="29">
        <v>0</v>
      </c>
      <c r="AJ374" s="22">
        <v>44919</v>
      </c>
      <c r="AK374" s="26">
        <f t="shared" ca="1" si="38"/>
        <v>0.62928782076216982</v>
      </c>
      <c r="AL374" s="29">
        <v>0</v>
      </c>
      <c r="AN374" s="22">
        <v>44919</v>
      </c>
      <c r="AO374" s="26">
        <f t="shared" ca="1" si="39"/>
        <v>0.51458007548829388</v>
      </c>
      <c r="AP374" s="29">
        <v>0</v>
      </c>
      <c r="AR374" s="22">
        <v>44919</v>
      </c>
      <c r="AS374" s="26">
        <f t="shared" ca="1" si="40"/>
        <v>0.96062811067587783</v>
      </c>
      <c r="AT374" s="29">
        <v>0</v>
      </c>
      <c r="AV374" s="22">
        <v>44919</v>
      </c>
      <c r="AW374" s="26">
        <f t="shared" ca="1" si="41"/>
        <v>0.99871326632962365</v>
      </c>
      <c r="AX374" s="29">
        <v>0</v>
      </c>
      <c r="AZ374" s="22">
        <v>44919</v>
      </c>
      <c r="BA374" s="26">
        <f t="shared" ca="1" si="42"/>
        <v>0.72760768901785733</v>
      </c>
      <c r="BB374" s="29">
        <v>0</v>
      </c>
      <c r="BC374"/>
      <c r="BD374" s="25"/>
      <c r="BF374" s="22">
        <v>44919</v>
      </c>
      <c r="BG374" s="26">
        <f t="shared" ca="1" si="43"/>
        <v>0.45555215847350772</v>
      </c>
      <c r="BH374" s="29">
        <v>0</v>
      </c>
      <c r="BJ374" s="22">
        <v>44919</v>
      </c>
      <c r="BK374" s="26">
        <f t="shared" ca="1" si="44"/>
        <v>0.36815440839789326</v>
      </c>
      <c r="BL374" s="29">
        <v>0</v>
      </c>
      <c r="BN374" s="22">
        <v>44919</v>
      </c>
      <c r="BO374" s="26">
        <f t="shared" ca="1" si="45"/>
        <v>0.65963447696629895</v>
      </c>
      <c r="BP374" s="29">
        <v>0</v>
      </c>
      <c r="BR374" s="22">
        <v>44919</v>
      </c>
      <c r="BS374" s="26">
        <f t="shared" ca="1" si="46"/>
        <v>0.49612785625152378</v>
      </c>
      <c r="BT374" s="29">
        <v>0</v>
      </c>
      <c r="BV374" s="22">
        <v>44919</v>
      </c>
      <c r="BW374" s="26">
        <f t="shared" ca="1" si="47"/>
        <v>0.82892758788335086</v>
      </c>
      <c r="BX374" s="29">
        <v>0</v>
      </c>
    </row>
    <row r="375" spans="2:77" ht="12.75" x14ac:dyDescent="0.2">
      <c r="B375" s="22">
        <v>44920</v>
      </c>
      <c r="C375" s="26">
        <f t="shared" ca="1" si="0"/>
        <v>0.38420973996452379</v>
      </c>
      <c r="D375" s="29">
        <v>0</v>
      </c>
      <c r="F375" s="22">
        <v>44920</v>
      </c>
      <c r="G375" s="26">
        <f t="shared" ca="1" si="31"/>
        <v>0.92368678513124824</v>
      </c>
      <c r="H375" s="29">
        <v>0</v>
      </c>
      <c r="J375" s="22">
        <v>44920</v>
      </c>
      <c r="K375" s="26">
        <f t="shared" ca="1" si="32"/>
        <v>0.41285478483296356</v>
      </c>
      <c r="L375" s="29">
        <v>0</v>
      </c>
      <c r="N375" s="22">
        <v>44920</v>
      </c>
      <c r="O375" s="26">
        <f t="shared" ca="1" si="33"/>
        <v>0.65002090438761939</v>
      </c>
      <c r="P375" s="29">
        <v>0</v>
      </c>
      <c r="R375" s="22">
        <v>44920</v>
      </c>
      <c r="S375" s="26">
        <f t="shared" ca="1" si="34"/>
        <v>0.8343139610520911</v>
      </c>
      <c r="T375" s="29">
        <v>0</v>
      </c>
      <c r="V375" s="22">
        <v>44920</v>
      </c>
      <c r="W375" s="26">
        <f t="shared" ca="1" si="35"/>
        <v>0.58126764021021726</v>
      </c>
      <c r="X375" s="29">
        <v>0</v>
      </c>
      <c r="Z375" s="22">
        <v>44920</v>
      </c>
      <c r="AA375" s="26">
        <f t="shared" ca="1" si="36"/>
        <v>0.80873409947865349</v>
      </c>
      <c r="AB375" s="29">
        <v>0</v>
      </c>
      <c r="AC375"/>
      <c r="AD375" s="25"/>
      <c r="AF375" s="22">
        <v>44920</v>
      </c>
      <c r="AG375" s="26">
        <f t="shared" ca="1" si="37"/>
        <v>0.72468061404259365</v>
      </c>
      <c r="AH375" s="29">
        <v>0</v>
      </c>
      <c r="AJ375" s="22">
        <v>44920</v>
      </c>
      <c r="AK375" s="26">
        <f t="shared" ca="1" si="38"/>
        <v>0.47627916394209391</v>
      </c>
      <c r="AL375" s="29">
        <v>0</v>
      </c>
      <c r="AN375" s="22">
        <v>44920</v>
      </c>
      <c r="AO375" s="26">
        <f t="shared" ca="1" si="39"/>
        <v>0.25582930893142175</v>
      </c>
      <c r="AP375" s="29">
        <v>0</v>
      </c>
      <c r="AR375" s="22">
        <v>44920</v>
      </c>
      <c r="AS375" s="26">
        <f t="shared" ca="1" si="40"/>
        <v>0.23422751651152152</v>
      </c>
      <c r="AT375" s="29">
        <v>0</v>
      </c>
      <c r="AV375" s="22">
        <v>44920</v>
      </c>
      <c r="AW375" s="26">
        <f t="shared" ca="1" si="41"/>
        <v>0.79282176208905009</v>
      </c>
      <c r="AX375" s="29">
        <v>0</v>
      </c>
      <c r="AZ375" s="22">
        <v>44920</v>
      </c>
      <c r="BA375" s="26">
        <f t="shared" ca="1" si="42"/>
        <v>0.84352430824140268</v>
      </c>
      <c r="BB375" s="29">
        <v>0</v>
      </c>
      <c r="BC375"/>
      <c r="BD375" s="25"/>
      <c r="BF375" s="22">
        <v>44920</v>
      </c>
      <c r="BG375" s="26">
        <f t="shared" ca="1" si="43"/>
        <v>0.31141399088642607</v>
      </c>
      <c r="BH375" s="29">
        <v>0</v>
      </c>
      <c r="BJ375" s="22">
        <v>44920</v>
      </c>
      <c r="BK375" s="26">
        <f t="shared" ca="1" si="44"/>
        <v>0.79538027778122711</v>
      </c>
      <c r="BL375" s="29">
        <v>0</v>
      </c>
      <c r="BN375" s="22">
        <v>44920</v>
      </c>
      <c r="BO375" s="26">
        <f t="shared" ca="1" si="45"/>
        <v>0.70689672142874771</v>
      </c>
      <c r="BP375" s="29">
        <v>0</v>
      </c>
      <c r="BR375" s="22">
        <v>44920</v>
      </c>
      <c r="BS375" s="26">
        <f t="shared" ca="1" si="46"/>
        <v>0.32908003730765001</v>
      </c>
      <c r="BT375" s="29">
        <v>0</v>
      </c>
      <c r="BV375" s="22">
        <v>44920</v>
      </c>
      <c r="BW375" s="26">
        <f t="shared" ca="1" si="47"/>
        <v>0.2903544051421334</v>
      </c>
      <c r="BX375" s="29">
        <v>0</v>
      </c>
    </row>
    <row r="376" spans="2:77" ht="12.75" x14ac:dyDescent="0.2">
      <c r="B376" s="22">
        <v>44921</v>
      </c>
      <c r="C376" s="26">
        <f t="shared" ca="1" si="0"/>
        <v>0.64289067768711494</v>
      </c>
      <c r="D376" s="29">
        <v>0</v>
      </c>
      <c r="F376" s="22">
        <v>44921</v>
      </c>
      <c r="G376" s="26">
        <f t="shared" ca="1" si="31"/>
        <v>0.13704429549963604</v>
      </c>
      <c r="H376" s="29">
        <v>0</v>
      </c>
      <c r="J376" s="22">
        <v>44921</v>
      </c>
      <c r="K376" s="26">
        <f t="shared" ca="1" si="32"/>
        <v>0.62371934037665466</v>
      </c>
      <c r="L376" s="29">
        <v>0</v>
      </c>
      <c r="N376" s="22">
        <v>44921</v>
      </c>
      <c r="O376" s="26">
        <f t="shared" ca="1" si="33"/>
        <v>0.65415765308326224</v>
      </c>
      <c r="P376" s="29">
        <v>0</v>
      </c>
      <c r="R376" s="22">
        <v>44921</v>
      </c>
      <c r="S376" s="26">
        <f t="shared" ca="1" si="34"/>
        <v>0.16903060326230268</v>
      </c>
      <c r="T376" s="29">
        <v>0</v>
      </c>
      <c r="V376" s="22">
        <v>44921</v>
      </c>
      <c r="W376" s="26">
        <f t="shared" ca="1" si="35"/>
        <v>0.11971267644245287</v>
      </c>
      <c r="X376" s="29">
        <v>0</v>
      </c>
      <c r="Z376" s="22">
        <v>44921</v>
      </c>
      <c r="AA376" s="26">
        <f t="shared" ca="1" si="36"/>
        <v>0.12876488385596041</v>
      </c>
      <c r="AB376" s="29">
        <v>0</v>
      </c>
      <c r="AC376"/>
      <c r="AD376" s="25"/>
      <c r="AF376" s="22">
        <v>44921</v>
      </c>
      <c r="AG376" s="26">
        <f t="shared" ca="1" si="37"/>
        <v>0.96020436443958201</v>
      </c>
      <c r="AH376" s="29">
        <v>0</v>
      </c>
      <c r="AJ376" s="22">
        <v>44921</v>
      </c>
      <c r="AK376" s="26">
        <f t="shared" ca="1" si="38"/>
        <v>0.71472045899244896</v>
      </c>
      <c r="AL376" s="29">
        <v>0</v>
      </c>
      <c r="AN376" s="22">
        <v>44921</v>
      </c>
      <c r="AO376" s="26">
        <f t="shared" ca="1" si="39"/>
        <v>0.21906059459677119</v>
      </c>
      <c r="AP376" s="29">
        <v>0</v>
      </c>
      <c r="AR376" s="22">
        <v>44921</v>
      </c>
      <c r="AS376" s="26">
        <f t="shared" ca="1" si="40"/>
        <v>0.2380141233263624</v>
      </c>
      <c r="AT376" s="29">
        <v>0</v>
      </c>
      <c r="AV376" s="22">
        <v>44921</v>
      </c>
      <c r="AW376" s="26">
        <f t="shared" ca="1" si="41"/>
        <v>0.37011333323425166</v>
      </c>
      <c r="AX376" s="29">
        <v>0</v>
      </c>
      <c r="AZ376" s="22">
        <v>44921</v>
      </c>
      <c r="BA376" s="26">
        <f t="shared" ca="1" si="42"/>
        <v>0.20083063899639431</v>
      </c>
      <c r="BB376" s="29">
        <v>0</v>
      </c>
      <c r="BC376"/>
      <c r="BD376" s="25"/>
      <c r="BF376" s="22">
        <v>44921</v>
      </c>
      <c r="BG376" s="26">
        <f t="shared" ca="1" si="43"/>
        <v>0.2745126651307962</v>
      </c>
      <c r="BH376" s="29">
        <v>0</v>
      </c>
      <c r="BJ376" s="22">
        <v>44921</v>
      </c>
      <c r="BK376" s="26">
        <f t="shared" ca="1" si="44"/>
        <v>1.1306024691210004E-2</v>
      </c>
      <c r="BL376" s="29">
        <v>0</v>
      </c>
      <c r="BN376" s="22">
        <v>44921</v>
      </c>
      <c r="BO376" s="26">
        <f t="shared" ca="1" si="45"/>
        <v>2.3454729862757095E-2</v>
      </c>
      <c r="BP376" s="29">
        <v>0</v>
      </c>
      <c r="BR376" s="22">
        <v>44921</v>
      </c>
      <c r="BS376" s="26">
        <f t="shared" ca="1" si="46"/>
        <v>0.24177138586309488</v>
      </c>
      <c r="BT376" s="29">
        <v>0</v>
      </c>
      <c r="BV376" s="22">
        <v>44921</v>
      </c>
      <c r="BW376" s="26">
        <f t="shared" ca="1" si="47"/>
        <v>0.39981681370954958</v>
      </c>
      <c r="BX376" s="29">
        <v>0</v>
      </c>
    </row>
    <row r="377" spans="2:77" ht="12.75" x14ac:dyDescent="0.2">
      <c r="B377" s="22">
        <v>44922</v>
      </c>
      <c r="C377" s="26">
        <f t="shared" ca="1" si="0"/>
        <v>0.92672929913104685</v>
      </c>
      <c r="D377" s="29">
        <v>0</v>
      </c>
      <c r="F377" s="22">
        <v>44922</v>
      </c>
      <c r="G377" s="26">
        <f t="shared" ca="1" si="31"/>
        <v>0.82435397851794079</v>
      </c>
      <c r="H377" s="29">
        <v>0</v>
      </c>
      <c r="J377" s="22">
        <v>44922</v>
      </c>
      <c r="K377" s="26">
        <f t="shared" ca="1" si="32"/>
        <v>0.35119367055059358</v>
      </c>
      <c r="L377" s="29">
        <v>0</v>
      </c>
      <c r="N377" s="22">
        <v>44922</v>
      </c>
      <c r="O377" s="26">
        <f t="shared" ca="1" si="33"/>
        <v>0.3187345542405271</v>
      </c>
      <c r="P377" s="29">
        <v>0</v>
      </c>
      <c r="R377" s="22">
        <v>44922</v>
      </c>
      <c r="S377" s="26">
        <f t="shared" ca="1" si="34"/>
        <v>0.61459336816121946</v>
      </c>
      <c r="T377" s="29">
        <v>0</v>
      </c>
      <c r="V377" s="22">
        <v>44922</v>
      </c>
      <c r="W377" s="26">
        <f t="shared" ca="1" si="35"/>
        <v>0.78789258686800379</v>
      </c>
      <c r="X377" s="29">
        <v>0</v>
      </c>
      <c r="Z377" s="22">
        <v>44922</v>
      </c>
      <c r="AA377" s="26">
        <f t="shared" ca="1" si="36"/>
        <v>0.22914024870550809</v>
      </c>
      <c r="AB377" s="29">
        <v>0</v>
      </c>
      <c r="AC377"/>
      <c r="AD377" s="25"/>
      <c r="AF377" s="22">
        <v>44922</v>
      </c>
      <c r="AG377" s="26">
        <f t="shared" ca="1" si="37"/>
        <v>0.34517341130824686</v>
      </c>
      <c r="AH377" s="29">
        <v>0</v>
      </c>
      <c r="AJ377" s="22">
        <v>44922</v>
      </c>
      <c r="AK377" s="26">
        <f t="shared" ca="1" si="38"/>
        <v>0.12057946529753394</v>
      </c>
      <c r="AL377" s="29">
        <v>0</v>
      </c>
      <c r="AN377" s="22">
        <v>44922</v>
      </c>
      <c r="AO377" s="26">
        <f t="shared" ca="1" si="39"/>
        <v>9.0061368667235242E-2</v>
      </c>
      <c r="AP377" s="29">
        <v>0</v>
      </c>
      <c r="AR377" s="22">
        <v>44922</v>
      </c>
      <c r="AS377" s="26">
        <f t="shared" ca="1" si="40"/>
        <v>5.7897645515011642E-2</v>
      </c>
      <c r="AT377" s="29">
        <v>0</v>
      </c>
      <c r="AV377" s="22">
        <v>44922</v>
      </c>
      <c r="AW377" s="26">
        <f t="shared" ca="1" si="41"/>
        <v>0.97336259552363358</v>
      </c>
      <c r="AX377" s="29">
        <v>0</v>
      </c>
      <c r="AZ377" s="22">
        <v>44922</v>
      </c>
      <c r="BA377" s="26">
        <f t="shared" ca="1" si="42"/>
        <v>0.51457845901937871</v>
      </c>
      <c r="BB377" s="29">
        <v>0</v>
      </c>
      <c r="BC377"/>
      <c r="BD377" s="25"/>
      <c r="BF377" s="22">
        <v>44922</v>
      </c>
      <c r="BG377" s="26">
        <f t="shared" ca="1" si="43"/>
        <v>0.64809267094045286</v>
      </c>
      <c r="BH377" s="29">
        <v>0</v>
      </c>
      <c r="BJ377" s="22">
        <v>44922</v>
      </c>
      <c r="BK377" s="26">
        <f t="shared" ca="1" si="44"/>
        <v>0.36802327911284194</v>
      </c>
      <c r="BL377" s="29">
        <v>0</v>
      </c>
      <c r="BN377" s="22">
        <v>44922</v>
      </c>
      <c r="BO377" s="26">
        <f t="shared" ca="1" si="45"/>
        <v>0.78886896457931288</v>
      </c>
      <c r="BP377" s="29">
        <v>0</v>
      </c>
      <c r="BR377" s="22">
        <v>44922</v>
      </c>
      <c r="BS377" s="26">
        <f t="shared" ca="1" si="46"/>
        <v>0.97337886986312538</v>
      </c>
      <c r="BT377" s="29">
        <v>0</v>
      </c>
      <c r="BV377" s="22">
        <v>44922</v>
      </c>
      <c r="BW377" s="26">
        <f t="shared" ca="1" si="47"/>
        <v>0.39425887043583574</v>
      </c>
      <c r="BX377" s="29">
        <v>0</v>
      </c>
    </row>
    <row r="378" spans="2:77" ht="12.75" x14ac:dyDescent="0.2">
      <c r="B378" s="22">
        <v>44923</v>
      </c>
      <c r="C378" s="26">
        <f t="shared" ca="1" si="0"/>
        <v>5.2861570100039001E-3</v>
      </c>
      <c r="D378" s="29">
        <v>0</v>
      </c>
      <c r="F378" s="22">
        <v>44923</v>
      </c>
      <c r="G378" s="26">
        <f t="shared" ca="1" si="31"/>
        <v>0.83826337390072569</v>
      </c>
      <c r="H378" s="29">
        <v>0</v>
      </c>
      <c r="J378" s="22">
        <v>44923</v>
      </c>
      <c r="K378" s="26">
        <f t="shared" ca="1" si="32"/>
        <v>0.68945340539370514</v>
      </c>
      <c r="L378" s="29">
        <v>0</v>
      </c>
      <c r="N378" s="22">
        <v>44923</v>
      </c>
      <c r="O378" s="26">
        <f t="shared" ca="1" si="33"/>
        <v>0.72185616913060113</v>
      </c>
      <c r="P378" s="29">
        <v>0</v>
      </c>
      <c r="R378" s="22">
        <v>44923</v>
      </c>
      <c r="S378" s="26">
        <f t="shared" ca="1" si="34"/>
        <v>0.45773729809224251</v>
      </c>
      <c r="T378" s="29">
        <v>0</v>
      </c>
      <c r="V378" s="22">
        <v>44923</v>
      </c>
      <c r="W378" s="26">
        <f t="shared" ca="1" si="35"/>
        <v>0.67211129081208043</v>
      </c>
      <c r="X378" s="29">
        <v>0</v>
      </c>
      <c r="Z378" s="22">
        <v>44923</v>
      </c>
      <c r="AA378" s="26">
        <f t="shared" ca="1" si="36"/>
        <v>0.47079628066294887</v>
      </c>
      <c r="AB378" s="29">
        <v>0</v>
      </c>
      <c r="AC378"/>
      <c r="AD378" s="25"/>
      <c r="AF378" s="22">
        <v>44923</v>
      </c>
      <c r="AG378" s="26">
        <f t="shared" ca="1" si="37"/>
        <v>0.59158995659560942</v>
      </c>
      <c r="AH378" s="29">
        <v>0</v>
      </c>
      <c r="AJ378" s="22">
        <v>44923</v>
      </c>
      <c r="AK378" s="26">
        <f t="shared" ca="1" si="38"/>
        <v>0.21720550863039578</v>
      </c>
      <c r="AL378" s="29">
        <v>0</v>
      </c>
      <c r="AN378" s="22">
        <v>44923</v>
      </c>
      <c r="AO378" s="26">
        <f t="shared" ca="1" si="39"/>
        <v>0.66276140183247301</v>
      </c>
      <c r="AP378" s="29">
        <v>0</v>
      </c>
      <c r="AR378" s="22">
        <v>44923</v>
      </c>
      <c r="AS378" s="26">
        <f t="shared" ca="1" si="40"/>
        <v>0.30719679738503347</v>
      </c>
      <c r="AT378" s="29">
        <v>0</v>
      </c>
      <c r="AV378" s="22">
        <v>44923</v>
      </c>
      <c r="AW378" s="26">
        <f t="shared" ca="1" si="41"/>
        <v>0.87796065657768119</v>
      </c>
      <c r="AX378" s="29">
        <v>0</v>
      </c>
      <c r="AZ378" s="22">
        <v>44923</v>
      </c>
      <c r="BA378" s="26">
        <f t="shared" ca="1" si="42"/>
        <v>0.8680360310930032</v>
      </c>
      <c r="BB378" s="29">
        <v>0</v>
      </c>
      <c r="BC378"/>
      <c r="BD378" s="25"/>
      <c r="BF378" s="22">
        <v>44923</v>
      </c>
      <c r="BG378" s="26">
        <f t="shared" ca="1" si="43"/>
        <v>0.79937656358036047</v>
      </c>
      <c r="BH378" s="29">
        <v>0</v>
      </c>
      <c r="BJ378" s="22">
        <v>44923</v>
      </c>
      <c r="BK378" s="26">
        <f t="shared" ca="1" si="44"/>
        <v>0.96872034711607369</v>
      </c>
      <c r="BL378" s="29">
        <v>0</v>
      </c>
      <c r="BN378" s="22">
        <v>44923</v>
      </c>
      <c r="BO378" s="26">
        <f t="shared" ca="1" si="45"/>
        <v>0.98552869177673663</v>
      </c>
      <c r="BP378" s="29">
        <v>0</v>
      </c>
      <c r="BR378" s="22">
        <v>44923</v>
      </c>
      <c r="BS378" s="26">
        <f t="shared" ca="1" si="46"/>
        <v>0.80721178277598771</v>
      </c>
      <c r="BT378" s="29">
        <v>0</v>
      </c>
      <c r="BV378" s="22">
        <v>44923</v>
      </c>
      <c r="BW378" s="26">
        <f t="shared" ca="1" si="47"/>
        <v>0.49876305393300313</v>
      </c>
      <c r="BX378" s="29">
        <v>0</v>
      </c>
    </row>
    <row r="379" spans="2:77" ht="12.75" x14ac:dyDescent="0.2">
      <c r="B379" s="22">
        <v>44924</v>
      </c>
      <c r="C379" s="26">
        <f t="shared" ca="1" si="0"/>
        <v>6.2900599583246342E-2</v>
      </c>
      <c r="D379" s="29">
        <v>0</v>
      </c>
      <c r="F379" s="22">
        <v>44924</v>
      </c>
      <c r="G379" s="26">
        <f t="shared" ca="1" si="31"/>
        <v>0.9744834801107618</v>
      </c>
      <c r="H379" s="29">
        <v>0</v>
      </c>
      <c r="J379" s="22">
        <v>44924</v>
      </c>
      <c r="K379" s="26">
        <f t="shared" ca="1" si="32"/>
        <v>5.5039381699772072E-2</v>
      </c>
      <c r="L379" s="29">
        <v>0</v>
      </c>
      <c r="N379" s="22">
        <v>44924</v>
      </c>
      <c r="O379" s="26">
        <f t="shared" ca="1" si="33"/>
        <v>0.45381899708695439</v>
      </c>
      <c r="P379" s="29">
        <v>0</v>
      </c>
      <c r="R379" s="22">
        <v>44924</v>
      </c>
      <c r="S379" s="26">
        <f t="shared" ca="1" si="34"/>
        <v>0.42964760807872659</v>
      </c>
      <c r="T379" s="29">
        <v>0</v>
      </c>
      <c r="V379" s="22">
        <v>44924</v>
      </c>
      <c r="W379" s="26">
        <f t="shared" ca="1" si="35"/>
        <v>0.55857862797639746</v>
      </c>
      <c r="X379" s="29">
        <v>0</v>
      </c>
      <c r="Z379" s="22">
        <v>44924</v>
      </c>
      <c r="AA379" s="26">
        <f t="shared" ca="1" si="36"/>
        <v>0.49520340209186609</v>
      </c>
      <c r="AB379" s="29">
        <v>0</v>
      </c>
      <c r="AC379"/>
      <c r="AD379" s="25"/>
      <c r="AF379" s="22">
        <v>44924</v>
      </c>
      <c r="AG379" s="26">
        <f t="shared" ca="1" si="37"/>
        <v>0.60069918881592077</v>
      </c>
      <c r="AH379" s="29">
        <v>0</v>
      </c>
      <c r="AJ379" s="22">
        <v>44924</v>
      </c>
      <c r="AK379" s="26">
        <f t="shared" ca="1" si="38"/>
        <v>0.52856750185367463</v>
      </c>
      <c r="AL379" s="29">
        <v>0</v>
      </c>
      <c r="AN379" s="22">
        <v>44924</v>
      </c>
      <c r="AO379" s="26">
        <f t="shared" ca="1" si="39"/>
        <v>0.81612081236490241</v>
      </c>
      <c r="AP379" s="29">
        <v>0</v>
      </c>
      <c r="AR379" s="22">
        <v>44924</v>
      </c>
      <c r="AS379" s="26">
        <f t="shared" ca="1" si="40"/>
        <v>0.72902218251856954</v>
      </c>
      <c r="AT379" s="29">
        <v>0</v>
      </c>
      <c r="AV379" s="22">
        <v>44924</v>
      </c>
      <c r="AW379" s="26">
        <f t="shared" ca="1" si="41"/>
        <v>0.94048635618260679</v>
      </c>
      <c r="AX379" s="29">
        <v>0</v>
      </c>
      <c r="AZ379" s="22">
        <v>44924</v>
      </c>
      <c r="BA379" s="26">
        <f t="shared" ca="1" si="42"/>
        <v>0.12506775008281212</v>
      </c>
      <c r="BB379" s="29">
        <v>0</v>
      </c>
      <c r="BC379"/>
      <c r="BD379" s="25"/>
      <c r="BF379" s="22">
        <v>44924</v>
      </c>
      <c r="BG379" s="26">
        <f t="shared" ca="1" si="43"/>
        <v>0.22273625319764201</v>
      </c>
      <c r="BH379" s="29">
        <v>0</v>
      </c>
      <c r="BJ379" s="22">
        <v>44924</v>
      </c>
      <c r="BK379" s="26">
        <f t="shared" ca="1" si="44"/>
        <v>8.2130795079281116E-2</v>
      </c>
      <c r="BL379" s="29">
        <v>0</v>
      </c>
      <c r="BN379" s="22">
        <v>44924</v>
      </c>
      <c r="BO379" s="26">
        <f t="shared" ca="1" si="45"/>
        <v>9.4582568380533694E-2</v>
      </c>
      <c r="BP379" s="29">
        <v>0</v>
      </c>
      <c r="BR379" s="22">
        <v>44924</v>
      </c>
      <c r="BS379" s="26">
        <f t="shared" ca="1" si="46"/>
        <v>0.69252750430697374</v>
      </c>
      <c r="BT379" s="29">
        <v>0</v>
      </c>
      <c r="BV379" s="22">
        <v>44924</v>
      </c>
      <c r="BW379" s="26">
        <f t="shared" ca="1" si="47"/>
        <v>0.54706446787042196</v>
      </c>
      <c r="BX379" s="29">
        <v>0</v>
      </c>
    </row>
    <row r="380" spans="2:77" ht="12.75" x14ac:dyDescent="0.2">
      <c r="B380" s="22">
        <v>44925</v>
      </c>
      <c r="C380" s="26">
        <f t="shared" ca="1" si="0"/>
        <v>0.13230911014512114</v>
      </c>
      <c r="D380" s="29">
        <v>0</v>
      </c>
      <c r="F380" s="22">
        <v>44925</v>
      </c>
      <c r="G380" s="26">
        <f t="shared" ca="1" si="31"/>
        <v>0.62719212834577653</v>
      </c>
      <c r="H380" s="29">
        <v>0</v>
      </c>
      <c r="J380" s="22">
        <v>44925</v>
      </c>
      <c r="K380" s="26">
        <f t="shared" ca="1" si="32"/>
        <v>0.65200537830747007</v>
      </c>
      <c r="L380" s="29">
        <v>0</v>
      </c>
      <c r="N380" s="22">
        <v>44925</v>
      </c>
      <c r="O380" s="26">
        <f t="shared" ca="1" si="33"/>
        <v>0.4706639763341568</v>
      </c>
      <c r="P380" s="29">
        <v>0</v>
      </c>
      <c r="R380" s="22">
        <v>44925</v>
      </c>
      <c r="S380" s="26">
        <f t="shared" ca="1" si="34"/>
        <v>0.26011172699778395</v>
      </c>
      <c r="T380" s="29">
        <v>0</v>
      </c>
      <c r="V380" s="22">
        <v>44925</v>
      </c>
      <c r="W380" s="26">
        <f t="shared" ca="1" si="35"/>
        <v>0.1353837491590929</v>
      </c>
      <c r="X380" s="29">
        <v>0</v>
      </c>
      <c r="Z380" s="22">
        <v>44925</v>
      </c>
      <c r="AA380" s="26">
        <f t="shared" ca="1" si="36"/>
        <v>0.77255018209662651</v>
      </c>
      <c r="AB380" s="29">
        <v>0</v>
      </c>
      <c r="AC380"/>
      <c r="AD380" s="25"/>
      <c r="AF380" s="22">
        <v>44925</v>
      </c>
      <c r="AG380" s="26">
        <f t="shared" ca="1" si="37"/>
        <v>0.10961694700535551</v>
      </c>
      <c r="AH380" s="29">
        <v>0</v>
      </c>
      <c r="AJ380" s="22">
        <v>44925</v>
      </c>
      <c r="AK380" s="26">
        <f t="shared" ca="1" si="38"/>
        <v>0.64430696116069008</v>
      </c>
      <c r="AL380" s="29">
        <v>0</v>
      </c>
      <c r="AN380" s="22">
        <v>44925</v>
      </c>
      <c r="AO380" s="26">
        <f t="shared" ca="1" si="39"/>
        <v>2.8132606402471727E-2</v>
      </c>
      <c r="AP380" s="29">
        <v>0</v>
      </c>
      <c r="AR380" s="22">
        <v>44925</v>
      </c>
      <c r="AS380" s="26">
        <f t="shared" ca="1" si="40"/>
        <v>3.4265050087751492E-2</v>
      </c>
      <c r="AT380" s="29">
        <v>0</v>
      </c>
      <c r="AV380" s="22">
        <v>44925</v>
      </c>
      <c r="AW380" s="26">
        <f t="shared" ca="1" si="41"/>
        <v>0.65928445970372607</v>
      </c>
      <c r="AX380" s="29">
        <v>0</v>
      </c>
      <c r="AZ380" s="22">
        <v>44925</v>
      </c>
      <c r="BA380" s="26">
        <f t="shared" ca="1" si="42"/>
        <v>0.51723984299831205</v>
      </c>
      <c r="BB380" s="29">
        <v>0</v>
      </c>
      <c r="BC380"/>
      <c r="BD380" s="25"/>
      <c r="BF380" s="22">
        <v>44925</v>
      </c>
      <c r="BG380" s="26">
        <f t="shared" ca="1" si="43"/>
        <v>0.38057018213853488</v>
      </c>
      <c r="BH380" s="29">
        <v>0</v>
      </c>
      <c r="BJ380" s="22">
        <v>44925</v>
      </c>
      <c r="BK380" s="26">
        <f t="shared" ca="1" si="44"/>
        <v>0.91546606713369605</v>
      </c>
      <c r="BL380" s="29">
        <v>0</v>
      </c>
      <c r="BN380" s="22">
        <v>44925</v>
      </c>
      <c r="BO380" s="26">
        <f t="shared" ca="1" si="45"/>
        <v>0.32046405818128532</v>
      </c>
      <c r="BP380" s="29">
        <v>0</v>
      </c>
      <c r="BR380" s="22">
        <v>44925</v>
      </c>
      <c r="BS380" s="26">
        <f t="shared" ca="1" si="46"/>
        <v>4.2391848176278724E-2</v>
      </c>
      <c r="BT380" s="29">
        <v>0</v>
      </c>
      <c r="BV380" s="22">
        <v>44925</v>
      </c>
      <c r="BW380" s="26">
        <f t="shared" ca="1" si="47"/>
        <v>0.65233757500433154</v>
      </c>
      <c r="BX380" s="29">
        <v>0</v>
      </c>
    </row>
    <row r="381" spans="2:77" ht="12.75" x14ac:dyDescent="0.2">
      <c r="B381" s="22">
        <v>44926</v>
      </c>
      <c r="C381" s="26">
        <f t="shared" ca="1" si="0"/>
        <v>0.42850028529827733</v>
      </c>
      <c r="D381" s="29">
        <v>0</v>
      </c>
      <c r="E381">
        <v>1334</v>
      </c>
      <c r="F381" s="22">
        <v>44926</v>
      </c>
      <c r="G381" s="26">
        <f t="shared" ca="1" si="31"/>
        <v>0.77129252915299851</v>
      </c>
      <c r="H381" s="29">
        <v>0</v>
      </c>
      <c r="I381">
        <v>3920</v>
      </c>
      <c r="J381" s="22">
        <v>44926</v>
      </c>
      <c r="K381" s="26">
        <f t="shared" ca="1" si="32"/>
        <v>0.53215023857229193</v>
      </c>
      <c r="L381" s="29">
        <v>0</v>
      </c>
      <c r="M381">
        <v>2710</v>
      </c>
      <c r="N381" s="22">
        <v>44926</v>
      </c>
      <c r="O381" s="26">
        <f t="shared" ca="1" si="33"/>
        <v>8.5885168338417084E-2</v>
      </c>
      <c r="P381" s="29">
        <v>0</v>
      </c>
      <c r="Q381">
        <v>4024</v>
      </c>
      <c r="R381" s="22">
        <v>44926</v>
      </c>
      <c r="S381" s="26">
        <f t="shared" ca="1" si="34"/>
        <v>0.56360726541585437</v>
      </c>
      <c r="T381" s="29">
        <v>0</v>
      </c>
      <c r="U381">
        <v>2537</v>
      </c>
      <c r="V381" s="22">
        <v>44926</v>
      </c>
      <c r="W381" s="26">
        <f t="shared" ca="1" si="35"/>
        <v>0.24758770631075355</v>
      </c>
      <c r="X381" s="29">
        <v>0</v>
      </c>
      <c r="Y381">
        <v>0</v>
      </c>
      <c r="Z381" s="22">
        <v>44926</v>
      </c>
      <c r="AA381" s="26">
        <f t="shared" ca="1" si="36"/>
        <v>0.78519014979577273</v>
      </c>
      <c r="AB381" s="29">
        <v>0</v>
      </c>
      <c r="AC381">
        <v>0</v>
      </c>
      <c r="AD381" s="25"/>
      <c r="AF381" s="22">
        <v>44926</v>
      </c>
      <c r="AG381" s="26">
        <f t="shared" ca="1" si="37"/>
        <v>0.13913312382972909</v>
      </c>
      <c r="AH381" s="29">
        <v>0</v>
      </c>
      <c r="AI381">
        <v>0</v>
      </c>
      <c r="AJ381" s="22">
        <v>44926</v>
      </c>
      <c r="AK381" s="26">
        <f t="shared" ca="1" si="38"/>
        <v>0.90450030695485784</v>
      </c>
      <c r="AL381" s="29">
        <v>0</v>
      </c>
      <c r="AM381">
        <v>0</v>
      </c>
      <c r="AN381" s="22">
        <v>44926</v>
      </c>
      <c r="AO381" s="26">
        <f t="shared" ca="1" si="39"/>
        <v>0.95339746218041288</v>
      </c>
      <c r="AP381" s="29">
        <v>0</v>
      </c>
      <c r="AQ381">
        <v>0</v>
      </c>
      <c r="AR381" s="22">
        <v>44926</v>
      </c>
      <c r="AS381" s="26">
        <f t="shared" ca="1" si="40"/>
        <v>0.82290178455027374</v>
      </c>
      <c r="AT381" s="29">
        <v>0</v>
      </c>
      <c r="AU381">
        <v>0</v>
      </c>
      <c r="AV381" s="22">
        <v>44926</v>
      </c>
      <c r="AW381" s="26">
        <f t="shared" ca="1" si="41"/>
        <v>0.31318716214102893</v>
      </c>
      <c r="AX381" s="29">
        <v>0</v>
      </c>
      <c r="AY381">
        <v>0</v>
      </c>
      <c r="AZ381" s="22">
        <v>44926</v>
      </c>
      <c r="BA381" s="26">
        <f t="shared" ca="1" si="42"/>
        <v>0.5334285943712116</v>
      </c>
      <c r="BB381" s="29">
        <v>0</v>
      </c>
      <c r="BC381">
        <v>0</v>
      </c>
      <c r="BD381" s="25"/>
      <c r="BF381" s="22">
        <v>44926</v>
      </c>
      <c r="BG381" s="26">
        <f t="shared" ca="1" si="43"/>
        <v>0.79195029279404616</v>
      </c>
      <c r="BH381" s="29">
        <v>0</v>
      </c>
      <c r="BI381">
        <v>0</v>
      </c>
      <c r="BJ381" s="22">
        <v>44926</v>
      </c>
      <c r="BK381" s="26">
        <f t="shared" ca="1" si="44"/>
        <v>0.44591322960843438</v>
      </c>
      <c r="BL381" s="29">
        <v>0</v>
      </c>
      <c r="BM381">
        <v>0</v>
      </c>
      <c r="BN381" s="22">
        <v>44926</v>
      </c>
      <c r="BO381" s="26">
        <f t="shared" ca="1" si="45"/>
        <v>0.98206430930194188</v>
      </c>
      <c r="BP381" s="29">
        <v>0</v>
      </c>
      <c r="BQ381">
        <v>0</v>
      </c>
      <c r="BR381" s="22">
        <v>44926</v>
      </c>
      <c r="BS381" s="26">
        <f t="shared" ca="1" si="46"/>
        <v>0.580286199739806</v>
      </c>
      <c r="BT381" s="29">
        <v>0</v>
      </c>
      <c r="BU381">
        <v>0</v>
      </c>
      <c r="BV381" s="22">
        <v>44926</v>
      </c>
      <c r="BW381" s="26">
        <f t="shared" ca="1" si="47"/>
        <v>0.36390539455061721</v>
      </c>
      <c r="BX381" s="29">
        <v>0</v>
      </c>
      <c r="BY381">
        <v>0</v>
      </c>
    </row>
    <row r="382" spans="2:77" ht="12.75" x14ac:dyDescent="0.2">
      <c r="B382" s="22">
        <v>44927</v>
      </c>
      <c r="C382" s="26">
        <f t="shared" ca="1" si="0"/>
        <v>8.7560708511974505E-2</v>
      </c>
      <c r="D382" s="29">
        <v>0</v>
      </c>
      <c r="F382" s="22">
        <v>44927</v>
      </c>
      <c r="G382" s="26">
        <f t="shared" ca="1" si="31"/>
        <v>0.91488004280260204</v>
      </c>
      <c r="H382" s="29">
        <v>0</v>
      </c>
      <c r="J382" s="22">
        <v>44927</v>
      </c>
      <c r="K382" s="26">
        <f t="shared" ca="1" si="32"/>
        <v>0.98541467870754151</v>
      </c>
      <c r="L382" s="29">
        <v>0</v>
      </c>
      <c r="N382" s="22">
        <v>44927</v>
      </c>
      <c r="O382" s="26">
        <f t="shared" ca="1" si="33"/>
        <v>0.69072013013152977</v>
      </c>
      <c r="P382" s="29">
        <v>0</v>
      </c>
      <c r="R382" s="22">
        <v>44927</v>
      </c>
      <c r="S382" s="26">
        <f t="shared" ca="1" si="34"/>
        <v>0.68228563534613551</v>
      </c>
      <c r="T382" s="29">
        <v>0</v>
      </c>
      <c r="V382" s="22">
        <v>44927</v>
      </c>
      <c r="W382" s="26">
        <f t="shared" ca="1" si="35"/>
        <v>0.17596713874417225</v>
      </c>
      <c r="X382" s="29">
        <v>0</v>
      </c>
      <c r="Z382" s="22">
        <v>44927</v>
      </c>
      <c r="AA382" s="26">
        <f t="shared" ca="1" si="36"/>
        <v>0.51385085415614506</v>
      </c>
      <c r="AB382" s="29">
        <v>0</v>
      </c>
      <c r="AC382"/>
      <c r="AD382" s="25"/>
      <c r="AF382" s="22">
        <v>44927</v>
      </c>
      <c r="AG382" s="26">
        <f t="shared" ca="1" si="37"/>
        <v>0.42729210774977444</v>
      </c>
      <c r="AH382" s="29">
        <v>0</v>
      </c>
      <c r="AJ382" s="22">
        <v>44927</v>
      </c>
      <c r="AK382" s="26">
        <f t="shared" ca="1" si="38"/>
        <v>0.93035400548945613</v>
      </c>
      <c r="AL382" s="29">
        <v>0</v>
      </c>
      <c r="AN382" s="22">
        <v>44927</v>
      </c>
      <c r="AO382" s="26">
        <f t="shared" ca="1" si="39"/>
        <v>0.48236444589985583</v>
      </c>
      <c r="AP382" s="29">
        <v>0</v>
      </c>
      <c r="AR382" s="22">
        <v>44927</v>
      </c>
      <c r="AS382" s="26">
        <f t="shared" ca="1" si="40"/>
        <v>0.30477245465391445</v>
      </c>
      <c r="AT382" s="29">
        <v>0</v>
      </c>
      <c r="AV382" s="22">
        <v>44927</v>
      </c>
      <c r="AW382" s="26">
        <f t="shared" ca="1" si="41"/>
        <v>0.78740049794575229</v>
      </c>
      <c r="AX382" s="29">
        <v>0</v>
      </c>
      <c r="AZ382" s="22">
        <v>44927</v>
      </c>
      <c r="BA382" s="26">
        <f t="shared" ca="1" si="42"/>
        <v>0.20830882682953622</v>
      </c>
      <c r="BB382" s="29">
        <v>0</v>
      </c>
      <c r="BC382"/>
      <c r="BD382" s="25"/>
      <c r="BF382" s="22">
        <v>44927</v>
      </c>
      <c r="BG382" s="26">
        <f t="shared" ca="1" si="43"/>
        <v>0.95157459164800728</v>
      </c>
      <c r="BH382" s="29">
        <v>0</v>
      </c>
      <c r="BJ382" s="22">
        <v>44927</v>
      </c>
      <c r="BK382" s="26">
        <f t="shared" ca="1" si="44"/>
        <v>0.97942315949874037</v>
      </c>
      <c r="BL382" s="29">
        <v>0</v>
      </c>
      <c r="BN382" s="22">
        <v>44927</v>
      </c>
      <c r="BO382" s="26">
        <f t="shared" ca="1" si="45"/>
        <v>0.82891794963937038</v>
      </c>
      <c r="BP382" s="29">
        <v>0</v>
      </c>
      <c r="BR382" s="22">
        <v>44927</v>
      </c>
      <c r="BS382" s="26">
        <f t="shared" ca="1" si="46"/>
        <v>0.10441588372713262</v>
      </c>
      <c r="BT382" s="29">
        <v>0</v>
      </c>
      <c r="BV382" s="22">
        <v>44927</v>
      </c>
      <c r="BW382" s="26">
        <f t="shared" ca="1" si="47"/>
        <v>3.4498538412214619E-2</v>
      </c>
      <c r="BX382" s="29">
        <v>0</v>
      </c>
    </row>
    <row r="383" spans="2:77" ht="12.75" x14ac:dyDescent="0.2">
      <c r="B383" s="22">
        <v>44928</v>
      </c>
      <c r="C383" s="26">
        <f t="shared" ref="C383" ca="1" si="54">RAND()</f>
        <v>0.54016339348974707</v>
      </c>
      <c r="D383" s="29">
        <v>0</v>
      </c>
      <c r="F383" s="22">
        <v>44928</v>
      </c>
      <c r="G383" s="26">
        <f t="shared" ca="1" si="31"/>
        <v>0.66105359224502791</v>
      </c>
      <c r="H383" s="29">
        <v>0</v>
      </c>
      <c r="J383" s="22">
        <v>44928</v>
      </c>
      <c r="K383" s="26">
        <f t="shared" ca="1" si="32"/>
        <v>0.73319855700020276</v>
      </c>
      <c r="L383" s="29">
        <v>0</v>
      </c>
      <c r="N383" s="22">
        <v>44928</v>
      </c>
      <c r="O383" s="26">
        <f t="shared" ca="1" si="33"/>
        <v>0.78986712183300323</v>
      </c>
      <c r="P383" s="29">
        <v>0</v>
      </c>
      <c r="R383" s="22">
        <v>44928</v>
      </c>
      <c r="S383" s="26">
        <f t="shared" ca="1" si="34"/>
        <v>0.86953160222304027</v>
      </c>
      <c r="T383" s="29">
        <v>0</v>
      </c>
      <c r="V383" s="22">
        <v>44928</v>
      </c>
      <c r="W383" s="26">
        <f t="shared" ca="1" si="35"/>
        <v>0.34965408227522832</v>
      </c>
      <c r="X383" s="29">
        <v>0</v>
      </c>
      <c r="Z383" s="22">
        <v>44928</v>
      </c>
      <c r="AA383" s="26">
        <f t="shared" ca="1" si="36"/>
        <v>0.37525081381699843</v>
      </c>
      <c r="AB383" s="29">
        <v>0</v>
      </c>
      <c r="AC383"/>
      <c r="AD383" s="25"/>
      <c r="AF383" s="22">
        <v>44928</v>
      </c>
      <c r="AG383" s="26">
        <f t="shared" ca="1" si="37"/>
        <v>3.1866445492486961E-2</v>
      </c>
      <c r="AH383" s="29">
        <v>0</v>
      </c>
      <c r="AJ383" s="22">
        <v>44928</v>
      </c>
      <c r="AK383" s="26">
        <f t="shared" ca="1" si="38"/>
        <v>0.65161687766480592</v>
      </c>
      <c r="AL383" s="29">
        <v>0</v>
      </c>
      <c r="AN383" s="22">
        <v>44928</v>
      </c>
      <c r="AO383" s="26">
        <f t="shared" ca="1" si="39"/>
        <v>0.65070188689336173</v>
      </c>
      <c r="AP383" s="29">
        <v>0</v>
      </c>
      <c r="AR383" s="22">
        <v>44928</v>
      </c>
      <c r="AS383" s="26">
        <f t="shared" ca="1" si="40"/>
        <v>4.2324016149132393E-2</v>
      </c>
      <c r="AT383" s="29">
        <v>0</v>
      </c>
      <c r="AV383" s="22">
        <v>44928</v>
      </c>
      <c r="AW383" s="26">
        <f t="shared" ca="1" si="41"/>
        <v>0.87062195864014102</v>
      </c>
      <c r="AX383" s="29">
        <v>0</v>
      </c>
      <c r="AZ383" s="22">
        <v>44928</v>
      </c>
      <c r="BA383" s="26">
        <f t="shared" ca="1" si="42"/>
        <v>0.19497912812588591</v>
      </c>
      <c r="BB383" s="29">
        <v>0</v>
      </c>
      <c r="BC383"/>
      <c r="BD383" s="25"/>
      <c r="BF383" s="22">
        <v>44928</v>
      </c>
      <c r="BG383" s="26">
        <f t="shared" ca="1" si="43"/>
        <v>0.60608686702205916</v>
      </c>
      <c r="BH383" s="29">
        <v>0</v>
      </c>
      <c r="BJ383" s="22">
        <v>44928</v>
      </c>
      <c r="BK383" s="26">
        <f t="shared" ca="1" si="44"/>
        <v>5.1122200184158806E-2</v>
      </c>
      <c r="BL383" s="29">
        <v>0</v>
      </c>
      <c r="BN383" s="22">
        <v>44928</v>
      </c>
      <c r="BO383" s="26">
        <f t="shared" ca="1" si="45"/>
        <v>0.38094698658585424</v>
      </c>
      <c r="BP383" s="29">
        <v>0</v>
      </c>
      <c r="BR383" s="22">
        <v>44928</v>
      </c>
      <c r="BS383" s="26">
        <f t="shared" ca="1" si="46"/>
        <v>0.43687744093358949</v>
      </c>
      <c r="BT383" s="29">
        <v>0</v>
      </c>
      <c r="BV383" s="22">
        <v>44928</v>
      </c>
      <c r="BW383" s="26">
        <f t="shared" ca="1" si="47"/>
        <v>0.30605777012101532</v>
      </c>
      <c r="BX383" s="29">
        <v>0</v>
      </c>
    </row>
    <row r="384" spans="2:77" ht="12.75" x14ac:dyDescent="0.2">
      <c r="B384" s="22">
        <v>44929</v>
      </c>
      <c r="C384" s="26">
        <f t="shared" ca="1" si="0"/>
        <v>0.68139412753032647</v>
      </c>
      <c r="D384" s="29">
        <v>0</v>
      </c>
      <c r="F384" s="22">
        <v>44929</v>
      </c>
      <c r="G384" s="26">
        <f t="shared" ca="1" si="31"/>
        <v>2.1442086451833875E-2</v>
      </c>
      <c r="H384" s="29">
        <v>0</v>
      </c>
      <c r="J384" s="22">
        <v>44929</v>
      </c>
      <c r="K384" s="26">
        <f t="shared" ca="1" si="32"/>
        <v>0.62074980592410267</v>
      </c>
      <c r="L384" s="29">
        <v>0</v>
      </c>
      <c r="N384" s="22">
        <v>44929</v>
      </c>
      <c r="O384" s="26">
        <f t="shared" ca="1" si="33"/>
        <v>0.21315486052195021</v>
      </c>
      <c r="P384" s="29">
        <v>0</v>
      </c>
      <c r="R384" s="22">
        <v>44929</v>
      </c>
      <c r="S384" s="26">
        <f t="shared" ca="1" si="34"/>
        <v>0.87545076052275372</v>
      </c>
      <c r="T384" s="29">
        <v>0</v>
      </c>
      <c r="V384" s="22">
        <v>44929</v>
      </c>
      <c r="W384" s="26">
        <f t="shared" ca="1" si="35"/>
        <v>0.60008488662626647</v>
      </c>
      <c r="X384" s="29">
        <f t="shared" ref="X384:X393" ca="1" si="55">ROUNDUP(_xlfn.NORM.INV(W384,W$10,W$12),0)</f>
        <v>229</v>
      </c>
      <c r="Z384" s="22">
        <v>44929</v>
      </c>
      <c r="AA384" s="26">
        <f t="shared" ca="1" si="36"/>
        <v>0.79842755545764765</v>
      </c>
      <c r="AB384" s="29">
        <v>0</v>
      </c>
      <c r="AC384"/>
      <c r="AD384" s="25"/>
      <c r="AF384" s="22">
        <v>44929</v>
      </c>
      <c r="AG384" s="26">
        <f t="shared" ca="1" si="37"/>
        <v>0.84651294329373128</v>
      </c>
      <c r="AH384" s="29">
        <v>0</v>
      </c>
      <c r="AJ384" s="22">
        <v>44929</v>
      </c>
      <c r="AK384" s="26">
        <f t="shared" ca="1" si="38"/>
        <v>0.93420546046235042</v>
      </c>
      <c r="AL384" s="29">
        <v>0</v>
      </c>
      <c r="AN384" s="22">
        <v>44929</v>
      </c>
      <c r="AO384" s="26">
        <f t="shared" ca="1" si="39"/>
        <v>0.96830138603903415</v>
      </c>
      <c r="AP384" s="29">
        <v>0</v>
      </c>
      <c r="AR384" s="22">
        <v>44929</v>
      </c>
      <c r="AS384" s="26">
        <f t="shared" ca="1" si="40"/>
        <v>0.586325479643103</v>
      </c>
      <c r="AT384" s="29">
        <v>0</v>
      </c>
      <c r="AV384" s="22">
        <v>44929</v>
      </c>
      <c r="AW384" s="26">
        <f t="shared" ca="1" si="41"/>
        <v>0.94425062322248166</v>
      </c>
      <c r="AX384" s="29">
        <v>0</v>
      </c>
      <c r="AZ384" s="22">
        <v>44929</v>
      </c>
      <c r="BA384" s="26">
        <f t="shared" ca="1" si="42"/>
        <v>0.894791098078902</v>
      </c>
      <c r="BB384" s="29">
        <v>0</v>
      </c>
      <c r="BC384"/>
      <c r="BD384" s="25"/>
      <c r="BF384" s="22">
        <v>44929</v>
      </c>
      <c r="BG384" s="26">
        <f t="shared" ca="1" si="43"/>
        <v>6.7552096655878247E-2</v>
      </c>
      <c r="BH384" s="29">
        <v>0</v>
      </c>
      <c r="BJ384" s="22">
        <v>44929</v>
      </c>
      <c r="BK384" s="26">
        <f t="shared" ca="1" si="44"/>
        <v>0.25896678140082241</v>
      </c>
      <c r="BL384" s="29">
        <v>0</v>
      </c>
      <c r="BN384" s="22">
        <v>44929</v>
      </c>
      <c r="BO384" s="26">
        <f t="shared" ca="1" si="45"/>
        <v>0.8469204298862143</v>
      </c>
      <c r="BP384" s="29">
        <v>0</v>
      </c>
      <c r="BR384" s="22">
        <v>44929</v>
      </c>
      <c r="BS384" s="26">
        <f t="shared" ca="1" si="46"/>
        <v>0.40340341073136565</v>
      </c>
      <c r="BT384" s="29">
        <v>0</v>
      </c>
      <c r="BV384" s="22">
        <v>44929</v>
      </c>
      <c r="BW384" s="26">
        <f t="shared" ca="1" si="47"/>
        <v>0.46812464536858889</v>
      </c>
      <c r="BX384" s="29">
        <v>0</v>
      </c>
    </row>
    <row r="385" spans="2:76" ht="12.75" x14ac:dyDescent="0.2">
      <c r="B385" s="22">
        <v>44930</v>
      </c>
      <c r="C385" s="26">
        <f t="shared" ref="C385:C448" ca="1" si="56">RAND()</f>
        <v>0.36899940271346188</v>
      </c>
      <c r="D385" s="29">
        <f t="shared" ca="1" si="53"/>
        <v>69</v>
      </c>
      <c r="F385" s="22">
        <v>44930</v>
      </c>
      <c r="G385" s="26">
        <f t="shared" ca="1" si="31"/>
        <v>0.56774589865885849</v>
      </c>
      <c r="H385" s="29">
        <f t="shared" ca="1" si="49"/>
        <v>218</v>
      </c>
      <c r="J385" s="22">
        <v>44930</v>
      </c>
      <c r="K385" s="26">
        <f t="shared" ca="1" si="32"/>
        <v>0.2871673171876401</v>
      </c>
      <c r="L385" s="29">
        <f t="shared" ca="1" si="50"/>
        <v>145</v>
      </c>
      <c r="N385" s="22">
        <v>44930</v>
      </c>
      <c r="O385" s="26">
        <f t="shared" ca="1" si="33"/>
        <v>0.62130614800360751</v>
      </c>
      <c r="P385" s="29">
        <f t="shared" ca="1" si="51"/>
        <v>235</v>
      </c>
      <c r="R385" s="22">
        <v>44930</v>
      </c>
      <c r="S385" s="26">
        <f t="shared" ca="1" si="34"/>
        <v>0.76447031396571574</v>
      </c>
      <c r="T385" s="29">
        <f t="shared" ca="1" si="52"/>
        <v>146</v>
      </c>
      <c r="V385" s="22">
        <v>44930</v>
      </c>
      <c r="W385" s="26">
        <f t="shared" ca="1" si="35"/>
        <v>0.74490242987193245</v>
      </c>
      <c r="X385" s="29">
        <f t="shared" ca="1" si="55"/>
        <v>235</v>
      </c>
      <c r="Z385" s="22">
        <v>44930</v>
      </c>
      <c r="AA385" s="26">
        <f t="shared" ca="1" si="36"/>
        <v>0.68044851703218057</v>
      </c>
      <c r="AB385" s="29">
        <f t="shared" ref="AB385:AB387" ca="1" si="57">ROUNDUP(_xlfn.NORM.INV(AA385,AA$10,AA$12),0)</f>
        <v>279</v>
      </c>
      <c r="AC385"/>
      <c r="AD385" s="25"/>
      <c r="AF385" s="22">
        <v>44930</v>
      </c>
      <c r="AG385" s="26">
        <f t="shared" ca="1" si="37"/>
        <v>0.480146578770271</v>
      </c>
      <c r="AH385" s="29">
        <f t="shared" ref="AH385:AH387" ca="1" si="58">ROUNDUP(_xlfn.NORM.INV(AG385,AG$10,AG$12),0)</f>
        <v>323</v>
      </c>
      <c r="AJ385" s="22">
        <v>44930</v>
      </c>
      <c r="AK385" s="26">
        <f t="shared" ca="1" si="38"/>
        <v>0.49528436276314647</v>
      </c>
      <c r="AL385" s="29">
        <v>0</v>
      </c>
      <c r="AN385" s="22">
        <v>44930</v>
      </c>
      <c r="AO385" s="26">
        <f t="shared" ca="1" si="39"/>
        <v>0.53487804138376704</v>
      </c>
      <c r="AP385" s="29">
        <v>0</v>
      </c>
      <c r="AR385" s="22">
        <v>44930</v>
      </c>
      <c r="AS385" s="26">
        <f t="shared" ca="1" si="40"/>
        <v>0.80387550493374593</v>
      </c>
      <c r="AT385" s="29">
        <v>0</v>
      </c>
      <c r="AV385" s="22">
        <v>44930</v>
      </c>
      <c r="AW385" s="26">
        <f t="shared" ca="1" si="41"/>
        <v>0.91693261777186186</v>
      </c>
      <c r="AX385" s="29">
        <v>0</v>
      </c>
      <c r="AZ385" s="22">
        <v>44930</v>
      </c>
      <c r="BA385" s="26">
        <f t="shared" ca="1" si="42"/>
        <v>0.22326722029032731</v>
      </c>
      <c r="BB385" s="29">
        <v>0</v>
      </c>
      <c r="BC385"/>
      <c r="BD385" s="25"/>
      <c r="BF385" s="22">
        <v>44930</v>
      </c>
      <c r="BG385" s="26">
        <f t="shared" ca="1" si="43"/>
        <v>0.53940493061027117</v>
      </c>
      <c r="BH385" s="29">
        <v>0</v>
      </c>
      <c r="BJ385" s="22">
        <v>44930</v>
      </c>
      <c r="BK385" s="26">
        <f t="shared" ca="1" si="44"/>
        <v>0.38700741097459246</v>
      </c>
      <c r="BL385" s="29">
        <v>0</v>
      </c>
      <c r="BN385" s="22">
        <v>44930</v>
      </c>
      <c r="BO385" s="26">
        <f t="shared" ca="1" si="45"/>
        <v>0.96267507345731185</v>
      </c>
      <c r="BP385" s="29">
        <v>0</v>
      </c>
      <c r="BR385" s="22">
        <v>44930</v>
      </c>
      <c r="BS385" s="26">
        <f t="shared" ca="1" si="46"/>
        <v>0.26202105825713895</v>
      </c>
      <c r="BT385" s="29">
        <v>0</v>
      </c>
      <c r="BV385" s="22">
        <v>44930</v>
      </c>
      <c r="BW385" s="26">
        <f t="shared" ca="1" si="47"/>
        <v>0.43971147493132445</v>
      </c>
      <c r="BX385" s="29">
        <v>0</v>
      </c>
    </row>
    <row r="386" spans="2:76" ht="12.75" x14ac:dyDescent="0.2">
      <c r="B386" s="22">
        <v>44931</v>
      </c>
      <c r="C386" s="26">
        <f t="shared" ca="1" si="56"/>
        <v>0.68596955949712346</v>
      </c>
      <c r="D386" s="29">
        <f t="shared" ca="1" si="53"/>
        <v>85</v>
      </c>
      <c r="F386" s="22">
        <v>44931</v>
      </c>
      <c r="G386" s="26">
        <f t="shared" ca="1" si="31"/>
        <v>0.25911776300291434</v>
      </c>
      <c r="H386" s="29">
        <f t="shared" ca="1" si="49"/>
        <v>207</v>
      </c>
      <c r="J386" s="22">
        <v>44931</v>
      </c>
      <c r="K386" s="26">
        <f t="shared" ca="1" si="32"/>
        <v>0.72216147487477211</v>
      </c>
      <c r="L386" s="29">
        <f t="shared" ca="1" si="50"/>
        <v>156</v>
      </c>
      <c r="N386" s="22">
        <v>44931</v>
      </c>
      <c r="O386" s="26">
        <f t="shared" ca="1" si="33"/>
        <v>0.5127799264362386</v>
      </c>
      <c r="P386" s="29">
        <f t="shared" ca="1" si="51"/>
        <v>230</v>
      </c>
      <c r="R386" s="22">
        <v>44931</v>
      </c>
      <c r="S386" s="26">
        <f t="shared" ca="1" si="34"/>
        <v>0.50018218071489806</v>
      </c>
      <c r="T386" s="29">
        <f t="shared" ca="1" si="52"/>
        <v>139</v>
      </c>
      <c r="V386" s="22">
        <v>44931</v>
      </c>
      <c r="W386" s="26">
        <f t="shared" ca="1" si="35"/>
        <v>0.73854079615537538</v>
      </c>
      <c r="X386" s="29">
        <f t="shared" ca="1" si="55"/>
        <v>235</v>
      </c>
      <c r="Z386" s="22">
        <v>44931</v>
      </c>
      <c r="AA386" s="26">
        <f t="shared" ca="1" si="36"/>
        <v>0.5085057897354136</v>
      </c>
      <c r="AB386" s="29">
        <f t="shared" ca="1" si="57"/>
        <v>271</v>
      </c>
      <c r="AC386"/>
      <c r="AD386" s="25"/>
      <c r="AF386" s="22">
        <v>44931</v>
      </c>
      <c r="AG386" s="26">
        <f t="shared" ca="1" si="37"/>
        <v>0.50567541141947825</v>
      </c>
      <c r="AH386" s="29">
        <f t="shared" ca="1" si="58"/>
        <v>329</v>
      </c>
      <c r="AJ386" s="22">
        <v>44931</v>
      </c>
      <c r="AK386" s="26">
        <f t="shared" ca="1" si="38"/>
        <v>0.61085784317825176</v>
      </c>
      <c r="AL386" s="29">
        <v>0</v>
      </c>
      <c r="AN386" s="22">
        <v>44931</v>
      </c>
      <c r="AO386" s="26">
        <f t="shared" ca="1" si="39"/>
        <v>0.9628280864886084</v>
      </c>
      <c r="AP386" s="29">
        <v>0</v>
      </c>
      <c r="AR386" s="22">
        <v>44931</v>
      </c>
      <c r="AS386" s="26">
        <f t="shared" ca="1" si="40"/>
        <v>0.65630796881604148</v>
      </c>
      <c r="AT386" s="29">
        <v>0</v>
      </c>
      <c r="AV386" s="22">
        <v>44931</v>
      </c>
      <c r="AW386" s="26">
        <f t="shared" ca="1" si="41"/>
        <v>0.81052876021700959</v>
      </c>
      <c r="AX386" s="29">
        <v>0</v>
      </c>
      <c r="AZ386" s="22">
        <v>44931</v>
      </c>
      <c r="BA386" s="26">
        <f t="shared" ca="1" si="42"/>
        <v>0.88512161802903622</v>
      </c>
      <c r="BB386" s="29">
        <v>0</v>
      </c>
      <c r="BC386"/>
      <c r="BD386" s="25"/>
      <c r="BF386" s="22">
        <v>44931</v>
      </c>
      <c r="BG386" s="26">
        <f t="shared" ca="1" si="43"/>
        <v>0.35426978012004695</v>
      </c>
      <c r="BH386" s="29">
        <v>0</v>
      </c>
      <c r="BJ386" s="22">
        <v>44931</v>
      </c>
      <c r="BK386" s="26">
        <f t="shared" ca="1" si="44"/>
        <v>0.33831377564160181</v>
      </c>
      <c r="BL386" s="29">
        <v>0</v>
      </c>
      <c r="BN386" s="22">
        <v>44931</v>
      </c>
      <c r="BO386" s="26">
        <f t="shared" ca="1" si="45"/>
        <v>1.4031188157925145E-2</v>
      </c>
      <c r="BP386" s="29">
        <v>0</v>
      </c>
      <c r="BR386" s="22">
        <v>44931</v>
      </c>
      <c r="BS386" s="26">
        <f t="shared" ca="1" si="46"/>
        <v>0.74148505703491097</v>
      </c>
      <c r="BT386" s="29">
        <v>0</v>
      </c>
      <c r="BV386" s="22">
        <v>44931</v>
      </c>
      <c r="BW386" s="26">
        <f t="shared" ca="1" si="47"/>
        <v>3.1696070307413837E-2</v>
      </c>
      <c r="BX386" s="29">
        <v>0</v>
      </c>
    </row>
    <row r="387" spans="2:76" ht="12.75" x14ac:dyDescent="0.2">
      <c r="B387" s="22">
        <v>44932</v>
      </c>
      <c r="C387" s="26">
        <f t="shared" ca="1" si="56"/>
        <v>0.21693557599635416</v>
      </c>
      <c r="D387" s="29">
        <f t="shared" ca="1" si="53"/>
        <v>60</v>
      </c>
      <c r="F387" s="22">
        <v>44932</v>
      </c>
      <c r="G387" s="26">
        <f t="shared" ca="1" si="31"/>
        <v>0.15615383494922674</v>
      </c>
      <c r="H387" s="29">
        <f t="shared" ca="1" si="49"/>
        <v>201</v>
      </c>
      <c r="J387" s="22">
        <v>44932</v>
      </c>
      <c r="K387" s="26">
        <f t="shared" ca="1" si="32"/>
        <v>0.74968884071379882</v>
      </c>
      <c r="L387" s="29">
        <f t="shared" ca="1" si="50"/>
        <v>157</v>
      </c>
      <c r="N387" s="22">
        <v>44932</v>
      </c>
      <c r="O387" s="26">
        <f t="shared" ca="1" si="33"/>
        <v>0.34546117767164364</v>
      </c>
      <c r="P387" s="29">
        <f t="shared" ca="1" si="51"/>
        <v>224</v>
      </c>
      <c r="R387" s="22">
        <v>44932</v>
      </c>
      <c r="S387" s="26">
        <f t="shared" ca="1" si="34"/>
        <v>0.79649256399978829</v>
      </c>
      <c r="T387" s="29">
        <f t="shared" ca="1" si="52"/>
        <v>147</v>
      </c>
      <c r="V387" s="22">
        <v>44932</v>
      </c>
      <c r="W387" s="26">
        <f t="shared" ca="1" si="35"/>
        <v>0.1146524694786436</v>
      </c>
      <c r="X387" s="29">
        <f t="shared" ca="1" si="55"/>
        <v>207</v>
      </c>
      <c r="Z387" s="22">
        <v>44932</v>
      </c>
      <c r="AA387" s="26">
        <f t="shared" ca="1" si="36"/>
        <v>0.2588624875077784</v>
      </c>
      <c r="AB387" s="29">
        <f t="shared" ca="1" si="57"/>
        <v>259</v>
      </c>
      <c r="AC387"/>
      <c r="AD387" s="25"/>
      <c r="AF387" s="22">
        <v>44932</v>
      </c>
      <c r="AG387" s="26">
        <f t="shared" ca="1" si="37"/>
        <v>0.10778087531963032</v>
      </c>
      <c r="AH387" s="29">
        <f t="shared" ca="1" si="58"/>
        <v>220</v>
      </c>
      <c r="AJ387" s="22">
        <v>44932</v>
      </c>
      <c r="AK387" s="26">
        <f t="shared" ca="1" si="38"/>
        <v>0.99804980639310992</v>
      </c>
      <c r="AL387" s="29">
        <v>0</v>
      </c>
      <c r="AN387" s="22">
        <v>44932</v>
      </c>
      <c r="AO387" s="26">
        <f t="shared" ca="1" si="39"/>
        <v>1.7882780292785005E-3</v>
      </c>
      <c r="AP387" s="29">
        <v>0</v>
      </c>
      <c r="AR387" s="22">
        <v>44932</v>
      </c>
      <c r="AS387" s="26">
        <f t="shared" ca="1" si="40"/>
        <v>0.3308624017403442</v>
      </c>
      <c r="AT387" s="29">
        <v>0</v>
      </c>
      <c r="AV387" s="22">
        <v>44932</v>
      </c>
      <c r="AW387" s="26">
        <f t="shared" ca="1" si="41"/>
        <v>6.9790278211190326E-5</v>
      </c>
      <c r="AX387" s="29">
        <v>0</v>
      </c>
      <c r="AZ387" s="22">
        <v>44932</v>
      </c>
      <c r="BA387" s="26">
        <f t="shared" ca="1" si="42"/>
        <v>0.96395390770530043</v>
      </c>
      <c r="BB387" s="29">
        <v>0</v>
      </c>
      <c r="BC387"/>
      <c r="BD387" s="25"/>
      <c r="BF387" s="22">
        <v>44932</v>
      </c>
      <c r="BG387" s="26">
        <f t="shared" ca="1" si="43"/>
        <v>0.2842111688738066</v>
      </c>
      <c r="BH387" s="29">
        <v>0</v>
      </c>
      <c r="BJ387" s="22">
        <v>44932</v>
      </c>
      <c r="BK387" s="26">
        <f t="shared" ca="1" si="44"/>
        <v>0.20546489724462746</v>
      </c>
      <c r="BL387" s="29">
        <v>0</v>
      </c>
      <c r="BN387" s="22">
        <v>44932</v>
      </c>
      <c r="BO387" s="26">
        <f t="shared" ca="1" si="45"/>
        <v>4.0182669032134188E-2</v>
      </c>
      <c r="BP387" s="29">
        <v>0</v>
      </c>
      <c r="BR387" s="22">
        <v>44932</v>
      </c>
      <c r="BS387" s="26">
        <f t="shared" ca="1" si="46"/>
        <v>0.2919429058872961</v>
      </c>
      <c r="BT387" s="29">
        <v>0</v>
      </c>
      <c r="BV387" s="22">
        <v>44932</v>
      </c>
      <c r="BW387" s="26">
        <f t="shared" ca="1" si="47"/>
        <v>3.3733056613040047E-2</v>
      </c>
      <c r="BX387" s="29">
        <v>0</v>
      </c>
    </row>
    <row r="388" spans="2:76" ht="12.75" x14ac:dyDescent="0.2">
      <c r="B388" s="22">
        <v>44933</v>
      </c>
      <c r="C388" s="26">
        <f t="shared" ca="1" si="56"/>
        <v>0.29741909985930803</v>
      </c>
      <c r="D388" s="29">
        <f t="shared" ca="1" si="53"/>
        <v>65</v>
      </c>
      <c r="F388" s="22">
        <v>44933</v>
      </c>
      <c r="G388" s="26">
        <f t="shared" ca="1" si="31"/>
        <v>0.59580585896643579</v>
      </c>
      <c r="H388" s="29">
        <f t="shared" ref="H388:H451" ca="1" si="59">ROUNDUP(_xlfn.NORM.INV(G388,G$10,G$12),0)</f>
        <v>219</v>
      </c>
      <c r="J388" s="22">
        <v>44933</v>
      </c>
      <c r="K388" s="26">
        <f t="shared" ca="1" si="32"/>
        <v>0.86950288565375256</v>
      </c>
      <c r="L388" s="29">
        <f t="shared" ref="L388:L451" ca="1" si="60">ROUNDUP(_xlfn.NORM.INV(K388,K$10,K$12),0)</f>
        <v>162</v>
      </c>
      <c r="N388" s="22">
        <v>44933</v>
      </c>
      <c r="O388" s="26">
        <f t="shared" ca="1" si="33"/>
        <v>0.70049380814803841</v>
      </c>
      <c r="P388" s="29">
        <f t="shared" ref="P388:P451" ca="1" si="61">ROUNDUP(_xlfn.NORM.INV(O388,O$10,O$12),0)</f>
        <v>238</v>
      </c>
      <c r="R388" s="22">
        <v>44933</v>
      </c>
      <c r="S388" s="26">
        <f t="shared" ca="1" si="34"/>
        <v>0.1535524773371213</v>
      </c>
      <c r="T388" s="29">
        <f t="shared" ref="T388:T451" ca="1" si="62">ROUNDUP(_xlfn.NORM.INV(S388,S$10,S$12),0)</f>
        <v>130</v>
      </c>
      <c r="V388" s="22">
        <v>44933</v>
      </c>
      <c r="W388" s="26">
        <f t="shared" ca="1" si="35"/>
        <v>2.6656689246186138E-3</v>
      </c>
      <c r="X388" s="29">
        <f t="shared" ca="1" si="55"/>
        <v>184</v>
      </c>
      <c r="Z388" s="22">
        <v>44933</v>
      </c>
      <c r="AA388" s="26">
        <f t="shared" ca="1" si="36"/>
        <v>0.32470058847172678</v>
      </c>
      <c r="AB388" s="29">
        <f t="shared" ref="AB388:AB451" ca="1" si="63">ROUNDUP(_xlfn.NORM.INV(AA388,AA$10,AA$12),0)</f>
        <v>262</v>
      </c>
      <c r="AC388"/>
      <c r="AD388" s="25"/>
      <c r="AF388" s="22">
        <v>44933</v>
      </c>
      <c r="AG388" s="26">
        <f t="shared" ca="1" si="37"/>
        <v>0.75445078898439344</v>
      </c>
      <c r="AH388" s="29">
        <f t="shared" ref="AH388:AH451" ca="1" si="64">ROUNDUP(_xlfn.NORM.INV(AG388,AG$10,AG$12),0)</f>
        <v>388</v>
      </c>
      <c r="AJ388" s="22">
        <v>44933</v>
      </c>
      <c r="AK388" s="26">
        <f t="shared" ca="1" si="38"/>
        <v>0.94047037034853953</v>
      </c>
      <c r="AL388" s="29">
        <v>0</v>
      </c>
      <c r="AN388" s="22">
        <v>44933</v>
      </c>
      <c r="AO388" s="26">
        <f t="shared" ca="1" si="39"/>
        <v>0.66185179109676362</v>
      </c>
      <c r="AP388" s="29">
        <v>0</v>
      </c>
      <c r="AR388" s="22">
        <v>44933</v>
      </c>
      <c r="AS388" s="26">
        <f t="shared" ca="1" si="40"/>
        <v>0.61590022050236459</v>
      </c>
      <c r="AT388" s="29">
        <v>0</v>
      </c>
      <c r="AV388" s="22">
        <v>44933</v>
      </c>
      <c r="AW388" s="26">
        <f t="shared" ca="1" si="41"/>
        <v>0.63866294671239665</v>
      </c>
      <c r="AX388" s="29">
        <v>0</v>
      </c>
      <c r="AZ388" s="22">
        <v>44933</v>
      </c>
      <c r="BA388" s="26">
        <f t="shared" ca="1" si="42"/>
        <v>0.56231421554899452</v>
      </c>
      <c r="BB388" s="29">
        <v>0</v>
      </c>
      <c r="BC388"/>
      <c r="BD388" s="25"/>
      <c r="BF388" s="22">
        <v>44933</v>
      </c>
      <c r="BG388" s="26">
        <f t="shared" ca="1" si="43"/>
        <v>0.19253349505640716</v>
      </c>
      <c r="BH388" s="29">
        <v>0</v>
      </c>
      <c r="BJ388" s="22">
        <v>44933</v>
      </c>
      <c r="BK388" s="26">
        <f t="shared" ca="1" si="44"/>
        <v>0.17935290333568599</v>
      </c>
      <c r="BL388" s="29">
        <v>0</v>
      </c>
      <c r="BN388" s="22">
        <v>44933</v>
      </c>
      <c r="BO388" s="26">
        <f t="shared" ca="1" si="45"/>
        <v>0.55839885316172855</v>
      </c>
      <c r="BP388" s="29">
        <v>0</v>
      </c>
      <c r="BR388" s="22">
        <v>44933</v>
      </c>
      <c r="BS388" s="26">
        <f t="shared" ca="1" si="46"/>
        <v>0.55107479119548808</v>
      </c>
      <c r="BT388" s="29">
        <v>0</v>
      </c>
      <c r="BV388" s="22">
        <v>44933</v>
      </c>
      <c r="BW388" s="26">
        <f t="shared" ca="1" si="47"/>
        <v>0.5707801456200069</v>
      </c>
      <c r="BX388" s="29">
        <v>0</v>
      </c>
    </row>
    <row r="389" spans="2:76" ht="12.75" x14ac:dyDescent="0.2">
      <c r="B389" s="22">
        <v>44934</v>
      </c>
      <c r="C389" s="26">
        <f t="shared" ca="1" si="56"/>
        <v>0.59420919440956854</v>
      </c>
      <c r="D389" s="29">
        <f t="shared" ca="1" si="53"/>
        <v>80</v>
      </c>
      <c r="F389" s="22">
        <v>44934</v>
      </c>
      <c r="G389" s="26">
        <f t="shared" ca="1" si="31"/>
        <v>0.54246807863512392</v>
      </c>
      <c r="H389" s="29">
        <f t="shared" ca="1" si="59"/>
        <v>217</v>
      </c>
      <c r="J389" s="22">
        <v>44934</v>
      </c>
      <c r="K389" s="26">
        <f t="shared" ca="1" si="32"/>
        <v>0.99383701291200777</v>
      </c>
      <c r="L389" s="29">
        <f t="shared" ca="1" si="60"/>
        <v>176</v>
      </c>
      <c r="N389" s="22">
        <v>44934</v>
      </c>
      <c r="O389" s="26">
        <f t="shared" ca="1" si="33"/>
        <v>6.6534462123476801E-2</v>
      </c>
      <c r="P389" s="29">
        <f t="shared" ca="1" si="61"/>
        <v>207</v>
      </c>
      <c r="R389" s="22">
        <v>44934</v>
      </c>
      <c r="S389" s="26">
        <f t="shared" ca="1" si="34"/>
        <v>4.3149001519123042E-2</v>
      </c>
      <c r="T389" s="29">
        <f t="shared" ca="1" si="62"/>
        <v>123</v>
      </c>
      <c r="V389" s="22">
        <v>44934</v>
      </c>
      <c r="W389" s="26">
        <f t="shared" ca="1" si="35"/>
        <v>0.57532487853365899</v>
      </c>
      <c r="X389" s="29">
        <f t="shared" ca="1" si="55"/>
        <v>228</v>
      </c>
      <c r="Z389" s="22">
        <v>44934</v>
      </c>
      <c r="AA389" s="26">
        <f t="shared" ca="1" si="36"/>
        <v>0.56865462835855718</v>
      </c>
      <c r="AB389" s="29">
        <f t="shared" ca="1" si="63"/>
        <v>274</v>
      </c>
      <c r="AC389"/>
      <c r="AD389" s="25"/>
      <c r="AF389" s="22">
        <v>44934</v>
      </c>
      <c r="AG389" s="26">
        <f t="shared" ca="1" si="37"/>
        <v>0.36684049428240628</v>
      </c>
      <c r="AH389" s="29">
        <f t="shared" ca="1" si="64"/>
        <v>298</v>
      </c>
      <c r="AJ389" s="22">
        <v>44934</v>
      </c>
      <c r="AK389" s="26">
        <f t="shared" ca="1" si="38"/>
        <v>0.80044434726765312</v>
      </c>
      <c r="AL389" s="29">
        <v>0</v>
      </c>
      <c r="AN389" s="22">
        <v>44934</v>
      </c>
      <c r="AO389" s="26">
        <f t="shared" ca="1" si="39"/>
        <v>0.96137413624322621</v>
      </c>
      <c r="AP389" s="29">
        <v>0</v>
      </c>
      <c r="AR389" s="22">
        <v>44934</v>
      </c>
      <c r="AS389" s="26">
        <f t="shared" ca="1" si="40"/>
        <v>0.29993614568954008</v>
      </c>
      <c r="AT389" s="29">
        <v>0</v>
      </c>
      <c r="AV389" s="22">
        <v>44934</v>
      </c>
      <c r="AW389" s="26">
        <f t="shared" ca="1" si="41"/>
        <v>0.60421395862421268</v>
      </c>
      <c r="AX389" s="29">
        <v>0</v>
      </c>
      <c r="AZ389" s="22">
        <v>44934</v>
      </c>
      <c r="BA389" s="26">
        <f t="shared" ca="1" si="42"/>
        <v>0.17351291057763796</v>
      </c>
      <c r="BB389" s="29">
        <v>0</v>
      </c>
      <c r="BC389"/>
      <c r="BD389" s="25"/>
      <c r="BF389" s="22">
        <v>44934</v>
      </c>
      <c r="BG389" s="26">
        <f t="shared" ca="1" si="43"/>
        <v>0.3218565020703491</v>
      </c>
      <c r="BH389" s="29">
        <v>0</v>
      </c>
      <c r="BJ389" s="22">
        <v>44934</v>
      </c>
      <c r="BK389" s="26">
        <f t="shared" ca="1" si="44"/>
        <v>0.5729173415628952</v>
      </c>
      <c r="BL389" s="29">
        <v>0</v>
      </c>
      <c r="BN389" s="22">
        <v>44934</v>
      </c>
      <c r="BO389" s="26">
        <f t="shared" ca="1" si="45"/>
        <v>0.82354187276311663</v>
      </c>
      <c r="BP389" s="29">
        <v>0</v>
      </c>
      <c r="BR389" s="22">
        <v>44934</v>
      </c>
      <c r="BS389" s="26">
        <f t="shared" ca="1" si="46"/>
        <v>0.77079535605822669</v>
      </c>
      <c r="BT389" s="29">
        <v>0</v>
      </c>
      <c r="BV389" s="22">
        <v>44934</v>
      </c>
      <c r="BW389" s="26">
        <f t="shared" ca="1" si="47"/>
        <v>1.5742860636312472E-2</v>
      </c>
      <c r="BX389" s="29">
        <v>0</v>
      </c>
    </row>
    <row r="390" spans="2:76" ht="12.75" x14ac:dyDescent="0.2">
      <c r="B390" s="22">
        <v>44935</v>
      </c>
      <c r="C390" s="26">
        <f t="shared" ca="1" si="56"/>
        <v>0.48071485207723497</v>
      </c>
      <c r="D390" s="29">
        <f t="shared" ca="1" si="53"/>
        <v>75</v>
      </c>
      <c r="F390" s="22">
        <v>44935</v>
      </c>
      <c r="G390" s="26">
        <f t="shared" ca="1" si="31"/>
        <v>0.32290016269231947</v>
      </c>
      <c r="H390" s="29">
        <f t="shared" ca="1" si="59"/>
        <v>209</v>
      </c>
      <c r="J390" s="22">
        <v>44935</v>
      </c>
      <c r="K390" s="26">
        <f t="shared" ca="1" si="32"/>
        <v>0.16183221649822843</v>
      </c>
      <c r="L390" s="29">
        <f t="shared" ca="1" si="60"/>
        <v>141</v>
      </c>
      <c r="N390" s="22">
        <v>44935</v>
      </c>
      <c r="O390" s="26">
        <f t="shared" ca="1" si="33"/>
        <v>4.9956719313918097E-2</v>
      </c>
      <c r="P390" s="29">
        <f t="shared" ca="1" si="61"/>
        <v>205</v>
      </c>
      <c r="R390" s="22">
        <v>44935</v>
      </c>
      <c r="S390" s="26">
        <f t="shared" ca="1" si="34"/>
        <v>0.85549311467276989</v>
      </c>
      <c r="T390" s="29">
        <f t="shared" ca="1" si="62"/>
        <v>149</v>
      </c>
      <c r="V390" s="22">
        <v>44935</v>
      </c>
      <c r="W390" s="26">
        <f t="shared" ca="1" si="35"/>
        <v>0.57920561758541378</v>
      </c>
      <c r="X390" s="29">
        <f t="shared" ca="1" si="55"/>
        <v>228</v>
      </c>
      <c r="Z390" s="22">
        <v>44935</v>
      </c>
      <c r="AA390" s="26">
        <f t="shared" ca="1" si="36"/>
        <v>0.5965436408967828</v>
      </c>
      <c r="AB390" s="29">
        <f t="shared" ca="1" si="63"/>
        <v>275</v>
      </c>
      <c r="AC390"/>
      <c r="AD390" s="25"/>
      <c r="AF390" s="22">
        <v>44935</v>
      </c>
      <c r="AG390" s="26">
        <f t="shared" ca="1" si="37"/>
        <v>0.16715905455649316</v>
      </c>
      <c r="AH390" s="29">
        <f t="shared" ca="1" si="64"/>
        <v>243</v>
      </c>
      <c r="AJ390" s="22">
        <v>44935</v>
      </c>
      <c r="AK390" s="26">
        <f t="shared" ca="1" si="38"/>
        <v>0.76201396118650633</v>
      </c>
      <c r="AL390" s="29">
        <v>0</v>
      </c>
      <c r="AN390" s="22">
        <v>44935</v>
      </c>
      <c r="AO390" s="26">
        <f t="shared" ca="1" si="39"/>
        <v>0.99897405913327031</v>
      </c>
      <c r="AP390" s="29">
        <v>0</v>
      </c>
      <c r="AR390" s="22">
        <v>44935</v>
      </c>
      <c r="AS390" s="26">
        <f t="shared" ca="1" si="40"/>
        <v>0.65627325509463685</v>
      </c>
      <c r="AT390" s="29">
        <v>0</v>
      </c>
      <c r="AV390" s="22">
        <v>44935</v>
      </c>
      <c r="AW390" s="26">
        <f t="shared" ca="1" si="41"/>
        <v>0.87184314754008752</v>
      </c>
      <c r="AX390" s="29">
        <v>0</v>
      </c>
      <c r="AZ390" s="22">
        <v>44935</v>
      </c>
      <c r="BA390" s="26">
        <f t="shared" ca="1" si="42"/>
        <v>0.94738995528067571</v>
      </c>
      <c r="BB390" s="29">
        <v>0</v>
      </c>
      <c r="BC390"/>
      <c r="BD390" s="25"/>
      <c r="BF390" s="22">
        <v>44935</v>
      </c>
      <c r="BG390" s="26">
        <f t="shared" ca="1" si="43"/>
        <v>0.26019888842461758</v>
      </c>
      <c r="BH390" s="29">
        <v>0</v>
      </c>
      <c r="BJ390" s="22">
        <v>44935</v>
      </c>
      <c r="BK390" s="26">
        <f t="shared" ca="1" si="44"/>
        <v>0.41907159608559874</v>
      </c>
      <c r="BL390" s="29">
        <v>0</v>
      </c>
      <c r="BN390" s="22">
        <v>44935</v>
      </c>
      <c r="BO390" s="26">
        <f t="shared" ca="1" si="45"/>
        <v>0.3344216327903472</v>
      </c>
      <c r="BP390" s="29">
        <v>0</v>
      </c>
      <c r="BR390" s="22">
        <v>44935</v>
      </c>
      <c r="BS390" s="26">
        <f t="shared" ca="1" si="46"/>
        <v>0.57396825702770782</v>
      </c>
      <c r="BT390" s="29">
        <v>0</v>
      </c>
      <c r="BV390" s="22">
        <v>44935</v>
      </c>
      <c r="BW390" s="26">
        <f t="shared" ca="1" si="47"/>
        <v>0.28175814194887461</v>
      </c>
      <c r="BX390" s="29">
        <v>0</v>
      </c>
    </row>
    <row r="391" spans="2:76" ht="12.75" x14ac:dyDescent="0.2">
      <c r="B391" s="22">
        <v>44936</v>
      </c>
      <c r="C391" s="26">
        <f t="shared" ca="1" si="56"/>
        <v>0.49441887256994399</v>
      </c>
      <c r="D391" s="29">
        <f t="shared" ca="1" si="53"/>
        <v>75</v>
      </c>
      <c r="F391" s="22">
        <v>44936</v>
      </c>
      <c r="G391" s="26">
        <f t="shared" ca="1" si="31"/>
        <v>0.3409915112270101</v>
      </c>
      <c r="H391" s="29">
        <f t="shared" ca="1" si="59"/>
        <v>210</v>
      </c>
      <c r="J391" s="22">
        <v>44936</v>
      </c>
      <c r="K391" s="26">
        <f t="shared" ca="1" si="32"/>
        <v>0.99257737400272561</v>
      </c>
      <c r="L391" s="29">
        <f t="shared" ca="1" si="60"/>
        <v>175</v>
      </c>
      <c r="N391" s="22">
        <v>44936</v>
      </c>
      <c r="O391" s="26">
        <f t="shared" ca="1" si="33"/>
        <v>0.82593860929221907</v>
      </c>
      <c r="P391" s="29">
        <f t="shared" ca="1" si="61"/>
        <v>244</v>
      </c>
      <c r="R391" s="22">
        <v>44936</v>
      </c>
      <c r="S391" s="26">
        <f t="shared" ca="1" si="34"/>
        <v>0.40654437508172314</v>
      </c>
      <c r="T391" s="29">
        <f t="shared" ca="1" si="62"/>
        <v>137</v>
      </c>
      <c r="V391" s="22">
        <v>44936</v>
      </c>
      <c r="W391" s="26">
        <f t="shared" ca="1" si="35"/>
        <v>0.91247765297529049</v>
      </c>
      <c r="X391" s="29">
        <f t="shared" ca="1" si="55"/>
        <v>246</v>
      </c>
      <c r="Z391" s="22">
        <v>44936</v>
      </c>
      <c r="AA391" s="26">
        <f t="shared" ca="1" si="36"/>
        <v>0.37432577943854484</v>
      </c>
      <c r="AB391" s="29">
        <f t="shared" ca="1" si="63"/>
        <v>265</v>
      </c>
      <c r="AC391"/>
      <c r="AD391" s="25"/>
      <c r="AF391" s="22">
        <v>44936</v>
      </c>
      <c r="AG391" s="26">
        <f t="shared" ca="1" si="37"/>
        <v>7.8479727188075499E-3</v>
      </c>
      <c r="AH391" s="29">
        <f t="shared" ca="1" si="64"/>
        <v>117</v>
      </c>
      <c r="AJ391" s="22">
        <v>44936</v>
      </c>
      <c r="AK391" s="26">
        <f t="shared" ca="1" si="38"/>
        <v>0.15661743894804148</v>
      </c>
      <c r="AL391" s="29">
        <v>0</v>
      </c>
      <c r="AN391" s="22">
        <v>44936</v>
      </c>
      <c r="AO391" s="26">
        <f t="shared" ca="1" si="39"/>
        <v>0.30507510726924414</v>
      </c>
      <c r="AP391" s="29">
        <v>0</v>
      </c>
      <c r="AR391" s="22">
        <v>44936</v>
      </c>
      <c r="AS391" s="26">
        <f t="shared" ca="1" si="40"/>
        <v>6.7614185854338982E-2</v>
      </c>
      <c r="AT391" s="29">
        <v>0</v>
      </c>
      <c r="AV391" s="22">
        <v>44936</v>
      </c>
      <c r="AW391" s="26">
        <f t="shared" ca="1" si="41"/>
        <v>0.51128345125663677</v>
      </c>
      <c r="AX391" s="29">
        <v>0</v>
      </c>
      <c r="AZ391" s="22">
        <v>44936</v>
      </c>
      <c r="BA391" s="26">
        <f t="shared" ca="1" si="42"/>
        <v>0.37620960327482356</v>
      </c>
      <c r="BB391" s="29">
        <v>0</v>
      </c>
      <c r="BC391"/>
      <c r="BD391" s="25"/>
      <c r="BF391" s="22">
        <v>44936</v>
      </c>
      <c r="BG391" s="26">
        <f t="shared" ca="1" si="43"/>
        <v>0.91826452179722517</v>
      </c>
      <c r="BH391" s="29">
        <v>0</v>
      </c>
      <c r="BJ391" s="22">
        <v>44936</v>
      </c>
      <c r="BK391" s="26">
        <f t="shared" ca="1" si="44"/>
        <v>0.30952933628043444</v>
      </c>
      <c r="BL391" s="29">
        <v>0</v>
      </c>
      <c r="BN391" s="22">
        <v>44936</v>
      </c>
      <c r="BO391" s="26">
        <f t="shared" ca="1" si="45"/>
        <v>0.93343559078651228</v>
      </c>
      <c r="BP391" s="29">
        <v>0</v>
      </c>
      <c r="BR391" s="22">
        <v>44936</v>
      </c>
      <c r="BS391" s="26">
        <f t="shared" ca="1" si="46"/>
        <v>0.66157786783432193</v>
      </c>
      <c r="BT391" s="29">
        <v>0</v>
      </c>
      <c r="BV391" s="22">
        <v>44936</v>
      </c>
      <c r="BW391" s="26">
        <f t="shared" ca="1" si="47"/>
        <v>5.9622345086353223E-2</v>
      </c>
      <c r="BX391" s="29">
        <v>0</v>
      </c>
    </row>
    <row r="392" spans="2:76" ht="12.75" x14ac:dyDescent="0.2">
      <c r="B392" s="22">
        <v>44937</v>
      </c>
      <c r="C392" s="26">
        <f t="shared" ca="1" si="56"/>
        <v>0.56970644197854015</v>
      </c>
      <c r="D392" s="29">
        <f t="shared" ca="1" si="53"/>
        <v>79</v>
      </c>
      <c r="F392" s="22">
        <v>44937</v>
      </c>
      <c r="G392" s="26">
        <f t="shared" ca="1" si="31"/>
        <v>0.85791503691988102</v>
      </c>
      <c r="H392" s="29">
        <f t="shared" ca="1" si="59"/>
        <v>231</v>
      </c>
      <c r="J392" s="22">
        <v>44937</v>
      </c>
      <c r="K392" s="26">
        <f t="shared" ca="1" si="32"/>
        <v>0.13204486063962617</v>
      </c>
      <c r="L392" s="29">
        <f t="shared" ca="1" si="60"/>
        <v>139</v>
      </c>
      <c r="N392" s="22">
        <v>44937</v>
      </c>
      <c r="O392" s="26">
        <f t="shared" ca="1" si="33"/>
        <v>0.51233639646690576</v>
      </c>
      <c r="P392" s="29">
        <f t="shared" ca="1" si="61"/>
        <v>230</v>
      </c>
      <c r="R392" s="22">
        <v>44937</v>
      </c>
      <c r="S392" s="26">
        <f t="shared" ca="1" si="34"/>
        <v>8.4396141647375966E-3</v>
      </c>
      <c r="T392" s="29">
        <f t="shared" ca="1" si="62"/>
        <v>117</v>
      </c>
      <c r="V392" s="22">
        <v>44937</v>
      </c>
      <c r="W392" s="26">
        <f t="shared" ca="1" si="35"/>
        <v>0.50748114035787606</v>
      </c>
      <c r="X392" s="29">
        <f t="shared" ca="1" si="55"/>
        <v>226</v>
      </c>
      <c r="Z392" s="22">
        <v>44937</v>
      </c>
      <c r="AA392" s="26">
        <f t="shared" ca="1" si="36"/>
        <v>0.40623996531683904</v>
      </c>
      <c r="AB392" s="29">
        <f t="shared" ca="1" si="63"/>
        <v>266</v>
      </c>
      <c r="AC392"/>
      <c r="AD392" s="25"/>
      <c r="AF392" s="22">
        <v>44937</v>
      </c>
      <c r="AG392" s="26">
        <f t="shared" ca="1" si="37"/>
        <v>0.57046125132049652</v>
      </c>
      <c r="AH392" s="29">
        <f t="shared" ca="1" si="64"/>
        <v>343</v>
      </c>
      <c r="AJ392" s="22">
        <v>44937</v>
      </c>
      <c r="AK392" s="26">
        <f t="shared" ca="1" si="38"/>
        <v>0.46232514363011179</v>
      </c>
      <c r="AL392" s="29">
        <v>0</v>
      </c>
      <c r="AN392" s="22">
        <v>44937</v>
      </c>
      <c r="AO392" s="26">
        <f t="shared" ca="1" si="39"/>
        <v>0.10433090619134022</v>
      </c>
      <c r="AP392" s="29">
        <v>0</v>
      </c>
      <c r="AR392" s="22">
        <v>44937</v>
      </c>
      <c r="AS392" s="26">
        <f t="shared" ca="1" si="40"/>
        <v>0.5931047684606342</v>
      </c>
      <c r="AT392" s="29">
        <v>0</v>
      </c>
      <c r="AV392" s="22">
        <v>44937</v>
      </c>
      <c r="AW392" s="26">
        <f t="shared" ca="1" si="41"/>
        <v>0.429940590616811</v>
      </c>
      <c r="AX392" s="29">
        <v>0</v>
      </c>
      <c r="AZ392" s="22">
        <v>44937</v>
      </c>
      <c r="BA392" s="26">
        <f t="shared" ca="1" si="42"/>
        <v>4.1077593476787078E-2</v>
      </c>
      <c r="BB392" s="29">
        <v>0</v>
      </c>
      <c r="BC392"/>
      <c r="BD392" s="25"/>
      <c r="BF392" s="22">
        <v>44937</v>
      </c>
      <c r="BG392" s="26">
        <f t="shared" ca="1" si="43"/>
        <v>0.91574773290605649</v>
      </c>
      <c r="BH392" s="29">
        <v>0</v>
      </c>
      <c r="BJ392" s="22">
        <v>44937</v>
      </c>
      <c r="BK392" s="26">
        <f t="shared" ca="1" si="44"/>
        <v>4.2112281889001513E-2</v>
      </c>
      <c r="BL392" s="29">
        <v>0</v>
      </c>
      <c r="BN392" s="22">
        <v>44937</v>
      </c>
      <c r="BO392" s="26">
        <f t="shared" ca="1" si="45"/>
        <v>0.77995267626255393</v>
      </c>
      <c r="BP392" s="29">
        <v>0</v>
      </c>
      <c r="BR392" s="22">
        <v>44937</v>
      </c>
      <c r="BS392" s="26">
        <f t="shared" ca="1" si="46"/>
        <v>0.54510658917926846</v>
      </c>
      <c r="BT392" s="29">
        <v>0</v>
      </c>
      <c r="BV392" s="22">
        <v>44937</v>
      </c>
      <c r="BW392" s="26">
        <f t="shared" ca="1" si="47"/>
        <v>0.4765670994281348</v>
      </c>
      <c r="BX392" s="29">
        <v>0</v>
      </c>
    </row>
    <row r="393" spans="2:76" ht="12.75" x14ac:dyDescent="0.2">
      <c r="B393" s="22">
        <v>44938</v>
      </c>
      <c r="C393" s="26">
        <f t="shared" ca="1" si="56"/>
        <v>0.12053345838116181</v>
      </c>
      <c r="D393" s="29">
        <f t="shared" ca="1" si="53"/>
        <v>52</v>
      </c>
      <c r="F393" s="22">
        <v>44938</v>
      </c>
      <c r="G393" s="26">
        <f t="shared" ca="1" si="31"/>
        <v>0.96048449461191865</v>
      </c>
      <c r="H393" s="29">
        <f t="shared" ca="1" si="59"/>
        <v>241</v>
      </c>
      <c r="J393" s="22">
        <v>44938</v>
      </c>
      <c r="K393" s="26">
        <f t="shared" ca="1" si="32"/>
        <v>0.71388402614606317</v>
      </c>
      <c r="L393" s="29">
        <f t="shared" ca="1" si="60"/>
        <v>156</v>
      </c>
      <c r="N393" s="22">
        <v>44938</v>
      </c>
      <c r="O393" s="26">
        <f t="shared" ca="1" si="33"/>
        <v>1.3114277932010809E-2</v>
      </c>
      <c r="P393" s="29">
        <f t="shared" ca="1" si="61"/>
        <v>196</v>
      </c>
      <c r="R393" s="22">
        <v>44938</v>
      </c>
      <c r="S393" s="26">
        <f t="shared" ca="1" si="34"/>
        <v>0.13077799455836459</v>
      </c>
      <c r="T393" s="29">
        <f t="shared" ca="1" si="62"/>
        <v>129</v>
      </c>
      <c r="V393" s="22">
        <v>44938</v>
      </c>
      <c r="W393" s="26">
        <f t="shared" ca="1" si="35"/>
        <v>0.17405720157244953</v>
      </c>
      <c r="X393" s="29">
        <f t="shared" ca="1" si="55"/>
        <v>211</v>
      </c>
      <c r="Z393" s="22">
        <v>44938</v>
      </c>
      <c r="AA393" s="26">
        <f t="shared" ca="1" si="36"/>
        <v>0.52786361944356253</v>
      </c>
      <c r="AB393" s="29">
        <f t="shared" ca="1" si="63"/>
        <v>272</v>
      </c>
      <c r="AC393"/>
      <c r="AD393" s="25"/>
      <c r="AF393" s="22">
        <v>44938</v>
      </c>
      <c r="AG393" s="26">
        <f t="shared" ca="1" si="37"/>
        <v>0.10820715789959268</v>
      </c>
      <c r="AH393" s="29">
        <f t="shared" ca="1" si="64"/>
        <v>220</v>
      </c>
      <c r="AJ393" s="22">
        <v>44938</v>
      </c>
      <c r="AK393" s="26">
        <f t="shared" ca="1" si="38"/>
        <v>0.71344016625366502</v>
      </c>
      <c r="AL393" s="29">
        <v>0</v>
      </c>
      <c r="AN393" s="22">
        <v>44938</v>
      </c>
      <c r="AO393" s="26">
        <f t="shared" ca="1" si="39"/>
        <v>0.24036273216964477</v>
      </c>
      <c r="AP393" s="29">
        <v>0</v>
      </c>
      <c r="AR393" s="22">
        <v>44938</v>
      </c>
      <c r="AS393" s="26">
        <f t="shared" ca="1" si="40"/>
        <v>0.33806975317936783</v>
      </c>
      <c r="AT393" s="29">
        <v>0</v>
      </c>
      <c r="AV393" s="22">
        <v>44938</v>
      </c>
      <c r="AW393" s="26">
        <f t="shared" ca="1" si="41"/>
        <v>0.4502496202036147</v>
      </c>
      <c r="AX393" s="29">
        <v>0</v>
      </c>
      <c r="AZ393" s="22">
        <v>44938</v>
      </c>
      <c r="BA393" s="26">
        <f t="shared" ca="1" si="42"/>
        <v>0.58230131952754605</v>
      </c>
      <c r="BB393" s="29">
        <v>0</v>
      </c>
      <c r="BC393"/>
      <c r="BD393" s="25"/>
      <c r="BF393" s="22">
        <v>44938</v>
      </c>
      <c r="BG393" s="26">
        <f t="shared" ca="1" si="43"/>
        <v>0.24954321380011402</v>
      </c>
      <c r="BH393" s="29">
        <v>0</v>
      </c>
      <c r="BJ393" s="22">
        <v>44938</v>
      </c>
      <c r="BK393" s="26">
        <f t="shared" ca="1" si="44"/>
        <v>0.431648571757421</v>
      </c>
      <c r="BL393" s="29">
        <v>0</v>
      </c>
      <c r="BN393" s="22">
        <v>44938</v>
      </c>
      <c r="BO393" s="26">
        <f t="shared" ca="1" si="45"/>
        <v>2.0001033364172471E-2</v>
      </c>
      <c r="BP393" s="29">
        <v>0</v>
      </c>
      <c r="BR393" s="22">
        <v>44938</v>
      </c>
      <c r="BS393" s="26">
        <f t="shared" ca="1" si="46"/>
        <v>0.32424986158551916</v>
      </c>
      <c r="BT393" s="29">
        <v>0</v>
      </c>
      <c r="BV393" s="22">
        <v>44938</v>
      </c>
      <c r="BW393" s="26">
        <f t="shared" ca="1" si="47"/>
        <v>0.4300512485757747</v>
      </c>
      <c r="BX393" s="29">
        <v>0</v>
      </c>
    </row>
    <row r="394" spans="2:76" ht="12.75" x14ac:dyDescent="0.2">
      <c r="B394" s="22">
        <v>44939</v>
      </c>
      <c r="C394" s="26">
        <f t="shared" ca="1" si="56"/>
        <v>0.23244197059590799</v>
      </c>
      <c r="D394" s="29">
        <f t="shared" ca="1" si="53"/>
        <v>61</v>
      </c>
      <c r="F394" s="22">
        <v>44939</v>
      </c>
      <c r="G394" s="26">
        <f t="shared" ca="1" si="31"/>
        <v>0.49000186867861206</v>
      </c>
      <c r="H394" s="29">
        <f t="shared" ca="1" si="59"/>
        <v>216</v>
      </c>
      <c r="J394" s="22">
        <v>44939</v>
      </c>
      <c r="K394" s="26">
        <f t="shared" ca="1" si="32"/>
        <v>0.76923576393493331</v>
      </c>
      <c r="L394" s="29">
        <f t="shared" ca="1" si="60"/>
        <v>158</v>
      </c>
      <c r="N394" s="22">
        <v>44939</v>
      </c>
      <c r="O394" s="26">
        <f t="shared" ca="1" si="33"/>
        <v>0.24387751616649411</v>
      </c>
      <c r="P394" s="29">
        <f t="shared" ca="1" si="61"/>
        <v>219</v>
      </c>
      <c r="R394" s="22">
        <v>44939</v>
      </c>
      <c r="S394" s="26">
        <f t="shared" ca="1" si="34"/>
        <v>0.23905284767198609</v>
      </c>
      <c r="T394" s="29">
        <f t="shared" ca="1" si="62"/>
        <v>133</v>
      </c>
      <c r="V394" s="22">
        <v>44939</v>
      </c>
      <c r="W394" s="26">
        <f t="shared" ca="1" si="35"/>
        <v>0.99060282377558129</v>
      </c>
      <c r="X394" s="29">
        <f t="shared" ref="X394:X451" ca="1" si="65">ROUNDUP(_xlfn.NORM.INV(W394,W$10,W$12),0)</f>
        <v>261</v>
      </c>
      <c r="Z394" s="22">
        <v>44939</v>
      </c>
      <c r="AA394" s="26">
        <f t="shared" ca="1" si="36"/>
        <v>0.11490926857125017</v>
      </c>
      <c r="AB394" s="29">
        <f t="shared" ca="1" si="63"/>
        <v>249</v>
      </c>
      <c r="AC394"/>
      <c r="AD394" s="25"/>
      <c r="AF394" s="22">
        <v>44939</v>
      </c>
      <c r="AG394" s="26">
        <f t="shared" ca="1" si="37"/>
        <v>0.66849431248012614</v>
      </c>
      <c r="AH394" s="29">
        <f t="shared" ca="1" si="64"/>
        <v>365</v>
      </c>
      <c r="AJ394" s="22">
        <v>44939</v>
      </c>
      <c r="AK394" s="26">
        <f t="shared" ca="1" si="38"/>
        <v>0.22086911386679409</v>
      </c>
      <c r="AL394" s="29">
        <v>0</v>
      </c>
      <c r="AN394" s="22">
        <v>44939</v>
      </c>
      <c r="AO394" s="26">
        <f t="shared" ca="1" si="39"/>
        <v>0.32406958635675742</v>
      </c>
      <c r="AP394" s="29">
        <v>0</v>
      </c>
      <c r="AR394" s="22">
        <v>44939</v>
      </c>
      <c r="AS394" s="26">
        <f t="shared" ca="1" si="40"/>
        <v>0.63020350953347304</v>
      </c>
      <c r="AT394" s="29">
        <v>0</v>
      </c>
      <c r="AV394" s="22">
        <v>44939</v>
      </c>
      <c r="AW394" s="26">
        <f t="shared" ca="1" si="41"/>
        <v>0.86078887588791719</v>
      </c>
      <c r="AX394" s="29">
        <v>0</v>
      </c>
      <c r="AZ394" s="22">
        <v>44939</v>
      </c>
      <c r="BA394" s="26">
        <f t="shared" ca="1" si="42"/>
        <v>0.52243739940949008</v>
      </c>
      <c r="BB394" s="29">
        <v>0</v>
      </c>
      <c r="BC394"/>
      <c r="BD394" s="25"/>
      <c r="BF394" s="22">
        <v>44939</v>
      </c>
      <c r="BG394" s="26">
        <f t="shared" ca="1" si="43"/>
        <v>0.13350747775773963</v>
      </c>
      <c r="BH394" s="29">
        <v>0</v>
      </c>
      <c r="BJ394" s="22">
        <v>44939</v>
      </c>
      <c r="BK394" s="26">
        <f t="shared" ca="1" si="44"/>
        <v>0.4042015059321985</v>
      </c>
      <c r="BL394" s="29">
        <v>0</v>
      </c>
      <c r="BN394" s="22">
        <v>44939</v>
      </c>
      <c r="BO394" s="26">
        <f t="shared" ca="1" si="45"/>
        <v>0.59573628088434638</v>
      </c>
      <c r="BP394" s="29">
        <v>0</v>
      </c>
      <c r="BR394" s="22">
        <v>44939</v>
      </c>
      <c r="BS394" s="26">
        <f t="shared" ca="1" si="46"/>
        <v>0.38754441864539591</v>
      </c>
      <c r="BT394" s="29">
        <v>0</v>
      </c>
      <c r="BV394" s="22">
        <v>44939</v>
      </c>
      <c r="BW394" s="26">
        <f t="shared" ca="1" si="47"/>
        <v>0.46609731685997602</v>
      </c>
      <c r="BX394" s="29">
        <v>0</v>
      </c>
    </row>
    <row r="395" spans="2:76" ht="12.75" x14ac:dyDescent="0.2">
      <c r="B395" s="22">
        <v>44940</v>
      </c>
      <c r="C395" s="26">
        <f t="shared" ca="1" si="56"/>
        <v>0.89377506578972565</v>
      </c>
      <c r="D395" s="29">
        <f t="shared" ca="1" si="53"/>
        <v>100</v>
      </c>
      <c r="F395" s="22">
        <v>44940</v>
      </c>
      <c r="G395" s="26">
        <f t="shared" ca="1" si="31"/>
        <v>6.8512517162867437E-2</v>
      </c>
      <c r="H395" s="29">
        <f t="shared" ca="1" si="59"/>
        <v>195</v>
      </c>
      <c r="J395" s="22">
        <v>44940</v>
      </c>
      <c r="K395" s="26">
        <f t="shared" ca="1" si="32"/>
        <v>3.4003226862421077E-2</v>
      </c>
      <c r="L395" s="29">
        <f t="shared" ca="1" si="60"/>
        <v>132</v>
      </c>
      <c r="N395" s="22">
        <v>44940</v>
      </c>
      <c r="O395" s="26">
        <f t="shared" ca="1" si="33"/>
        <v>0.99907931794022276</v>
      </c>
      <c r="P395" s="29">
        <f t="shared" ca="1" si="61"/>
        <v>277</v>
      </c>
      <c r="R395" s="22">
        <v>44940</v>
      </c>
      <c r="S395" s="26">
        <f t="shared" ca="1" si="34"/>
        <v>0.22181466586263621</v>
      </c>
      <c r="T395" s="29">
        <f t="shared" ca="1" si="62"/>
        <v>132</v>
      </c>
      <c r="V395" s="22">
        <v>44940</v>
      </c>
      <c r="W395" s="26">
        <f t="shared" ca="1" si="35"/>
        <v>0.60120415361864521</v>
      </c>
      <c r="X395" s="29">
        <f t="shared" ca="1" si="65"/>
        <v>229</v>
      </c>
      <c r="Z395" s="22">
        <v>44940</v>
      </c>
      <c r="AA395" s="26">
        <f t="shared" ca="1" si="36"/>
        <v>9.7044020090941374E-2</v>
      </c>
      <c r="AB395" s="29">
        <f t="shared" ca="1" si="63"/>
        <v>247</v>
      </c>
      <c r="AC395"/>
      <c r="AD395" s="25"/>
      <c r="AF395" s="22">
        <v>44940</v>
      </c>
      <c r="AG395" s="26">
        <f t="shared" ca="1" si="37"/>
        <v>0.64931644969059743</v>
      </c>
      <c r="AH395" s="29">
        <f t="shared" ca="1" si="64"/>
        <v>361</v>
      </c>
      <c r="AJ395" s="22">
        <v>44940</v>
      </c>
      <c r="AK395" s="26">
        <f t="shared" ca="1" si="38"/>
        <v>0.39963343906564874</v>
      </c>
      <c r="AL395" s="29">
        <v>0</v>
      </c>
      <c r="AN395" s="22">
        <v>44940</v>
      </c>
      <c r="AO395" s="26">
        <f t="shared" ca="1" si="39"/>
        <v>0.25997805185232048</v>
      </c>
      <c r="AP395" s="29">
        <v>0</v>
      </c>
      <c r="AR395" s="22">
        <v>44940</v>
      </c>
      <c r="AS395" s="26">
        <f t="shared" ca="1" si="40"/>
        <v>0.64237258600289826</v>
      </c>
      <c r="AT395" s="29">
        <v>0</v>
      </c>
      <c r="AV395" s="22">
        <v>44940</v>
      </c>
      <c r="AW395" s="26">
        <f t="shared" ca="1" si="41"/>
        <v>0.34163076581871854</v>
      </c>
      <c r="AX395" s="29">
        <v>0</v>
      </c>
      <c r="AZ395" s="22">
        <v>44940</v>
      </c>
      <c r="BA395" s="26">
        <f t="shared" ca="1" si="42"/>
        <v>0.52415788189404233</v>
      </c>
      <c r="BB395" s="29">
        <v>0</v>
      </c>
      <c r="BC395"/>
      <c r="BD395" s="25"/>
      <c r="BF395" s="22">
        <v>44940</v>
      </c>
      <c r="BG395" s="26">
        <f t="shared" ca="1" si="43"/>
        <v>7.4505963250788732E-2</v>
      </c>
      <c r="BH395" s="29">
        <v>0</v>
      </c>
      <c r="BJ395" s="22">
        <v>44940</v>
      </c>
      <c r="BK395" s="26">
        <f t="shared" ca="1" si="44"/>
        <v>0.9357445569720616</v>
      </c>
      <c r="BL395" s="29">
        <v>0</v>
      </c>
      <c r="BN395" s="22">
        <v>44940</v>
      </c>
      <c r="BO395" s="26">
        <f t="shared" ca="1" si="45"/>
        <v>0.62697231830787337</v>
      </c>
      <c r="BP395" s="29">
        <v>0</v>
      </c>
      <c r="BR395" s="22">
        <v>44940</v>
      </c>
      <c r="BS395" s="26">
        <f t="shared" ca="1" si="46"/>
        <v>0.13929902745618217</v>
      </c>
      <c r="BT395" s="29">
        <v>0</v>
      </c>
      <c r="BV395" s="22">
        <v>44940</v>
      </c>
      <c r="BW395" s="26">
        <f t="shared" ca="1" si="47"/>
        <v>0.89302427132385409</v>
      </c>
      <c r="BX395" s="29">
        <v>0</v>
      </c>
    </row>
    <row r="396" spans="2:76" ht="12.75" x14ac:dyDescent="0.2">
      <c r="B396" s="22">
        <v>44941</v>
      </c>
      <c r="C396" s="26">
        <f t="shared" ca="1" si="56"/>
        <v>0.7667247580361084</v>
      </c>
      <c r="D396" s="29">
        <f t="shared" ca="1" si="53"/>
        <v>90</v>
      </c>
      <c r="F396" s="22">
        <v>44941</v>
      </c>
      <c r="G396" s="26">
        <f t="shared" ca="1" si="31"/>
        <v>0.71608928488394841</v>
      </c>
      <c r="H396" s="29">
        <f t="shared" ca="1" si="59"/>
        <v>224</v>
      </c>
      <c r="J396" s="22">
        <v>44941</v>
      </c>
      <c r="K396" s="26">
        <f t="shared" ca="1" si="32"/>
        <v>0.69902603856718237</v>
      </c>
      <c r="L396" s="29">
        <f t="shared" ca="1" si="60"/>
        <v>156</v>
      </c>
      <c r="N396" s="22">
        <v>44941</v>
      </c>
      <c r="O396" s="26">
        <f t="shared" ca="1" si="33"/>
        <v>0.63345979130999075</v>
      </c>
      <c r="P396" s="29">
        <f t="shared" ca="1" si="61"/>
        <v>235</v>
      </c>
      <c r="R396" s="22">
        <v>44941</v>
      </c>
      <c r="S396" s="26">
        <f t="shared" ca="1" si="34"/>
        <v>0.87563856033716969</v>
      </c>
      <c r="T396" s="29">
        <f t="shared" ca="1" si="62"/>
        <v>150</v>
      </c>
      <c r="V396" s="22">
        <v>44941</v>
      </c>
      <c r="W396" s="26">
        <f t="shared" ca="1" si="35"/>
        <v>0.84404182698815911</v>
      </c>
      <c r="X396" s="29">
        <f t="shared" ca="1" si="65"/>
        <v>241</v>
      </c>
      <c r="Z396" s="22">
        <v>44941</v>
      </c>
      <c r="AA396" s="26">
        <f t="shared" ca="1" si="36"/>
        <v>0.73003534840229956</v>
      </c>
      <c r="AB396" s="29">
        <f t="shared" ca="1" si="63"/>
        <v>282</v>
      </c>
      <c r="AC396"/>
      <c r="AD396" s="25"/>
      <c r="AF396" s="22">
        <v>44941</v>
      </c>
      <c r="AG396" s="26">
        <f t="shared" ca="1" si="37"/>
        <v>0.74752316740335523</v>
      </c>
      <c r="AH396" s="29">
        <f t="shared" ca="1" si="64"/>
        <v>386</v>
      </c>
      <c r="AJ396" s="22">
        <v>44941</v>
      </c>
      <c r="AK396" s="26">
        <f t="shared" ca="1" si="38"/>
        <v>0.31435025493901469</v>
      </c>
      <c r="AL396" s="29">
        <v>0</v>
      </c>
      <c r="AN396" s="22">
        <v>44941</v>
      </c>
      <c r="AO396" s="26">
        <f t="shared" ca="1" si="39"/>
        <v>0.69315852589345928</v>
      </c>
      <c r="AP396" s="29">
        <v>0</v>
      </c>
      <c r="AR396" s="22">
        <v>44941</v>
      </c>
      <c r="AS396" s="26">
        <f t="shared" ca="1" si="40"/>
        <v>0.87632544124624512</v>
      </c>
      <c r="AT396" s="29">
        <v>0</v>
      </c>
      <c r="AV396" s="22">
        <v>44941</v>
      </c>
      <c r="AW396" s="26">
        <f t="shared" ca="1" si="41"/>
        <v>0.69857779908645279</v>
      </c>
      <c r="AX396" s="29">
        <v>0</v>
      </c>
      <c r="AZ396" s="22">
        <v>44941</v>
      </c>
      <c r="BA396" s="26">
        <f t="shared" ca="1" si="42"/>
        <v>0.19941214571903543</v>
      </c>
      <c r="BB396" s="29">
        <v>0</v>
      </c>
      <c r="BC396"/>
      <c r="BD396" s="25"/>
      <c r="BF396" s="22">
        <v>44941</v>
      </c>
      <c r="BG396" s="26">
        <f t="shared" ca="1" si="43"/>
        <v>0.10493190600322966</v>
      </c>
      <c r="BH396" s="29">
        <v>0</v>
      </c>
      <c r="BJ396" s="22">
        <v>44941</v>
      </c>
      <c r="BK396" s="26">
        <f t="shared" ca="1" si="44"/>
        <v>0.15945258363287929</v>
      </c>
      <c r="BL396" s="29">
        <v>0</v>
      </c>
      <c r="BN396" s="22">
        <v>44941</v>
      </c>
      <c r="BO396" s="26">
        <f t="shared" ca="1" si="45"/>
        <v>0.66687034439761395</v>
      </c>
      <c r="BP396" s="29">
        <v>0</v>
      </c>
      <c r="BR396" s="22">
        <v>44941</v>
      </c>
      <c r="BS396" s="26">
        <f t="shared" ca="1" si="46"/>
        <v>0.32912291566610097</v>
      </c>
      <c r="BT396" s="29">
        <v>0</v>
      </c>
      <c r="BV396" s="22">
        <v>44941</v>
      </c>
      <c r="BW396" s="26">
        <f t="shared" ca="1" si="47"/>
        <v>0.25960966588199441</v>
      </c>
      <c r="BX396" s="29">
        <v>0</v>
      </c>
    </row>
    <row r="397" spans="2:76" ht="12.75" x14ac:dyDescent="0.2">
      <c r="B397" s="22">
        <v>44942</v>
      </c>
      <c r="C397" s="26">
        <f t="shared" ca="1" si="56"/>
        <v>0.13662196766618828</v>
      </c>
      <c r="D397" s="29">
        <f t="shared" ca="1" si="53"/>
        <v>54</v>
      </c>
      <c r="F397" s="22">
        <v>44942</v>
      </c>
      <c r="G397" s="26">
        <f t="shared" ca="1" si="31"/>
        <v>7.327424459532994E-2</v>
      </c>
      <c r="H397" s="29">
        <f t="shared" ca="1" si="59"/>
        <v>195</v>
      </c>
      <c r="J397" s="22">
        <v>44942</v>
      </c>
      <c r="K397" s="26">
        <f t="shared" ca="1" si="32"/>
        <v>0.16698363173644148</v>
      </c>
      <c r="L397" s="29">
        <f t="shared" ca="1" si="60"/>
        <v>141</v>
      </c>
      <c r="N397" s="22">
        <v>44942</v>
      </c>
      <c r="O397" s="26">
        <f t="shared" ca="1" si="33"/>
        <v>0.93160494206802513</v>
      </c>
      <c r="P397" s="29">
        <f t="shared" ca="1" si="61"/>
        <v>253</v>
      </c>
      <c r="R397" s="22">
        <v>44942</v>
      </c>
      <c r="S397" s="26">
        <f t="shared" ca="1" si="34"/>
        <v>0.65986125930292494</v>
      </c>
      <c r="T397" s="29">
        <f t="shared" ca="1" si="62"/>
        <v>143</v>
      </c>
      <c r="V397" s="22">
        <v>44942</v>
      </c>
      <c r="W397" s="26">
        <f t="shared" ca="1" si="35"/>
        <v>0.69586272146205252</v>
      </c>
      <c r="X397" s="29">
        <f t="shared" ca="1" si="65"/>
        <v>233</v>
      </c>
      <c r="Z397" s="22">
        <v>44942</v>
      </c>
      <c r="AA397" s="26">
        <f t="shared" ca="1" si="36"/>
        <v>0.78764568104368327</v>
      </c>
      <c r="AB397" s="29">
        <f t="shared" ca="1" si="63"/>
        <v>285</v>
      </c>
      <c r="AC397"/>
      <c r="AD397" s="25"/>
      <c r="AF397" s="22">
        <v>44942</v>
      </c>
      <c r="AG397" s="26">
        <f t="shared" ca="1" si="37"/>
        <v>0.14043056554628164</v>
      </c>
      <c r="AH397" s="29">
        <f t="shared" ca="1" si="64"/>
        <v>233</v>
      </c>
      <c r="AJ397" s="22">
        <v>44942</v>
      </c>
      <c r="AK397" s="26">
        <f t="shared" ca="1" si="38"/>
        <v>0.1498552256345157</v>
      </c>
      <c r="AL397" s="29">
        <v>0</v>
      </c>
      <c r="AN397" s="22">
        <v>44942</v>
      </c>
      <c r="AO397" s="26">
        <f t="shared" ca="1" si="39"/>
        <v>0.10033092336744387</v>
      </c>
      <c r="AP397" s="29">
        <v>0</v>
      </c>
      <c r="AR397" s="22">
        <v>44942</v>
      </c>
      <c r="AS397" s="26">
        <f t="shared" ca="1" si="40"/>
        <v>1.8773731959202067E-2</v>
      </c>
      <c r="AT397" s="29">
        <v>0</v>
      </c>
      <c r="AV397" s="22">
        <v>44942</v>
      </c>
      <c r="AW397" s="26">
        <f t="shared" ca="1" si="41"/>
        <v>0.48380247111409769</v>
      </c>
      <c r="AX397" s="29">
        <v>0</v>
      </c>
      <c r="AZ397" s="22">
        <v>44942</v>
      </c>
      <c r="BA397" s="26">
        <f t="shared" ca="1" si="42"/>
        <v>0.49210754065009343</v>
      </c>
      <c r="BB397" s="29">
        <v>0</v>
      </c>
      <c r="BC397"/>
      <c r="BD397" s="25"/>
      <c r="BF397" s="22">
        <v>44942</v>
      </c>
      <c r="BG397" s="26">
        <f t="shared" ca="1" si="43"/>
        <v>0.28282830384230639</v>
      </c>
      <c r="BH397" s="29">
        <v>0</v>
      </c>
      <c r="BJ397" s="22">
        <v>44942</v>
      </c>
      <c r="BK397" s="26">
        <f t="shared" ca="1" si="44"/>
        <v>0.99604749738097886</v>
      </c>
      <c r="BL397" s="29">
        <v>0</v>
      </c>
      <c r="BN397" s="22">
        <v>44942</v>
      </c>
      <c r="BO397" s="26">
        <f t="shared" ca="1" si="45"/>
        <v>0.54882849159924607</v>
      </c>
      <c r="BP397" s="29">
        <v>0</v>
      </c>
      <c r="BR397" s="22">
        <v>44942</v>
      </c>
      <c r="BS397" s="26">
        <f t="shared" ca="1" si="46"/>
        <v>0.85483614469020752</v>
      </c>
      <c r="BT397" s="29">
        <v>0</v>
      </c>
      <c r="BV397" s="22">
        <v>44942</v>
      </c>
      <c r="BW397" s="26">
        <f t="shared" ca="1" si="47"/>
        <v>0.23865158220528193</v>
      </c>
      <c r="BX397" s="29">
        <v>0</v>
      </c>
    </row>
    <row r="398" spans="2:76" ht="12.75" x14ac:dyDescent="0.2">
      <c r="B398" s="22">
        <v>44943</v>
      </c>
      <c r="C398" s="26">
        <f t="shared" ca="1" si="56"/>
        <v>0.28508149443530895</v>
      </c>
      <c r="D398" s="29">
        <f t="shared" ca="1" si="53"/>
        <v>64</v>
      </c>
      <c r="F398" s="22">
        <v>44943</v>
      </c>
      <c r="G398" s="26">
        <f t="shared" ca="1" si="31"/>
        <v>0.41159641959788273</v>
      </c>
      <c r="H398" s="29">
        <f t="shared" ca="1" si="59"/>
        <v>213</v>
      </c>
      <c r="J398" s="22">
        <v>44943</v>
      </c>
      <c r="K398" s="26">
        <f t="shared" ca="1" si="32"/>
        <v>0.61569762401528205</v>
      </c>
      <c r="L398" s="29">
        <f t="shared" ca="1" si="60"/>
        <v>153</v>
      </c>
      <c r="N398" s="22">
        <v>44943</v>
      </c>
      <c r="O398" s="26">
        <f t="shared" ca="1" si="33"/>
        <v>0.38533598866000407</v>
      </c>
      <c r="P398" s="29">
        <f t="shared" ca="1" si="61"/>
        <v>225</v>
      </c>
      <c r="R398" s="22">
        <v>44943</v>
      </c>
      <c r="S398" s="26">
        <f t="shared" ca="1" si="34"/>
        <v>0.37041801289203802</v>
      </c>
      <c r="T398" s="29">
        <f t="shared" ca="1" si="62"/>
        <v>136</v>
      </c>
      <c r="V398" s="22">
        <v>44943</v>
      </c>
      <c r="W398" s="26">
        <f t="shared" ca="1" si="35"/>
        <v>2.8862976084970127E-2</v>
      </c>
      <c r="X398" s="29">
        <f t="shared" ca="1" si="65"/>
        <v>197</v>
      </c>
      <c r="Z398" s="22">
        <v>44943</v>
      </c>
      <c r="AA398" s="26">
        <f t="shared" ca="1" si="36"/>
        <v>0.31508229552665123</v>
      </c>
      <c r="AB398" s="29">
        <f t="shared" ca="1" si="63"/>
        <v>262</v>
      </c>
      <c r="AC398"/>
      <c r="AD398" s="25"/>
      <c r="AF398" s="22">
        <v>44943</v>
      </c>
      <c r="AG398" s="26">
        <f t="shared" ca="1" si="37"/>
        <v>0.75909710795028063</v>
      </c>
      <c r="AH398" s="29">
        <f t="shared" ca="1" si="64"/>
        <v>389</v>
      </c>
      <c r="AJ398" s="22">
        <v>44943</v>
      </c>
      <c r="AK398" s="26">
        <f t="shared" ca="1" si="38"/>
        <v>0.82101011020430759</v>
      </c>
      <c r="AL398" s="29">
        <v>0</v>
      </c>
      <c r="AN398" s="22">
        <v>44943</v>
      </c>
      <c r="AO398" s="26">
        <f t="shared" ca="1" si="39"/>
        <v>0.43073499636469326</v>
      </c>
      <c r="AP398" s="29">
        <v>0</v>
      </c>
      <c r="AR398" s="22">
        <v>44943</v>
      </c>
      <c r="AS398" s="26">
        <f t="shared" ca="1" si="40"/>
        <v>0.59176918022506197</v>
      </c>
      <c r="AT398" s="29">
        <v>0</v>
      </c>
      <c r="AV398" s="22">
        <v>44943</v>
      </c>
      <c r="AW398" s="26">
        <f t="shared" ca="1" si="41"/>
        <v>0.42042741244774218</v>
      </c>
      <c r="AX398" s="29">
        <v>0</v>
      </c>
      <c r="AZ398" s="22">
        <v>44943</v>
      </c>
      <c r="BA398" s="26">
        <f t="shared" ca="1" si="42"/>
        <v>0.62358016092037805</v>
      </c>
      <c r="BB398" s="29">
        <v>0</v>
      </c>
      <c r="BC398"/>
      <c r="BD398" s="25"/>
      <c r="BF398" s="22">
        <v>44943</v>
      </c>
      <c r="BG398" s="26">
        <f t="shared" ca="1" si="43"/>
        <v>0.45461959279482411</v>
      </c>
      <c r="BH398" s="29">
        <v>0</v>
      </c>
      <c r="BJ398" s="22">
        <v>44943</v>
      </c>
      <c r="BK398" s="26">
        <f t="shared" ca="1" si="44"/>
        <v>0.9193705191928907</v>
      </c>
      <c r="BL398" s="29">
        <v>0</v>
      </c>
      <c r="BN398" s="22">
        <v>44943</v>
      </c>
      <c r="BO398" s="26">
        <f t="shared" ca="1" si="45"/>
        <v>0.31137476078120208</v>
      </c>
      <c r="BP398" s="29">
        <v>0</v>
      </c>
      <c r="BR398" s="22">
        <v>44943</v>
      </c>
      <c r="BS398" s="26">
        <f t="shared" ca="1" si="46"/>
        <v>6.0599735162743085E-2</v>
      </c>
      <c r="BT398" s="29">
        <v>0</v>
      </c>
      <c r="BV398" s="22">
        <v>44943</v>
      </c>
      <c r="BW398" s="26">
        <f t="shared" ca="1" si="47"/>
        <v>0.8706019912968973</v>
      </c>
      <c r="BX398" s="29">
        <v>0</v>
      </c>
    </row>
    <row r="399" spans="2:76" ht="12.75" x14ac:dyDescent="0.2">
      <c r="B399" s="22">
        <v>44944</v>
      </c>
      <c r="C399" s="26">
        <f t="shared" ca="1" si="56"/>
        <v>0.87334747795792789</v>
      </c>
      <c r="D399" s="29">
        <f t="shared" ca="1" si="53"/>
        <v>98</v>
      </c>
      <c r="F399" s="22">
        <v>44944</v>
      </c>
      <c r="G399" s="26">
        <f t="shared" ca="1" si="31"/>
        <v>4.6575393676204779E-2</v>
      </c>
      <c r="H399" s="29">
        <f t="shared" ca="1" si="59"/>
        <v>192</v>
      </c>
      <c r="J399" s="22">
        <v>44944</v>
      </c>
      <c r="K399" s="26">
        <f t="shared" ca="1" si="32"/>
        <v>0.37644877783949104</v>
      </c>
      <c r="L399" s="29">
        <f t="shared" ca="1" si="60"/>
        <v>147</v>
      </c>
      <c r="N399" s="22">
        <v>44944</v>
      </c>
      <c r="O399" s="26">
        <f t="shared" ca="1" si="33"/>
        <v>0.94937126682975193</v>
      </c>
      <c r="P399" s="29">
        <f t="shared" ca="1" si="61"/>
        <v>255</v>
      </c>
      <c r="R399" s="22">
        <v>44944</v>
      </c>
      <c r="S399" s="26">
        <f t="shared" ca="1" si="34"/>
        <v>0.80191772723727761</v>
      </c>
      <c r="T399" s="29">
        <f t="shared" ca="1" si="62"/>
        <v>147</v>
      </c>
      <c r="V399" s="22">
        <v>44944</v>
      </c>
      <c r="W399" s="26">
        <f t="shared" ca="1" si="35"/>
        <v>0.32885047844475868</v>
      </c>
      <c r="X399" s="29">
        <f t="shared" ca="1" si="65"/>
        <v>219</v>
      </c>
      <c r="Z399" s="22">
        <v>44944</v>
      </c>
      <c r="AA399" s="26">
        <f t="shared" ca="1" si="36"/>
        <v>0.90500121505063602</v>
      </c>
      <c r="AB399" s="29">
        <f t="shared" ca="1" si="63"/>
        <v>294</v>
      </c>
      <c r="AC399"/>
      <c r="AD399" s="25"/>
      <c r="AF399" s="22">
        <v>44944</v>
      </c>
      <c r="AG399" s="26">
        <f t="shared" ca="1" si="37"/>
        <v>0.82423661648293145</v>
      </c>
      <c r="AH399" s="29">
        <f t="shared" ca="1" si="64"/>
        <v>409</v>
      </c>
      <c r="AJ399" s="22">
        <v>44944</v>
      </c>
      <c r="AK399" s="26">
        <f t="shared" ca="1" si="38"/>
        <v>0.20723158080013504</v>
      </c>
      <c r="AL399" s="29">
        <v>0</v>
      </c>
      <c r="AN399" s="22">
        <v>44944</v>
      </c>
      <c r="AO399" s="26">
        <f t="shared" ca="1" si="39"/>
        <v>0.454104173704443</v>
      </c>
      <c r="AP399" s="29">
        <v>0</v>
      </c>
      <c r="AR399" s="22">
        <v>44944</v>
      </c>
      <c r="AS399" s="26">
        <f t="shared" ca="1" si="40"/>
        <v>0.33762055280834113</v>
      </c>
      <c r="AT399" s="29">
        <v>0</v>
      </c>
      <c r="AV399" s="22">
        <v>44944</v>
      </c>
      <c r="AW399" s="26">
        <f t="shared" ca="1" si="41"/>
        <v>0.33078642636632394</v>
      </c>
      <c r="AX399" s="29">
        <v>0</v>
      </c>
      <c r="AZ399" s="22">
        <v>44944</v>
      </c>
      <c r="BA399" s="26">
        <f t="shared" ca="1" si="42"/>
        <v>0.64995832407448872</v>
      </c>
      <c r="BB399" s="29">
        <v>0</v>
      </c>
      <c r="BC399"/>
      <c r="BD399" s="25"/>
      <c r="BF399" s="22">
        <v>44944</v>
      </c>
      <c r="BG399" s="26">
        <f t="shared" ca="1" si="43"/>
        <v>0.32309733807373275</v>
      </c>
      <c r="BH399" s="29">
        <v>0</v>
      </c>
      <c r="BJ399" s="22">
        <v>44944</v>
      </c>
      <c r="BK399" s="26">
        <f t="shared" ca="1" si="44"/>
        <v>0.37120899587286249</v>
      </c>
      <c r="BL399" s="29">
        <v>0</v>
      </c>
      <c r="BN399" s="22">
        <v>44944</v>
      </c>
      <c r="BO399" s="26">
        <f t="shared" ca="1" si="45"/>
        <v>0.67029602176450731</v>
      </c>
      <c r="BP399" s="29">
        <v>0</v>
      </c>
      <c r="BR399" s="22">
        <v>44944</v>
      </c>
      <c r="BS399" s="26">
        <f t="shared" ca="1" si="46"/>
        <v>0.22423039521561883</v>
      </c>
      <c r="BT399" s="29">
        <v>0</v>
      </c>
      <c r="BV399" s="22">
        <v>44944</v>
      </c>
      <c r="BW399" s="26">
        <f t="shared" ca="1" si="47"/>
        <v>0.42052649625320304</v>
      </c>
      <c r="BX399" s="29">
        <v>0</v>
      </c>
    </row>
    <row r="400" spans="2:76" ht="12.75" x14ac:dyDescent="0.2">
      <c r="B400" s="22">
        <v>44945</v>
      </c>
      <c r="C400" s="26">
        <f t="shared" ca="1" si="56"/>
        <v>0.23581268832345925</v>
      </c>
      <c r="D400" s="29">
        <f t="shared" ca="1" si="53"/>
        <v>61</v>
      </c>
      <c r="F400" s="22">
        <v>44945</v>
      </c>
      <c r="G400" s="26">
        <f t="shared" ca="1" si="31"/>
        <v>0.25433695229452757</v>
      </c>
      <c r="H400" s="29">
        <f t="shared" ca="1" si="59"/>
        <v>206</v>
      </c>
      <c r="J400" s="22">
        <v>44945</v>
      </c>
      <c r="K400" s="26">
        <f t="shared" ca="1" si="32"/>
        <v>0.60195764401855378</v>
      </c>
      <c r="L400" s="29">
        <f t="shared" ca="1" si="60"/>
        <v>153</v>
      </c>
      <c r="N400" s="22">
        <v>44945</v>
      </c>
      <c r="O400" s="26">
        <f t="shared" ca="1" si="33"/>
        <v>0.58216199044056904</v>
      </c>
      <c r="P400" s="29">
        <f t="shared" ca="1" si="61"/>
        <v>233</v>
      </c>
      <c r="R400" s="22">
        <v>44945</v>
      </c>
      <c r="S400" s="26">
        <f t="shared" ca="1" si="34"/>
        <v>0.16927889724560718</v>
      </c>
      <c r="T400" s="29">
        <f t="shared" ca="1" si="62"/>
        <v>130</v>
      </c>
      <c r="V400" s="22">
        <v>44945</v>
      </c>
      <c r="W400" s="26">
        <f t="shared" ca="1" si="35"/>
        <v>0.46095146022440348</v>
      </c>
      <c r="X400" s="29">
        <f t="shared" ca="1" si="65"/>
        <v>224</v>
      </c>
      <c r="Z400" s="22">
        <v>44945</v>
      </c>
      <c r="AA400" s="26">
        <f t="shared" ca="1" si="36"/>
        <v>0.10619631352383718</v>
      </c>
      <c r="AB400" s="29">
        <f t="shared" ca="1" si="63"/>
        <v>248</v>
      </c>
      <c r="AC400"/>
      <c r="AD400" s="25"/>
      <c r="AF400" s="22">
        <v>44945</v>
      </c>
      <c r="AG400" s="26">
        <f t="shared" ca="1" si="37"/>
        <v>0.40702836046397506</v>
      </c>
      <c r="AH400" s="29">
        <f t="shared" ca="1" si="64"/>
        <v>307</v>
      </c>
      <c r="AJ400" s="22">
        <v>44945</v>
      </c>
      <c r="AK400" s="26">
        <f t="shared" ca="1" si="38"/>
        <v>0.4762638880024912</v>
      </c>
      <c r="AL400" s="29">
        <v>0</v>
      </c>
      <c r="AN400" s="22">
        <v>44945</v>
      </c>
      <c r="AO400" s="26">
        <f t="shared" ca="1" si="39"/>
        <v>0.48411550351596044</v>
      </c>
      <c r="AP400" s="29">
        <v>0</v>
      </c>
      <c r="AR400" s="22">
        <v>44945</v>
      </c>
      <c r="AS400" s="26">
        <f t="shared" ca="1" si="40"/>
        <v>0.66974612343918294</v>
      </c>
      <c r="AT400" s="29">
        <v>0</v>
      </c>
      <c r="AV400" s="22">
        <v>44945</v>
      </c>
      <c r="AW400" s="26">
        <f t="shared" ca="1" si="41"/>
        <v>0.29170152826517515</v>
      </c>
      <c r="AX400" s="29">
        <v>0</v>
      </c>
      <c r="AZ400" s="22">
        <v>44945</v>
      </c>
      <c r="BA400" s="26">
        <f t="shared" ca="1" si="42"/>
        <v>7.5491565452515119E-2</v>
      </c>
      <c r="BB400" s="29">
        <v>0</v>
      </c>
      <c r="BC400"/>
      <c r="BD400" s="25"/>
      <c r="BF400" s="22">
        <v>44945</v>
      </c>
      <c r="BG400" s="26">
        <f t="shared" ca="1" si="43"/>
        <v>0.26059826901285654</v>
      </c>
      <c r="BH400" s="29">
        <v>0</v>
      </c>
      <c r="BJ400" s="22">
        <v>44945</v>
      </c>
      <c r="BK400" s="26">
        <f t="shared" ca="1" si="44"/>
        <v>0.73464229179647467</v>
      </c>
      <c r="BL400" s="29">
        <v>0</v>
      </c>
      <c r="BN400" s="22">
        <v>44945</v>
      </c>
      <c r="BO400" s="26">
        <f t="shared" ca="1" si="45"/>
        <v>0.48271048523824533</v>
      </c>
      <c r="BP400" s="29">
        <v>0</v>
      </c>
      <c r="BR400" s="22">
        <v>44945</v>
      </c>
      <c r="BS400" s="26">
        <f t="shared" ca="1" si="46"/>
        <v>0.5828833520640736</v>
      </c>
      <c r="BT400" s="29">
        <v>0</v>
      </c>
      <c r="BV400" s="22">
        <v>44945</v>
      </c>
      <c r="BW400" s="26">
        <f t="shared" ca="1" si="47"/>
        <v>0.65262509814806391</v>
      </c>
      <c r="BX400" s="29">
        <v>0</v>
      </c>
    </row>
    <row r="401" spans="2:77" ht="12.75" x14ac:dyDescent="0.2">
      <c r="B401" s="22">
        <v>44946</v>
      </c>
      <c r="C401" s="26">
        <f t="shared" ca="1" si="56"/>
        <v>0.25947579347172778</v>
      </c>
      <c r="D401" s="29">
        <f t="shared" ca="1" si="53"/>
        <v>63</v>
      </c>
      <c r="F401" s="22">
        <v>44946</v>
      </c>
      <c r="G401" s="26">
        <f t="shared" ca="1" si="31"/>
        <v>0.61820483212144151</v>
      </c>
      <c r="H401" s="29">
        <f t="shared" ca="1" si="59"/>
        <v>220</v>
      </c>
      <c r="J401" s="22">
        <v>44946</v>
      </c>
      <c r="K401" s="26">
        <f t="shared" ca="1" si="32"/>
        <v>0.93044892367037624</v>
      </c>
      <c r="L401" s="29">
        <f t="shared" ca="1" si="60"/>
        <v>165</v>
      </c>
      <c r="N401" s="22">
        <v>44946</v>
      </c>
      <c r="O401" s="26">
        <f t="shared" ca="1" si="33"/>
        <v>0.2876128268503465</v>
      </c>
      <c r="P401" s="29">
        <f t="shared" ca="1" si="61"/>
        <v>221</v>
      </c>
      <c r="R401" s="22">
        <v>44946</v>
      </c>
      <c r="S401" s="26">
        <f t="shared" ca="1" si="34"/>
        <v>0.30460317940786685</v>
      </c>
      <c r="T401" s="29">
        <f t="shared" ca="1" si="62"/>
        <v>135</v>
      </c>
      <c r="V401" s="22">
        <v>44946</v>
      </c>
      <c r="W401" s="26">
        <f t="shared" ca="1" si="35"/>
        <v>0.3481195049196657</v>
      </c>
      <c r="X401" s="29">
        <f t="shared" ca="1" si="65"/>
        <v>220</v>
      </c>
      <c r="Z401" s="22">
        <v>44946</v>
      </c>
      <c r="AA401" s="26">
        <f t="shared" ca="1" si="36"/>
        <v>0.38626579885380918</v>
      </c>
      <c r="AB401" s="29">
        <f t="shared" ca="1" si="63"/>
        <v>265</v>
      </c>
      <c r="AC401"/>
      <c r="AD401" s="25"/>
      <c r="AF401" s="22">
        <v>44946</v>
      </c>
      <c r="AG401" s="26">
        <f t="shared" ca="1" si="37"/>
        <v>0.96163165404772266</v>
      </c>
      <c r="AH401" s="29">
        <f t="shared" ca="1" si="64"/>
        <v>482</v>
      </c>
      <c r="AJ401" s="22">
        <v>44946</v>
      </c>
      <c r="AK401" s="26">
        <f t="shared" ca="1" si="38"/>
        <v>0.74914265064082974</v>
      </c>
      <c r="AL401" s="29">
        <v>0</v>
      </c>
      <c r="AN401" s="22">
        <v>44946</v>
      </c>
      <c r="AO401" s="26">
        <f t="shared" ca="1" si="39"/>
        <v>1.0648702579979519E-2</v>
      </c>
      <c r="AP401" s="29">
        <v>0</v>
      </c>
      <c r="AR401" s="22">
        <v>44946</v>
      </c>
      <c r="AS401" s="26">
        <f t="shared" ca="1" si="40"/>
        <v>0.15072061287592275</v>
      </c>
      <c r="AT401" s="29">
        <v>0</v>
      </c>
      <c r="AV401" s="22">
        <v>44946</v>
      </c>
      <c r="AW401" s="26">
        <f t="shared" ca="1" si="41"/>
        <v>0.3181903150632539</v>
      </c>
      <c r="AX401" s="29">
        <v>0</v>
      </c>
      <c r="AZ401" s="22">
        <v>44946</v>
      </c>
      <c r="BA401" s="26">
        <f t="shared" ca="1" si="42"/>
        <v>0.94620400498461943</v>
      </c>
      <c r="BB401" s="29">
        <v>0</v>
      </c>
      <c r="BC401"/>
      <c r="BD401" s="25"/>
      <c r="BF401" s="22">
        <v>44946</v>
      </c>
      <c r="BG401" s="26">
        <f t="shared" ca="1" si="43"/>
        <v>0.94549624232930651</v>
      </c>
      <c r="BH401" s="29">
        <v>0</v>
      </c>
      <c r="BJ401" s="22">
        <v>44946</v>
      </c>
      <c r="BK401" s="26">
        <f t="shared" ca="1" si="44"/>
        <v>0.82745970430681204</v>
      </c>
      <c r="BL401" s="29">
        <v>0</v>
      </c>
      <c r="BN401" s="22">
        <v>44946</v>
      </c>
      <c r="BO401" s="26">
        <f t="shared" ca="1" si="45"/>
        <v>0.41216925413183136</v>
      </c>
      <c r="BP401" s="29">
        <v>0</v>
      </c>
      <c r="BR401" s="22">
        <v>44946</v>
      </c>
      <c r="BS401" s="26">
        <f t="shared" ca="1" si="46"/>
        <v>0.8703994285054184</v>
      </c>
      <c r="BT401" s="29">
        <v>0</v>
      </c>
      <c r="BV401" s="22">
        <v>44946</v>
      </c>
      <c r="BW401" s="26">
        <f t="shared" ca="1" si="47"/>
        <v>0.55814779943427284</v>
      </c>
      <c r="BX401" s="29">
        <v>0</v>
      </c>
    </row>
    <row r="402" spans="2:77" ht="12.75" x14ac:dyDescent="0.2">
      <c r="B402" s="22">
        <v>44947</v>
      </c>
      <c r="C402" s="26">
        <f t="shared" ca="1" si="56"/>
        <v>0.91036584996773051</v>
      </c>
      <c r="D402" s="29">
        <f t="shared" ref="D402:D465" ca="1" si="66">ROUNDUP(_xlfn.NORM.INV(C402,C$10,C$12),0)</f>
        <v>102</v>
      </c>
      <c r="F402" s="22">
        <v>44947</v>
      </c>
      <c r="G402" s="26">
        <f t="shared" ca="1" si="31"/>
        <v>0.13235498870912854</v>
      </c>
      <c r="H402" s="29">
        <f t="shared" ca="1" si="59"/>
        <v>200</v>
      </c>
      <c r="J402" s="22">
        <v>44947</v>
      </c>
      <c r="K402" s="26">
        <f t="shared" ca="1" si="32"/>
        <v>0.42346983585603226</v>
      </c>
      <c r="L402" s="29">
        <f t="shared" ca="1" si="60"/>
        <v>149</v>
      </c>
      <c r="N402" s="22">
        <v>44947</v>
      </c>
      <c r="O402" s="26">
        <f t="shared" ca="1" si="33"/>
        <v>0.57579288532380091</v>
      </c>
      <c r="P402" s="29">
        <f t="shared" ca="1" si="61"/>
        <v>233</v>
      </c>
      <c r="R402" s="22">
        <v>44947</v>
      </c>
      <c r="S402" s="26">
        <f t="shared" ca="1" si="34"/>
        <v>0.72206411852612606</v>
      </c>
      <c r="T402" s="29">
        <f t="shared" ca="1" si="62"/>
        <v>145</v>
      </c>
      <c r="V402" s="22">
        <v>44947</v>
      </c>
      <c r="W402" s="26">
        <f t="shared" ca="1" si="35"/>
        <v>0.59045913988140641</v>
      </c>
      <c r="X402" s="29">
        <f t="shared" ca="1" si="65"/>
        <v>229</v>
      </c>
      <c r="Z402" s="22">
        <v>44947</v>
      </c>
      <c r="AA402" s="26">
        <f t="shared" ca="1" si="36"/>
        <v>0.97197481138582453</v>
      </c>
      <c r="AB402" s="29">
        <f t="shared" ca="1" si="63"/>
        <v>305</v>
      </c>
      <c r="AC402"/>
      <c r="AD402" s="25"/>
      <c r="AF402" s="22">
        <v>44947</v>
      </c>
      <c r="AG402" s="26">
        <f t="shared" ca="1" si="37"/>
        <v>0.34536595478747967</v>
      </c>
      <c r="AH402" s="29">
        <f t="shared" ca="1" si="64"/>
        <v>293</v>
      </c>
      <c r="AJ402" s="22">
        <v>44947</v>
      </c>
      <c r="AK402" s="26">
        <f t="shared" ca="1" si="38"/>
        <v>0.43651873559731613</v>
      </c>
      <c r="AL402" s="29">
        <v>0</v>
      </c>
      <c r="AN402" s="22">
        <v>44947</v>
      </c>
      <c r="AO402" s="26">
        <f t="shared" ca="1" si="39"/>
        <v>0.19567872314639745</v>
      </c>
      <c r="AP402" s="29">
        <v>0</v>
      </c>
      <c r="AR402" s="22">
        <v>44947</v>
      </c>
      <c r="AS402" s="26">
        <f t="shared" ca="1" si="40"/>
        <v>9.969828596949204E-2</v>
      </c>
      <c r="AT402" s="29">
        <v>0</v>
      </c>
      <c r="AV402" s="22">
        <v>44947</v>
      </c>
      <c r="AW402" s="26">
        <f t="shared" ca="1" si="41"/>
        <v>0.35492417282941335</v>
      </c>
      <c r="AX402" s="29">
        <v>0</v>
      </c>
      <c r="AZ402" s="22">
        <v>44947</v>
      </c>
      <c r="BA402" s="26">
        <f t="shared" ca="1" si="42"/>
        <v>0.54278022051607633</v>
      </c>
      <c r="BB402" s="29">
        <v>0</v>
      </c>
      <c r="BC402"/>
      <c r="BD402" s="25"/>
      <c r="BF402" s="22">
        <v>44947</v>
      </c>
      <c r="BG402" s="26">
        <f t="shared" ca="1" si="43"/>
        <v>0.56746841651522661</v>
      </c>
      <c r="BH402" s="29">
        <v>0</v>
      </c>
      <c r="BJ402" s="22">
        <v>44947</v>
      </c>
      <c r="BK402" s="26">
        <f t="shared" ca="1" si="44"/>
        <v>0.52833035913320436</v>
      </c>
      <c r="BL402" s="29">
        <v>0</v>
      </c>
      <c r="BN402" s="22">
        <v>44947</v>
      </c>
      <c r="BO402" s="26">
        <f t="shared" ca="1" si="45"/>
        <v>1.2694922075665138E-2</v>
      </c>
      <c r="BP402" s="29">
        <v>0</v>
      </c>
      <c r="BR402" s="22">
        <v>44947</v>
      </c>
      <c r="BS402" s="26">
        <f t="shared" ca="1" si="46"/>
        <v>0.74705324982805932</v>
      </c>
      <c r="BT402" s="29">
        <v>0</v>
      </c>
      <c r="BV402" s="22">
        <v>44947</v>
      </c>
      <c r="BW402" s="26">
        <f t="shared" ca="1" si="47"/>
        <v>0.51677516798410206</v>
      </c>
      <c r="BX402" s="29">
        <v>0</v>
      </c>
    </row>
    <row r="403" spans="2:77" ht="12.75" x14ac:dyDescent="0.2">
      <c r="B403" s="22">
        <v>44948</v>
      </c>
      <c r="C403" s="26">
        <f t="shared" ca="1" si="56"/>
        <v>0.27956029352196798</v>
      </c>
      <c r="D403" s="29">
        <f t="shared" ca="1" si="66"/>
        <v>64</v>
      </c>
      <c r="F403" s="22">
        <v>44948</v>
      </c>
      <c r="G403" s="26">
        <f t="shared" ca="1" si="31"/>
        <v>0.56129969986388772</v>
      </c>
      <c r="H403" s="29">
        <f t="shared" ca="1" si="59"/>
        <v>218</v>
      </c>
      <c r="J403" s="22">
        <v>44948</v>
      </c>
      <c r="K403" s="26">
        <f t="shared" ca="1" si="32"/>
        <v>0.55557755180982482</v>
      </c>
      <c r="L403" s="29">
        <f t="shared" ca="1" si="60"/>
        <v>152</v>
      </c>
      <c r="N403" s="22">
        <v>44948</v>
      </c>
      <c r="O403" s="26">
        <f t="shared" ca="1" si="33"/>
        <v>0.25978024018610257</v>
      </c>
      <c r="P403" s="29">
        <f t="shared" ca="1" si="61"/>
        <v>220</v>
      </c>
      <c r="R403" s="22">
        <v>44948</v>
      </c>
      <c r="S403" s="26">
        <f t="shared" ca="1" si="34"/>
        <v>0.55295024388001501</v>
      </c>
      <c r="T403" s="29">
        <f t="shared" ca="1" si="62"/>
        <v>140</v>
      </c>
      <c r="V403" s="22">
        <v>44948</v>
      </c>
      <c r="W403" s="26">
        <f t="shared" ca="1" si="35"/>
        <v>0.4400425229644499</v>
      </c>
      <c r="X403" s="29">
        <f t="shared" ca="1" si="65"/>
        <v>223</v>
      </c>
      <c r="Z403" s="22">
        <v>44948</v>
      </c>
      <c r="AA403" s="26">
        <f t="shared" ca="1" si="36"/>
        <v>0.72488198162868922</v>
      </c>
      <c r="AB403" s="29">
        <f t="shared" ca="1" si="63"/>
        <v>281</v>
      </c>
      <c r="AC403"/>
      <c r="AD403" s="25"/>
      <c r="AF403" s="22">
        <v>44948</v>
      </c>
      <c r="AG403" s="26">
        <f t="shared" ca="1" si="37"/>
        <v>0.70776450153120285</v>
      </c>
      <c r="AH403" s="29">
        <f t="shared" ca="1" si="64"/>
        <v>375</v>
      </c>
      <c r="AJ403" s="22">
        <v>44948</v>
      </c>
      <c r="AK403" s="26">
        <f t="shared" ca="1" si="38"/>
        <v>0.36734889211705679</v>
      </c>
      <c r="AL403" s="29">
        <v>0</v>
      </c>
      <c r="AN403" s="22">
        <v>44948</v>
      </c>
      <c r="AO403" s="26">
        <f t="shared" ca="1" si="39"/>
        <v>0.78891346612176494</v>
      </c>
      <c r="AP403" s="29">
        <v>0</v>
      </c>
      <c r="AR403" s="22">
        <v>44948</v>
      </c>
      <c r="AS403" s="26">
        <f t="shared" ca="1" si="40"/>
        <v>0.30167683824796232</v>
      </c>
      <c r="AT403" s="29">
        <v>0</v>
      </c>
      <c r="AV403" s="22">
        <v>44948</v>
      </c>
      <c r="AW403" s="26">
        <f t="shared" ca="1" si="41"/>
        <v>0.27202053139495486</v>
      </c>
      <c r="AX403" s="29">
        <v>0</v>
      </c>
      <c r="AZ403" s="22">
        <v>44948</v>
      </c>
      <c r="BA403" s="26">
        <f t="shared" ca="1" si="42"/>
        <v>0.93949345267940376</v>
      </c>
      <c r="BB403" s="29">
        <v>0</v>
      </c>
      <c r="BC403"/>
      <c r="BD403" s="25"/>
      <c r="BF403" s="22">
        <v>44948</v>
      </c>
      <c r="BG403" s="26">
        <f t="shared" ca="1" si="43"/>
        <v>0.13728585818671268</v>
      </c>
      <c r="BH403" s="29">
        <v>0</v>
      </c>
      <c r="BJ403" s="22">
        <v>44948</v>
      </c>
      <c r="BK403" s="26">
        <f t="shared" ca="1" si="44"/>
        <v>0.96740810364223273</v>
      </c>
      <c r="BL403" s="29">
        <v>0</v>
      </c>
      <c r="BN403" s="22">
        <v>44948</v>
      </c>
      <c r="BO403" s="26">
        <f t="shared" ca="1" si="45"/>
        <v>0.74279690531345743</v>
      </c>
      <c r="BP403" s="29">
        <v>0</v>
      </c>
      <c r="BR403" s="22">
        <v>44948</v>
      </c>
      <c r="BS403" s="26">
        <f t="shared" ca="1" si="46"/>
        <v>0.17554851005576133</v>
      </c>
      <c r="BT403" s="29">
        <v>0</v>
      </c>
      <c r="BV403" s="22">
        <v>44948</v>
      </c>
      <c r="BW403" s="26">
        <f t="shared" ca="1" si="47"/>
        <v>0.18190584617497429</v>
      </c>
      <c r="BX403" s="29">
        <v>0</v>
      </c>
    </row>
    <row r="404" spans="2:77" ht="12.75" x14ac:dyDescent="0.2">
      <c r="B404" s="22">
        <v>44949</v>
      </c>
      <c r="C404" s="26">
        <f t="shared" ca="1" si="56"/>
        <v>0.43057952342925798</v>
      </c>
      <c r="D404" s="29">
        <f t="shared" ca="1" si="66"/>
        <v>72</v>
      </c>
      <c r="F404" s="22">
        <v>44949</v>
      </c>
      <c r="G404" s="26">
        <f t="shared" ca="1" si="31"/>
        <v>0.87210733909988858</v>
      </c>
      <c r="H404" s="29">
        <f t="shared" ca="1" si="59"/>
        <v>232</v>
      </c>
      <c r="J404" s="22">
        <v>44949</v>
      </c>
      <c r="K404" s="26">
        <f t="shared" ca="1" si="32"/>
        <v>0.27764949296268404</v>
      </c>
      <c r="L404" s="29">
        <f t="shared" ca="1" si="60"/>
        <v>145</v>
      </c>
      <c r="N404" s="22">
        <v>44949</v>
      </c>
      <c r="O404" s="26">
        <f t="shared" ca="1" si="33"/>
        <v>0.10229145682808172</v>
      </c>
      <c r="P404" s="29">
        <f t="shared" ca="1" si="61"/>
        <v>210</v>
      </c>
      <c r="R404" s="22">
        <v>44949</v>
      </c>
      <c r="S404" s="26">
        <f t="shared" ca="1" si="34"/>
        <v>0.9905334084993439</v>
      </c>
      <c r="T404" s="29">
        <f t="shared" ca="1" si="62"/>
        <v>161</v>
      </c>
      <c r="V404" s="22">
        <v>44949</v>
      </c>
      <c r="W404" s="26">
        <f t="shared" ca="1" si="35"/>
        <v>0.3976525806113449</v>
      </c>
      <c r="X404" s="29">
        <f t="shared" ca="1" si="65"/>
        <v>222</v>
      </c>
      <c r="Z404" s="22">
        <v>44949</v>
      </c>
      <c r="AA404" s="26">
        <f t="shared" ca="1" si="36"/>
        <v>0.14169115116368336</v>
      </c>
      <c r="AB404" s="29">
        <f t="shared" ca="1" si="63"/>
        <v>251</v>
      </c>
      <c r="AC404"/>
      <c r="AD404" s="25"/>
      <c r="AF404" s="22">
        <v>44949</v>
      </c>
      <c r="AG404" s="26">
        <f t="shared" ca="1" si="37"/>
        <v>0.2747861037347602</v>
      </c>
      <c r="AH404" s="29">
        <f t="shared" ca="1" si="64"/>
        <v>275</v>
      </c>
      <c r="AJ404" s="22">
        <v>44949</v>
      </c>
      <c r="AK404" s="26">
        <f t="shared" ca="1" si="38"/>
        <v>0.70448967714837363</v>
      </c>
      <c r="AL404" s="29">
        <v>0</v>
      </c>
      <c r="AN404" s="22">
        <v>44949</v>
      </c>
      <c r="AO404" s="26">
        <f t="shared" ca="1" si="39"/>
        <v>0.27523860619649854</v>
      </c>
      <c r="AP404" s="29">
        <v>0</v>
      </c>
      <c r="AR404" s="22">
        <v>44949</v>
      </c>
      <c r="AS404" s="26">
        <f t="shared" ca="1" si="40"/>
        <v>0.427339941759869</v>
      </c>
      <c r="AT404" s="29">
        <v>0</v>
      </c>
      <c r="AV404" s="22">
        <v>44949</v>
      </c>
      <c r="AW404" s="26">
        <f t="shared" ca="1" si="41"/>
        <v>5.0136085890068016E-2</v>
      </c>
      <c r="AX404" s="29">
        <v>0</v>
      </c>
      <c r="AZ404" s="22">
        <v>44949</v>
      </c>
      <c r="BA404" s="26">
        <f t="shared" ca="1" si="42"/>
        <v>3.014812676379286E-2</v>
      </c>
      <c r="BB404" s="29">
        <v>0</v>
      </c>
      <c r="BC404"/>
      <c r="BD404" s="25"/>
      <c r="BF404" s="22">
        <v>44949</v>
      </c>
      <c r="BG404" s="26">
        <f t="shared" ca="1" si="43"/>
        <v>0.49264901211870915</v>
      </c>
      <c r="BH404" s="29">
        <v>0</v>
      </c>
      <c r="BJ404" s="22">
        <v>44949</v>
      </c>
      <c r="BK404" s="26">
        <f t="shared" ca="1" si="44"/>
        <v>0.56163068611879663</v>
      </c>
      <c r="BL404" s="29">
        <v>0</v>
      </c>
      <c r="BN404" s="22">
        <v>44949</v>
      </c>
      <c r="BO404" s="26">
        <f t="shared" ca="1" si="45"/>
        <v>0.73462381247957453</v>
      </c>
      <c r="BP404" s="29">
        <v>0</v>
      </c>
      <c r="BR404" s="22">
        <v>44949</v>
      </c>
      <c r="BS404" s="26">
        <f t="shared" ca="1" si="46"/>
        <v>3.0222935567995712E-2</v>
      </c>
      <c r="BT404" s="29">
        <v>0</v>
      </c>
      <c r="BV404" s="22">
        <v>44949</v>
      </c>
      <c r="BW404" s="26">
        <f t="shared" ca="1" si="47"/>
        <v>0.62464446541287766</v>
      </c>
      <c r="BX404" s="29">
        <v>0</v>
      </c>
    </row>
    <row r="405" spans="2:77" ht="12.75" x14ac:dyDescent="0.2">
      <c r="B405" s="22">
        <v>44950</v>
      </c>
      <c r="C405" s="26">
        <f t="shared" ca="1" si="56"/>
        <v>0.41358082484595793</v>
      </c>
      <c r="D405" s="29">
        <f t="shared" ca="1" si="66"/>
        <v>71</v>
      </c>
      <c r="F405" s="22">
        <v>44950</v>
      </c>
      <c r="G405" s="26">
        <f t="shared" ca="1" si="31"/>
        <v>9.1890743883147552E-2</v>
      </c>
      <c r="H405" s="29">
        <f t="shared" ca="1" si="59"/>
        <v>197</v>
      </c>
      <c r="J405" s="22">
        <v>44950</v>
      </c>
      <c r="K405" s="26">
        <f t="shared" ca="1" si="32"/>
        <v>8.5414483431793808E-3</v>
      </c>
      <c r="L405" s="29">
        <f t="shared" ca="1" si="60"/>
        <v>127</v>
      </c>
      <c r="N405" s="22">
        <v>44950</v>
      </c>
      <c r="O405" s="26">
        <f t="shared" ca="1" si="33"/>
        <v>0.17531446582327104</v>
      </c>
      <c r="P405" s="29">
        <f t="shared" ca="1" si="61"/>
        <v>216</v>
      </c>
      <c r="R405" s="22">
        <v>44950</v>
      </c>
      <c r="S405" s="26">
        <f t="shared" ca="1" si="34"/>
        <v>0.18552914876508697</v>
      </c>
      <c r="T405" s="29">
        <f t="shared" ca="1" si="62"/>
        <v>131</v>
      </c>
      <c r="V405" s="22">
        <v>44950</v>
      </c>
      <c r="W405" s="26">
        <f t="shared" ca="1" si="35"/>
        <v>0.69052962097038639</v>
      </c>
      <c r="X405" s="29">
        <f t="shared" ca="1" si="65"/>
        <v>233</v>
      </c>
      <c r="Z405" s="22">
        <v>44950</v>
      </c>
      <c r="AA405" s="26">
        <f t="shared" ca="1" si="36"/>
        <v>0.20136476180155249</v>
      </c>
      <c r="AB405" s="29">
        <f t="shared" ca="1" si="63"/>
        <v>255</v>
      </c>
      <c r="AC405"/>
      <c r="AD405" s="25"/>
      <c r="AF405" s="22">
        <v>44950</v>
      </c>
      <c r="AG405" s="26">
        <f t="shared" ca="1" si="37"/>
        <v>0.11549822906966811</v>
      </c>
      <c r="AH405" s="29">
        <f t="shared" ca="1" si="64"/>
        <v>223</v>
      </c>
      <c r="AJ405" s="22">
        <v>44950</v>
      </c>
      <c r="AK405" s="26">
        <f t="shared" ca="1" si="38"/>
        <v>0.76390728599445368</v>
      </c>
      <c r="AL405" s="29">
        <v>0</v>
      </c>
      <c r="AN405" s="22">
        <v>44950</v>
      </c>
      <c r="AO405" s="26">
        <f t="shared" ca="1" si="39"/>
        <v>0.55742163238892262</v>
      </c>
      <c r="AP405" s="29">
        <v>0</v>
      </c>
      <c r="AR405" s="22">
        <v>44950</v>
      </c>
      <c r="AS405" s="26">
        <f t="shared" ca="1" si="40"/>
        <v>0.48436629719948066</v>
      </c>
      <c r="AT405" s="29">
        <v>0</v>
      </c>
      <c r="AV405" s="22">
        <v>44950</v>
      </c>
      <c r="AW405" s="26">
        <f t="shared" ca="1" si="41"/>
        <v>8.1784014519929116E-2</v>
      </c>
      <c r="AX405" s="29">
        <v>0</v>
      </c>
      <c r="AZ405" s="22">
        <v>44950</v>
      </c>
      <c r="BA405" s="26">
        <f t="shared" ca="1" si="42"/>
        <v>0.13197339515470807</v>
      </c>
      <c r="BB405" s="29">
        <v>0</v>
      </c>
      <c r="BC405"/>
      <c r="BD405" s="25"/>
      <c r="BF405" s="22">
        <v>44950</v>
      </c>
      <c r="BG405" s="26">
        <f t="shared" ca="1" si="43"/>
        <v>0.51818351295623311</v>
      </c>
      <c r="BH405" s="29">
        <v>0</v>
      </c>
      <c r="BJ405" s="22">
        <v>44950</v>
      </c>
      <c r="BK405" s="26">
        <f t="shared" ca="1" si="44"/>
        <v>0.32793356604678314</v>
      </c>
      <c r="BL405" s="29">
        <v>0</v>
      </c>
      <c r="BN405" s="22">
        <v>44950</v>
      </c>
      <c r="BO405" s="26">
        <f t="shared" ca="1" si="45"/>
        <v>0.24443996459333528</v>
      </c>
      <c r="BP405" s="29">
        <v>0</v>
      </c>
      <c r="BR405" s="22">
        <v>44950</v>
      </c>
      <c r="BS405" s="26">
        <f t="shared" ca="1" si="46"/>
        <v>0.20363180194479735</v>
      </c>
      <c r="BT405" s="29">
        <v>0</v>
      </c>
      <c r="BV405" s="22">
        <v>44950</v>
      </c>
      <c r="BW405" s="26">
        <f t="shared" ca="1" si="47"/>
        <v>0.22528368890016948</v>
      </c>
      <c r="BX405" s="29">
        <v>0</v>
      </c>
    </row>
    <row r="406" spans="2:77" ht="12.75" x14ac:dyDescent="0.2">
      <c r="B406" s="22">
        <v>44951</v>
      </c>
      <c r="C406" s="26">
        <f t="shared" ca="1" si="56"/>
        <v>0.81361837699823725</v>
      </c>
      <c r="D406" s="29">
        <f t="shared" ca="1" si="66"/>
        <v>93</v>
      </c>
      <c r="F406" s="22">
        <v>44951</v>
      </c>
      <c r="G406" s="26">
        <f t="shared" ca="1" si="31"/>
        <v>9.1202263953972684E-2</v>
      </c>
      <c r="H406" s="29">
        <f t="shared" ca="1" si="59"/>
        <v>197</v>
      </c>
      <c r="J406" s="22">
        <v>44951</v>
      </c>
      <c r="K406" s="26">
        <f t="shared" ca="1" si="32"/>
        <v>0.16206198436672137</v>
      </c>
      <c r="L406" s="29">
        <f t="shared" ca="1" si="60"/>
        <v>141</v>
      </c>
      <c r="N406" s="22">
        <v>44951</v>
      </c>
      <c r="O406" s="26">
        <f t="shared" ca="1" si="33"/>
        <v>0.31293879369816202</v>
      </c>
      <c r="P406" s="29">
        <f t="shared" ca="1" si="61"/>
        <v>222</v>
      </c>
      <c r="R406" s="22">
        <v>44951</v>
      </c>
      <c r="S406" s="26">
        <f t="shared" ca="1" si="34"/>
        <v>0.40753110103917189</v>
      </c>
      <c r="T406" s="29">
        <f t="shared" ca="1" si="62"/>
        <v>137</v>
      </c>
      <c r="V406" s="22">
        <v>44951</v>
      </c>
      <c r="W406" s="26">
        <f t="shared" ca="1" si="35"/>
        <v>0.64488252801377077</v>
      </c>
      <c r="X406" s="29">
        <f t="shared" ca="1" si="65"/>
        <v>231</v>
      </c>
      <c r="Z406" s="22">
        <v>44951</v>
      </c>
      <c r="AA406" s="26">
        <f t="shared" ca="1" si="36"/>
        <v>0.23409082509573687</v>
      </c>
      <c r="AB406" s="29">
        <f t="shared" ca="1" si="63"/>
        <v>257</v>
      </c>
      <c r="AC406"/>
      <c r="AD406" s="25"/>
      <c r="AF406" s="22">
        <v>44951</v>
      </c>
      <c r="AG406" s="26">
        <f t="shared" ca="1" si="37"/>
        <v>0.17611352286925475</v>
      </c>
      <c r="AH406" s="29">
        <f t="shared" ca="1" si="64"/>
        <v>246</v>
      </c>
      <c r="AJ406" s="22">
        <v>44951</v>
      </c>
      <c r="AK406" s="26">
        <f t="shared" ca="1" si="38"/>
        <v>0.52153205154156523</v>
      </c>
      <c r="AL406" s="29">
        <v>0</v>
      </c>
      <c r="AN406" s="22">
        <v>44951</v>
      </c>
      <c r="AO406" s="26">
        <f t="shared" ca="1" si="39"/>
        <v>0.75033449210983327</v>
      </c>
      <c r="AP406" s="29">
        <v>0</v>
      </c>
      <c r="AR406" s="22">
        <v>44951</v>
      </c>
      <c r="AS406" s="26">
        <f t="shared" ca="1" si="40"/>
        <v>0.27769934288219544</v>
      </c>
      <c r="AT406" s="29">
        <v>0</v>
      </c>
      <c r="AV406" s="22">
        <v>44951</v>
      </c>
      <c r="AW406" s="26">
        <f t="shared" ca="1" si="41"/>
        <v>0.20135690165256981</v>
      </c>
      <c r="AX406" s="29">
        <v>0</v>
      </c>
      <c r="AZ406" s="22">
        <v>44951</v>
      </c>
      <c r="BA406" s="26">
        <f t="shared" ca="1" si="42"/>
        <v>0.6737314512256507</v>
      </c>
      <c r="BB406" s="29">
        <v>0</v>
      </c>
      <c r="BC406"/>
      <c r="BD406" s="25"/>
      <c r="BF406" s="22">
        <v>44951</v>
      </c>
      <c r="BG406" s="26">
        <f t="shared" ca="1" si="43"/>
        <v>0.23877603187794105</v>
      </c>
      <c r="BH406" s="29">
        <v>0</v>
      </c>
      <c r="BJ406" s="22">
        <v>44951</v>
      </c>
      <c r="BK406" s="26">
        <f t="shared" ca="1" si="44"/>
        <v>0.67151502905666016</v>
      </c>
      <c r="BL406" s="29">
        <v>0</v>
      </c>
      <c r="BN406" s="22">
        <v>44951</v>
      </c>
      <c r="BO406" s="26">
        <f t="shared" ca="1" si="45"/>
        <v>0.7150173399132802</v>
      </c>
      <c r="BP406" s="29">
        <v>0</v>
      </c>
      <c r="BR406" s="22">
        <v>44951</v>
      </c>
      <c r="BS406" s="26">
        <f t="shared" ca="1" si="46"/>
        <v>0.56307528488012848</v>
      </c>
      <c r="BT406" s="29">
        <v>0</v>
      </c>
      <c r="BV406" s="22">
        <v>44951</v>
      </c>
      <c r="BW406" s="26">
        <f t="shared" ca="1" si="47"/>
        <v>0.43396722941506494</v>
      </c>
      <c r="BX406" s="29">
        <v>0</v>
      </c>
    </row>
    <row r="407" spans="2:77" ht="12.75" x14ac:dyDescent="0.2">
      <c r="B407" s="22">
        <v>44952</v>
      </c>
      <c r="C407" s="26">
        <f t="shared" ca="1" si="56"/>
        <v>0.47041429099517307</v>
      </c>
      <c r="D407" s="29">
        <f t="shared" ca="1" si="66"/>
        <v>74</v>
      </c>
      <c r="F407" s="22">
        <v>44952</v>
      </c>
      <c r="G407" s="26">
        <f t="shared" ca="1" si="31"/>
        <v>0.11959648227710695</v>
      </c>
      <c r="H407" s="29">
        <f t="shared" ca="1" si="59"/>
        <v>199</v>
      </c>
      <c r="J407" s="22">
        <v>44952</v>
      </c>
      <c r="K407" s="26">
        <f t="shared" ca="1" si="32"/>
        <v>0.79058881238536405</v>
      </c>
      <c r="L407" s="29">
        <f t="shared" ca="1" si="60"/>
        <v>159</v>
      </c>
      <c r="N407" s="22">
        <v>44952</v>
      </c>
      <c r="O407" s="26">
        <f t="shared" ca="1" si="33"/>
        <v>0.84273194253731187</v>
      </c>
      <c r="P407" s="29">
        <f t="shared" ca="1" si="61"/>
        <v>245</v>
      </c>
      <c r="R407" s="22">
        <v>44952</v>
      </c>
      <c r="S407" s="26">
        <f t="shared" ca="1" si="34"/>
        <v>0.13377609470334773</v>
      </c>
      <c r="T407" s="29">
        <f t="shared" ca="1" si="62"/>
        <v>129</v>
      </c>
      <c r="V407" s="22">
        <v>44952</v>
      </c>
      <c r="W407" s="26">
        <f t="shared" ca="1" si="35"/>
        <v>0.19793894532050005</v>
      </c>
      <c r="X407" s="29">
        <f t="shared" ca="1" si="65"/>
        <v>213</v>
      </c>
      <c r="Z407" s="22">
        <v>44952</v>
      </c>
      <c r="AA407" s="26">
        <f t="shared" ca="1" si="36"/>
        <v>0.30119254906839699</v>
      </c>
      <c r="AB407" s="29">
        <f t="shared" ca="1" si="63"/>
        <v>261</v>
      </c>
      <c r="AC407"/>
      <c r="AD407" s="25"/>
      <c r="AF407" s="22">
        <v>44952</v>
      </c>
      <c r="AG407" s="26">
        <f t="shared" ca="1" si="37"/>
        <v>0.2007736851805404</v>
      </c>
      <c r="AH407" s="29">
        <f t="shared" ca="1" si="64"/>
        <v>254</v>
      </c>
      <c r="AJ407" s="22">
        <v>44952</v>
      </c>
      <c r="AK407" s="26">
        <f t="shared" ca="1" si="38"/>
        <v>0.10579839248898937</v>
      </c>
      <c r="AL407" s="29">
        <v>0</v>
      </c>
      <c r="AN407" s="22">
        <v>44952</v>
      </c>
      <c r="AO407" s="26">
        <f t="shared" ca="1" si="39"/>
        <v>0.67795160093602025</v>
      </c>
      <c r="AP407" s="29">
        <v>0</v>
      </c>
      <c r="AR407" s="22">
        <v>44952</v>
      </c>
      <c r="AS407" s="26">
        <f t="shared" ca="1" si="40"/>
        <v>0.41367056851214823</v>
      </c>
      <c r="AT407" s="29">
        <v>0</v>
      </c>
      <c r="AV407" s="22">
        <v>44952</v>
      </c>
      <c r="AW407" s="26">
        <f t="shared" ca="1" si="41"/>
        <v>0.8985844706538002</v>
      </c>
      <c r="AX407" s="29">
        <v>0</v>
      </c>
      <c r="AZ407" s="22">
        <v>44952</v>
      </c>
      <c r="BA407" s="26">
        <f t="shared" ca="1" si="42"/>
        <v>0.70926125690690367</v>
      </c>
      <c r="BB407" s="29">
        <v>0</v>
      </c>
      <c r="BC407"/>
      <c r="BD407" s="25"/>
      <c r="BF407" s="22">
        <v>44952</v>
      </c>
      <c r="BG407" s="26">
        <f t="shared" ca="1" si="43"/>
        <v>0.22858534809254583</v>
      </c>
      <c r="BH407" s="29">
        <v>0</v>
      </c>
      <c r="BJ407" s="22">
        <v>44952</v>
      </c>
      <c r="BK407" s="26">
        <f t="shared" ca="1" si="44"/>
        <v>0.37157327831508113</v>
      </c>
      <c r="BL407" s="29">
        <v>0</v>
      </c>
      <c r="BN407" s="22">
        <v>44952</v>
      </c>
      <c r="BO407" s="26">
        <f t="shared" ca="1" si="45"/>
        <v>0.5603408337771667</v>
      </c>
      <c r="BP407" s="29">
        <v>0</v>
      </c>
      <c r="BR407" s="22">
        <v>44952</v>
      </c>
      <c r="BS407" s="26">
        <f t="shared" ca="1" si="46"/>
        <v>0.43692835526379625</v>
      </c>
      <c r="BT407" s="29">
        <v>0</v>
      </c>
      <c r="BV407" s="22">
        <v>44952</v>
      </c>
      <c r="BW407" s="26">
        <f t="shared" ca="1" si="47"/>
        <v>0.38206639260694464</v>
      </c>
      <c r="BX407" s="29">
        <v>0</v>
      </c>
    </row>
    <row r="408" spans="2:77" ht="12.75" x14ac:dyDescent="0.2">
      <c r="B408" s="22">
        <v>44953</v>
      </c>
      <c r="C408" s="26">
        <f t="shared" ca="1" si="56"/>
        <v>0.28672692859077364</v>
      </c>
      <c r="D408" s="29">
        <f t="shared" ca="1" si="66"/>
        <v>64</v>
      </c>
      <c r="F408" s="22">
        <v>44953</v>
      </c>
      <c r="G408" s="26">
        <f t="shared" ca="1" si="31"/>
        <v>0.45236916657038551</v>
      </c>
      <c r="H408" s="29">
        <f t="shared" ca="1" si="59"/>
        <v>214</v>
      </c>
      <c r="J408" s="22">
        <v>44953</v>
      </c>
      <c r="K408" s="26">
        <f t="shared" ca="1" si="32"/>
        <v>0.86886859232564917</v>
      </c>
      <c r="L408" s="29">
        <f t="shared" ca="1" si="60"/>
        <v>162</v>
      </c>
      <c r="N408" s="22">
        <v>44953</v>
      </c>
      <c r="O408" s="26">
        <f t="shared" ca="1" si="33"/>
        <v>0.70859606495926797</v>
      </c>
      <c r="P408" s="29">
        <f t="shared" ca="1" si="61"/>
        <v>238</v>
      </c>
      <c r="R408" s="22">
        <v>44953</v>
      </c>
      <c r="S408" s="26">
        <f t="shared" ca="1" si="34"/>
        <v>2.7741927397184507E-2</v>
      </c>
      <c r="T408" s="29">
        <f t="shared" ca="1" si="62"/>
        <v>122</v>
      </c>
      <c r="V408" s="22">
        <v>44953</v>
      </c>
      <c r="W408" s="26">
        <f t="shared" ca="1" si="35"/>
        <v>0.91101153517420441</v>
      </c>
      <c r="X408" s="29">
        <f t="shared" ca="1" si="65"/>
        <v>246</v>
      </c>
      <c r="Z408" s="22">
        <v>44953</v>
      </c>
      <c r="AA408" s="26">
        <f t="shared" ca="1" si="36"/>
        <v>0.55007190319233334</v>
      </c>
      <c r="AB408" s="29">
        <f t="shared" ca="1" si="63"/>
        <v>273</v>
      </c>
      <c r="AC408"/>
      <c r="AD408" s="25"/>
      <c r="AF408" s="22">
        <v>44953</v>
      </c>
      <c r="AG408" s="26">
        <f t="shared" ca="1" si="37"/>
        <v>0.82547464155223793</v>
      </c>
      <c r="AH408" s="29">
        <f t="shared" ca="1" si="64"/>
        <v>409</v>
      </c>
      <c r="AJ408" s="22">
        <v>44953</v>
      </c>
      <c r="AK408" s="26">
        <f t="shared" ca="1" si="38"/>
        <v>0.53242405732082265</v>
      </c>
      <c r="AL408" s="29">
        <v>0</v>
      </c>
      <c r="AN408" s="22">
        <v>44953</v>
      </c>
      <c r="AO408" s="26">
        <f t="shared" ca="1" si="39"/>
        <v>0.89722337585823497</v>
      </c>
      <c r="AP408" s="29">
        <v>0</v>
      </c>
      <c r="AR408" s="22">
        <v>44953</v>
      </c>
      <c r="AS408" s="26">
        <f t="shared" ca="1" si="40"/>
        <v>0.25308757899074541</v>
      </c>
      <c r="AT408" s="29">
        <v>0</v>
      </c>
      <c r="AV408" s="22">
        <v>44953</v>
      </c>
      <c r="AW408" s="26">
        <f t="shared" ca="1" si="41"/>
        <v>0.27824572247551416</v>
      </c>
      <c r="AX408" s="29">
        <v>0</v>
      </c>
      <c r="AZ408" s="22">
        <v>44953</v>
      </c>
      <c r="BA408" s="26">
        <f t="shared" ca="1" si="42"/>
        <v>0.16414079851587082</v>
      </c>
      <c r="BB408" s="29">
        <v>0</v>
      </c>
      <c r="BC408"/>
      <c r="BD408" s="25"/>
      <c r="BF408" s="22">
        <v>44953</v>
      </c>
      <c r="BG408" s="26">
        <f t="shared" ca="1" si="43"/>
        <v>0.89532447690706463</v>
      </c>
      <c r="BH408" s="29">
        <v>0</v>
      </c>
      <c r="BJ408" s="22">
        <v>44953</v>
      </c>
      <c r="BK408" s="26">
        <f t="shared" ca="1" si="44"/>
        <v>0.77903040216456565</v>
      </c>
      <c r="BL408" s="29">
        <v>0</v>
      </c>
      <c r="BN408" s="22">
        <v>44953</v>
      </c>
      <c r="BO408" s="26">
        <f t="shared" ca="1" si="45"/>
        <v>0.59298019218258746</v>
      </c>
      <c r="BP408" s="29">
        <v>0</v>
      </c>
      <c r="BR408" s="22">
        <v>44953</v>
      </c>
      <c r="BS408" s="26">
        <f t="shared" ca="1" si="46"/>
        <v>7.5597229815422717E-2</v>
      </c>
      <c r="BT408" s="29">
        <v>0</v>
      </c>
      <c r="BV408" s="22">
        <v>44953</v>
      </c>
      <c r="BW408" s="26">
        <f t="shared" ca="1" si="47"/>
        <v>0.8423399024108511</v>
      </c>
      <c r="BX408" s="29">
        <v>0</v>
      </c>
    </row>
    <row r="409" spans="2:77" ht="12.75" x14ac:dyDescent="0.2">
      <c r="B409" s="22">
        <v>44954</v>
      </c>
      <c r="C409" s="26">
        <f t="shared" ca="1" si="56"/>
        <v>0.83054377588052297</v>
      </c>
      <c r="D409" s="29">
        <f t="shared" ca="1" si="66"/>
        <v>95</v>
      </c>
      <c r="F409" s="22">
        <v>44954</v>
      </c>
      <c r="G409" s="26">
        <f t="shared" ca="1" si="31"/>
        <v>0.41082567374751477</v>
      </c>
      <c r="H409" s="29">
        <f t="shared" ca="1" si="59"/>
        <v>213</v>
      </c>
      <c r="J409" s="22">
        <v>44954</v>
      </c>
      <c r="K409" s="26">
        <f t="shared" ca="1" si="32"/>
        <v>0.19932992235718305</v>
      </c>
      <c r="L409" s="29">
        <f t="shared" ca="1" si="60"/>
        <v>142</v>
      </c>
      <c r="N409" s="22">
        <v>44954</v>
      </c>
      <c r="O409" s="26">
        <f t="shared" ca="1" si="33"/>
        <v>0.48822670349519814</v>
      </c>
      <c r="P409" s="29">
        <f t="shared" ca="1" si="61"/>
        <v>229</v>
      </c>
      <c r="R409" s="22">
        <v>44954</v>
      </c>
      <c r="S409" s="26">
        <f t="shared" ca="1" si="34"/>
        <v>0.83269284468685156</v>
      </c>
      <c r="T409" s="29">
        <f t="shared" ca="1" si="62"/>
        <v>148</v>
      </c>
      <c r="V409" s="22">
        <v>44954</v>
      </c>
      <c r="W409" s="26">
        <f t="shared" ca="1" si="35"/>
        <v>0.99174390202160312</v>
      </c>
      <c r="X409" s="29">
        <f t="shared" ca="1" si="65"/>
        <v>261</v>
      </c>
      <c r="Z409" s="22">
        <v>44954</v>
      </c>
      <c r="AA409" s="26">
        <f t="shared" ca="1" si="36"/>
        <v>0.82437383346794335</v>
      </c>
      <c r="AB409" s="29">
        <f t="shared" ca="1" si="63"/>
        <v>287</v>
      </c>
      <c r="AC409"/>
      <c r="AD409" s="25"/>
      <c r="AF409" s="22">
        <v>44954</v>
      </c>
      <c r="AG409" s="26">
        <f t="shared" ca="1" si="37"/>
        <v>0.78080504607633849</v>
      </c>
      <c r="AH409" s="29">
        <f t="shared" ca="1" si="64"/>
        <v>395</v>
      </c>
      <c r="AJ409" s="22">
        <v>44954</v>
      </c>
      <c r="AK409" s="26">
        <f t="shared" ca="1" si="38"/>
        <v>0.1771508926600871</v>
      </c>
      <c r="AL409" s="29">
        <v>0</v>
      </c>
      <c r="AN409" s="22">
        <v>44954</v>
      </c>
      <c r="AO409" s="26">
        <f t="shared" ca="1" si="39"/>
        <v>0.45695808105699143</v>
      </c>
      <c r="AP409" s="29">
        <v>0</v>
      </c>
      <c r="AR409" s="22">
        <v>44954</v>
      </c>
      <c r="AS409" s="26">
        <f t="shared" ca="1" si="40"/>
        <v>0.4619466016005912</v>
      </c>
      <c r="AT409" s="29">
        <v>0</v>
      </c>
      <c r="AV409" s="22">
        <v>44954</v>
      </c>
      <c r="AW409" s="26">
        <f t="shared" ca="1" si="41"/>
        <v>0.59639667147262221</v>
      </c>
      <c r="AX409" s="29">
        <v>0</v>
      </c>
      <c r="AZ409" s="22">
        <v>44954</v>
      </c>
      <c r="BA409" s="26">
        <f t="shared" ca="1" si="42"/>
        <v>0.46534809707613078</v>
      </c>
      <c r="BB409" s="29">
        <v>0</v>
      </c>
      <c r="BC409"/>
      <c r="BD409" s="25"/>
      <c r="BF409" s="22">
        <v>44954</v>
      </c>
      <c r="BG409" s="26">
        <f t="shared" ca="1" si="43"/>
        <v>0.49208211545136116</v>
      </c>
      <c r="BH409" s="29">
        <v>0</v>
      </c>
      <c r="BJ409" s="22">
        <v>44954</v>
      </c>
      <c r="BK409" s="26">
        <f t="shared" ca="1" si="44"/>
        <v>0.62059603135925234</v>
      </c>
      <c r="BL409" s="29">
        <v>0</v>
      </c>
      <c r="BN409" s="22">
        <v>44954</v>
      </c>
      <c r="BO409" s="26">
        <f t="shared" ca="1" si="45"/>
        <v>0.43545350150447215</v>
      </c>
      <c r="BP409" s="29">
        <v>0</v>
      </c>
      <c r="BR409" s="22">
        <v>44954</v>
      </c>
      <c r="BS409" s="26">
        <f t="shared" ca="1" si="46"/>
        <v>0.82119798032464209</v>
      </c>
      <c r="BT409" s="29">
        <v>0</v>
      </c>
      <c r="BV409" s="22">
        <v>44954</v>
      </c>
      <c r="BW409" s="26">
        <f t="shared" ca="1" si="47"/>
        <v>0.28652299070158771</v>
      </c>
      <c r="BX409" s="29">
        <v>0</v>
      </c>
    </row>
    <row r="410" spans="2:77" ht="12.75" x14ac:dyDescent="0.2">
      <c r="B410" s="22">
        <v>44955</v>
      </c>
      <c r="C410" s="26">
        <f t="shared" ca="1" si="56"/>
        <v>0.21235732160755594</v>
      </c>
      <c r="D410" s="29">
        <f t="shared" ca="1" si="66"/>
        <v>60</v>
      </c>
      <c r="F410" s="22">
        <v>44955</v>
      </c>
      <c r="G410" s="26">
        <f t="shared" ca="1" si="31"/>
        <v>0.47633153320100541</v>
      </c>
      <c r="H410" s="29">
        <f t="shared" ca="1" si="59"/>
        <v>215</v>
      </c>
      <c r="J410" s="22">
        <v>44955</v>
      </c>
      <c r="K410" s="26">
        <f t="shared" ca="1" si="32"/>
        <v>0.53861820832824403</v>
      </c>
      <c r="L410" s="29">
        <f t="shared" ca="1" si="60"/>
        <v>151</v>
      </c>
      <c r="N410" s="22">
        <v>44955</v>
      </c>
      <c r="O410" s="26">
        <f t="shared" ca="1" si="33"/>
        <v>0.36961291202704949</v>
      </c>
      <c r="P410" s="29">
        <f t="shared" ca="1" si="61"/>
        <v>225</v>
      </c>
      <c r="R410" s="22">
        <v>44955</v>
      </c>
      <c r="S410" s="26">
        <f t="shared" ca="1" si="34"/>
        <v>0.74415444536900532</v>
      </c>
      <c r="T410" s="29">
        <f t="shared" ca="1" si="62"/>
        <v>145</v>
      </c>
      <c r="V410" s="22">
        <v>44955</v>
      </c>
      <c r="W410" s="26">
        <f t="shared" ca="1" si="35"/>
        <v>0.4394074052438699</v>
      </c>
      <c r="X410" s="29">
        <f t="shared" ca="1" si="65"/>
        <v>223</v>
      </c>
      <c r="Z410" s="22">
        <v>44955</v>
      </c>
      <c r="AA410" s="26">
        <f t="shared" ca="1" si="36"/>
        <v>0.48484142902922278</v>
      </c>
      <c r="AB410" s="29">
        <f t="shared" ca="1" si="63"/>
        <v>270</v>
      </c>
      <c r="AC410"/>
      <c r="AD410" s="25"/>
      <c r="AF410" s="22">
        <v>44955</v>
      </c>
      <c r="AG410" s="26">
        <f t="shared" ca="1" si="37"/>
        <v>0.85052974567402995</v>
      </c>
      <c r="AH410" s="29">
        <f t="shared" ca="1" si="64"/>
        <v>418</v>
      </c>
      <c r="AJ410" s="22">
        <v>44955</v>
      </c>
      <c r="AK410" s="26">
        <f t="shared" ca="1" si="38"/>
        <v>0.45433521322264181</v>
      </c>
      <c r="AL410" s="29">
        <v>0</v>
      </c>
      <c r="AN410" s="22">
        <v>44955</v>
      </c>
      <c r="AO410" s="26">
        <f t="shared" ca="1" si="39"/>
        <v>0.6969474722174761</v>
      </c>
      <c r="AP410" s="29">
        <v>0</v>
      </c>
      <c r="AR410" s="22">
        <v>44955</v>
      </c>
      <c r="AS410" s="26">
        <f t="shared" ca="1" si="40"/>
        <v>0.7322136735498187</v>
      </c>
      <c r="AT410" s="29">
        <v>0</v>
      </c>
      <c r="AV410" s="22">
        <v>44955</v>
      </c>
      <c r="AW410" s="26">
        <f t="shared" ca="1" si="41"/>
        <v>0.53283675928878083</v>
      </c>
      <c r="AX410" s="29">
        <v>0</v>
      </c>
      <c r="AZ410" s="22">
        <v>44955</v>
      </c>
      <c r="BA410" s="26">
        <f t="shared" ca="1" si="42"/>
        <v>0.57628163407878663</v>
      </c>
      <c r="BB410" s="29">
        <v>0</v>
      </c>
      <c r="BC410"/>
      <c r="BD410" s="25"/>
      <c r="BF410" s="22">
        <v>44955</v>
      </c>
      <c r="BG410" s="26">
        <f t="shared" ca="1" si="43"/>
        <v>0.3355962356209693</v>
      </c>
      <c r="BH410" s="29">
        <v>0</v>
      </c>
      <c r="BJ410" s="22">
        <v>44955</v>
      </c>
      <c r="BK410" s="26">
        <f t="shared" ca="1" si="44"/>
        <v>0.85550283500986424</v>
      </c>
      <c r="BL410" s="29">
        <v>0</v>
      </c>
      <c r="BN410" s="22">
        <v>44955</v>
      </c>
      <c r="BO410" s="26">
        <f t="shared" ca="1" si="45"/>
        <v>0.79401542249661272</v>
      </c>
      <c r="BP410" s="29">
        <v>0</v>
      </c>
      <c r="BR410" s="22">
        <v>44955</v>
      </c>
      <c r="BS410" s="26">
        <f t="shared" ca="1" si="46"/>
        <v>0.38890670172460251</v>
      </c>
      <c r="BT410" s="29">
        <v>0</v>
      </c>
      <c r="BV410" s="22">
        <v>44955</v>
      </c>
      <c r="BW410" s="26">
        <f t="shared" ca="1" si="47"/>
        <v>0.61788245658715979</v>
      </c>
      <c r="BX410" s="29">
        <v>0</v>
      </c>
    </row>
    <row r="411" spans="2:77" ht="12.75" x14ac:dyDescent="0.2">
      <c r="B411" s="22">
        <v>44956</v>
      </c>
      <c r="C411" s="26">
        <f t="shared" ca="1" si="56"/>
        <v>0.25571574515365092</v>
      </c>
      <c r="D411" s="29">
        <f t="shared" ca="1" si="66"/>
        <v>62</v>
      </c>
      <c r="F411" s="22">
        <v>44956</v>
      </c>
      <c r="G411" s="26">
        <f t="shared" ca="1" si="31"/>
        <v>3.3018018035780972E-2</v>
      </c>
      <c r="H411" s="29">
        <f t="shared" ca="1" si="59"/>
        <v>190</v>
      </c>
      <c r="J411" s="22">
        <v>44956</v>
      </c>
      <c r="K411" s="26">
        <f t="shared" ca="1" si="32"/>
        <v>0.71648755914597018</v>
      </c>
      <c r="L411" s="29">
        <f t="shared" ca="1" si="60"/>
        <v>156</v>
      </c>
      <c r="N411" s="22">
        <v>44956</v>
      </c>
      <c r="O411" s="26">
        <f t="shared" ca="1" si="33"/>
        <v>0.43808847708772336</v>
      </c>
      <c r="P411" s="29">
        <f t="shared" ca="1" si="61"/>
        <v>227</v>
      </c>
      <c r="R411" s="22">
        <v>44956</v>
      </c>
      <c r="S411" s="26">
        <f t="shared" ca="1" si="34"/>
        <v>0.73876438606919348</v>
      </c>
      <c r="T411" s="29">
        <f t="shared" ca="1" si="62"/>
        <v>145</v>
      </c>
      <c r="V411" s="22">
        <v>44956</v>
      </c>
      <c r="W411" s="26">
        <f t="shared" ca="1" si="35"/>
        <v>0.42306065481891464</v>
      </c>
      <c r="X411" s="29">
        <f t="shared" ca="1" si="65"/>
        <v>223</v>
      </c>
      <c r="Z411" s="22">
        <v>44956</v>
      </c>
      <c r="AA411" s="26">
        <f t="shared" ca="1" si="36"/>
        <v>0.12633696341446632</v>
      </c>
      <c r="AB411" s="29">
        <f t="shared" ca="1" si="63"/>
        <v>250</v>
      </c>
      <c r="AC411"/>
      <c r="AD411" s="25"/>
      <c r="AF411" s="22">
        <v>44956</v>
      </c>
      <c r="AG411" s="26">
        <f t="shared" ca="1" si="37"/>
        <v>0.38130065778776656</v>
      </c>
      <c r="AH411" s="29">
        <f t="shared" ca="1" si="64"/>
        <v>301</v>
      </c>
      <c r="AJ411" s="22">
        <v>44956</v>
      </c>
      <c r="AK411" s="26">
        <f t="shared" ca="1" si="38"/>
        <v>0.36965785149596642</v>
      </c>
      <c r="AL411" s="29">
        <v>0</v>
      </c>
      <c r="AN411" s="22">
        <v>44956</v>
      </c>
      <c r="AO411" s="26">
        <f t="shared" ca="1" si="39"/>
        <v>0.95670723880171626</v>
      </c>
      <c r="AP411" s="29">
        <v>0</v>
      </c>
      <c r="AR411" s="22">
        <v>44956</v>
      </c>
      <c r="AS411" s="26">
        <f t="shared" ca="1" si="40"/>
        <v>0.86273915688007907</v>
      </c>
      <c r="AT411" s="29">
        <v>0</v>
      </c>
      <c r="AV411" s="22">
        <v>44956</v>
      </c>
      <c r="AW411" s="26">
        <f t="shared" ca="1" si="41"/>
        <v>0.66058028858686624</v>
      </c>
      <c r="AX411" s="29">
        <v>0</v>
      </c>
      <c r="AZ411" s="22">
        <v>44956</v>
      </c>
      <c r="BA411" s="26">
        <f t="shared" ca="1" si="42"/>
        <v>0.8949933496590613</v>
      </c>
      <c r="BB411" s="29">
        <v>0</v>
      </c>
      <c r="BC411"/>
      <c r="BD411" s="25"/>
      <c r="BF411" s="22">
        <v>44956</v>
      </c>
      <c r="BG411" s="26">
        <f t="shared" ca="1" si="43"/>
        <v>0.85030201886806178</v>
      </c>
      <c r="BH411" s="29">
        <v>0</v>
      </c>
      <c r="BJ411" s="22">
        <v>44956</v>
      </c>
      <c r="BK411" s="26">
        <f t="shared" ca="1" si="44"/>
        <v>1.1573471390320278E-2</v>
      </c>
      <c r="BL411" s="29">
        <v>0</v>
      </c>
      <c r="BN411" s="22">
        <v>44956</v>
      </c>
      <c r="BO411" s="26">
        <f t="shared" ca="1" si="45"/>
        <v>0.27125852001897566</v>
      </c>
      <c r="BP411" s="29">
        <v>0</v>
      </c>
      <c r="BR411" s="22">
        <v>44956</v>
      </c>
      <c r="BS411" s="26">
        <f t="shared" ca="1" si="46"/>
        <v>7.8767965346406732E-2</v>
      </c>
      <c r="BT411" s="29">
        <v>0</v>
      </c>
      <c r="BV411" s="22">
        <v>44956</v>
      </c>
      <c r="BW411" s="26">
        <f t="shared" ca="1" si="47"/>
        <v>0.37085128157320812</v>
      </c>
      <c r="BX411" s="29">
        <v>0</v>
      </c>
    </row>
    <row r="412" spans="2:77" ht="12.75" x14ac:dyDescent="0.2">
      <c r="B412" s="22">
        <v>44957</v>
      </c>
      <c r="C412" s="26">
        <f t="shared" ca="1" si="56"/>
        <v>0.87004484376572389</v>
      </c>
      <c r="D412" s="29">
        <f t="shared" ca="1" si="66"/>
        <v>98</v>
      </c>
      <c r="E412">
        <v>2047</v>
      </c>
      <c r="F412" s="22">
        <v>44957</v>
      </c>
      <c r="G412" s="26">
        <f t="shared" ca="1" si="31"/>
        <v>0.69245259975710227</v>
      </c>
      <c r="H412" s="29">
        <f t="shared" ca="1" si="59"/>
        <v>223</v>
      </c>
      <c r="I412">
        <v>5892</v>
      </c>
      <c r="J412" s="22">
        <v>44957</v>
      </c>
      <c r="K412" s="26">
        <f t="shared" ca="1" si="32"/>
        <v>0.26209892450284722</v>
      </c>
      <c r="L412" s="29">
        <f t="shared" ca="1" si="60"/>
        <v>144</v>
      </c>
      <c r="M412">
        <v>4244</v>
      </c>
      <c r="N412" s="22">
        <v>44957</v>
      </c>
      <c r="O412" s="26">
        <f t="shared" ca="1" si="33"/>
        <v>0.32108339445976108</v>
      </c>
      <c r="P412" s="29">
        <f t="shared" ca="1" si="61"/>
        <v>223</v>
      </c>
      <c r="Q412">
        <v>6260</v>
      </c>
      <c r="R412" s="22">
        <v>44957</v>
      </c>
      <c r="S412" s="26">
        <f t="shared" ca="1" si="34"/>
        <v>0.23107403819881278</v>
      </c>
      <c r="T412" s="29">
        <f t="shared" ca="1" si="62"/>
        <v>132</v>
      </c>
      <c r="U412">
        <v>3828</v>
      </c>
      <c r="V412" s="22">
        <v>44957</v>
      </c>
      <c r="W412" s="26">
        <f t="shared" ca="1" si="35"/>
        <v>0.80027519043246043</v>
      </c>
      <c r="X412" s="29">
        <f t="shared" ca="1" si="65"/>
        <v>238</v>
      </c>
      <c r="Y412">
        <v>6727</v>
      </c>
      <c r="Z412" s="22">
        <v>44957</v>
      </c>
      <c r="AA412" s="26">
        <f t="shared" ca="1" si="36"/>
        <v>0.7684740542976658</v>
      </c>
      <c r="AB412" s="29">
        <f t="shared" ca="1" si="63"/>
        <v>284</v>
      </c>
      <c r="AC412">
        <v>7432</v>
      </c>
      <c r="AD412" s="25"/>
      <c r="AF412" s="22">
        <v>44957</v>
      </c>
      <c r="AG412" s="26">
        <f t="shared" ca="1" si="37"/>
        <v>9.5429656420917608E-2</v>
      </c>
      <c r="AH412" s="29">
        <f t="shared" ca="1" si="64"/>
        <v>213</v>
      </c>
      <c r="AI412">
        <v>8548</v>
      </c>
      <c r="AJ412" s="22">
        <v>44957</v>
      </c>
      <c r="AK412" s="26">
        <f t="shared" ca="1" si="38"/>
        <v>0.38072565698367244</v>
      </c>
      <c r="AL412" s="29">
        <v>0</v>
      </c>
      <c r="AM412">
        <v>0</v>
      </c>
      <c r="AN412" s="22">
        <v>44957</v>
      </c>
      <c r="AO412" s="26">
        <f t="shared" ca="1" si="39"/>
        <v>0.97933731022118808</v>
      </c>
      <c r="AP412" s="29">
        <v>0</v>
      </c>
      <c r="AQ412">
        <v>0</v>
      </c>
      <c r="AR412" s="22">
        <v>44957</v>
      </c>
      <c r="AS412" s="26">
        <f t="shared" ca="1" si="40"/>
        <v>0.43985213250327782</v>
      </c>
      <c r="AT412" s="29">
        <v>0</v>
      </c>
      <c r="AU412">
        <v>0</v>
      </c>
      <c r="AV412" s="22">
        <v>44957</v>
      </c>
      <c r="AW412" s="26">
        <f t="shared" ca="1" si="41"/>
        <v>8.3501095099569822E-2</v>
      </c>
      <c r="AX412" s="29">
        <v>0</v>
      </c>
      <c r="AY412">
        <v>0</v>
      </c>
      <c r="AZ412" s="22">
        <v>44957</v>
      </c>
      <c r="BA412" s="26">
        <f t="shared" ca="1" si="42"/>
        <v>0.89355397102446132</v>
      </c>
      <c r="BB412" s="29">
        <v>0</v>
      </c>
      <c r="BC412">
        <v>0</v>
      </c>
      <c r="BD412" s="25"/>
      <c r="BF412" s="22">
        <v>44957</v>
      </c>
      <c r="BG412" s="26">
        <f t="shared" ca="1" si="43"/>
        <v>1.8715508526136237E-2</v>
      </c>
      <c r="BH412" s="29">
        <v>0</v>
      </c>
      <c r="BI412">
        <v>0</v>
      </c>
      <c r="BJ412" s="22">
        <v>44957</v>
      </c>
      <c r="BK412" s="26">
        <f t="shared" ca="1" si="44"/>
        <v>0.78031037628069888</v>
      </c>
      <c r="BL412" s="29">
        <v>0</v>
      </c>
      <c r="BM412">
        <v>0</v>
      </c>
      <c r="BN412" s="22">
        <v>44957</v>
      </c>
      <c r="BO412" s="26">
        <f t="shared" ca="1" si="45"/>
        <v>0.66338088408063234</v>
      </c>
      <c r="BP412" s="29">
        <v>0</v>
      </c>
      <c r="BQ412">
        <v>0</v>
      </c>
      <c r="BR412" s="22">
        <v>44957</v>
      </c>
      <c r="BS412" s="26">
        <f t="shared" ca="1" si="46"/>
        <v>0.32737894753265107</v>
      </c>
      <c r="BT412" s="29">
        <v>0</v>
      </c>
      <c r="BU412">
        <v>0</v>
      </c>
      <c r="BV412" s="22">
        <v>44957</v>
      </c>
      <c r="BW412" s="26">
        <f t="shared" ca="1" si="47"/>
        <v>0.6741325145806798</v>
      </c>
      <c r="BX412" s="29">
        <v>0</v>
      </c>
      <c r="BY412">
        <v>0</v>
      </c>
    </row>
    <row r="413" spans="2:77" ht="12.75" x14ac:dyDescent="0.2">
      <c r="B413" s="22">
        <v>44958</v>
      </c>
      <c r="C413" s="26">
        <f t="shared" ca="1" si="56"/>
        <v>0.69341391013730802</v>
      </c>
      <c r="D413" s="29">
        <f ca="1">ROUNDUP(_xlfn.NORM.INV(C412,C$10,C$12),0)</f>
        <v>98</v>
      </c>
      <c r="F413" s="22">
        <v>44958</v>
      </c>
      <c r="G413" s="26">
        <f t="shared" ca="1" si="31"/>
        <v>0.19346383138155465</v>
      </c>
      <c r="H413" s="29">
        <f ca="1">ROUNDUP(_xlfn.NORM.INV(G412,G$10,G$12),0)</f>
        <v>223</v>
      </c>
      <c r="J413" s="22">
        <v>44958</v>
      </c>
      <c r="K413" s="26">
        <f t="shared" ca="1" si="32"/>
        <v>0.40996477920279317</v>
      </c>
      <c r="L413" s="29">
        <f ca="1">ROUNDUP(_xlfn.NORM.INV(K412,K$10,K$12),0)</f>
        <v>144</v>
      </c>
      <c r="N413" s="22">
        <v>44958</v>
      </c>
      <c r="O413" s="26">
        <f t="shared" ca="1" si="33"/>
        <v>0.50065214371621503</v>
      </c>
      <c r="P413" s="29">
        <f ca="1">ROUNDUP(_xlfn.NORM.INV(O412,O$10,O$12),0)</f>
        <v>223</v>
      </c>
      <c r="R413" s="22">
        <v>44958</v>
      </c>
      <c r="S413" s="26">
        <f t="shared" ca="1" si="34"/>
        <v>0.28733228685959233</v>
      </c>
      <c r="T413" s="29">
        <f ca="1">ROUNDUP(_xlfn.NORM.INV(S412,S$10,S$12),0)</f>
        <v>132</v>
      </c>
      <c r="V413" s="22">
        <v>44958</v>
      </c>
      <c r="W413" s="26">
        <f t="shared" ca="1" si="35"/>
        <v>0.68547163285079071</v>
      </c>
      <c r="X413" s="29">
        <f ca="1">ROUNDUP(_xlfn.NORM.INV(W412,W$10,W$12),0)</f>
        <v>238</v>
      </c>
      <c r="Z413" s="22">
        <v>44958</v>
      </c>
      <c r="AA413" s="26">
        <f t="shared" ca="1" si="36"/>
        <v>0.86951531057046427</v>
      </c>
      <c r="AB413" s="29">
        <f ca="1">ROUNDUP(_xlfn.NORM.INV(AA412,AA$10,AA$12),0)</f>
        <v>284</v>
      </c>
      <c r="AC413"/>
      <c r="AD413" s="25"/>
      <c r="AF413" s="22">
        <v>44958</v>
      </c>
      <c r="AG413" s="26">
        <f t="shared" ca="1" si="37"/>
        <v>0.40716265654888739</v>
      </c>
      <c r="AH413" s="29">
        <f ca="1">ROUNDUP(_xlfn.NORM.INV(AG412,AG$10,AG$12),0)</f>
        <v>213</v>
      </c>
      <c r="AJ413" s="22">
        <v>44958</v>
      </c>
      <c r="AK413" s="26">
        <f t="shared" ca="1" si="38"/>
        <v>0.51608381374558809</v>
      </c>
      <c r="AL413" s="29">
        <v>0</v>
      </c>
      <c r="AN413" s="22">
        <v>44958</v>
      </c>
      <c r="AO413" s="26">
        <f t="shared" ca="1" si="39"/>
        <v>0.60121609331248971</v>
      </c>
      <c r="AP413" s="29">
        <v>0</v>
      </c>
      <c r="AR413" s="22">
        <v>44958</v>
      </c>
      <c r="AS413" s="26">
        <f t="shared" ca="1" si="40"/>
        <v>0.20367340262805911</v>
      </c>
      <c r="AT413" s="29">
        <v>0</v>
      </c>
      <c r="AV413" s="22">
        <v>44958</v>
      </c>
      <c r="AW413" s="26">
        <f t="shared" ca="1" si="41"/>
        <v>0.58053649434219212</v>
      </c>
      <c r="AX413" s="29">
        <v>0</v>
      </c>
      <c r="AZ413" s="22">
        <v>44958</v>
      </c>
      <c r="BA413" s="26">
        <f t="shared" ca="1" si="42"/>
        <v>0.66448106808517904</v>
      </c>
      <c r="BB413" s="29">
        <v>0</v>
      </c>
      <c r="BC413"/>
      <c r="BD413" s="25"/>
      <c r="BF413" s="22">
        <v>44958</v>
      </c>
      <c r="BG413" s="26">
        <f t="shared" ca="1" si="43"/>
        <v>0.35463559432292269</v>
      </c>
      <c r="BH413" s="29">
        <v>0</v>
      </c>
      <c r="BJ413" s="22">
        <v>44958</v>
      </c>
      <c r="BK413" s="26">
        <f t="shared" ca="1" si="44"/>
        <v>0.59856493197004612</v>
      </c>
      <c r="BL413" s="29">
        <v>0</v>
      </c>
      <c r="BN413" s="22">
        <v>44958</v>
      </c>
      <c r="BO413" s="26">
        <f t="shared" ca="1" si="45"/>
        <v>0.56154095627917955</v>
      </c>
      <c r="BP413" s="29">
        <v>0</v>
      </c>
      <c r="BR413" s="22">
        <v>44958</v>
      </c>
      <c r="BS413" s="26">
        <f t="shared" ca="1" si="46"/>
        <v>0.21505495166047228</v>
      </c>
      <c r="BT413" s="29">
        <v>0</v>
      </c>
      <c r="BV413" s="22">
        <v>44958</v>
      </c>
      <c r="BW413" s="26">
        <f t="shared" ca="1" si="47"/>
        <v>0.13098530275067077</v>
      </c>
      <c r="BX413" s="29">
        <v>0</v>
      </c>
    </row>
    <row r="414" spans="2:77" ht="12.75" x14ac:dyDescent="0.2">
      <c r="B414" s="22">
        <v>44959</v>
      </c>
      <c r="C414" s="26">
        <f t="shared" ca="1" si="56"/>
        <v>3.4604715666964325E-2</v>
      </c>
      <c r="D414" s="29">
        <f t="shared" ca="1" si="66"/>
        <v>39</v>
      </c>
      <c r="F414" s="22">
        <v>44959</v>
      </c>
      <c r="G414" s="26">
        <f t="shared" ca="1" si="31"/>
        <v>0.70200746550574544</v>
      </c>
      <c r="H414" s="29">
        <f t="shared" ca="1" si="59"/>
        <v>224</v>
      </c>
      <c r="J414" s="22">
        <v>44959</v>
      </c>
      <c r="K414" s="26">
        <f t="shared" ca="1" si="32"/>
        <v>0.7521364715904606</v>
      </c>
      <c r="L414" s="29">
        <f t="shared" ca="1" si="60"/>
        <v>157</v>
      </c>
      <c r="N414" s="22">
        <v>44959</v>
      </c>
      <c r="O414" s="26">
        <f t="shared" ca="1" si="33"/>
        <v>0.98138713694127266</v>
      </c>
      <c r="P414" s="29">
        <f t="shared" ca="1" si="61"/>
        <v>262</v>
      </c>
      <c r="R414" s="22">
        <v>44959</v>
      </c>
      <c r="S414" s="26">
        <f t="shared" ca="1" si="34"/>
        <v>0.98428044613653787</v>
      </c>
      <c r="T414" s="29">
        <f t="shared" ca="1" si="62"/>
        <v>159</v>
      </c>
      <c r="V414" s="22">
        <v>44959</v>
      </c>
      <c r="W414" s="26">
        <f t="shared" ca="1" si="35"/>
        <v>0.6692755172582342</v>
      </c>
      <c r="X414" s="29">
        <f t="shared" ca="1" si="65"/>
        <v>232</v>
      </c>
      <c r="Z414" s="22">
        <v>44959</v>
      </c>
      <c r="AA414" s="26">
        <f t="shared" ca="1" si="36"/>
        <v>0.73313247151296379</v>
      </c>
      <c r="AB414" s="29">
        <f t="shared" ca="1" si="63"/>
        <v>282</v>
      </c>
      <c r="AC414"/>
      <c r="AD414" s="25"/>
      <c r="AF414" s="22">
        <v>44959</v>
      </c>
      <c r="AG414" s="26">
        <f t="shared" ca="1" si="37"/>
        <v>0.17811665747479843</v>
      </c>
      <c r="AH414" s="29">
        <f t="shared" ca="1" si="64"/>
        <v>247</v>
      </c>
      <c r="AJ414" s="22">
        <v>44959</v>
      </c>
      <c r="AK414" s="26">
        <f t="shared" ca="1" si="38"/>
        <v>0.32988992479938295</v>
      </c>
      <c r="AL414" s="29">
        <v>0</v>
      </c>
      <c r="AN414" s="22">
        <v>44959</v>
      </c>
      <c r="AO414" s="26">
        <f t="shared" ca="1" si="39"/>
        <v>0.15089856466051743</v>
      </c>
      <c r="AP414" s="29">
        <v>0</v>
      </c>
      <c r="AR414" s="22">
        <v>44959</v>
      </c>
      <c r="AS414" s="26">
        <f t="shared" ca="1" si="40"/>
        <v>0.42513427768155931</v>
      </c>
      <c r="AT414" s="29">
        <v>0</v>
      </c>
      <c r="AV414" s="22">
        <v>44959</v>
      </c>
      <c r="AW414" s="26">
        <f t="shared" ca="1" si="41"/>
        <v>9.0816791843858269E-2</v>
      </c>
      <c r="AX414" s="29">
        <v>0</v>
      </c>
      <c r="AZ414" s="22">
        <v>44959</v>
      </c>
      <c r="BA414" s="26">
        <f t="shared" ca="1" si="42"/>
        <v>7.0993571167627723E-2</v>
      </c>
      <c r="BB414" s="29">
        <v>0</v>
      </c>
      <c r="BC414"/>
      <c r="BD414" s="25"/>
      <c r="BF414" s="22">
        <v>44959</v>
      </c>
      <c r="BG414" s="26">
        <f t="shared" ca="1" si="43"/>
        <v>0.10306917955394135</v>
      </c>
      <c r="BH414" s="29">
        <v>0</v>
      </c>
      <c r="BJ414" s="22">
        <v>44959</v>
      </c>
      <c r="BK414" s="26">
        <f t="shared" ca="1" si="44"/>
        <v>0.31387946685043688</v>
      </c>
      <c r="BL414" s="29">
        <v>0</v>
      </c>
      <c r="BN414" s="22">
        <v>44959</v>
      </c>
      <c r="BO414" s="26">
        <f t="shared" ca="1" si="45"/>
        <v>0.44774725495412659</v>
      </c>
      <c r="BP414" s="29">
        <v>0</v>
      </c>
      <c r="BR414" s="22">
        <v>44959</v>
      </c>
      <c r="BS414" s="26">
        <f t="shared" ca="1" si="46"/>
        <v>5.5430471271209369E-2</v>
      </c>
      <c r="BT414" s="29">
        <v>0</v>
      </c>
      <c r="BV414" s="22">
        <v>44959</v>
      </c>
      <c r="BW414" s="26">
        <f t="shared" ca="1" si="47"/>
        <v>0.22227391917703454</v>
      </c>
      <c r="BX414" s="29">
        <v>0</v>
      </c>
    </row>
    <row r="415" spans="2:77" ht="12.75" x14ac:dyDescent="0.2">
      <c r="B415" s="22">
        <v>44960</v>
      </c>
      <c r="C415" s="26">
        <f t="shared" ca="1" si="56"/>
        <v>1.4216065070101647E-2</v>
      </c>
      <c r="D415" s="29">
        <f t="shared" ca="1" si="66"/>
        <v>32</v>
      </c>
      <c r="F415" s="22">
        <v>44960</v>
      </c>
      <c r="G415" s="26">
        <f t="shared" ca="1" si="31"/>
        <v>0.64513673320124898</v>
      </c>
      <c r="H415" s="29">
        <f t="shared" ca="1" si="59"/>
        <v>221</v>
      </c>
      <c r="J415" s="22">
        <v>44960</v>
      </c>
      <c r="K415" s="26">
        <f t="shared" ca="1" si="32"/>
        <v>0.82650796997849507</v>
      </c>
      <c r="L415" s="29">
        <f t="shared" ca="1" si="60"/>
        <v>160</v>
      </c>
      <c r="N415" s="22">
        <v>44960</v>
      </c>
      <c r="O415" s="26">
        <f t="shared" ca="1" si="33"/>
        <v>0.1069014976458752</v>
      </c>
      <c r="P415" s="29">
        <f t="shared" ca="1" si="61"/>
        <v>211</v>
      </c>
      <c r="R415" s="22">
        <v>44960</v>
      </c>
      <c r="S415" s="26">
        <f t="shared" ca="1" si="34"/>
        <v>9.0188604986953136E-2</v>
      </c>
      <c r="T415" s="29">
        <f t="shared" ca="1" si="62"/>
        <v>127</v>
      </c>
      <c r="V415" s="22">
        <v>44960</v>
      </c>
      <c r="W415" s="26">
        <f t="shared" ca="1" si="35"/>
        <v>8.4607520827171379E-2</v>
      </c>
      <c r="X415" s="29">
        <f t="shared" ca="1" si="65"/>
        <v>205</v>
      </c>
      <c r="Z415" s="22">
        <v>44960</v>
      </c>
      <c r="AA415" s="26">
        <f t="shared" ca="1" si="36"/>
        <v>0.62162264623147667</v>
      </c>
      <c r="AB415" s="29">
        <f t="shared" ca="1" si="63"/>
        <v>276</v>
      </c>
      <c r="AC415"/>
      <c r="AD415" s="25"/>
      <c r="AF415" s="22">
        <v>44960</v>
      </c>
      <c r="AG415" s="26">
        <f t="shared" ca="1" si="37"/>
        <v>0.96089220361751526</v>
      </c>
      <c r="AH415" s="29">
        <f t="shared" ca="1" si="64"/>
        <v>481</v>
      </c>
      <c r="AJ415" s="22">
        <v>44960</v>
      </c>
      <c r="AK415" s="26">
        <f t="shared" ca="1" si="38"/>
        <v>0.71726352693667283</v>
      </c>
      <c r="AL415" s="29">
        <v>0</v>
      </c>
      <c r="AN415" s="22">
        <v>44960</v>
      </c>
      <c r="AO415" s="26">
        <f t="shared" ca="1" si="39"/>
        <v>0.33959734333016089</v>
      </c>
      <c r="AP415" s="29">
        <v>0</v>
      </c>
      <c r="AR415" s="22">
        <v>44960</v>
      </c>
      <c r="AS415" s="26">
        <f t="shared" ca="1" si="40"/>
        <v>0.13089865755899155</v>
      </c>
      <c r="AT415" s="29">
        <v>0</v>
      </c>
      <c r="AV415" s="22">
        <v>44960</v>
      </c>
      <c r="AW415" s="26">
        <f t="shared" ca="1" si="41"/>
        <v>0.93281936872432158</v>
      </c>
      <c r="AX415" s="29">
        <v>0</v>
      </c>
      <c r="AZ415" s="22">
        <v>44960</v>
      </c>
      <c r="BA415" s="26">
        <f t="shared" ca="1" si="42"/>
        <v>0.87818008718639551</v>
      </c>
      <c r="BB415" s="29">
        <v>0</v>
      </c>
      <c r="BC415"/>
      <c r="BD415" s="25"/>
      <c r="BF415" s="22">
        <v>44960</v>
      </c>
      <c r="BG415" s="26">
        <f t="shared" ca="1" si="43"/>
        <v>0.5242683935899477</v>
      </c>
      <c r="BH415" s="29">
        <v>0</v>
      </c>
      <c r="BJ415" s="22">
        <v>44960</v>
      </c>
      <c r="BK415" s="26">
        <f t="shared" ca="1" si="44"/>
        <v>0.92270412358028764</v>
      </c>
      <c r="BL415" s="29">
        <v>0</v>
      </c>
      <c r="BN415" s="22">
        <v>44960</v>
      </c>
      <c r="BO415" s="26">
        <f t="shared" ca="1" si="45"/>
        <v>0.43046755850292973</v>
      </c>
      <c r="BP415" s="29">
        <v>0</v>
      </c>
      <c r="BR415" s="22">
        <v>44960</v>
      </c>
      <c r="BS415" s="26">
        <f t="shared" ca="1" si="46"/>
        <v>0.95893421796029865</v>
      </c>
      <c r="BT415" s="29">
        <v>0</v>
      </c>
      <c r="BV415" s="22">
        <v>44960</v>
      </c>
      <c r="BW415" s="26">
        <f t="shared" ca="1" si="47"/>
        <v>0.62405797495008675</v>
      </c>
      <c r="BX415" s="29">
        <v>0</v>
      </c>
    </row>
    <row r="416" spans="2:77" ht="12.75" x14ac:dyDescent="0.2">
      <c r="B416" s="22">
        <v>44961</v>
      </c>
      <c r="C416" s="26">
        <f t="shared" ca="1" si="56"/>
        <v>0.38884460723979009</v>
      </c>
      <c r="D416" s="29">
        <f t="shared" ca="1" si="66"/>
        <v>70</v>
      </c>
      <c r="F416" s="22">
        <v>44961</v>
      </c>
      <c r="G416" s="26">
        <f t="shared" ca="1" si="31"/>
        <v>0.85840449992183576</v>
      </c>
      <c r="H416" s="29">
        <f t="shared" ca="1" si="59"/>
        <v>231</v>
      </c>
      <c r="J416" s="22">
        <v>44961</v>
      </c>
      <c r="K416" s="26">
        <f t="shared" ca="1" si="32"/>
        <v>1.7684683868371964E-3</v>
      </c>
      <c r="L416" s="29">
        <f t="shared" ca="1" si="60"/>
        <v>121</v>
      </c>
      <c r="N416" s="22">
        <v>44961</v>
      </c>
      <c r="O416" s="26">
        <f t="shared" ca="1" si="33"/>
        <v>0.3636278137643274</v>
      </c>
      <c r="P416" s="29">
        <f t="shared" ca="1" si="61"/>
        <v>225</v>
      </c>
      <c r="R416" s="22">
        <v>44961</v>
      </c>
      <c r="S416" s="26">
        <f t="shared" ca="1" si="34"/>
        <v>0.13024210196997799</v>
      </c>
      <c r="T416" s="29">
        <f t="shared" ca="1" si="62"/>
        <v>129</v>
      </c>
      <c r="V416" s="22">
        <v>44961</v>
      </c>
      <c r="W416" s="26">
        <f t="shared" ca="1" si="35"/>
        <v>0.66102146444153687</v>
      </c>
      <c r="X416" s="29">
        <f t="shared" ca="1" si="65"/>
        <v>232</v>
      </c>
      <c r="Z416" s="22">
        <v>44961</v>
      </c>
      <c r="AA416" s="26">
        <f t="shared" ca="1" si="36"/>
        <v>0.74981066175001077</v>
      </c>
      <c r="AB416" s="29">
        <f t="shared" ca="1" si="63"/>
        <v>283</v>
      </c>
      <c r="AC416"/>
      <c r="AD416" s="25"/>
      <c r="AF416" s="22">
        <v>44961</v>
      </c>
      <c r="AG416" s="26">
        <f t="shared" ca="1" si="37"/>
        <v>0.94416285521321575</v>
      </c>
      <c r="AH416" s="29">
        <f t="shared" ca="1" si="64"/>
        <v>466</v>
      </c>
      <c r="AJ416" s="22">
        <v>44961</v>
      </c>
      <c r="AK416" s="26">
        <f t="shared" ca="1" si="38"/>
        <v>0.62133515952047647</v>
      </c>
      <c r="AL416" s="29">
        <v>0</v>
      </c>
      <c r="AN416" s="22">
        <v>44961</v>
      </c>
      <c r="AO416" s="26">
        <f t="shared" ca="1" si="39"/>
        <v>0.91356714724620491</v>
      </c>
      <c r="AP416" s="29">
        <v>0</v>
      </c>
      <c r="AR416" s="22">
        <v>44961</v>
      </c>
      <c r="AS416" s="26">
        <f t="shared" ca="1" si="40"/>
        <v>0.67114517860778122</v>
      </c>
      <c r="AT416" s="29">
        <v>0</v>
      </c>
      <c r="AV416" s="22">
        <v>44961</v>
      </c>
      <c r="AW416" s="26">
        <f t="shared" ca="1" si="41"/>
        <v>0.24132825404738645</v>
      </c>
      <c r="AX416" s="29">
        <v>0</v>
      </c>
      <c r="AZ416" s="22">
        <v>44961</v>
      </c>
      <c r="BA416" s="26">
        <f t="shared" ca="1" si="42"/>
        <v>0.42307401080019469</v>
      </c>
      <c r="BB416" s="29">
        <v>0</v>
      </c>
      <c r="BC416"/>
      <c r="BD416" s="25"/>
      <c r="BF416" s="22">
        <v>44961</v>
      </c>
      <c r="BG416" s="26">
        <f t="shared" ca="1" si="43"/>
        <v>0.4170085452504102</v>
      </c>
      <c r="BH416" s="29">
        <v>0</v>
      </c>
      <c r="BJ416" s="22">
        <v>44961</v>
      </c>
      <c r="BK416" s="26">
        <f t="shared" ca="1" si="44"/>
        <v>0.97510070935391169</v>
      </c>
      <c r="BL416" s="29">
        <v>0</v>
      </c>
      <c r="BN416" s="22">
        <v>44961</v>
      </c>
      <c r="BO416" s="26">
        <f t="shared" ca="1" si="45"/>
        <v>0.52170686793632381</v>
      </c>
      <c r="BP416" s="29">
        <v>0</v>
      </c>
      <c r="BR416" s="22">
        <v>44961</v>
      </c>
      <c r="BS416" s="26">
        <f t="shared" ca="1" si="46"/>
        <v>0.14358320453457041</v>
      </c>
      <c r="BT416" s="29">
        <v>0</v>
      </c>
      <c r="BV416" s="22">
        <v>44961</v>
      </c>
      <c r="BW416" s="26">
        <f t="shared" ca="1" si="47"/>
        <v>0.57321166040200866</v>
      </c>
      <c r="BX416" s="29">
        <v>0</v>
      </c>
    </row>
    <row r="417" spans="2:76" ht="12.75" x14ac:dyDescent="0.2">
      <c r="B417" s="22">
        <v>44962</v>
      </c>
      <c r="C417" s="26">
        <f t="shared" ca="1" si="56"/>
        <v>0.9960347426978855</v>
      </c>
      <c r="D417" s="29">
        <f t="shared" ca="1" si="66"/>
        <v>129</v>
      </c>
      <c r="F417" s="22">
        <v>44962</v>
      </c>
      <c r="G417" s="26">
        <f t="shared" ca="1" si="31"/>
        <v>5.1317334877543197E-2</v>
      </c>
      <c r="H417" s="29">
        <f t="shared" ca="1" si="59"/>
        <v>192</v>
      </c>
      <c r="J417" s="22">
        <v>44962</v>
      </c>
      <c r="K417" s="26">
        <f t="shared" ca="1" si="32"/>
        <v>0.58936025341273535</v>
      </c>
      <c r="L417" s="29">
        <f t="shared" ca="1" si="60"/>
        <v>153</v>
      </c>
      <c r="N417" s="22">
        <v>44962</v>
      </c>
      <c r="O417" s="26">
        <f t="shared" ca="1" si="33"/>
        <v>6.4242554375142369E-3</v>
      </c>
      <c r="P417" s="29">
        <f t="shared" ca="1" si="61"/>
        <v>192</v>
      </c>
      <c r="R417" s="22">
        <v>44962</v>
      </c>
      <c r="S417" s="26">
        <f t="shared" ca="1" si="34"/>
        <v>0.44751503034396667</v>
      </c>
      <c r="T417" s="29">
        <f t="shared" ca="1" si="62"/>
        <v>138</v>
      </c>
      <c r="V417" s="22">
        <v>44962</v>
      </c>
      <c r="W417" s="26">
        <f t="shared" ca="1" si="35"/>
        <v>0.13387513754454128</v>
      </c>
      <c r="X417" s="29">
        <f t="shared" ca="1" si="65"/>
        <v>209</v>
      </c>
      <c r="Z417" s="22">
        <v>44962</v>
      </c>
      <c r="AA417" s="26">
        <f t="shared" ca="1" si="36"/>
        <v>0.55217598170275028</v>
      </c>
      <c r="AB417" s="29">
        <f t="shared" ca="1" si="63"/>
        <v>273</v>
      </c>
      <c r="AC417"/>
      <c r="AD417" s="25"/>
      <c r="AF417" s="22">
        <v>44962</v>
      </c>
      <c r="AG417" s="26">
        <f t="shared" ca="1" si="37"/>
        <v>0.26304054964700485</v>
      </c>
      <c r="AH417" s="29">
        <f t="shared" ca="1" si="64"/>
        <v>272</v>
      </c>
      <c r="AJ417" s="22">
        <v>44962</v>
      </c>
      <c r="AK417" s="26">
        <f t="shared" ca="1" si="38"/>
        <v>0.74446610996959162</v>
      </c>
      <c r="AL417" s="29">
        <v>0</v>
      </c>
      <c r="AN417" s="22">
        <v>44962</v>
      </c>
      <c r="AO417" s="26">
        <f t="shared" ca="1" si="39"/>
        <v>0.87689856144028533</v>
      </c>
      <c r="AP417" s="29">
        <v>0</v>
      </c>
      <c r="AR417" s="22">
        <v>44962</v>
      </c>
      <c r="AS417" s="26">
        <f t="shared" ca="1" si="40"/>
        <v>0.60806402014505512</v>
      </c>
      <c r="AT417" s="29">
        <v>0</v>
      </c>
      <c r="AV417" s="22">
        <v>44962</v>
      </c>
      <c r="AW417" s="26">
        <f t="shared" ca="1" si="41"/>
        <v>8.043360574935976E-2</v>
      </c>
      <c r="AX417" s="29">
        <v>0</v>
      </c>
      <c r="AZ417" s="22">
        <v>44962</v>
      </c>
      <c r="BA417" s="26">
        <f t="shared" ca="1" si="42"/>
        <v>0.16930550036657355</v>
      </c>
      <c r="BB417" s="29">
        <v>0</v>
      </c>
      <c r="BC417"/>
      <c r="BD417" s="25"/>
      <c r="BF417" s="22">
        <v>44962</v>
      </c>
      <c r="BG417" s="26">
        <f t="shared" ca="1" si="43"/>
        <v>0.63350408638767786</v>
      </c>
      <c r="BH417" s="29">
        <v>0</v>
      </c>
      <c r="BJ417" s="22">
        <v>44962</v>
      </c>
      <c r="BK417" s="26">
        <f t="shared" ca="1" si="44"/>
        <v>0.35533521259162515</v>
      </c>
      <c r="BL417" s="29">
        <v>0</v>
      </c>
      <c r="BN417" s="22">
        <v>44962</v>
      </c>
      <c r="BO417" s="26">
        <f t="shared" ca="1" si="45"/>
        <v>0.40417012284147569</v>
      </c>
      <c r="BP417" s="29">
        <v>0</v>
      </c>
      <c r="BR417" s="22">
        <v>44962</v>
      </c>
      <c r="BS417" s="26">
        <f t="shared" ca="1" si="46"/>
        <v>0.76369430676363115</v>
      </c>
      <c r="BT417" s="29">
        <v>0</v>
      </c>
      <c r="BV417" s="22">
        <v>44962</v>
      </c>
      <c r="BW417" s="26">
        <f t="shared" ca="1" si="47"/>
        <v>0.22560197559331474</v>
      </c>
      <c r="BX417" s="29">
        <v>0</v>
      </c>
    </row>
    <row r="418" spans="2:76" ht="12.75" x14ac:dyDescent="0.2">
      <c r="B418" s="22">
        <v>44963</v>
      </c>
      <c r="C418" s="26">
        <f t="shared" ca="1" si="56"/>
        <v>0.42654489322822164</v>
      </c>
      <c r="D418" s="29">
        <v>0</v>
      </c>
      <c r="F418" s="22">
        <v>44963</v>
      </c>
      <c r="G418" s="26">
        <f t="shared" ca="1" si="31"/>
        <v>0.77263248356026704</v>
      </c>
      <c r="H418" s="29">
        <v>0</v>
      </c>
      <c r="J418" s="22">
        <v>44963</v>
      </c>
      <c r="K418" s="26">
        <f t="shared" ca="1" si="32"/>
        <v>0.65033751677048646</v>
      </c>
      <c r="L418" s="29">
        <v>0</v>
      </c>
      <c r="N418" s="22">
        <v>44963</v>
      </c>
      <c r="O418" s="26">
        <f t="shared" ca="1" si="33"/>
        <v>0.96166162944719669</v>
      </c>
      <c r="P418" s="29">
        <v>0</v>
      </c>
      <c r="R418" s="22">
        <v>44963</v>
      </c>
      <c r="S418" s="26">
        <f t="shared" ca="1" si="34"/>
        <v>0.75343565434405302</v>
      </c>
      <c r="T418" s="29">
        <v>0</v>
      </c>
      <c r="V418" s="22">
        <v>44963</v>
      </c>
      <c r="W418" s="26">
        <f t="shared" ca="1" si="35"/>
        <v>0.26354657924054881</v>
      </c>
      <c r="X418" s="29">
        <v>0</v>
      </c>
      <c r="Z418" s="22">
        <v>44963</v>
      </c>
      <c r="AA418" s="26">
        <f t="shared" ca="1" si="36"/>
        <v>0.78254220594969792</v>
      </c>
      <c r="AB418" s="29">
        <v>0</v>
      </c>
      <c r="AC418"/>
      <c r="AD418" s="25"/>
      <c r="AF418" s="22">
        <v>44963</v>
      </c>
      <c r="AG418" s="26">
        <f t="shared" ca="1" si="37"/>
        <v>0.80961134497580012</v>
      </c>
      <c r="AH418" s="29">
        <v>0</v>
      </c>
      <c r="AJ418" s="22">
        <v>44963</v>
      </c>
      <c r="AK418" s="26">
        <f t="shared" ca="1" si="38"/>
        <v>0.69697075527233054</v>
      </c>
      <c r="AL418" s="29">
        <v>0</v>
      </c>
      <c r="AN418" s="22">
        <v>44963</v>
      </c>
      <c r="AO418" s="26">
        <f t="shared" ca="1" si="39"/>
        <v>0.3353417868117774</v>
      </c>
      <c r="AP418" s="29">
        <v>0</v>
      </c>
      <c r="AR418" s="22">
        <v>44963</v>
      </c>
      <c r="AS418" s="26">
        <f t="shared" ca="1" si="40"/>
        <v>0.10706658046107453</v>
      </c>
      <c r="AT418" s="29">
        <v>0</v>
      </c>
      <c r="AV418" s="22">
        <v>44963</v>
      </c>
      <c r="AW418" s="26">
        <f t="shared" ca="1" si="41"/>
        <v>0.31249806234238753</v>
      </c>
      <c r="AX418" s="29">
        <v>0</v>
      </c>
      <c r="AZ418" s="22">
        <v>44963</v>
      </c>
      <c r="BA418" s="26">
        <f t="shared" ca="1" si="42"/>
        <v>0.63989269906851909</v>
      </c>
      <c r="BB418" s="29">
        <v>0</v>
      </c>
      <c r="BC418"/>
      <c r="BD418" s="25"/>
      <c r="BF418" s="22">
        <v>44963</v>
      </c>
      <c r="BG418" s="26">
        <f t="shared" ca="1" si="43"/>
        <v>0.86375392024373787</v>
      </c>
      <c r="BH418" s="29">
        <v>0</v>
      </c>
      <c r="BJ418" s="22">
        <v>44963</v>
      </c>
      <c r="BK418" s="26">
        <f t="shared" ca="1" si="44"/>
        <v>0.25221847534624342</v>
      </c>
      <c r="BL418" s="29">
        <v>0</v>
      </c>
      <c r="BN418" s="22">
        <v>44963</v>
      </c>
      <c r="BO418" s="26">
        <f t="shared" ca="1" si="45"/>
        <v>0.96430720788079638</v>
      </c>
      <c r="BP418" s="29">
        <v>0</v>
      </c>
      <c r="BR418" s="22">
        <v>44963</v>
      </c>
      <c r="BS418" s="26">
        <f t="shared" ca="1" si="46"/>
        <v>0.86710020703894131</v>
      </c>
      <c r="BT418" s="29">
        <v>0</v>
      </c>
      <c r="BV418" s="22">
        <v>44963</v>
      </c>
      <c r="BW418" s="26">
        <f t="shared" ca="1" si="47"/>
        <v>0.36989001622978768</v>
      </c>
      <c r="BX418" s="29">
        <v>0</v>
      </c>
    </row>
    <row r="419" spans="2:76" ht="12.75" x14ac:dyDescent="0.2">
      <c r="B419" s="22">
        <v>44964</v>
      </c>
      <c r="C419" s="26">
        <f t="shared" ca="1" si="56"/>
        <v>0.20052826669283985</v>
      </c>
      <c r="D419" s="29">
        <v>0</v>
      </c>
      <c r="F419" s="22">
        <v>44964</v>
      </c>
      <c r="G419" s="26">
        <f t="shared" ca="1" si="31"/>
        <v>0.66534249937726531</v>
      </c>
      <c r="H419" s="29">
        <v>0</v>
      </c>
      <c r="J419" s="22">
        <v>44964</v>
      </c>
      <c r="K419" s="26">
        <f t="shared" ca="1" si="32"/>
        <v>0.66567352810567548</v>
      </c>
      <c r="L419" s="29">
        <v>0</v>
      </c>
      <c r="N419" s="22">
        <v>44964</v>
      </c>
      <c r="O419" s="26">
        <f t="shared" ca="1" si="33"/>
        <v>0.77115821044304911</v>
      </c>
      <c r="P419" s="29">
        <v>0</v>
      </c>
      <c r="R419" s="22">
        <v>44964</v>
      </c>
      <c r="S419" s="26">
        <f t="shared" ca="1" si="34"/>
        <v>0.20478035297985275</v>
      </c>
      <c r="T419" s="29">
        <v>0</v>
      </c>
      <c r="V419" s="22">
        <v>44964</v>
      </c>
      <c r="W419" s="26">
        <f t="shared" ca="1" si="35"/>
        <v>0.89736632878926514</v>
      </c>
      <c r="X419" s="29">
        <v>0</v>
      </c>
      <c r="Z419" s="22">
        <v>44964</v>
      </c>
      <c r="AA419" s="26">
        <f t="shared" ca="1" si="36"/>
        <v>0.18230841603698311</v>
      </c>
      <c r="AB419" s="29">
        <v>0</v>
      </c>
      <c r="AC419"/>
      <c r="AD419" s="25"/>
      <c r="AF419" s="22">
        <v>44964</v>
      </c>
      <c r="AG419" s="26">
        <f t="shared" ca="1" si="37"/>
        <v>0.9979985924076501</v>
      </c>
      <c r="AH419" s="29">
        <v>0</v>
      </c>
      <c r="AJ419" s="22">
        <v>44964</v>
      </c>
      <c r="AK419" s="26">
        <f t="shared" ca="1" si="38"/>
        <v>0.44066974587063945</v>
      </c>
      <c r="AL419" s="29">
        <v>0</v>
      </c>
      <c r="AN419" s="22">
        <v>44964</v>
      </c>
      <c r="AO419" s="26">
        <f t="shared" ca="1" si="39"/>
        <v>0.56441222979445305</v>
      </c>
      <c r="AP419" s="29">
        <v>0</v>
      </c>
      <c r="AR419" s="22">
        <v>44964</v>
      </c>
      <c r="AS419" s="26">
        <f t="shared" ca="1" si="40"/>
        <v>0.5054195291177791</v>
      </c>
      <c r="AT419" s="29">
        <v>0</v>
      </c>
      <c r="AV419" s="22">
        <v>44964</v>
      </c>
      <c r="AW419" s="26">
        <f t="shared" ca="1" si="41"/>
        <v>2.8520654908024357E-2</v>
      </c>
      <c r="AX419" s="29">
        <v>0</v>
      </c>
      <c r="AZ419" s="22">
        <v>44964</v>
      </c>
      <c r="BA419" s="26">
        <f t="shared" ca="1" si="42"/>
        <v>0.90818304102192127</v>
      </c>
      <c r="BB419" s="29">
        <v>0</v>
      </c>
      <c r="BC419"/>
      <c r="BD419" s="25"/>
      <c r="BF419" s="22">
        <v>44964</v>
      </c>
      <c r="BG419" s="26">
        <f t="shared" ca="1" si="43"/>
        <v>0.40267245299449328</v>
      </c>
      <c r="BH419" s="29">
        <v>0</v>
      </c>
      <c r="BJ419" s="22">
        <v>44964</v>
      </c>
      <c r="BK419" s="26">
        <f t="shared" ca="1" si="44"/>
        <v>0.33752330406853948</v>
      </c>
      <c r="BL419" s="29">
        <v>0</v>
      </c>
      <c r="BN419" s="22">
        <v>44964</v>
      </c>
      <c r="BO419" s="26">
        <f t="shared" ca="1" si="45"/>
        <v>0.58890093481126204</v>
      </c>
      <c r="BP419" s="29">
        <v>0</v>
      </c>
      <c r="BR419" s="22">
        <v>44964</v>
      </c>
      <c r="BS419" s="26">
        <f t="shared" ca="1" si="46"/>
        <v>0.15367227096071567</v>
      </c>
      <c r="BT419" s="29">
        <v>0</v>
      </c>
      <c r="BV419" s="22">
        <v>44964</v>
      </c>
      <c r="BW419" s="26">
        <f t="shared" ca="1" si="47"/>
        <v>0.23326273293507982</v>
      </c>
      <c r="BX419" s="29">
        <v>0</v>
      </c>
    </row>
    <row r="420" spans="2:76" ht="12.75" x14ac:dyDescent="0.2">
      <c r="B420" s="22">
        <v>44965</v>
      </c>
      <c r="C420" s="26">
        <f t="shared" ca="1" si="56"/>
        <v>0.60643578246003604</v>
      </c>
      <c r="D420" s="29">
        <v>0</v>
      </c>
      <c r="F420" s="22">
        <v>44965</v>
      </c>
      <c r="G420" s="26">
        <f t="shared" ca="1" si="31"/>
        <v>0.11892929715644751</v>
      </c>
      <c r="H420" s="29">
        <v>0</v>
      </c>
      <c r="J420" s="22">
        <v>44965</v>
      </c>
      <c r="K420" s="26">
        <f t="shared" ca="1" si="32"/>
        <v>0.67932873188615983</v>
      </c>
      <c r="L420" s="29">
        <v>0</v>
      </c>
      <c r="N420" s="22">
        <v>44965</v>
      </c>
      <c r="O420" s="26">
        <f t="shared" ca="1" si="33"/>
        <v>6.634668331828919E-2</v>
      </c>
      <c r="P420" s="29">
        <v>0</v>
      </c>
      <c r="R420" s="22">
        <v>44965</v>
      </c>
      <c r="S420" s="26">
        <f t="shared" ca="1" si="34"/>
        <v>0.38986907314274799</v>
      </c>
      <c r="T420" s="29">
        <v>0</v>
      </c>
      <c r="V420" s="22">
        <v>44965</v>
      </c>
      <c r="W420" s="26">
        <f t="shared" ca="1" si="35"/>
        <v>0.75442068706537346</v>
      </c>
      <c r="X420" s="29">
        <v>0</v>
      </c>
      <c r="Z420" s="22">
        <v>44965</v>
      </c>
      <c r="AA420" s="26">
        <f t="shared" ca="1" si="36"/>
        <v>0.22607254470403948</v>
      </c>
      <c r="AB420" s="29">
        <v>0</v>
      </c>
      <c r="AC420"/>
      <c r="AD420" s="25"/>
      <c r="AF420" s="22">
        <v>44965</v>
      </c>
      <c r="AG420" s="26">
        <f t="shared" ca="1" si="37"/>
        <v>0.933539309939595</v>
      </c>
      <c r="AH420" s="29">
        <v>0</v>
      </c>
      <c r="AJ420" s="22">
        <v>44965</v>
      </c>
      <c r="AK420" s="26">
        <f t="shared" ca="1" si="38"/>
        <v>0.6085656193177208</v>
      </c>
      <c r="AL420" s="29">
        <v>0</v>
      </c>
      <c r="AN420" s="22">
        <v>44965</v>
      </c>
      <c r="AO420" s="26">
        <f t="shared" ca="1" si="39"/>
        <v>0.75001127090392727</v>
      </c>
      <c r="AP420" s="29">
        <v>0</v>
      </c>
      <c r="AR420" s="22">
        <v>44965</v>
      </c>
      <c r="AS420" s="26">
        <f t="shared" ca="1" si="40"/>
        <v>0.57941766259749805</v>
      </c>
      <c r="AT420" s="29">
        <v>0</v>
      </c>
      <c r="AV420" s="22">
        <v>44965</v>
      </c>
      <c r="AW420" s="26">
        <f t="shared" ca="1" si="41"/>
        <v>0.31027036679694742</v>
      </c>
      <c r="AX420" s="29">
        <v>0</v>
      </c>
      <c r="AZ420" s="22">
        <v>44965</v>
      </c>
      <c r="BA420" s="26">
        <f t="shared" ca="1" si="42"/>
        <v>0.46658434197760323</v>
      </c>
      <c r="BB420" s="29">
        <v>0</v>
      </c>
      <c r="BC420"/>
      <c r="BD420" s="25"/>
      <c r="BF420" s="22">
        <v>44965</v>
      </c>
      <c r="BG420" s="26">
        <f t="shared" ca="1" si="43"/>
        <v>0.84736668152037575</v>
      </c>
      <c r="BH420" s="29">
        <v>0</v>
      </c>
      <c r="BJ420" s="22">
        <v>44965</v>
      </c>
      <c r="BK420" s="26">
        <f t="shared" ca="1" si="44"/>
        <v>0.66884916007254791</v>
      </c>
      <c r="BL420" s="29">
        <v>0</v>
      </c>
      <c r="BN420" s="22">
        <v>44965</v>
      </c>
      <c r="BO420" s="26">
        <f t="shared" ca="1" si="45"/>
        <v>0.86931542096811543</v>
      </c>
      <c r="BP420" s="29">
        <v>0</v>
      </c>
      <c r="BR420" s="22">
        <v>44965</v>
      </c>
      <c r="BS420" s="26">
        <f t="shared" ca="1" si="46"/>
        <v>0.46413386586951799</v>
      </c>
      <c r="BT420" s="29">
        <v>0</v>
      </c>
      <c r="BV420" s="22">
        <v>44965</v>
      </c>
      <c r="BW420" s="26">
        <f t="shared" ca="1" si="47"/>
        <v>1.1234129004068505E-3</v>
      </c>
      <c r="BX420" s="29">
        <v>0</v>
      </c>
    </row>
    <row r="421" spans="2:76" ht="12.75" x14ac:dyDescent="0.2">
      <c r="B421" s="22">
        <v>44966</v>
      </c>
      <c r="C421" s="26">
        <f t="shared" ca="1" si="56"/>
        <v>0.47848243307238048</v>
      </c>
      <c r="D421" s="29">
        <v>0</v>
      </c>
      <c r="F421" s="22">
        <v>44966</v>
      </c>
      <c r="G421" s="26">
        <f t="shared" ca="1" si="31"/>
        <v>0.16639738500905255</v>
      </c>
      <c r="H421" s="29">
        <v>0</v>
      </c>
      <c r="J421" s="22">
        <v>44966</v>
      </c>
      <c r="K421" s="26">
        <f t="shared" ca="1" si="32"/>
        <v>0.18878191972239422</v>
      </c>
      <c r="L421" s="29">
        <v>0</v>
      </c>
      <c r="N421" s="22">
        <v>44966</v>
      </c>
      <c r="O421" s="26">
        <f t="shared" ca="1" si="33"/>
        <v>0.45918527543688403</v>
      </c>
      <c r="P421" s="29">
        <v>0</v>
      </c>
      <c r="R421" s="22">
        <v>44966</v>
      </c>
      <c r="S421" s="26">
        <f t="shared" ca="1" si="34"/>
        <v>0.41028926111554997</v>
      </c>
      <c r="T421" s="29">
        <v>0</v>
      </c>
      <c r="V421" s="22">
        <v>44966</v>
      </c>
      <c r="W421" s="26">
        <f t="shared" ca="1" si="35"/>
        <v>0.49137523203848554</v>
      </c>
      <c r="X421" s="29">
        <v>0</v>
      </c>
      <c r="Z421" s="22">
        <v>44966</v>
      </c>
      <c r="AA421" s="26">
        <f t="shared" ca="1" si="36"/>
        <v>0.31763693809706273</v>
      </c>
      <c r="AB421" s="29">
        <v>0</v>
      </c>
      <c r="AC421"/>
      <c r="AD421" s="25"/>
      <c r="AF421" s="22">
        <v>44966</v>
      </c>
      <c r="AG421" s="26">
        <f t="shared" ca="1" si="37"/>
        <v>0.91230824992655946</v>
      </c>
      <c r="AH421" s="29">
        <v>0</v>
      </c>
      <c r="AJ421" s="22">
        <v>44966</v>
      </c>
      <c r="AK421" s="26">
        <f t="shared" ca="1" si="38"/>
        <v>0.33698980458091776</v>
      </c>
      <c r="AL421" s="29">
        <v>0</v>
      </c>
      <c r="AN421" s="22">
        <v>44966</v>
      </c>
      <c r="AO421" s="26">
        <f t="shared" ca="1" si="39"/>
        <v>3.6593195950010649E-2</v>
      </c>
      <c r="AP421" s="29">
        <v>0</v>
      </c>
      <c r="AR421" s="22">
        <v>44966</v>
      </c>
      <c r="AS421" s="26">
        <f t="shared" ca="1" si="40"/>
        <v>0.95471088725439401</v>
      </c>
      <c r="AT421" s="29">
        <v>0</v>
      </c>
      <c r="AV421" s="22">
        <v>44966</v>
      </c>
      <c r="AW421" s="26">
        <f t="shared" ca="1" si="41"/>
        <v>0.37309177558119955</v>
      </c>
      <c r="AX421" s="29">
        <v>0</v>
      </c>
      <c r="AZ421" s="22">
        <v>44966</v>
      </c>
      <c r="BA421" s="26">
        <f t="shared" ca="1" si="42"/>
        <v>0.13732004790683472</v>
      </c>
      <c r="BB421" s="29">
        <v>0</v>
      </c>
      <c r="BC421"/>
      <c r="BD421" s="25"/>
      <c r="BF421" s="22">
        <v>44966</v>
      </c>
      <c r="BG421" s="26">
        <f t="shared" ca="1" si="43"/>
        <v>0.62420804384469941</v>
      </c>
      <c r="BH421" s="29">
        <v>0</v>
      </c>
      <c r="BJ421" s="22">
        <v>44966</v>
      </c>
      <c r="BK421" s="26">
        <f t="shared" ca="1" si="44"/>
        <v>0.77383863293506816</v>
      </c>
      <c r="BL421" s="29">
        <v>0</v>
      </c>
      <c r="BN421" s="22">
        <v>44966</v>
      </c>
      <c r="BO421" s="26">
        <f t="shared" ca="1" si="45"/>
        <v>0.97218960333710513</v>
      </c>
      <c r="BP421" s="29">
        <v>0</v>
      </c>
      <c r="BR421" s="22">
        <v>44966</v>
      </c>
      <c r="BS421" s="26">
        <f t="shared" ca="1" si="46"/>
        <v>0.51217123473933934</v>
      </c>
      <c r="BT421" s="29">
        <v>0</v>
      </c>
      <c r="BV421" s="22">
        <v>44966</v>
      </c>
      <c r="BW421" s="26">
        <f t="shared" ca="1" si="47"/>
        <v>0.37562512269809112</v>
      </c>
      <c r="BX421" s="29">
        <v>0</v>
      </c>
    </row>
    <row r="422" spans="2:76" ht="12.75" x14ac:dyDescent="0.2">
      <c r="B422" s="22">
        <v>44967</v>
      </c>
      <c r="C422" s="26">
        <f t="shared" ca="1" si="56"/>
        <v>0.6808071848507331</v>
      </c>
      <c r="D422" s="29">
        <v>0</v>
      </c>
      <c r="F422" s="22">
        <v>44967</v>
      </c>
      <c r="G422" s="26">
        <f t="shared" ca="1" si="31"/>
        <v>0.69477854320681365</v>
      </c>
      <c r="H422" s="29">
        <v>0</v>
      </c>
      <c r="J422" s="22">
        <v>44967</v>
      </c>
      <c r="K422" s="26">
        <f t="shared" ca="1" si="32"/>
        <v>0.61221575232201475</v>
      </c>
      <c r="L422" s="29">
        <v>0</v>
      </c>
      <c r="N422" s="22">
        <v>44967</v>
      </c>
      <c r="O422" s="26">
        <f t="shared" ca="1" si="33"/>
        <v>0.35671199307591595</v>
      </c>
      <c r="P422" s="29">
        <v>0</v>
      </c>
      <c r="R422" s="22">
        <v>44967</v>
      </c>
      <c r="S422" s="26">
        <f t="shared" ca="1" si="34"/>
        <v>0.68936959169584189</v>
      </c>
      <c r="T422" s="29">
        <v>0</v>
      </c>
      <c r="V422" s="22">
        <v>44967</v>
      </c>
      <c r="W422" s="26">
        <f t="shared" ca="1" si="35"/>
        <v>0.90003518481075773</v>
      </c>
      <c r="X422" s="29">
        <v>0</v>
      </c>
      <c r="Z422" s="22">
        <v>44967</v>
      </c>
      <c r="AA422" s="26">
        <f t="shared" ca="1" si="36"/>
        <v>0.20727113136619502</v>
      </c>
      <c r="AB422" s="29">
        <v>0</v>
      </c>
      <c r="AC422"/>
      <c r="AD422" s="25"/>
      <c r="AF422" s="22">
        <v>44967</v>
      </c>
      <c r="AG422" s="26">
        <f t="shared" ca="1" si="37"/>
        <v>0.17223579568306024</v>
      </c>
      <c r="AH422" s="29">
        <v>0</v>
      </c>
      <c r="AJ422" s="22">
        <v>44967</v>
      </c>
      <c r="AK422" s="26">
        <f t="shared" ca="1" si="38"/>
        <v>0.42255981665384679</v>
      </c>
      <c r="AL422" s="29">
        <v>0</v>
      </c>
      <c r="AN422" s="22">
        <v>44967</v>
      </c>
      <c r="AO422" s="26">
        <f t="shared" ca="1" si="39"/>
        <v>0.56906626508026759</v>
      </c>
      <c r="AP422" s="29">
        <v>0</v>
      </c>
      <c r="AR422" s="22">
        <v>44967</v>
      </c>
      <c r="AS422" s="26">
        <f t="shared" ca="1" si="40"/>
        <v>0.38022068973580725</v>
      </c>
      <c r="AT422" s="29">
        <v>0</v>
      </c>
      <c r="AV422" s="22">
        <v>44967</v>
      </c>
      <c r="AW422" s="26">
        <f t="shared" ca="1" si="41"/>
        <v>0.95008387440696196</v>
      </c>
      <c r="AX422" s="29">
        <v>0</v>
      </c>
      <c r="AZ422" s="22">
        <v>44967</v>
      </c>
      <c r="BA422" s="26">
        <f t="shared" ca="1" si="42"/>
        <v>0.76076312857035266</v>
      </c>
      <c r="BB422" s="29">
        <v>0</v>
      </c>
      <c r="BC422"/>
      <c r="BD422" s="25"/>
      <c r="BF422" s="22">
        <v>44967</v>
      </c>
      <c r="BG422" s="26">
        <f t="shared" ca="1" si="43"/>
        <v>2.8072818736277871E-2</v>
      </c>
      <c r="BH422" s="29">
        <v>0</v>
      </c>
      <c r="BJ422" s="22">
        <v>44967</v>
      </c>
      <c r="BK422" s="26">
        <f t="shared" ca="1" si="44"/>
        <v>0.69003665014382221</v>
      </c>
      <c r="BL422" s="29">
        <v>0</v>
      </c>
      <c r="BN422" s="22">
        <v>44967</v>
      </c>
      <c r="BO422" s="26">
        <f t="shared" ca="1" si="45"/>
        <v>0.71977038799671944</v>
      </c>
      <c r="BP422" s="29">
        <v>0</v>
      </c>
      <c r="BR422" s="22">
        <v>44967</v>
      </c>
      <c r="BS422" s="26">
        <f t="shared" ca="1" si="46"/>
        <v>0.96361000322115864</v>
      </c>
      <c r="BT422" s="29">
        <v>0</v>
      </c>
      <c r="BV422" s="22">
        <v>44967</v>
      </c>
      <c r="BW422" s="26">
        <f t="shared" ca="1" si="47"/>
        <v>0.60469566080336967</v>
      </c>
      <c r="BX422" s="29">
        <v>0</v>
      </c>
    </row>
    <row r="423" spans="2:76" ht="12.75" x14ac:dyDescent="0.2">
      <c r="B423" s="22">
        <v>44968</v>
      </c>
      <c r="C423" s="26">
        <f t="shared" ca="1" si="56"/>
        <v>0.63068048225986917</v>
      </c>
      <c r="D423" s="29">
        <v>0</v>
      </c>
      <c r="F423" s="22">
        <v>44968</v>
      </c>
      <c r="G423" s="26">
        <f t="shared" ca="1" si="31"/>
        <v>0.58920892712407302</v>
      </c>
      <c r="H423" s="29">
        <v>0</v>
      </c>
      <c r="J423" s="22">
        <v>44968</v>
      </c>
      <c r="K423" s="26">
        <f t="shared" ca="1" si="32"/>
        <v>0.90305917463272645</v>
      </c>
      <c r="L423" s="29">
        <v>0</v>
      </c>
      <c r="N423" s="22">
        <v>44968</v>
      </c>
      <c r="O423" s="26">
        <f t="shared" ca="1" si="33"/>
        <v>0.58053051877256701</v>
      </c>
      <c r="P423" s="29">
        <v>0</v>
      </c>
      <c r="R423" s="22">
        <v>44968</v>
      </c>
      <c r="S423" s="26">
        <f t="shared" ca="1" si="34"/>
        <v>0.22265768003409003</v>
      </c>
      <c r="T423" s="29">
        <v>0</v>
      </c>
      <c r="V423" s="22">
        <v>44968</v>
      </c>
      <c r="W423" s="26">
        <f t="shared" ca="1" si="35"/>
        <v>0.57581416461076151</v>
      </c>
      <c r="X423" s="29">
        <v>0</v>
      </c>
      <c r="Z423" s="22">
        <v>44968</v>
      </c>
      <c r="AA423" s="26">
        <f t="shared" ca="1" si="36"/>
        <v>0.47442350152547852</v>
      </c>
      <c r="AB423" s="29">
        <v>0</v>
      </c>
      <c r="AC423"/>
      <c r="AD423" s="25"/>
      <c r="AF423" s="22">
        <v>44968</v>
      </c>
      <c r="AG423" s="26">
        <f t="shared" ca="1" si="37"/>
        <v>0.22987114111502382</v>
      </c>
      <c r="AH423" s="29">
        <v>0</v>
      </c>
      <c r="AJ423" s="22">
        <v>44968</v>
      </c>
      <c r="AK423" s="26">
        <f t="shared" ca="1" si="38"/>
        <v>0.67313878961341456</v>
      </c>
      <c r="AL423" s="29">
        <v>0</v>
      </c>
      <c r="AN423" s="22">
        <v>44968</v>
      </c>
      <c r="AO423" s="26">
        <f t="shared" ca="1" si="39"/>
        <v>0.33914862660486611</v>
      </c>
      <c r="AP423" s="29">
        <v>0</v>
      </c>
      <c r="AR423" s="22">
        <v>44968</v>
      </c>
      <c r="AS423" s="26">
        <f t="shared" ca="1" si="40"/>
        <v>0.66474160775812896</v>
      </c>
      <c r="AT423" s="29">
        <v>0</v>
      </c>
      <c r="AV423" s="22">
        <v>44968</v>
      </c>
      <c r="AW423" s="26">
        <f t="shared" ca="1" si="41"/>
        <v>0.73594094508858388</v>
      </c>
      <c r="AX423" s="29">
        <v>0</v>
      </c>
      <c r="AZ423" s="22">
        <v>44968</v>
      </c>
      <c r="BA423" s="26">
        <f t="shared" ca="1" si="42"/>
        <v>0.66303075288478641</v>
      </c>
      <c r="BB423" s="29">
        <v>0</v>
      </c>
      <c r="BC423"/>
      <c r="BD423" s="25"/>
      <c r="BF423" s="22">
        <v>44968</v>
      </c>
      <c r="BG423" s="26">
        <f t="shared" ca="1" si="43"/>
        <v>0.793746744386161</v>
      </c>
      <c r="BH423" s="29">
        <v>0</v>
      </c>
      <c r="BJ423" s="22">
        <v>44968</v>
      </c>
      <c r="BK423" s="26">
        <f t="shared" ca="1" si="44"/>
        <v>0.78610820818637861</v>
      </c>
      <c r="BL423" s="29">
        <v>0</v>
      </c>
      <c r="BN423" s="22">
        <v>44968</v>
      </c>
      <c r="BO423" s="26">
        <f t="shared" ca="1" si="45"/>
        <v>0.40436087171725377</v>
      </c>
      <c r="BP423" s="29">
        <v>0</v>
      </c>
      <c r="BR423" s="22">
        <v>44968</v>
      </c>
      <c r="BS423" s="26">
        <f t="shared" ca="1" si="46"/>
        <v>9.5833142059875476E-2</v>
      </c>
      <c r="BT423" s="29">
        <v>0</v>
      </c>
      <c r="BV423" s="22">
        <v>44968</v>
      </c>
      <c r="BW423" s="26">
        <f t="shared" ca="1" si="47"/>
        <v>0.16060063519170142</v>
      </c>
      <c r="BX423" s="29">
        <v>0</v>
      </c>
    </row>
    <row r="424" spans="2:76" ht="12.75" x14ac:dyDescent="0.2">
      <c r="B424" s="22">
        <v>44969</v>
      </c>
      <c r="C424" s="26">
        <f t="shared" ca="1" si="56"/>
        <v>0.25923470712022889</v>
      </c>
      <c r="D424" s="29">
        <v>0</v>
      </c>
      <c r="F424" s="22">
        <v>44969</v>
      </c>
      <c r="G424" s="26">
        <f t="shared" ca="1" si="31"/>
        <v>0.1339029714243295</v>
      </c>
      <c r="H424" s="29">
        <v>0</v>
      </c>
      <c r="J424" s="22">
        <v>44969</v>
      </c>
      <c r="K424" s="26">
        <f t="shared" ca="1" si="32"/>
        <v>0.78564401599013656</v>
      </c>
      <c r="L424" s="29">
        <v>0</v>
      </c>
      <c r="N424" s="22">
        <v>44969</v>
      </c>
      <c r="O424" s="26">
        <f t="shared" ca="1" si="33"/>
        <v>0.38018055112175209</v>
      </c>
      <c r="P424" s="29">
        <v>0</v>
      </c>
      <c r="R424" s="22">
        <v>44969</v>
      </c>
      <c r="S424" s="26">
        <f t="shared" ca="1" si="34"/>
        <v>0.32766665652213178</v>
      </c>
      <c r="T424" s="29">
        <v>0</v>
      </c>
      <c r="V424" s="22">
        <v>44969</v>
      </c>
      <c r="W424" s="26">
        <f t="shared" ca="1" si="35"/>
        <v>0.31762301684988981</v>
      </c>
      <c r="X424" s="29">
        <v>0</v>
      </c>
      <c r="Z424" s="22">
        <v>44969</v>
      </c>
      <c r="AA424" s="26">
        <f t="shared" ca="1" si="36"/>
        <v>0.8198186510067772</v>
      </c>
      <c r="AB424" s="29">
        <v>0</v>
      </c>
      <c r="AC424"/>
      <c r="AD424" s="25"/>
      <c r="AF424" s="22">
        <v>44969</v>
      </c>
      <c r="AG424" s="26">
        <f t="shared" ca="1" si="37"/>
        <v>0.84771913773131058</v>
      </c>
      <c r="AH424" s="29">
        <v>0</v>
      </c>
      <c r="AJ424" s="22">
        <v>44969</v>
      </c>
      <c r="AK424" s="26">
        <f t="shared" ca="1" si="38"/>
        <v>0.61985917681786329</v>
      </c>
      <c r="AL424" s="29">
        <v>0</v>
      </c>
      <c r="AN424" s="22">
        <v>44969</v>
      </c>
      <c r="AO424" s="26">
        <f t="shared" ca="1" si="39"/>
        <v>9.7809029465718789E-2</v>
      </c>
      <c r="AP424" s="29">
        <v>0</v>
      </c>
      <c r="AR424" s="22">
        <v>44969</v>
      </c>
      <c r="AS424" s="26">
        <f t="shared" ca="1" si="40"/>
        <v>0.25834157394466606</v>
      </c>
      <c r="AT424" s="29">
        <v>0</v>
      </c>
      <c r="AV424" s="22">
        <v>44969</v>
      </c>
      <c r="AW424" s="26">
        <f t="shared" ca="1" si="41"/>
        <v>0.62506851636844463</v>
      </c>
      <c r="AX424" s="29">
        <v>0</v>
      </c>
      <c r="AZ424" s="22">
        <v>44969</v>
      </c>
      <c r="BA424" s="26">
        <f t="shared" ca="1" si="42"/>
        <v>0.79293616548680235</v>
      </c>
      <c r="BB424" s="29">
        <v>0</v>
      </c>
      <c r="BC424"/>
      <c r="BD424" s="25"/>
      <c r="BF424" s="22">
        <v>44969</v>
      </c>
      <c r="BG424" s="26">
        <f t="shared" ca="1" si="43"/>
        <v>0.74745342532726866</v>
      </c>
      <c r="BH424" s="29">
        <v>0</v>
      </c>
      <c r="BJ424" s="22">
        <v>44969</v>
      </c>
      <c r="BK424" s="26">
        <f t="shared" ca="1" si="44"/>
        <v>0.96270679292753125</v>
      </c>
      <c r="BL424" s="29">
        <v>0</v>
      </c>
      <c r="BN424" s="22">
        <v>44969</v>
      </c>
      <c r="BO424" s="26">
        <f t="shared" ca="1" si="45"/>
        <v>8.6981715106922985E-3</v>
      </c>
      <c r="BP424" s="29">
        <v>0</v>
      </c>
      <c r="BR424" s="22">
        <v>44969</v>
      </c>
      <c r="BS424" s="26">
        <f t="shared" ca="1" si="46"/>
        <v>0.90026616338452115</v>
      </c>
      <c r="BT424" s="29">
        <v>0</v>
      </c>
      <c r="BV424" s="22">
        <v>44969</v>
      </c>
      <c r="BW424" s="26">
        <f t="shared" ca="1" si="47"/>
        <v>0.71157348793285535</v>
      </c>
      <c r="BX424" s="29">
        <v>0</v>
      </c>
    </row>
    <row r="425" spans="2:76" ht="12.75" x14ac:dyDescent="0.2">
      <c r="B425" s="22">
        <v>44970</v>
      </c>
      <c r="C425" s="26">
        <f t="shared" ca="1" si="56"/>
        <v>0.55492065562982917</v>
      </c>
      <c r="D425" s="29">
        <v>0</v>
      </c>
      <c r="F425" s="22">
        <v>44970</v>
      </c>
      <c r="G425" s="26">
        <f t="shared" ca="1" si="31"/>
        <v>0.70626816167778284</v>
      </c>
      <c r="H425" s="29">
        <v>0</v>
      </c>
      <c r="J425" s="22">
        <v>44970</v>
      </c>
      <c r="K425" s="26">
        <f t="shared" ca="1" si="32"/>
        <v>0.89569166715063542</v>
      </c>
      <c r="L425" s="29">
        <v>0</v>
      </c>
      <c r="N425" s="22">
        <v>44970</v>
      </c>
      <c r="O425" s="26">
        <f t="shared" ca="1" si="33"/>
        <v>0.55404970512798957</v>
      </c>
      <c r="P425" s="29">
        <v>0</v>
      </c>
      <c r="R425" s="22">
        <v>44970</v>
      </c>
      <c r="S425" s="26">
        <f t="shared" ca="1" si="34"/>
        <v>0.43230607715154556</v>
      </c>
      <c r="T425" s="29">
        <v>0</v>
      </c>
      <c r="V425" s="22">
        <v>44970</v>
      </c>
      <c r="W425" s="26">
        <f t="shared" ca="1" si="35"/>
        <v>0.50672231050359728</v>
      </c>
      <c r="X425" s="29">
        <v>0</v>
      </c>
      <c r="Z425" s="22">
        <v>44970</v>
      </c>
      <c r="AA425" s="26">
        <f t="shared" ca="1" si="36"/>
        <v>2.5093168999262727E-2</v>
      </c>
      <c r="AB425" s="29">
        <v>0</v>
      </c>
      <c r="AC425"/>
      <c r="AD425" s="25"/>
      <c r="AF425" s="22">
        <v>44970</v>
      </c>
      <c r="AG425" s="26">
        <f t="shared" ca="1" si="37"/>
        <v>0.75123965831965245</v>
      </c>
      <c r="AH425" s="29">
        <v>0</v>
      </c>
      <c r="AJ425" s="22">
        <v>44970</v>
      </c>
      <c r="AK425" s="26">
        <f t="shared" ca="1" si="38"/>
        <v>0.50130544562228785</v>
      </c>
      <c r="AL425" s="29">
        <v>0</v>
      </c>
      <c r="AN425" s="22">
        <v>44970</v>
      </c>
      <c r="AO425" s="26">
        <f t="shared" ca="1" si="39"/>
        <v>1.133811153033526E-2</v>
      </c>
      <c r="AP425" s="29">
        <v>0</v>
      </c>
      <c r="AR425" s="22">
        <v>44970</v>
      </c>
      <c r="AS425" s="26">
        <f t="shared" ca="1" si="40"/>
        <v>0.6512148943286844</v>
      </c>
      <c r="AT425" s="29">
        <v>0</v>
      </c>
      <c r="AV425" s="22">
        <v>44970</v>
      </c>
      <c r="AW425" s="26">
        <f t="shared" ca="1" si="41"/>
        <v>0.71736873836605375</v>
      </c>
      <c r="AX425" s="29">
        <v>0</v>
      </c>
      <c r="AZ425" s="22">
        <v>44970</v>
      </c>
      <c r="BA425" s="26">
        <f t="shared" ca="1" si="42"/>
        <v>0.18286902723922704</v>
      </c>
      <c r="BB425" s="29">
        <v>0</v>
      </c>
      <c r="BC425"/>
      <c r="BD425" s="25"/>
      <c r="BF425" s="22">
        <v>44970</v>
      </c>
      <c r="BG425" s="26">
        <f t="shared" ca="1" si="43"/>
        <v>0.13271079721597667</v>
      </c>
      <c r="BH425" s="29">
        <v>0</v>
      </c>
      <c r="BJ425" s="22">
        <v>44970</v>
      </c>
      <c r="BK425" s="26">
        <f t="shared" ca="1" si="44"/>
        <v>0.4784353409452754</v>
      </c>
      <c r="BL425" s="29">
        <v>0</v>
      </c>
      <c r="BN425" s="22">
        <v>44970</v>
      </c>
      <c r="BO425" s="26">
        <f t="shared" ca="1" si="45"/>
        <v>0.46073444673997099</v>
      </c>
      <c r="BP425" s="29">
        <v>0</v>
      </c>
      <c r="BR425" s="22">
        <v>44970</v>
      </c>
      <c r="BS425" s="26">
        <f t="shared" ca="1" si="46"/>
        <v>0.69375184936319023</v>
      </c>
      <c r="BT425" s="29">
        <v>0</v>
      </c>
      <c r="BV425" s="22">
        <v>44970</v>
      </c>
      <c r="BW425" s="26">
        <f t="shared" ca="1" si="47"/>
        <v>0.20133152932360976</v>
      </c>
      <c r="BX425" s="29">
        <v>0</v>
      </c>
    </row>
    <row r="426" spans="2:76" ht="12.75" x14ac:dyDescent="0.2">
      <c r="B426" s="22">
        <v>44971</v>
      </c>
      <c r="C426" s="26">
        <f t="shared" ca="1" si="56"/>
        <v>0.25745898960152358</v>
      </c>
      <c r="D426" s="29">
        <v>0</v>
      </c>
      <c r="F426" s="22">
        <v>44971</v>
      </c>
      <c r="G426" s="26">
        <f t="shared" ca="1" si="31"/>
        <v>0.12446726161635202</v>
      </c>
      <c r="H426" s="29">
        <v>0</v>
      </c>
      <c r="J426" s="22">
        <v>44971</v>
      </c>
      <c r="K426" s="26">
        <f t="shared" ca="1" si="32"/>
        <v>0.68313073876977515</v>
      </c>
      <c r="L426" s="29">
        <v>0</v>
      </c>
      <c r="N426" s="22">
        <v>44971</v>
      </c>
      <c r="O426" s="26">
        <f t="shared" ca="1" si="33"/>
        <v>0.94012297448387694</v>
      </c>
      <c r="P426" s="29">
        <v>0</v>
      </c>
      <c r="R426" s="22">
        <v>44971</v>
      </c>
      <c r="S426" s="26">
        <f t="shared" ca="1" si="34"/>
        <v>0.88904309733227438</v>
      </c>
      <c r="T426" s="29">
        <v>0</v>
      </c>
      <c r="V426" s="22">
        <v>44971</v>
      </c>
      <c r="W426" s="26">
        <f t="shared" ca="1" si="35"/>
        <v>0.64765680023692518</v>
      </c>
      <c r="X426" s="29">
        <v>0</v>
      </c>
      <c r="Z426" s="22">
        <v>44971</v>
      </c>
      <c r="AA426" s="26">
        <f t="shared" ca="1" si="36"/>
        <v>0.5608333327822097</v>
      </c>
      <c r="AB426" s="29">
        <v>0</v>
      </c>
      <c r="AC426"/>
      <c r="AD426" s="25"/>
      <c r="AF426" s="22">
        <v>44971</v>
      </c>
      <c r="AG426" s="26">
        <f t="shared" ca="1" si="37"/>
        <v>0.95778309578480569</v>
      </c>
      <c r="AH426" s="29">
        <v>0</v>
      </c>
      <c r="AJ426" s="22">
        <v>44971</v>
      </c>
      <c r="AK426" s="26">
        <f t="shared" ca="1" si="38"/>
        <v>9.9310898934221958E-2</v>
      </c>
      <c r="AL426" s="29">
        <v>0</v>
      </c>
      <c r="AN426" s="22">
        <v>44971</v>
      </c>
      <c r="AO426" s="26">
        <f t="shared" ca="1" si="39"/>
        <v>0.62669997921704357</v>
      </c>
      <c r="AP426" s="29">
        <v>0</v>
      </c>
      <c r="AR426" s="22">
        <v>44971</v>
      </c>
      <c r="AS426" s="26">
        <f t="shared" ca="1" si="40"/>
        <v>0.84119360119787789</v>
      </c>
      <c r="AT426" s="29">
        <v>0</v>
      </c>
      <c r="AV426" s="22">
        <v>44971</v>
      </c>
      <c r="AW426" s="26">
        <f t="shared" ca="1" si="41"/>
        <v>0.24367409551063213</v>
      </c>
      <c r="AX426" s="29">
        <v>0</v>
      </c>
      <c r="AZ426" s="22">
        <v>44971</v>
      </c>
      <c r="BA426" s="26">
        <f t="shared" ca="1" si="42"/>
        <v>0.155244993045769</v>
      </c>
      <c r="BB426" s="29">
        <v>0</v>
      </c>
      <c r="BC426"/>
      <c r="BD426" s="25"/>
      <c r="BF426" s="22">
        <v>44971</v>
      </c>
      <c r="BG426" s="26">
        <f t="shared" ca="1" si="43"/>
        <v>0.43052883749188564</v>
      </c>
      <c r="BH426" s="29">
        <v>0</v>
      </c>
      <c r="BJ426" s="22">
        <v>44971</v>
      </c>
      <c r="BK426" s="26">
        <f t="shared" ca="1" si="44"/>
        <v>0.42124385332546188</v>
      </c>
      <c r="BL426" s="29">
        <v>0</v>
      </c>
      <c r="BN426" s="22">
        <v>44971</v>
      </c>
      <c r="BO426" s="26">
        <f t="shared" ca="1" si="45"/>
        <v>1.1298247786998061E-2</v>
      </c>
      <c r="BP426" s="29">
        <v>0</v>
      </c>
      <c r="BR426" s="22">
        <v>44971</v>
      </c>
      <c r="BS426" s="26">
        <f t="shared" ca="1" si="46"/>
        <v>0.1886381563746562</v>
      </c>
      <c r="BT426" s="29">
        <v>0</v>
      </c>
      <c r="BV426" s="22">
        <v>44971</v>
      </c>
      <c r="BW426" s="26">
        <f t="shared" ca="1" si="47"/>
        <v>4.482763769496001E-2</v>
      </c>
      <c r="BX426" s="29">
        <v>0</v>
      </c>
    </row>
    <row r="427" spans="2:76" ht="12.75" x14ac:dyDescent="0.2">
      <c r="B427" s="22">
        <v>44972</v>
      </c>
      <c r="C427" s="26">
        <f t="shared" ca="1" si="56"/>
        <v>0.13791034398253788</v>
      </c>
      <c r="D427" s="29">
        <f t="shared" ca="1" si="66"/>
        <v>54</v>
      </c>
      <c r="F427" s="22">
        <v>44972</v>
      </c>
      <c r="G427" s="26">
        <f t="shared" ca="1" si="31"/>
        <v>0.10478014427207072</v>
      </c>
      <c r="H427" s="29">
        <f t="shared" ca="1" si="59"/>
        <v>198</v>
      </c>
      <c r="J427" s="22">
        <v>44972</v>
      </c>
      <c r="K427" s="26">
        <f t="shared" ca="1" si="32"/>
        <v>0.95490693895697076</v>
      </c>
      <c r="L427" s="29">
        <f t="shared" ca="1" si="60"/>
        <v>167</v>
      </c>
      <c r="N427" s="22">
        <v>44972</v>
      </c>
      <c r="O427" s="26">
        <f t="shared" ca="1" si="33"/>
        <v>0.16276679900992375</v>
      </c>
      <c r="P427" s="29">
        <f t="shared" ca="1" si="61"/>
        <v>215</v>
      </c>
      <c r="R427" s="22">
        <v>44972</v>
      </c>
      <c r="S427" s="26">
        <f t="shared" ca="1" si="34"/>
        <v>0.34033456270170681</v>
      </c>
      <c r="T427" s="29">
        <f t="shared" ca="1" si="62"/>
        <v>135</v>
      </c>
      <c r="V427" s="22">
        <v>44972</v>
      </c>
      <c r="W427" s="26">
        <f t="shared" ca="1" si="35"/>
        <v>3.7213774495821861E-2</v>
      </c>
      <c r="X427" s="29">
        <f t="shared" ca="1" si="65"/>
        <v>199</v>
      </c>
      <c r="Z427" s="22">
        <v>44972</v>
      </c>
      <c r="AA427" s="26">
        <f t="shared" ca="1" si="36"/>
        <v>0.56254459351705377</v>
      </c>
      <c r="AB427" s="29">
        <f t="shared" ca="1" si="63"/>
        <v>273</v>
      </c>
      <c r="AC427"/>
      <c r="AD427" s="25"/>
      <c r="AF427" s="22">
        <v>44972</v>
      </c>
      <c r="AG427" s="26">
        <f t="shared" ca="1" si="37"/>
        <v>0.22564113335858738</v>
      </c>
      <c r="AH427" s="29">
        <f t="shared" ca="1" si="64"/>
        <v>262</v>
      </c>
      <c r="AJ427" s="22">
        <v>44972</v>
      </c>
      <c r="AK427" s="26">
        <f t="shared" ca="1" si="38"/>
        <v>0.80240380474418016</v>
      </c>
      <c r="AL427" s="29">
        <v>0</v>
      </c>
      <c r="AN427" s="22">
        <v>44972</v>
      </c>
      <c r="AO427" s="26">
        <f t="shared" ca="1" si="39"/>
        <v>0.56810458711801781</v>
      </c>
      <c r="AP427" s="29">
        <v>0</v>
      </c>
      <c r="AR427" s="22">
        <v>44972</v>
      </c>
      <c r="AS427" s="26">
        <f t="shared" ca="1" si="40"/>
        <v>0.50143253611184524</v>
      </c>
      <c r="AT427" s="29">
        <v>0</v>
      </c>
      <c r="AV427" s="22">
        <v>44972</v>
      </c>
      <c r="AW427" s="26">
        <f t="shared" ca="1" si="41"/>
        <v>0.24874768020262139</v>
      </c>
      <c r="AX427" s="29">
        <v>0</v>
      </c>
      <c r="AZ427" s="22">
        <v>44972</v>
      </c>
      <c r="BA427" s="26">
        <f t="shared" ca="1" si="42"/>
        <v>0.89903198384034089</v>
      </c>
      <c r="BB427" s="29">
        <v>0</v>
      </c>
      <c r="BC427"/>
      <c r="BD427" s="25"/>
      <c r="BF427" s="22">
        <v>44972</v>
      </c>
      <c r="BG427" s="26">
        <f t="shared" ca="1" si="43"/>
        <v>0.52621506106993532</v>
      </c>
      <c r="BH427" s="29">
        <v>0</v>
      </c>
      <c r="BJ427" s="22">
        <v>44972</v>
      </c>
      <c r="BK427" s="26">
        <f t="shared" ca="1" si="44"/>
        <v>0.78045790763888434</v>
      </c>
      <c r="BL427" s="29">
        <v>0</v>
      </c>
      <c r="BN427" s="22">
        <v>44972</v>
      </c>
      <c r="BO427" s="26">
        <f t="shared" ca="1" si="45"/>
        <v>0.15325298574310631</v>
      </c>
      <c r="BP427" s="29">
        <v>0</v>
      </c>
      <c r="BR427" s="22">
        <v>44972</v>
      </c>
      <c r="BS427" s="26">
        <f t="shared" ca="1" si="46"/>
        <v>0.2842859289633779</v>
      </c>
      <c r="BT427" s="29">
        <v>0</v>
      </c>
      <c r="BV427" s="22">
        <v>44972</v>
      </c>
      <c r="BW427" s="26">
        <f t="shared" ca="1" si="47"/>
        <v>0.76066965278644449</v>
      </c>
      <c r="BX427" s="29">
        <v>0</v>
      </c>
    </row>
    <row r="428" spans="2:76" ht="12.75" x14ac:dyDescent="0.2">
      <c r="B428" s="22">
        <v>44973</v>
      </c>
      <c r="C428" s="26">
        <f t="shared" ca="1" si="56"/>
        <v>0.71465763679215255</v>
      </c>
      <c r="D428" s="29">
        <f t="shared" ca="1" si="66"/>
        <v>87</v>
      </c>
      <c r="F428" s="22">
        <v>44973</v>
      </c>
      <c r="G428" s="26">
        <f t="shared" ca="1" si="31"/>
        <v>0.80242851062716358</v>
      </c>
      <c r="H428" s="29">
        <f t="shared" ca="1" si="59"/>
        <v>228</v>
      </c>
      <c r="J428" s="22">
        <v>44973</v>
      </c>
      <c r="K428" s="26">
        <f t="shared" ca="1" si="32"/>
        <v>0.10310800903517836</v>
      </c>
      <c r="L428" s="29">
        <f t="shared" ca="1" si="60"/>
        <v>138</v>
      </c>
      <c r="N428" s="22">
        <v>44973</v>
      </c>
      <c r="O428" s="26">
        <f t="shared" ca="1" si="33"/>
        <v>0.52266706542128305</v>
      </c>
      <c r="P428" s="29">
        <f t="shared" ca="1" si="61"/>
        <v>231</v>
      </c>
      <c r="R428" s="22">
        <v>44973</v>
      </c>
      <c r="S428" s="26">
        <f t="shared" ca="1" si="34"/>
        <v>0.34881610507376637</v>
      </c>
      <c r="T428" s="29">
        <f t="shared" ca="1" si="62"/>
        <v>136</v>
      </c>
      <c r="V428" s="22">
        <v>44973</v>
      </c>
      <c r="W428" s="26">
        <f t="shared" ca="1" si="35"/>
        <v>5.3715275729439016E-3</v>
      </c>
      <c r="X428" s="29">
        <f t="shared" ca="1" si="65"/>
        <v>187</v>
      </c>
      <c r="Z428" s="22">
        <v>44973</v>
      </c>
      <c r="AA428" s="26">
        <f t="shared" ca="1" si="36"/>
        <v>0.78244686931063812</v>
      </c>
      <c r="AB428" s="29">
        <f t="shared" ca="1" si="63"/>
        <v>285</v>
      </c>
      <c r="AC428"/>
      <c r="AD428" s="25"/>
      <c r="AF428" s="22">
        <v>44973</v>
      </c>
      <c r="AG428" s="26">
        <f t="shared" ca="1" si="37"/>
        <v>0.5072204761564546</v>
      </c>
      <c r="AH428" s="29">
        <f t="shared" ca="1" si="64"/>
        <v>329</v>
      </c>
      <c r="AJ428" s="22">
        <v>44973</v>
      </c>
      <c r="AK428" s="26">
        <f t="shared" ca="1" si="38"/>
        <v>0.65755237309674763</v>
      </c>
      <c r="AL428" s="29">
        <v>0</v>
      </c>
      <c r="AN428" s="22">
        <v>44973</v>
      </c>
      <c r="AO428" s="26">
        <f t="shared" ca="1" si="39"/>
        <v>0.6563343285006491</v>
      </c>
      <c r="AP428" s="29">
        <v>0</v>
      </c>
      <c r="AR428" s="22">
        <v>44973</v>
      </c>
      <c r="AS428" s="26">
        <f t="shared" ca="1" si="40"/>
        <v>0.83479337092179273</v>
      </c>
      <c r="AT428" s="29">
        <v>0</v>
      </c>
      <c r="AV428" s="22">
        <v>44973</v>
      </c>
      <c r="AW428" s="26">
        <f t="shared" ca="1" si="41"/>
        <v>0.83356980577112749</v>
      </c>
      <c r="AX428" s="29">
        <v>0</v>
      </c>
      <c r="AZ428" s="22">
        <v>44973</v>
      </c>
      <c r="BA428" s="26">
        <f t="shared" ca="1" si="42"/>
        <v>0.61261120001605707</v>
      </c>
      <c r="BB428" s="29">
        <v>0</v>
      </c>
      <c r="BC428"/>
      <c r="BD428" s="25"/>
      <c r="BF428" s="22">
        <v>44973</v>
      </c>
      <c r="BG428" s="26">
        <f t="shared" ca="1" si="43"/>
        <v>0.90166656817840474</v>
      </c>
      <c r="BH428" s="29">
        <v>0</v>
      </c>
      <c r="BJ428" s="22">
        <v>44973</v>
      </c>
      <c r="BK428" s="26">
        <f t="shared" ca="1" si="44"/>
        <v>0.86234927765177949</v>
      </c>
      <c r="BL428" s="29">
        <v>0</v>
      </c>
      <c r="BN428" s="22">
        <v>44973</v>
      </c>
      <c r="BO428" s="26">
        <f t="shared" ca="1" si="45"/>
        <v>0.76642139367757889</v>
      </c>
      <c r="BP428" s="29">
        <v>0</v>
      </c>
      <c r="BR428" s="22">
        <v>44973</v>
      </c>
      <c r="BS428" s="26">
        <f t="shared" ca="1" si="46"/>
        <v>0.70883754975816693</v>
      </c>
      <c r="BT428" s="29">
        <v>0</v>
      </c>
      <c r="BV428" s="22">
        <v>44973</v>
      </c>
      <c r="BW428" s="26">
        <f t="shared" ca="1" si="47"/>
        <v>0.74392922392061278</v>
      </c>
      <c r="BX428" s="29">
        <v>0</v>
      </c>
    </row>
    <row r="429" spans="2:76" ht="12.75" x14ac:dyDescent="0.2">
      <c r="B429" s="22">
        <v>44974</v>
      </c>
      <c r="C429" s="26">
        <f t="shared" ca="1" si="56"/>
        <v>0.48024129140213234</v>
      </c>
      <c r="D429" s="29">
        <f t="shared" ca="1" si="66"/>
        <v>75</v>
      </c>
      <c r="F429" s="22">
        <v>44974</v>
      </c>
      <c r="G429" s="26">
        <f t="shared" ca="1" si="31"/>
        <v>0.67873313360333654</v>
      </c>
      <c r="H429" s="29">
        <f t="shared" ca="1" si="59"/>
        <v>223</v>
      </c>
      <c r="J429" s="22">
        <v>44974</v>
      </c>
      <c r="K429" s="26">
        <f t="shared" ca="1" si="32"/>
        <v>0.91553590473987856</v>
      </c>
      <c r="L429" s="29">
        <f t="shared" ca="1" si="60"/>
        <v>164</v>
      </c>
      <c r="N429" s="22">
        <v>44974</v>
      </c>
      <c r="O429" s="26">
        <f t="shared" ca="1" si="33"/>
        <v>0.13295592069772777</v>
      </c>
      <c r="P429" s="29">
        <f t="shared" ca="1" si="61"/>
        <v>213</v>
      </c>
      <c r="R429" s="22">
        <v>44974</v>
      </c>
      <c r="S429" s="26">
        <f t="shared" ca="1" si="34"/>
        <v>0.9416469011730455</v>
      </c>
      <c r="T429" s="29">
        <f t="shared" ca="1" si="62"/>
        <v>154</v>
      </c>
      <c r="V429" s="22">
        <v>44974</v>
      </c>
      <c r="W429" s="26">
        <f t="shared" ca="1" si="35"/>
        <v>0.42839441390252408</v>
      </c>
      <c r="X429" s="29">
        <f t="shared" ca="1" si="65"/>
        <v>223</v>
      </c>
      <c r="Z429" s="22">
        <v>44974</v>
      </c>
      <c r="AA429" s="26">
        <f t="shared" ca="1" si="36"/>
        <v>0.81760285614397155</v>
      </c>
      <c r="AB429" s="29">
        <f t="shared" ca="1" si="63"/>
        <v>287</v>
      </c>
      <c r="AC429"/>
      <c r="AD429" s="25"/>
      <c r="AF429" s="22">
        <v>44974</v>
      </c>
      <c r="AG429" s="26">
        <f t="shared" ca="1" si="37"/>
        <v>1.1386113638055639E-2</v>
      </c>
      <c r="AH429" s="29">
        <f t="shared" ca="1" si="64"/>
        <v>129</v>
      </c>
      <c r="AJ429" s="22">
        <v>44974</v>
      </c>
      <c r="AK429" s="26">
        <f t="shared" ca="1" si="38"/>
        <v>0.8701233735296624</v>
      </c>
      <c r="AL429" s="29">
        <v>0</v>
      </c>
      <c r="AN429" s="22">
        <v>44974</v>
      </c>
      <c r="AO429" s="26">
        <f t="shared" ca="1" si="39"/>
        <v>0.82104066735026593</v>
      </c>
      <c r="AP429" s="29">
        <v>0</v>
      </c>
      <c r="AR429" s="22">
        <v>44974</v>
      </c>
      <c r="AS429" s="26">
        <f t="shared" ca="1" si="40"/>
        <v>0.9856953216518517</v>
      </c>
      <c r="AT429" s="29">
        <v>0</v>
      </c>
      <c r="AV429" s="22">
        <v>44974</v>
      </c>
      <c r="AW429" s="26">
        <f t="shared" ca="1" si="41"/>
        <v>0.73446593106046421</v>
      </c>
      <c r="AX429" s="29">
        <v>0</v>
      </c>
      <c r="AZ429" s="22">
        <v>44974</v>
      </c>
      <c r="BA429" s="26">
        <f t="shared" ca="1" si="42"/>
        <v>0.59197964439044692</v>
      </c>
      <c r="BB429" s="29">
        <v>0</v>
      </c>
      <c r="BC429"/>
      <c r="BD429" s="25"/>
      <c r="BF429" s="22">
        <v>44974</v>
      </c>
      <c r="BG429" s="26">
        <f t="shared" ca="1" si="43"/>
        <v>0.83232682139944103</v>
      </c>
      <c r="BH429" s="29">
        <v>0</v>
      </c>
      <c r="BJ429" s="22">
        <v>44974</v>
      </c>
      <c r="BK429" s="26">
        <f t="shared" ca="1" si="44"/>
        <v>0.31630023084904535</v>
      </c>
      <c r="BL429" s="29">
        <v>0</v>
      </c>
      <c r="BN429" s="22">
        <v>44974</v>
      </c>
      <c r="BO429" s="26">
        <f t="shared" ca="1" si="45"/>
        <v>0.28914560669627565</v>
      </c>
      <c r="BP429" s="29">
        <v>0</v>
      </c>
      <c r="BR429" s="22">
        <v>44974</v>
      </c>
      <c r="BS429" s="26">
        <f t="shared" ca="1" si="46"/>
        <v>0.97572987564902036</v>
      </c>
      <c r="BT429" s="29">
        <v>0</v>
      </c>
      <c r="BV429" s="22">
        <v>44974</v>
      </c>
      <c r="BW429" s="26">
        <f t="shared" ca="1" si="47"/>
        <v>0.96063887825660554</v>
      </c>
      <c r="BX429" s="29">
        <v>0</v>
      </c>
    </row>
    <row r="430" spans="2:76" ht="12.75" x14ac:dyDescent="0.2">
      <c r="B430" s="22">
        <v>44975</v>
      </c>
      <c r="C430" s="26">
        <f t="shared" ca="1" si="56"/>
        <v>4.9839886002157829E-2</v>
      </c>
      <c r="D430" s="29">
        <f t="shared" ca="1" si="66"/>
        <v>43</v>
      </c>
      <c r="F430" s="22">
        <v>44975</v>
      </c>
      <c r="G430" s="26">
        <f t="shared" ca="1" si="31"/>
        <v>0.24090900317936892</v>
      </c>
      <c r="H430" s="29">
        <f t="shared" ca="1" si="59"/>
        <v>206</v>
      </c>
      <c r="J430" s="22">
        <v>44975</v>
      </c>
      <c r="K430" s="26">
        <f t="shared" ca="1" si="32"/>
        <v>0.87109663096696721</v>
      </c>
      <c r="L430" s="29">
        <f t="shared" ca="1" si="60"/>
        <v>162</v>
      </c>
      <c r="N430" s="22">
        <v>44975</v>
      </c>
      <c r="O430" s="26">
        <f t="shared" ca="1" si="33"/>
        <v>0.39352102377631848</v>
      </c>
      <c r="P430" s="29">
        <f t="shared" ca="1" si="61"/>
        <v>226</v>
      </c>
      <c r="R430" s="22">
        <v>44975</v>
      </c>
      <c r="S430" s="26">
        <f t="shared" ca="1" si="34"/>
        <v>0.81598867705107736</v>
      </c>
      <c r="T430" s="29">
        <f t="shared" ca="1" si="62"/>
        <v>148</v>
      </c>
      <c r="V430" s="22">
        <v>44975</v>
      </c>
      <c r="W430" s="26">
        <f t="shared" ca="1" si="35"/>
        <v>0.9934700529356344</v>
      </c>
      <c r="X430" s="29">
        <f t="shared" ca="1" si="65"/>
        <v>263</v>
      </c>
      <c r="Z430" s="22">
        <v>44975</v>
      </c>
      <c r="AA430" s="26">
        <f t="shared" ca="1" si="36"/>
        <v>0.65831899944751138</v>
      </c>
      <c r="AB430" s="29">
        <f t="shared" ca="1" si="63"/>
        <v>278</v>
      </c>
      <c r="AC430"/>
      <c r="AD430" s="25"/>
      <c r="AF430" s="22">
        <v>44975</v>
      </c>
      <c r="AG430" s="26">
        <f t="shared" ca="1" si="37"/>
        <v>0.11878144059538542</v>
      </c>
      <c r="AH430" s="29">
        <f t="shared" ca="1" si="64"/>
        <v>225</v>
      </c>
      <c r="AJ430" s="22">
        <v>44975</v>
      </c>
      <c r="AK430" s="26">
        <f t="shared" ca="1" si="38"/>
        <v>0.72185143242006256</v>
      </c>
      <c r="AL430" s="29">
        <v>0</v>
      </c>
      <c r="AN430" s="22">
        <v>44975</v>
      </c>
      <c r="AO430" s="26">
        <f t="shared" ca="1" si="39"/>
        <v>0.54771300548546709</v>
      </c>
      <c r="AP430" s="29">
        <v>0</v>
      </c>
      <c r="AR430" s="22">
        <v>44975</v>
      </c>
      <c r="AS430" s="26">
        <f t="shared" ca="1" si="40"/>
        <v>0.30904877543854192</v>
      </c>
      <c r="AT430" s="29">
        <v>0</v>
      </c>
      <c r="AV430" s="22">
        <v>44975</v>
      </c>
      <c r="AW430" s="26">
        <f t="shared" ca="1" si="41"/>
        <v>0.33050483259957386</v>
      </c>
      <c r="AX430" s="29">
        <v>0</v>
      </c>
      <c r="AZ430" s="22">
        <v>44975</v>
      </c>
      <c r="BA430" s="26">
        <f t="shared" ca="1" si="42"/>
        <v>0.5872933568068317</v>
      </c>
      <c r="BB430" s="29">
        <v>0</v>
      </c>
      <c r="BC430"/>
      <c r="BD430" s="25"/>
      <c r="BF430" s="22">
        <v>44975</v>
      </c>
      <c r="BG430" s="26">
        <f t="shared" ca="1" si="43"/>
        <v>0.52479230795044718</v>
      </c>
      <c r="BH430" s="29">
        <v>0</v>
      </c>
      <c r="BJ430" s="22">
        <v>44975</v>
      </c>
      <c r="BK430" s="26">
        <f t="shared" ca="1" si="44"/>
        <v>0.68451273327812145</v>
      </c>
      <c r="BL430" s="29">
        <v>0</v>
      </c>
      <c r="BN430" s="22">
        <v>44975</v>
      </c>
      <c r="BO430" s="26">
        <f t="shared" ca="1" si="45"/>
        <v>0.7072878089522594</v>
      </c>
      <c r="BP430" s="29">
        <v>0</v>
      </c>
      <c r="BR430" s="22">
        <v>44975</v>
      </c>
      <c r="BS430" s="26">
        <f t="shared" ca="1" si="46"/>
        <v>4.2989543065524494E-2</v>
      </c>
      <c r="BT430" s="29">
        <v>0</v>
      </c>
      <c r="BV430" s="22">
        <v>44975</v>
      </c>
      <c r="BW430" s="26">
        <f t="shared" ca="1" si="47"/>
        <v>0.87087542423881947</v>
      </c>
      <c r="BX430" s="29">
        <v>0</v>
      </c>
    </row>
    <row r="431" spans="2:76" ht="12.75" x14ac:dyDescent="0.2">
      <c r="B431" s="22">
        <v>44976</v>
      </c>
      <c r="C431" s="26">
        <f t="shared" ca="1" si="56"/>
        <v>0.52882396531189657</v>
      </c>
      <c r="D431" s="29">
        <f t="shared" ca="1" si="66"/>
        <v>77</v>
      </c>
      <c r="F431" s="22">
        <v>44976</v>
      </c>
      <c r="G431" s="26">
        <f t="shared" ca="1" si="31"/>
        <v>0.71802197010118485</v>
      </c>
      <c r="H431" s="29">
        <f t="shared" ca="1" si="59"/>
        <v>224</v>
      </c>
      <c r="J431" s="22">
        <v>44976</v>
      </c>
      <c r="K431" s="26">
        <f t="shared" ca="1" si="32"/>
        <v>0.62411151881260218</v>
      </c>
      <c r="L431" s="29">
        <f t="shared" ca="1" si="60"/>
        <v>154</v>
      </c>
      <c r="N431" s="22">
        <v>44976</v>
      </c>
      <c r="O431" s="26">
        <f t="shared" ca="1" si="33"/>
        <v>0.85216665368242017</v>
      </c>
      <c r="P431" s="29">
        <f t="shared" ca="1" si="61"/>
        <v>246</v>
      </c>
      <c r="R431" s="22">
        <v>44976</v>
      </c>
      <c r="S431" s="26">
        <f t="shared" ca="1" si="34"/>
        <v>0.1408616107339804</v>
      </c>
      <c r="T431" s="29">
        <f t="shared" ca="1" si="62"/>
        <v>129</v>
      </c>
      <c r="V431" s="22">
        <v>44976</v>
      </c>
      <c r="W431" s="26">
        <f t="shared" ca="1" si="35"/>
        <v>0.15703723398178282</v>
      </c>
      <c r="X431" s="29">
        <f t="shared" ca="1" si="65"/>
        <v>210</v>
      </c>
      <c r="Z431" s="22">
        <v>44976</v>
      </c>
      <c r="AA431" s="26">
        <f t="shared" ca="1" si="36"/>
        <v>0.73146635773855806</v>
      </c>
      <c r="AB431" s="29">
        <f t="shared" ca="1" si="63"/>
        <v>282</v>
      </c>
      <c r="AC431"/>
      <c r="AD431" s="25"/>
      <c r="AF431" s="22">
        <v>44976</v>
      </c>
      <c r="AG431" s="26">
        <f t="shared" ca="1" si="37"/>
        <v>0.57716671076840853</v>
      </c>
      <c r="AH431" s="29">
        <f t="shared" ca="1" si="64"/>
        <v>344</v>
      </c>
      <c r="AJ431" s="22">
        <v>44976</v>
      </c>
      <c r="AK431" s="26">
        <f t="shared" ca="1" si="38"/>
        <v>0.12449521212818304</v>
      </c>
      <c r="AL431" s="29">
        <v>0</v>
      </c>
      <c r="AN431" s="22">
        <v>44976</v>
      </c>
      <c r="AO431" s="26">
        <f t="shared" ca="1" si="39"/>
        <v>0.85403306128788437</v>
      </c>
      <c r="AP431" s="29">
        <v>0</v>
      </c>
      <c r="AR431" s="22">
        <v>44976</v>
      </c>
      <c r="AS431" s="26">
        <f t="shared" ca="1" si="40"/>
        <v>0.22302430406142904</v>
      </c>
      <c r="AT431" s="29">
        <v>0</v>
      </c>
      <c r="AV431" s="22">
        <v>44976</v>
      </c>
      <c r="AW431" s="26">
        <f t="shared" ca="1" si="41"/>
        <v>0.88411224288518375</v>
      </c>
      <c r="AX431" s="29">
        <v>0</v>
      </c>
      <c r="AZ431" s="22">
        <v>44976</v>
      </c>
      <c r="BA431" s="26">
        <f t="shared" ca="1" si="42"/>
        <v>0.35108019408850155</v>
      </c>
      <c r="BB431" s="29">
        <v>0</v>
      </c>
      <c r="BC431"/>
      <c r="BD431" s="25"/>
      <c r="BF431" s="22">
        <v>44976</v>
      </c>
      <c r="BG431" s="26">
        <f t="shared" ca="1" si="43"/>
        <v>0.48263637546435467</v>
      </c>
      <c r="BH431" s="29">
        <v>0</v>
      </c>
      <c r="BJ431" s="22">
        <v>44976</v>
      </c>
      <c r="BK431" s="26">
        <f t="shared" ca="1" si="44"/>
        <v>0.30275403895864528</v>
      </c>
      <c r="BL431" s="29">
        <v>0</v>
      </c>
      <c r="BN431" s="22">
        <v>44976</v>
      </c>
      <c r="BO431" s="26">
        <f t="shared" ca="1" si="45"/>
        <v>0.63983478953484285</v>
      </c>
      <c r="BP431" s="29">
        <v>0</v>
      </c>
      <c r="BR431" s="22">
        <v>44976</v>
      </c>
      <c r="BS431" s="26">
        <f t="shared" ca="1" si="46"/>
        <v>0.18238329615484661</v>
      </c>
      <c r="BT431" s="29">
        <v>0</v>
      </c>
      <c r="BV431" s="22">
        <v>44976</v>
      </c>
      <c r="BW431" s="26">
        <f t="shared" ca="1" si="47"/>
        <v>0.88629317444737443</v>
      </c>
      <c r="BX431" s="29">
        <v>0</v>
      </c>
    </row>
    <row r="432" spans="2:76" ht="12.75" x14ac:dyDescent="0.2">
      <c r="B432" s="22">
        <v>44977</v>
      </c>
      <c r="C432" s="26">
        <f t="shared" ca="1" si="56"/>
        <v>0.41335503367199922</v>
      </c>
      <c r="D432" s="29">
        <f t="shared" ca="1" si="66"/>
        <v>71</v>
      </c>
      <c r="F432" s="22">
        <v>44977</v>
      </c>
      <c r="G432" s="26">
        <f t="shared" ca="1" si="31"/>
        <v>0.79021103450295693</v>
      </c>
      <c r="H432" s="29">
        <f t="shared" ca="1" si="59"/>
        <v>227</v>
      </c>
      <c r="J432" s="22">
        <v>44977</v>
      </c>
      <c r="K432" s="26">
        <f t="shared" ca="1" si="32"/>
        <v>0.59056106534337871</v>
      </c>
      <c r="L432" s="29">
        <f t="shared" ca="1" si="60"/>
        <v>153</v>
      </c>
      <c r="N432" s="22">
        <v>44977</v>
      </c>
      <c r="O432" s="26">
        <f t="shared" ca="1" si="33"/>
        <v>0.36841469881488387</v>
      </c>
      <c r="P432" s="29">
        <f t="shared" ca="1" si="61"/>
        <v>225</v>
      </c>
      <c r="R432" s="22">
        <v>44977</v>
      </c>
      <c r="S432" s="26">
        <f t="shared" ca="1" si="34"/>
        <v>0.13531713877782925</v>
      </c>
      <c r="T432" s="29">
        <f t="shared" ca="1" si="62"/>
        <v>129</v>
      </c>
      <c r="V432" s="22">
        <v>44977</v>
      </c>
      <c r="W432" s="26">
        <f t="shared" ca="1" si="35"/>
        <v>8.8776714665611878E-2</v>
      </c>
      <c r="X432" s="29">
        <f t="shared" ca="1" si="65"/>
        <v>205</v>
      </c>
      <c r="Z432" s="22">
        <v>44977</v>
      </c>
      <c r="AA432" s="26">
        <f t="shared" ca="1" si="36"/>
        <v>0.57797680061602352</v>
      </c>
      <c r="AB432" s="29">
        <f t="shared" ca="1" si="63"/>
        <v>274</v>
      </c>
      <c r="AC432"/>
      <c r="AD432" s="25"/>
      <c r="AF432" s="22">
        <v>44977</v>
      </c>
      <c r="AG432" s="26">
        <f t="shared" ca="1" si="37"/>
        <v>0.16276558935652397</v>
      </c>
      <c r="AH432" s="29">
        <f t="shared" ca="1" si="64"/>
        <v>242</v>
      </c>
      <c r="AJ432" s="22">
        <v>44977</v>
      </c>
      <c r="AK432" s="26">
        <f t="shared" ca="1" si="38"/>
        <v>0.81882122778050082</v>
      </c>
      <c r="AL432" s="29">
        <v>0</v>
      </c>
      <c r="AN432" s="22">
        <v>44977</v>
      </c>
      <c r="AO432" s="26">
        <f t="shared" ca="1" si="39"/>
        <v>0.26046567522501829</v>
      </c>
      <c r="AP432" s="29">
        <v>0</v>
      </c>
      <c r="AR432" s="22">
        <v>44977</v>
      </c>
      <c r="AS432" s="26">
        <f t="shared" ca="1" si="40"/>
        <v>0.200214294411593</v>
      </c>
      <c r="AT432" s="29">
        <v>0</v>
      </c>
      <c r="AV432" s="22">
        <v>44977</v>
      </c>
      <c r="AW432" s="26">
        <f t="shared" ca="1" si="41"/>
        <v>0.57346263240261697</v>
      </c>
      <c r="AX432" s="29">
        <v>0</v>
      </c>
      <c r="AZ432" s="22">
        <v>44977</v>
      </c>
      <c r="BA432" s="26">
        <f t="shared" ca="1" si="42"/>
        <v>0.47167090029744396</v>
      </c>
      <c r="BB432" s="29">
        <v>0</v>
      </c>
      <c r="BC432"/>
      <c r="BD432" s="25"/>
      <c r="BF432" s="22">
        <v>44977</v>
      </c>
      <c r="BG432" s="26">
        <f t="shared" ca="1" si="43"/>
        <v>0.83799020085686959</v>
      </c>
      <c r="BH432" s="29">
        <v>0</v>
      </c>
      <c r="BJ432" s="22">
        <v>44977</v>
      </c>
      <c r="BK432" s="26">
        <f t="shared" ca="1" si="44"/>
        <v>0.17119062088384918</v>
      </c>
      <c r="BL432" s="29">
        <v>0</v>
      </c>
      <c r="BN432" s="22">
        <v>44977</v>
      </c>
      <c r="BO432" s="26">
        <f t="shared" ca="1" si="45"/>
        <v>0.18794961076767847</v>
      </c>
      <c r="BP432" s="29">
        <v>0</v>
      </c>
      <c r="BR432" s="22">
        <v>44977</v>
      </c>
      <c r="BS432" s="26">
        <f t="shared" ca="1" si="46"/>
        <v>0.83205078177245251</v>
      </c>
      <c r="BT432" s="29">
        <v>0</v>
      </c>
      <c r="BV432" s="22">
        <v>44977</v>
      </c>
      <c r="BW432" s="26">
        <f t="shared" ca="1" si="47"/>
        <v>0.40025103985020871</v>
      </c>
      <c r="BX432" s="29">
        <v>0</v>
      </c>
    </row>
    <row r="433" spans="2:77" ht="12.75" x14ac:dyDescent="0.2">
      <c r="B433" s="22">
        <v>44978</v>
      </c>
      <c r="C433" s="26">
        <f t="shared" ca="1" si="56"/>
        <v>0.67366409584231401</v>
      </c>
      <c r="D433" s="29">
        <f t="shared" ca="1" si="66"/>
        <v>85</v>
      </c>
      <c r="F433" s="22">
        <v>44978</v>
      </c>
      <c r="G433" s="26">
        <f t="shared" ca="1" si="31"/>
        <v>0.23718660437326078</v>
      </c>
      <c r="H433" s="29">
        <f t="shared" ca="1" si="59"/>
        <v>206</v>
      </c>
      <c r="J433" s="22">
        <v>44978</v>
      </c>
      <c r="K433" s="26">
        <f t="shared" ca="1" si="32"/>
        <v>0.98621509178645239</v>
      </c>
      <c r="L433" s="29">
        <f t="shared" ca="1" si="60"/>
        <v>173</v>
      </c>
      <c r="N433" s="22">
        <v>44978</v>
      </c>
      <c r="O433" s="26">
        <f t="shared" ca="1" si="33"/>
        <v>0.40976758674941982</v>
      </c>
      <c r="P433" s="29">
        <f t="shared" ca="1" si="61"/>
        <v>226</v>
      </c>
      <c r="R433" s="22">
        <v>44978</v>
      </c>
      <c r="S433" s="26">
        <f t="shared" ca="1" si="34"/>
        <v>0.38873442315526729</v>
      </c>
      <c r="T433" s="29">
        <f t="shared" ca="1" si="62"/>
        <v>137</v>
      </c>
      <c r="V433" s="22">
        <v>44978</v>
      </c>
      <c r="W433" s="26">
        <f t="shared" ca="1" si="35"/>
        <v>0.28414326004912061</v>
      </c>
      <c r="X433" s="29">
        <f t="shared" ca="1" si="65"/>
        <v>217</v>
      </c>
      <c r="Z433" s="22">
        <v>44978</v>
      </c>
      <c r="AA433" s="26">
        <f t="shared" ca="1" si="36"/>
        <v>0.97286200616648733</v>
      </c>
      <c r="AB433" s="29">
        <f t="shared" ca="1" si="63"/>
        <v>305</v>
      </c>
      <c r="AC433"/>
      <c r="AD433" s="25"/>
      <c r="AF433" s="22">
        <v>44978</v>
      </c>
      <c r="AG433" s="26">
        <f t="shared" ca="1" si="37"/>
        <v>0.97448243297255299</v>
      </c>
      <c r="AH433" s="29">
        <f t="shared" ca="1" si="64"/>
        <v>498</v>
      </c>
      <c r="AJ433" s="22">
        <v>44978</v>
      </c>
      <c r="AK433" s="26">
        <f t="shared" ca="1" si="38"/>
        <v>0.97960953555437791</v>
      </c>
      <c r="AL433" s="29">
        <v>0</v>
      </c>
      <c r="AN433" s="22">
        <v>44978</v>
      </c>
      <c r="AO433" s="26">
        <f t="shared" ca="1" si="39"/>
        <v>0.80970152812499074</v>
      </c>
      <c r="AP433" s="29">
        <v>0</v>
      </c>
      <c r="AR433" s="22">
        <v>44978</v>
      </c>
      <c r="AS433" s="26">
        <f t="shared" ca="1" si="40"/>
        <v>0.59426562139292893</v>
      </c>
      <c r="AT433" s="29">
        <v>0</v>
      </c>
      <c r="AV433" s="22">
        <v>44978</v>
      </c>
      <c r="AW433" s="26">
        <f t="shared" ca="1" si="41"/>
        <v>0.63986003701326621</v>
      </c>
      <c r="AX433" s="29">
        <v>0</v>
      </c>
      <c r="AZ433" s="22">
        <v>44978</v>
      </c>
      <c r="BA433" s="26">
        <f t="shared" ca="1" si="42"/>
        <v>0.90784075163599443</v>
      </c>
      <c r="BB433" s="29">
        <v>0</v>
      </c>
      <c r="BC433"/>
      <c r="BD433" s="25"/>
      <c r="BF433" s="22">
        <v>44978</v>
      </c>
      <c r="BG433" s="26">
        <f t="shared" ca="1" si="43"/>
        <v>0.19842016941171903</v>
      </c>
      <c r="BH433" s="29">
        <v>0</v>
      </c>
      <c r="BJ433" s="22">
        <v>44978</v>
      </c>
      <c r="BK433" s="26">
        <f t="shared" ca="1" si="44"/>
        <v>0.29129617082265946</v>
      </c>
      <c r="BL433" s="29">
        <v>0</v>
      </c>
      <c r="BN433" s="22">
        <v>44978</v>
      </c>
      <c r="BO433" s="26">
        <f t="shared" ca="1" si="45"/>
        <v>0.26768708608763059</v>
      </c>
      <c r="BP433" s="29">
        <v>0</v>
      </c>
      <c r="BR433" s="22">
        <v>44978</v>
      </c>
      <c r="BS433" s="26">
        <f t="shared" ca="1" si="46"/>
        <v>0.26247451031467006</v>
      </c>
      <c r="BT433" s="29">
        <v>0</v>
      </c>
      <c r="BV433" s="22">
        <v>44978</v>
      </c>
      <c r="BW433" s="26">
        <f t="shared" ca="1" si="47"/>
        <v>0.43333471496010645</v>
      </c>
      <c r="BX433" s="29">
        <v>0</v>
      </c>
    </row>
    <row r="434" spans="2:77" ht="12.75" x14ac:dyDescent="0.2">
      <c r="B434" s="22">
        <v>44979</v>
      </c>
      <c r="C434" s="26">
        <f t="shared" ca="1" si="56"/>
        <v>0.65485251529901956</v>
      </c>
      <c r="D434" s="29">
        <f t="shared" ca="1" si="66"/>
        <v>83</v>
      </c>
      <c r="F434" s="22">
        <v>44979</v>
      </c>
      <c r="G434" s="26">
        <f t="shared" ca="1" si="31"/>
        <v>0.49789721595876568</v>
      </c>
      <c r="H434" s="29">
        <f t="shared" ca="1" si="59"/>
        <v>216</v>
      </c>
      <c r="J434" s="22">
        <v>44979</v>
      </c>
      <c r="K434" s="26">
        <f t="shared" ca="1" si="32"/>
        <v>0.38457646466662787</v>
      </c>
      <c r="L434" s="29">
        <f t="shared" ca="1" si="60"/>
        <v>148</v>
      </c>
      <c r="N434" s="22">
        <v>44979</v>
      </c>
      <c r="O434" s="26">
        <f t="shared" ca="1" si="33"/>
        <v>0.92895140588279979</v>
      </c>
      <c r="P434" s="29">
        <f t="shared" ca="1" si="61"/>
        <v>252</v>
      </c>
      <c r="R434" s="22">
        <v>44979</v>
      </c>
      <c r="S434" s="26">
        <f t="shared" ca="1" si="34"/>
        <v>0.74646993470487621</v>
      </c>
      <c r="T434" s="29">
        <f t="shared" ca="1" si="62"/>
        <v>145</v>
      </c>
      <c r="V434" s="22">
        <v>44979</v>
      </c>
      <c r="W434" s="26">
        <f t="shared" ca="1" si="35"/>
        <v>0.22157628517435413</v>
      </c>
      <c r="X434" s="29">
        <f t="shared" ca="1" si="65"/>
        <v>214</v>
      </c>
      <c r="Z434" s="22">
        <v>44979</v>
      </c>
      <c r="AA434" s="26">
        <f t="shared" ca="1" si="36"/>
        <v>0.78205263077874865</v>
      </c>
      <c r="AB434" s="29">
        <f t="shared" ca="1" si="63"/>
        <v>285</v>
      </c>
      <c r="AC434"/>
      <c r="AD434" s="25"/>
      <c r="AF434" s="22">
        <v>44979</v>
      </c>
      <c r="AG434" s="26">
        <f t="shared" ca="1" si="37"/>
        <v>9.7876190705345145E-2</v>
      </c>
      <c r="AH434" s="29">
        <f t="shared" ca="1" si="64"/>
        <v>215</v>
      </c>
      <c r="AJ434" s="22">
        <v>44979</v>
      </c>
      <c r="AK434" s="26">
        <f t="shared" ca="1" si="38"/>
        <v>0.99453043625941118</v>
      </c>
      <c r="AL434" s="29">
        <v>0</v>
      </c>
      <c r="AN434" s="22">
        <v>44979</v>
      </c>
      <c r="AO434" s="26">
        <f t="shared" ca="1" si="39"/>
        <v>0.9711270594007807</v>
      </c>
      <c r="AP434" s="29">
        <v>0</v>
      </c>
      <c r="AR434" s="22">
        <v>44979</v>
      </c>
      <c r="AS434" s="26">
        <f t="shared" ca="1" si="40"/>
        <v>0.28342036802958726</v>
      </c>
      <c r="AT434" s="29">
        <v>0</v>
      </c>
      <c r="AV434" s="22">
        <v>44979</v>
      </c>
      <c r="AW434" s="26">
        <f t="shared" ca="1" si="41"/>
        <v>6.5697101793895762E-2</v>
      </c>
      <c r="AX434" s="29">
        <v>0</v>
      </c>
      <c r="AZ434" s="22">
        <v>44979</v>
      </c>
      <c r="BA434" s="26">
        <f t="shared" ca="1" si="42"/>
        <v>0.94154827988308054</v>
      </c>
      <c r="BB434" s="29">
        <v>0</v>
      </c>
      <c r="BC434"/>
      <c r="BD434" s="25"/>
      <c r="BF434" s="22">
        <v>44979</v>
      </c>
      <c r="BG434" s="26">
        <f t="shared" ca="1" si="43"/>
        <v>0.39000677180650012</v>
      </c>
      <c r="BH434" s="29">
        <v>0</v>
      </c>
      <c r="BJ434" s="22">
        <v>44979</v>
      </c>
      <c r="BK434" s="26">
        <f t="shared" ca="1" si="44"/>
        <v>0.63571280579840905</v>
      </c>
      <c r="BL434" s="29">
        <v>0</v>
      </c>
      <c r="BN434" s="22">
        <v>44979</v>
      </c>
      <c r="BO434" s="26">
        <f t="shared" ca="1" si="45"/>
        <v>0.22703801478447294</v>
      </c>
      <c r="BP434" s="29">
        <v>0</v>
      </c>
      <c r="BR434" s="22">
        <v>44979</v>
      </c>
      <c r="BS434" s="26">
        <f t="shared" ca="1" si="46"/>
        <v>0.79920799371003215</v>
      </c>
      <c r="BT434" s="29">
        <v>0</v>
      </c>
      <c r="BV434" s="22">
        <v>44979</v>
      </c>
      <c r="BW434" s="26">
        <f t="shared" ca="1" si="47"/>
        <v>0.45789318733611561</v>
      </c>
      <c r="BX434" s="29">
        <v>0</v>
      </c>
    </row>
    <row r="435" spans="2:77" ht="12.75" x14ac:dyDescent="0.2">
      <c r="B435" s="22">
        <v>44980</v>
      </c>
      <c r="C435" s="26">
        <f t="shared" ca="1" si="56"/>
        <v>0.57458001701592254</v>
      </c>
      <c r="D435" s="29">
        <f t="shared" ca="1" si="66"/>
        <v>79</v>
      </c>
      <c r="F435" s="22">
        <v>44980</v>
      </c>
      <c r="G435" s="26">
        <f t="shared" ca="1" si="31"/>
        <v>0.95222617683237698</v>
      </c>
      <c r="H435" s="29">
        <f t="shared" ca="1" si="59"/>
        <v>240</v>
      </c>
      <c r="J435" s="22">
        <v>44980</v>
      </c>
      <c r="K435" s="26">
        <f t="shared" ca="1" si="32"/>
        <v>0.28196526175281378</v>
      </c>
      <c r="L435" s="29">
        <f t="shared" ca="1" si="60"/>
        <v>145</v>
      </c>
      <c r="N435" s="22">
        <v>44980</v>
      </c>
      <c r="O435" s="26">
        <f t="shared" ca="1" si="33"/>
        <v>0.54323194650309858</v>
      </c>
      <c r="P435" s="29">
        <f t="shared" ca="1" si="61"/>
        <v>232</v>
      </c>
      <c r="R435" s="22">
        <v>44980</v>
      </c>
      <c r="S435" s="26">
        <f t="shared" ca="1" si="34"/>
        <v>0.40356105441418322</v>
      </c>
      <c r="T435" s="29">
        <f t="shared" ca="1" si="62"/>
        <v>137</v>
      </c>
      <c r="V435" s="22">
        <v>44980</v>
      </c>
      <c r="W435" s="26">
        <f t="shared" ca="1" si="35"/>
        <v>0.89275764932766077</v>
      </c>
      <c r="X435" s="29">
        <f t="shared" ca="1" si="65"/>
        <v>244</v>
      </c>
      <c r="Z435" s="22">
        <v>44980</v>
      </c>
      <c r="AA435" s="26">
        <f t="shared" ca="1" si="36"/>
        <v>0.93352358217579301</v>
      </c>
      <c r="AB435" s="29">
        <f t="shared" ca="1" si="63"/>
        <v>298</v>
      </c>
      <c r="AC435"/>
      <c r="AD435" s="25"/>
      <c r="AF435" s="22">
        <v>44980</v>
      </c>
      <c r="AG435" s="26">
        <f t="shared" ca="1" si="37"/>
        <v>0.92259051226373201</v>
      </c>
      <c r="AH435" s="29">
        <f t="shared" ca="1" si="64"/>
        <v>452</v>
      </c>
      <c r="AJ435" s="22">
        <v>44980</v>
      </c>
      <c r="AK435" s="26">
        <f t="shared" ca="1" si="38"/>
        <v>0.62170342641056653</v>
      </c>
      <c r="AL435" s="29">
        <v>0</v>
      </c>
      <c r="AN435" s="22">
        <v>44980</v>
      </c>
      <c r="AO435" s="26">
        <f t="shared" ca="1" si="39"/>
        <v>0.821966407321432</v>
      </c>
      <c r="AP435" s="29">
        <v>0</v>
      </c>
      <c r="AR435" s="22">
        <v>44980</v>
      </c>
      <c r="AS435" s="26">
        <f t="shared" ca="1" si="40"/>
        <v>7.0170821195582378E-2</v>
      </c>
      <c r="AT435" s="29">
        <v>0</v>
      </c>
      <c r="AV435" s="22">
        <v>44980</v>
      </c>
      <c r="AW435" s="26">
        <f t="shared" ca="1" si="41"/>
        <v>0.87129710992649556</v>
      </c>
      <c r="AX435" s="29">
        <v>0</v>
      </c>
      <c r="AZ435" s="22">
        <v>44980</v>
      </c>
      <c r="BA435" s="26">
        <f t="shared" ca="1" si="42"/>
        <v>0.92136844186122591</v>
      </c>
      <c r="BB435" s="29">
        <v>0</v>
      </c>
      <c r="BC435"/>
      <c r="BD435" s="25"/>
      <c r="BF435" s="22">
        <v>44980</v>
      </c>
      <c r="BG435" s="26">
        <f t="shared" ca="1" si="43"/>
        <v>0.95839939406417207</v>
      </c>
      <c r="BH435" s="29">
        <v>0</v>
      </c>
      <c r="BJ435" s="22">
        <v>44980</v>
      </c>
      <c r="BK435" s="26">
        <f t="shared" ca="1" si="44"/>
        <v>0.60149304504061329</v>
      </c>
      <c r="BL435" s="29">
        <v>0</v>
      </c>
      <c r="BN435" s="22">
        <v>44980</v>
      </c>
      <c r="BO435" s="26">
        <f t="shared" ca="1" si="45"/>
        <v>0.21683496537406155</v>
      </c>
      <c r="BP435" s="29">
        <v>0</v>
      </c>
      <c r="BR435" s="22">
        <v>44980</v>
      </c>
      <c r="BS435" s="26">
        <f t="shared" ca="1" si="46"/>
        <v>0.52587291558862936</v>
      </c>
      <c r="BT435" s="29">
        <v>0</v>
      </c>
      <c r="BV435" s="22">
        <v>44980</v>
      </c>
      <c r="BW435" s="26">
        <f t="shared" ca="1" si="47"/>
        <v>0.26836741165923128</v>
      </c>
      <c r="BX435" s="29">
        <v>0</v>
      </c>
    </row>
    <row r="436" spans="2:77" ht="12.75" x14ac:dyDescent="0.2">
      <c r="B436" s="22">
        <v>44981</v>
      </c>
      <c r="C436" s="26">
        <f t="shared" ca="1" si="56"/>
        <v>0.79279503645754623</v>
      </c>
      <c r="D436" s="29">
        <f t="shared" ca="1" si="66"/>
        <v>92</v>
      </c>
      <c r="F436" s="22">
        <v>44981</v>
      </c>
      <c r="G436" s="26">
        <f t="shared" ca="1" si="31"/>
        <v>0.57893597386454332</v>
      </c>
      <c r="H436" s="29">
        <f t="shared" ca="1" si="59"/>
        <v>219</v>
      </c>
      <c r="J436" s="22">
        <v>44981</v>
      </c>
      <c r="K436" s="26">
        <f t="shared" ca="1" si="32"/>
        <v>3.1551644900634002E-2</v>
      </c>
      <c r="L436" s="29">
        <f t="shared" ca="1" si="60"/>
        <v>132</v>
      </c>
      <c r="N436" s="22">
        <v>44981</v>
      </c>
      <c r="O436" s="26">
        <f t="shared" ca="1" si="33"/>
        <v>0.38011662667052737</v>
      </c>
      <c r="P436" s="29">
        <f t="shared" ca="1" si="61"/>
        <v>225</v>
      </c>
      <c r="R436" s="22">
        <v>44981</v>
      </c>
      <c r="S436" s="26">
        <f t="shared" ca="1" si="34"/>
        <v>0.7602157287363136</v>
      </c>
      <c r="T436" s="29">
        <f t="shared" ca="1" si="62"/>
        <v>146</v>
      </c>
      <c r="V436" s="22">
        <v>44981</v>
      </c>
      <c r="W436" s="26">
        <f t="shared" ca="1" si="35"/>
        <v>0.67765674088931349</v>
      </c>
      <c r="X436" s="29">
        <f t="shared" ca="1" si="65"/>
        <v>232</v>
      </c>
      <c r="Z436" s="22">
        <v>44981</v>
      </c>
      <c r="AA436" s="26">
        <f t="shared" ca="1" si="36"/>
        <v>0.13103154998907918</v>
      </c>
      <c r="AB436" s="29">
        <f t="shared" ca="1" si="63"/>
        <v>250</v>
      </c>
      <c r="AC436"/>
      <c r="AD436" s="25"/>
      <c r="AF436" s="22">
        <v>44981</v>
      </c>
      <c r="AG436" s="26">
        <f t="shared" ca="1" si="37"/>
        <v>0.631813673568552</v>
      </c>
      <c r="AH436" s="29">
        <f t="shared" ca="1" si="64"/>
        <v>357</v>
      </c>
      <c r="AJ436" s="22">
        <v>44981</v>
      </c>
      <c r="AK436" s="26">
        <f t="shared" ca="1" si="38"/>
        <v>0.89251497051754969</v>
      </c>
      <c r="AL436" s="29">
        <v>0</v>
      </c>
      <c r="AN436" s="22">
        <v>44981</v>
      </c>
      <c r="AO436" s="26">
        <f t="shared" ca="1" si="39"/>
        <v>0.63226930542663351</v>
      </c>
      <c r="AP436" s="29">
        <v>0</v>
      </c>
      <c r="AR436" s="22">
        <v>44981</v>
      </c>
      <c r="AS436" s="26">
        <f t="shared" ca="1" si="40"/>
        <v>0.67248412102139454</v>
      </c>
      <c r="AT436" s="29">
        <v>0</v>
      </c>
      <c r="AV436" s="22">
        <v>44981</v>
      </c>
      <c r="AW436" s="26">
        <f t="shared" ca="1" si="41"/>
        <v>6.2561215468253661E-2</v>
      </c>
      <c r="AX436" s="29">
        <v>0</v>
      </c>
      <c r="AZ436" s="22">
        <v>44981</v>
      </c>
      <c r="BA436" s="26">
        <f t="shared" ca="1" si="42"/>
        <v>0.54946847417402578</v>
      </c>
      <c r="BB436" s="29">
        <v>0</v>
      </c>
      <c r="BC436"/>
      <c r="BD436" s="25"/>
      <c r="BF436" s="22">
        <v>44981</v>
      </c>
      <c r="BG436" s="26">
        <f t="shared" ca="1" si="43"/>
        <v>0.79463867064968818</v>
      </c>
      <c r="BH436" s="29">
        <v>0</v>
      </c>
      <c r="BJ436" s="22">
        <v>44981</v>
      </c>
      <c r="BK436" s="26">
        <f t="shared" ca="1" si="44"/>
        <v>0.96643907859965439</v>
      </c>
      <c r="BL436" s="29">
        <v>0</v>
      </c>
      <c r="BN436" s="22">
        <v>44981</v>
      </c>
      <c r="BO436" s="26">
        <f t="shared" ca="1" si="45"/>
        <v>0.41485126561874341</v>
      </c>
      <c r="BP436" s="29">
        <v>0</v>
      </c>
      <c r="BR436" s="22">
        <v>44981</v>
      </c>
      <c r="BS436" s="26">
        <f t="shared" ca="1" si="46"/>
        <v>0.22950084571111173</v>
      </c>
      <c r="BT436" s="29">
        <v>0</v>
      </c>
      <c r="BV436" s="22">
        <v>44981</v>
      </c>
      <c r="BW436" s="26">
        <f t="shared" ca="1" si="47"/>
        <v>0.92748267299840781</v>
      </c>
      <c r="BX436" s="29">
        <v>0</v>
      </c>
    </row>
    <row r="437" spans="2:77" ht="12.75" x14ac:dyDescent="0.2">
      <c r="B437" s="22">
        <v>44982</v>
      </c>
      <c r="C437" s="26">
        <f t="shared" ca="1" si="56"/>
        <v>0.92022998855859639</v>
      </c>
      <c r="D437" s="29">
        <f t="shared" ca="1" si="66"/>
        <v>104</v>
      </c>
      <c r="F437" s="22">
        <v>44982</v>
      </c>
      <c r="G437" s="26">
        <f t="shared" ca="1" si="31"/>
        <v>1.5667612136313624E-2</v>
      </c>
      <c r="H437" s="29">
        <f t="shared" ca="1" si="59"/>
        <v>185</v>
      </c>
      <c r="J437" s="22">
        <v>44982</v>
      </c>
      <c r="K437" s="26">
        <f t="shared" ca="1" si="32"/>
        <v>0.25798850012885877</v>
      </c>
      <c r="L437" s="29">
        <f t="shared" ca="1" si="60"/>
        <v>144</v>
      </c>
      <c r="N437" s="22">
        <v>44982</v>
      </c>
      <c r="O437" s="26">
        <f t="shared" ca="1" si="33"/>
        <v>0.43911229058224421</v>
      </c>
      <c r="P437" s="29">
        <f t="shared" ca="1" si="61"/>
        <v>228</v>
      </c>
      <c r="R437" s="22">
        <v>44982</v>
      </c>
      <c r="S437" s="26">
        <f t="shared" ca="1" si="34"/>
        <v>0.27162374608002926</v>
      </c>
      <c r="T437" s="29">
        <f t="shared" ca="1" si="62"/>
        <v>134</v>
      </c>
      <c r="V437" s="22">
        <v>44982</v>
      </c>
      <c r="W437" s="26">
        <f t="shared" ca="1" si="35"/>
        <v>0.46741468560786137</v>
      </c>
      <c r="X437" s="29">
        <f t="shared" ca="1" si="65"/>
        <v>224</v>
      </c>
      <c r="Z437" s="22">
        <v>44982</v>
      </c>
      <c r="AA437" s="26">
        <f t="shared" ca="1" si="36"/>
        <v>0.29406094231873281</v>
      </c>
      <c r="AB437" s="29">
        <f t="shared" ca="1" si="63"/>
        <v>261</v>
      </c>
      <c r="AC437"/>
      <c r="AD437" s="25"/>
      <c r="AF437" s="22">
        <v>44982</v>
      </c>
      <c r="AG437" s="26">
        <f t="shared" ca="1" si="37"/>
        <v>0.64717139198850593</v>
      </c>
      <c r="AH437" s="29">
        <f t="shared" ca="1" si="64"/>
        <v>360</v>
      </c>
      <c r="AJ437" s="22">
        <v>44982</v>
      </c>
      <c r="AK437" s="26">
        <f t="shared" ca="1" si="38"/>
        <v>0.629992250411475</v>
      </c>
      <c r="AL437" s="29">
        <v>0</v>
      </c>
      <c r="AN437" s="22">
        <v>44982</v>
      </c>
      <c r="AO437" s="26">
        <f t="shared" ca="1" si="39"/>
        <v>0.97836590470945706</v>
      </c>
      <c r="AP437" s="29">
        <v>0</v>
      </c>
      <c r="AR437" s="22">
        <v>44982</v>
      </c>
      <c r="AS437" s="26">
        <f t="shared" ca="1" si="40"/>
        <v>9.2424286471863959E-2</v>
      </c>
      <c r="AT437" s="29">
        <v>0</v>
      </c>
      <c r="AV437" s="22">
        <v>44982</v>
      </c>
      <c r="AW437" s="26">
        <f t="shared" ca="1" si="41"/>
        <v>0.26756939020007242</v>
      </c>
      <c r="AX437" s="29">
        <v>0</v>
      </c>
      <c r="AZ437" s="22">
        <v>44982</v>
      </c>
      <c r="BA437" s="26">
        <f t="shared" ca="1" si="42"/>
        <v>0.76063560884364612</v>
      </c>
      <c r="BB437" s="29">
        <v>0</v>
      </c>
      <c r="BC437"/>
      <c r="BD437" s="25"/>
      <c r="BF437" s="22">
        <v>44982</v>
      </c>
      <c r="BG437" s="26">
        <f t="shared" ca="1" si="43"/>
        <v>6.0501772761126005E-2</v>
      </c>
      <c r="BH437" s="29">
        <v>0</v>
      </c>
      <c r="BJ437" s="22">
        <v>44982</v>
      </c>
      <c r="BK437" s="26">
        <f t="shared" ca="1" si="44"/>
        <v>0.95882447972524132</v>
      </c>
      <c r="BL437" s="29">
        <v>0</v>
      </c>
      <c r="BN437" s="22">
        <v>44982</v>
      </c>
      <c r="BO437" s="26">
        <f t="shared" ca="1" si="45"/>
        <v>9.7948667396456135E-2</v>
      </c>
      <c r="BP437" s="29">
        <v>0</v>
      </c>
      <c r="BR437" s="22">
        <v>44982</v>
      </c>
      <c r="BS437" s="26">
        <f t="shared" ca="1" si="46"/>
        <v>0.96417375315007314</v>
      </c>
      <c r="BT437" s="29">
        <v>0</v>
      </c>
      <c r="BV437" s="22">
        <v>44982</v>
      </c>
      <c r="BW437" s="26">
        <f t="shared" ca="1" si="47"/>
        <v>0.81702139142803332</v>
      </c>
      <c r="BX437" s="29">
        <v>0</v>
      </c>
    </row>
    <row r="438" spans="2:77" ht="12.75" x14ac:dyDescent="0.2">
      <c r="B438" s="22">
        <v>44983</v>
      </c>
      <c r="C438" s="26">
        <f t="shared" ca="1" si="56"/>
        <v>0.67235483062507251</v>
      </c>
      <c r="D438" s="29">
        <f t="shared" ca="1" si="66"/>
        <v>84</v>
      </c>
      <c r="F438" s="22">
        <v>44983</v>
      </c>
      <c r="G438" s="26">
        <f t="shared" ca="1" si="31"/>
        <v>0.19819893152760193</v>
      </c>
      <c r="H438" s="29">
        <f t="shared" ca="1" si="59"/>
        <v>204</v>
      </c>
      <c r="J438" s="22">
        <v>44983</v>
      </c>
      <c r="K438" s="26">
        <f t="shared" ca="1" si="32"/>
        <v>0.32253100899489284</v>
      </c>
      <c r="L438" s="29">
        <f t="shared" ca="1" si="60"/>
        <v>146</v>
      </c>
      <c r="N438" s="22">
        <v>44983</v>
      </c>
      <c r="O438" s="26">
        <f t="shared" ca="1" si="33"/>
        <v>0.66560575227618723</v>
      </c>
      <c r="P438" s="29">
        <f t="shared" ca="1" si="61"/>
        <v>236</v>
      </c>
      <c r="R438" s="22">
        <v>44983</v>
      </c>
      <c r="S438" s="26">
        <f t="shared" ca="1" si="34"/>
        <v>0.74257264754092911</v>
      </c>
      <c r="T438" s="29">
        <f t="shared" ca="1" si="62"/>
        <v>145</v>
      </c>
      <c r="V438" s="22">
        <v>44983</v>
      </c>
      <c r="W438" s="26">
        <f t="shared" ca="1" si="35"/>
        <v>0.51033903446963791</v>
      </c>
      <c r="X438" s="29">
        <f t="shared" ca="1" si="65"/>
        <v>226</v>
      </c>
      <c r="Z438" s="22">
        <v>44983</v>
      </c>
      <c r="AA438" s="26">
        <f t="shared" ca="1" si="36"/>
        <v>6.2996230395142239E-2</v>
      </c>
      <c r="AB438" s="29">
        <f t="shared" ca="1" si="63"/>
        <v>243</v>
      </c>
      <c r="AC438"/>
      <c r="AD438" s="25"/>
      <c r="AF438" s="22">
        <v>44983</v>
      </c>
      <c r="AG438" s="26">
        <f t="shared" ca="1" si="37"/>
        <v>0.91126791247985839</v>
      </c>
      <c r="AH438" s="29">
        <f t="shared" ca="1" si="64"/>
        <v>445</v>
      </c>
      <c r="AJ438" s="22">
        <v>44983</v>
      </c>
      <c r="AK438" s="26">
        <f t="shared" ca="1" si="38"/>
        <v>0.50702794657025196</v>
      </c>
      <c r="AL438" s="29">
        <v>0</v>
      </c>
      <c r="AN438" s="22">
        <v>44983</v>
      </c>
      <c r="AO438" s="26">
        <f t="shared" ca="1" si="39"/>
        <v>0.3093534780993018</v>
      </c>
      <c r="AP438" s="29">
        <v>0</v>
      </c>
      <c r="AR438" s="22">
        <v>44983</v>
      </c>
      <c r="AS438" s="26">
        <f t="shared" ca="1" si="40"/>
        <v>0.17078720040404061</v>
      </c>
      <c r="AT438" s="29">
        <v>0</v>
      </c>
      <c r="AV438" s="22">
        <v>44983</v>
      </c>
      <c r="AW438" s="26">
        <f t="shared" ca="1" si="41"/>
        <v>0.26703427036091665</v>
      </c>
      <c r="AX438" s="29">
        <v>0</v>
      </c>
      <c r="AZ438" s="22">
        <v>44983</v>
      </c>
      <c r="BA438" s="26">
        <f t="shared" ca="1" si="42"/>
        <v>0.29887188261097897</v>
      </c>
      <c r="BB438" s="29">
        <v>0</v>
      </c>
      <c r="BC438"/>
      <c r="BD438" s="25"/>
      <c r="BF438" s="22">
        <v>44983</v>
      </c>
      <c r="BG438" s="26">
        <f t="shared" ca="1" si="43"/>
        <v>0.8404233188888145</v>
      </c>
      <c r="BH438" s="29">
        <v>0</v>
      </c>
      <c r="BJ438" s="22">
        <v>44983</v>
      </c>
      <c r="BK438" s="26">
        <f t="shared" ca="1" si="44"/>
        <v>0.62191875338657032</v>
      </c>
      <c r="BL438" s="29">
        <v>0</v>
      </c>
      <c r="BN438" s="22">
        <v>44983</v>
      </c>
      <c r="BO438" s="26">
        <f t="shared" ca="1" si="45"/>
        <v>2.6172453208418323E-2</v>
      </c>
      <c r="BP438" s="29">
        <v>0</v>
      </c>
      <c r="BR438" s="22">
        <v>44983</v>
      </c>
      <c r="BS438" s="26">
        <f t="shared" ca="1" si="46"/>
        <v>0.24701431355779391</v>
      </c>
      <c r="BT438" s="29">
        <v>0</v>
      </c>
      <c r="BV438" s="22">
        <v>44983</v>
      </c>
      <c r="BW438" s="26">
        <f t="shared" ca="1" si="47"/>
        <v>0.87428830942545988</v>
      </c>
      <c r="BX438" s="29">
        <v>0</v>
      </c>
    </row>
    <row r="439" spans="2:77" ht="12.75" x14ac:dyDescent="0.2">
      <c r="B439" s="22">
        <v>44984</v>
      </c>
      <c r="C439" s="26">
        <f t="shared" ca="1" si="56"/>
        <v>0.31235975696420282</v>
      </c>
      <c r="D439" s="29">
        <f t="shared" ca="1" si="66"/>
        <v>66</v>
      </c>
      <c r="F439" s="22">
        <v>44984</v>
      </c>
      <c r="G439" s="26">
        <f t="shared" ca="1" si="31"/>
        <v>0.27512671783816334</v>
      </c>
      <c r="H439" s="29">
        <f t="shared" ca="1" si="59"/>
        <v>207</v>
      </c>
      <c r="J439" s="22">
        <v>44984</v>
      </c>
      <c r="K439" s="26">
        <f t="shared" ca="1" si="32"/>
        <v>9.8501725499947512E-2</v>
      </c>
      <c r="L439" s="29">
        <f t="shared" ca="1" si="60"/>
        <v>138</v>
      </c>
      <c r="N439" s="22">
        <v>44984</v>
      </c>
      <c r="O439" s="26">
        <f t="shared" ca="1" si="33"/>
        <v>0.80903493199759369</v>
      </c>
      <c r="P439" s="29">
        <f t="shared" ca="1" si="61"/>
        <v>243</v>
      </c>
      <c r="R439" s="22">
        <v>44984</v>
      </c>
      <c r="S439" s="26">
        <f t="shared" ca="1" si="34"/>
        <v>0.13236202675736308</v>
      </c>
      <c r="T439" s="29">
        <f t="shared" ca="1" si="62"/>
        <v>129</v>
      </c>
      <c r="V439" s="22">
        <v>44984</v>
      </c>
      <c r="W439" s="26">
        <f t="shared" ca="1" si="35"/>
        <v>0.7498444051515144</v>
      </c>
      <c r="X439" s="29">
        <f t="shared" ca="1" si="65"/>
        <v>236</v>
      </c>
      <c r="Z439" s="22">
        <v>44984</v>
      </c>
      <c r="AA439" s="26">
        <f t="shared" ca="1" si="36"/>
        <v>0.44297398443768465</v>
      </c>
      <c r="AB439" s="29">
        <f t="shared" ca="1" si="63"/>
        <v>268</v>
      </c>
      <c r="AC439"/>
      <c r="AD439" s="25"/>
      <c r="AF439" s="22">
        <v>44984</v>
      </c>
      <c r="AG439" s="26">
        <f t="shared" ca="1" si="37"/>
        <v>0.80559091426404394</v>
      </c>
      <c r="AH439" s="29">
        <f t="shared" ca="1" si="64"/>
        <v>403</v>
      </c>
      <c r="AJ439" s="22">
        <v>44984</v>
      </c>
      <c r="AK439" s="26">
        <f t="shared" ca="1" si="38"/>
        <v>0.39165154942454261</v>
      </c>
      <c r="AL439" s="29">
        <v>0</v>
      </c>
      <c r="AN439" s="22">
        <v>44984</v>
      </c>
      <c r="AO439" s="26">
        <f t="shared" ca="1" si="39"/>
        <v>0.44522521578733898</v>
      </c>
      <c r="AP439" s="29">
        <v>0</v>
      </c>
      <c r="AR439" s="22">
        <v>44984</v>
      </c>
      <c r="AS439" s="26">
        <f t="shared" ca="1" si="40"/>
        <v>0.7523361742084278</v>
      </c>
      <c r="AT439" s="29">
        <v>0</v>
      </c>
      <c r="AV439" s="22">
        <v>44984</v>
      </c>
      <c r="AW439" s="26">
        <f t="shared" ca="1" si="41"/>
        <v>0.43064262953686838</v>
      </c>
      <c r="AX439" s="29">
        <v>0</v>
      </c>
      <c r="AZ439" s="22">
        <v>44984</v>
      </c>
      <c r="BA439" s="26">
        <f t="shared" ca="1" si="42"/>
        <v>0.60790281912443145</v>
      </c>
      <c r="BB439" s="29">
        <v>0</v>
      </c>
      <c r="BC439"/>
      <c r="BD439" s="25"/>
      <c r="BF439" s="22">
        <v>44984</v>
      </c>
      <c r="BG439" s="26">
        <f t="shared" ca="1" si="43"/>
        <v>0.8589431309511748</v>
      </c>
      <c r="BH439" s="29">
        <v>0</v>
      </c>
      <c r="BJ439" s="22">
        <v>44984</v>
      </c>
      <c r="BK439" s="26">
        <f t="shared" ca="1" si="44"/>
        <v>0.39542063824326679</v>
      </c>
      <c r="BL439" s="29">
        <v>0</v>
      </c>
      <c r="BN439" s="22">
        <v>44984</v>
      </c>
      <c r="BO439" s="26">
        <f t="shared" ca="1" si="45"/>
        <v>0.44696732286928609</v>
      </c>
      <c r="BP439" s="29">
        <v>0</v>
      </c>
      <c r="BR439" s="22">
        <v>44984</v>
      </c>
      <c r="BS439" s="26">
        <f t="shared" ca="1" si="46"/>
        <v>0.50195376955574722</v>
      </c>
      <c r="BT439" s="29">
        <v>0</v>
      </c>
      <c r="BV439" s="22">
        <v>44984</v>
      </c>
      <c r="BW439" s="26">
        <f t="shared" ca="1" si="47"/>
        <v>0.39867226834779668</v>
      </c>
      <c r="BX439" s="29">
        <v>0</v>
      </c>
    </row>
    <row r="440" spans="2:77" ht="12.75" x14ac:dyDescent="0.2">
      <c r="B440" s="22">
        <v>44985</v>
      </c>
      <c r="C440" s="26">
        <f t="shared" ca="1" si="56"/>
        <v>0.46405550718099997</v>
      </c>
      <c r="D440" s="29">
        <f t="shared" ca="1" si="66"/>
        <v>74</v>
      </c>
      <c r="E440">
        <v>1214</v>
      </c>
      <c r="F440" s="22">
        <v>44985</v>
      </c>
      <c r="G440" s="26">
        <f t="shared" ca="1" si="31"/>
        <v>0.51630857940731145</v>
      </c>
      <c r="H440" s="29">
        <f t="shared" ca="1" si="59"/>
        <v>216</v>
      </c>
      <c r="I440">
        <v>4173</v>
      </c>
      <c r="J440" s="22">
        <v>44985</v>
      </c>
      <c r="K440" s="26">
        <f t="shared" ca="1" si="32"/>
        <v>0.51420330232762124</v>
      </c>
      <c r="L440" s="29">
        <f t="shared" ca="1" si="60"/>
        <v>151</v>
      </c>
      <c r="M440">
        <v>2829</v>
      </c>
      <c r="N440" s="22">
        <v>44985</v>
      </c>
      <c r="O440" s="26">
        <f t="shared" ca="1" si="33"/>
        <v>0.71078231491061672</v>
      </c>
      <c r="P440" s="29">
        <f t="shared" ca="1" si="61"/>
        <v>238</v>
      </c>
      <c r="Q440">
        <v>4454</v>
      </c>
      <c r="R440" s="22">
        <v>44985</v>
      </c>
      <c r="S440" s="26">
        <f t="shared" ca="1" si="34"/>
        <v>3.5171260195605569E-3</v>
      </c>
      <c r="T440" s="29">
        <f t="shared" ca="1" si="62"/>
        <v>114</v>
      </c>
      <c r="U440">
        <v>2691</v>
      </c>
      <c r="V440" s="22">
        <v>44985</v>
      </c>
      <c r="W440" s="26">
        <f t="shared" ca="1" si="35"/>
        <v>0.90036061466504447</v>
      </c>
      <c r="X440" s="29">
        <f t="shared" ca="1" si="65"/>
        <v>245</v>
      </c>
      <c r="Y440">
        <v>4212</v>
      </c>
      <c r="Z440" s="22">
        <v>44985</v>
      </c>
      <c r="AA440" s="26">
        <f t="shared" ca="1" si="36"/>
        <v>0.63387294020211082</v>
      </c>
      <c r="AB440" s="29">
        <f t="shared" ca="1" si="63"/>
        <v>277</v>
      </c>
      <c r="AC440">
        <v>5059</v>
      </c>
      <c r="AD440" s="25"/>
      <c r="AF440" s="22">
        <v>44985</v>
      </c>
      <c r="AG440" s="26">
        <f t="shared" ca="1" si="37"/>
        <v>0.89532117350022056</v>
      </c>
      <c r="AH440" s="29">
        <f t="shared" ca="1" si="64"/>
        <v>437</v>
      </c>
      <c r="AI440">
        <v>6317</v>
      </c>
      <c r="AJ440" s="22">
        <v>44985</v>
      </c>
      <c r="AK440" s="26">
        <f t="shared" ca="1" si="38"/>
        <v>0.17664059916729424</v>
      </c>
      <c r="AL440" s="29">
        <v>0</v>
      </c>
      <c r="AM440">
        <v>0</v>
      </c>
      <c r="AN440" s="22">
        <v>44985</v>
      </c>
      <c r="AO440" s="26">
        <f t="shared" ca="1" si="39"/>
        <v>0.1985226584375559</v>
      </c>
      <c r="AP440" s="29">
        <v>0</v>
      </c>
      <c r="AQ440">
        <v>0</v>
      </c>
      <c r="AR440" s="22">
        <v>44985</v>
      </c>
      <c r="AS440" s="26">
        <f t="shared" ca="1" si="40"/>
        <v>0.18608864846454598</v>
      </c>
      <c r="AT440" s="29">
        <v>0</v>
      </c>
      <c r="AU440">
        <v>0</v>
      </c>
      <c r="AV440" s="22">
        <v>44985</v>
      </c>
      <c r="AW440" s="26">
        <f t="shared" ca="1" si="41"/>
        <v>0.72259395743299704</v>
      </c>
      <c r="AX440" s="29">
        <v>0</v>
      </c>
      <c r="AY440">
        <v>0</v>
      </c>
      <c r="AZ440" s="22">
        <v>44985</v>
      </c>
      <c r="BA440" s="26">
        <f t="shared" ca="1" si="42"/>
        <v>0.61271810729845833</v>
      </c>
      <c r="BB440" s="29">
        <v>0</v>
      </c>
      <c r="BC440">
        <v>0</v>
      </c>
      <c r="BD440" s="25"/>
      <c r="BF440" s="22">
        <v>44985</v>
      </c>
      <c r="BG440" s="26">
        <f t="shared" ca="1" si="43"/>
        <v>0.59008471310421506</v>
      </c>
      <c r="BH440" s="29">
        <v>0</v>
      </c>
      <c r="BI440">
        <v>0</v>
      </c>
      <c r="BJ440" s="22">
        <v>44985</v>
      </c>
      <c r="BK440" s="26">
        <f t="shared" ca="1" si="44"/>
        <v>0.25914692457581423</v>
      </c>
      <c r="BL440" s="29">
        <v>0</v>
      </c>
      <c r="BM440">
        <v>0</v>
      </c>
      <c r="BN440" s="22">
        <v>44985</v>
      </c>
      <c r="BO440" s="26">
        <f t="shared" ca="1" si="45"/>
        <v>0.87916432860869842</v>
      </c>
      <c r="BP440" s="29">
        <v>0</v>
      </c>
      <c r="BQ440">
        <v>0</v>
      </c>
      <c r="BR440" s="22">
        <v>44985</v>
      </c>
      <c r="BS440" s="26">
        <f t="shared" ca="1" si="46"/>
        <v>0.99955133466600199</v>
      </c>
      <c r="BT440" s="29">
        <v>0</v>
      </c>
      <c r="BU440">
        <v>0</v>
      </c>
      <c r="BV440" s="22">
        <v>44985</v>
      </c>
      <c r="BW440" s="26">
        <f t="shared" ca="1" si="47"/>
        <v>0.46457553337525626</v>
      </c>
      <c r="BX440" s="29">
        <v>0</v>
      </c>
      <c r="BY440">
        <v>0</v>
      </c>
    </row>
    <row r="441" spans="2:77" ht="12.75" x14ac:dyDescent="0.2">
      <c r="B441" s="22">
        <v>44986</v>
      </c>
      <c r="C441" s="26">
        <f t="shared" ca="1" si="56"/>
        <v>0.6129002270540358</v>
      </c>
      <c r="D441" s="29">
        <f ca="1">ROUNDUP(_xlfn.NORM.INV(C440,C$10,C$12),0)</f>
        <v>74</v>
      </c>
      <c r="F441" s="22">
        <v>44986</v>
      </c>
      <c r="G441" s="26">
        <f t="shared" ca="1" si="31"/>
        <v>0.44944557250548223</v>
      </c>
      <c r="H441" s="29">
        <f ca="1">ROUNDUP(_xlfn.NORM.INV(G440,G$10,G$12),0)</f>
        <v>216</v>
      </c>
      <c r="J441" s="22">
        <v>44986</v>
      </c>
      <c r="K441" s="26">
        <f t="shared" ca="1" si="32"/>
        <v>0.29250090094414072</v>
      </c>
      <c r="L441" s="29">
        <f ca="1">ROUNDUP(_xlfn.NORM.INV(K440,K$10,K$12),0)</f>
        <v>151</v>
      </c>
      <c r="N441" s="22">
        <v>44986</v>
      </c>
      <c r="O441" s="26">
        <f t="shared" ca="1" si="33"/>
        <v>0.71296932966841886</v>
      </c>
      <c r="P441" s="29">
        <f ca="1">ROUNDUP(_xlfn.NORM.INV(O440,O$10,O$12),0)</f>
        <v>238</v>
      </c>
      <c r="R441" s="22">
        <v>44986</v>
      </c>
      <c r="S441" s="26">
        <f t="shared" ca="1" si="34"/>
        <v>0.90076176983534539</v>
      </c>
      <c r="T441" s="29">
        <f ca="1">ROUNDUP(_xlfn.NORM.INV(S440,S$10,S$12),0)</f>
        <v>114</v>
      </c>
      <c r="V441" s="22">
        <v>44986</v>
      </c>
      <c r="W441" s="26">
        <f t="shared" ca="1" si="35"/>
        <v>0.79914926462685276</v>
      </c>
      <c r="X441" s="29">
        <f ca="1">ROUNDUP(_xlfn.NORM.INV(W440,W$10,W$12),0)</f>
        <v>245</v>
      </c>
      <c r="Z441" s="22">
        <v>44986</v>
      </c>
      <c r="AA441" s="26">
        <f t="shared" ca="1" si="36"/>
        <v>0.85722963016359899</v>
      </c>
      <c r="AB441" s="29">
        <f ca="1">ROUNDUP(_xlfn.NORM.INV(AA440,AA$10,AA$12),0)</f>
        <v>277</v>
      </c>
      <c r="AC441"/>
      <c r="AD441" s="25"/>
      <c r="AF441" s="22">
        <v>44986</v>
      </c>
      <c r="AG441" s="26">
        <f t="shared" ca="1" si="37"/>
        <v>0.39982842196538504</v>
      </c>
      <c r="AH441" s="29">
        <f ca="1">ROUNDUP(_xlfn.NORM.INV(AG440,AG$10,AG$12),0)</f>
        <v>437</v>
      </c>
      <c r="AJ441" s="22">
        <v>44986</v>
      </c>
      <c r="AK441" s="26">
        <f t="shared" ca="1" si="38"/>
        <v>0.59052962703946588</v>
      </c>
      <c r="AL441" s="29">
        <v>0</v>
      </c>
      <c r="AN441" s="22">
        <v>44986</v>
      </c>
      <c r="AO441" s="26">
        <f t="shared" ca="1" si="39"/>
        <v>3.6199766755686813E-3</v>
      </c>
      <c r="AP441" s="29">
        <v>0</v>
      </c>
      <c r="AR441" s="22">
        <v>44986</v>
      </c>
      <c r="AS441" s="26">
        <f t="shared" ca="1" si="40"/>
        <v>7.7638144066052184E-2</v>
      </c>
      <c r="AT441" s="29">
        <v>0</v>
      </c>
      <c r="AV441" s="22">
        <v>44986</v>
      </c>
      <c r="AW441" s="26">
        <f t="shared" ca="1" si="41"/>
        <v>0.4028858404548511</v>
      </c>
      <c r="AX441" s="29">
        <v>0</v>
      </c>
      <c r="AZ441" s="22">
        <v>44986</v>
      </c>
      <c r="BA441" s="26">
        <f t="shared" ca="1" si="42"/>
        <v>0.73443247230511877</v>
      </c>
      <c r="BB441" s="29">
        <v>0</v>
      </c>
      <c r="BC441"/>
      <c r="BD441" s="25"/>
      <c r="BF441" s="22">
        <v>44986</v>
      </c>
      <c r="BG441" s="26">
        <f t="shared" ca="1" si="43"/>
        <v>3.111986212280704E-3</v>
      </c>
      <c r="BH441" s="29">
        <v>0</v>
      </c>
      <c r="BJ441" s="22">
        <v>44986</v>
      </c>
      <c r="BK441" s="26">
        <f t="shared" ca="1" si="44"/>
        <v>0.78302741894911099</v>
      </c>
      <c r="BL441" s="29">
        <v>0</v>
      </c>
      <c r="BN441" s="22">
        <v>44986</v>
      </c>
      <c r="BO441" s="26">
        <f t="shared" ca="1" si="45"/>
        <v>0.75780304035211632</v>
      </c>
      <c r="BP441" s="29">
        <v>0</v>
      </c>
      <c r="BR441" s="22">
        <v>44986</v>
      </c>
      <c r="BS441" s="26">
        <f t="shared" ca="1" si="46"/>
        <v>0.45075349010711152</v>
      </c>
      <c r="BT441" s="29">
        <v>0</v>
      </c>
      <c r="BV441" s="22">
        <v>44986</v>
      </c>
      <c r="BW441" s="26">
        <f t="shared" ca="1" si="47"/>
        <v>0.8690896762307615</v>
      </c>
      <c r="BX441" s="29">
        <v>0</v>
      </c>
    </row>
    <row r="442" spans="2:77" ht="12.75" x14ac:dyDescent="0.2">
      <c r="B442" s="22">
        <v>44987</v>
      </c>
      <c r="C442" s="26">
        <f t="shared" ca="1" si="56"/>
        <v>0.43901139760508801</v>
      </c>
      <c r="D442" s="29">
        <f t="shared" ca="1" si="66"/>
        <v>72</v>
      </c>
      <c r="F442" s="22">
        <v>44987</v>
      </c>
      <c r="G442" s="26">
        <f t="shared" ca="1" si="31"/>
        <v>7.8795789070187139E-2</v>
      </c>
      <c r="H442" s="29">
        <f t="shared" ca="1" si="59"/>
        <v>196</v>
      </c>
      <c r="J442" s="22">
        <v>44987</v>
      </c>
      <c r="K442" s="26">
        <f t="shared" ca="1" si="32"/>
        <v>0.66853231546409786</v>
      </c>
      <c r="L442" s="29">
        <f t="shared" ca="1" si="60"/>
        <v>155</v>
      </c>
      <c r="N442" s="22">
        <v>44987</v>
      </c>
      <c r="O442" s="26">
        <f t="shared" ca="1" si="33"/>
        <v>0.29427950188326069</v>
      </c>
      <c r="P442" s="29">
        <f t="shared" ca="1" si="61"/>
        <v>222</v>
      </c>
      <c r="R442" s="22">
        <v>44987</v>
      </c>
      <c r="S442" s="26">
        <f t="shared" ca="1" si="34"/>
        <v>0.79743939849914525</v>
      </c>
      <c r="T442" s="29">
        <f t="shared" ca="1" si="62"/>
        <v>147</v>
      </c>
      <c r="V442" s="22">
        <v>44987</v>
      </c>
      <c r="W442" s="26">
        <f t="shared" ca="1" si="35"/>
        <v>0.32382876848426578</v>
      </c>
      <c r="X442" s="29">
        <f t="shared" ca="1" si="65"/>
        <v>219</v>
      </c>
      <c r="Z442" s="22">
        <v>44987</v>
      </c>
      <c r="AA442" s="26">
        <f t="shared" ca="1" si="36"/>
        <v>0.35891099879751076</v>
      </c>
      <c r="AB442" s="29">
        <f t="shared" ca="1" si="63"/>
        <v>264</v>
      </c>
      <c r="AC442"/>
      <c r="AD442" s="25"/>
      <c r="AF442" s="22">
        <v>44987</v>
      </c>
      <c r="AG442" s="26">
        <f t="shared" ca="1" si="37"/>
        <v>0.80465065850292117</v>
      </c>
      <c r="AH442" s="29">
        <f t="shared" ca="1" si="64"/>
        <v>402</v>
      </c>
      <c r="AJ442" s="22">
        <v>44987</v>
      </c>
      <c r="AK442" s="26">
        <f t="shared" ca="1" si="38"/>
        <v>9.5339158042691108E-2</v>
      </c>
      <c r="AL442" s="29">
        <f t="shared" ref="AL442:AL451" ca="1" si="67">ROUNDUP(_xlfn.NORM.INV(AK442,AK$10,AK$12),0)</f>
        <v>118</v>
      </c>
      <c r="AN442" s="22">
        <v>44987</v>
      </c>
      <c r="AO442" s="26">
        <f t="shared" ca="1" si="39"/>
        <v>0.4719081576271823</v>
      </c>
      <c r="AP442" s="29">
        <v>0</v>
      </c>
      <c r="AR442" s="22">
        <v>44987</v>
      </c>
      <c r="AS442" s="26">
        <f t="shared" ca="1" si="40"/>
        <v>0.55819024986198829</v>
      </c>
      <c r="AT442" s="29">
        <v>0</v>
      </c>
      <c r="AV442" s="22">
        <v>44987</v>
      </c>
      <c r="AW442" s="26">
        <f t="shared" ca="1" si="41"/>
        <v>0.37047987287222472</v>
      </c>
      <c r="AX442" s="29">
        <v>0</v>
      </c>
      <c r="AZ442" s="22">
        <v>44987</v>
      </c>
      <c r="BA442" s="26">
        <f t="shared" ca="1" si="42"/>
        <v>0.17023158717035314</v>
      </c>
      <c r="BB442" s="29">
        <v>0</v>
      </c>
      <c r="BC442"/>
      <c r="BD442" s="25"/>
      <c r="BF442" s="22">
        <v>44987</v>
      </c>
      <c r="BG442" s="26">
        <f t="shared" ca="1" si="43"/>
        <v>0.55413261071288722</v>
      </c>
      <c r="BH442" s="29">
        <v>0</v>
      </c>
      <c r="BJ442" s="22">
        <v>44987</v>
      </c>
      <c r="BK442" s="26">
        <f t="shared" ca="1" si="44"/>
        <v>0.99584441010676816</v>
      </c>
      <c r="BL442" s="29">
        <v>0</v>
      </c>
      <c r="BN442" s="22">
        <v>44987</v>
      </c>
      <c r="BO442" s="26">
        <f t="shared" ca="1" si="45"/>
        <v>0.4026624216811503</v>
      </c>
      <c r="BP442" s="29">
        <v>0</v>
      </c>
      <c r="BR442" s="22">
        <v>44987</v>
      </c>
      <c r="BS442" s="26">
        <f t="shared" ca="1" si="46"/>
        <v>0.76275796438379706</v>
      </c>
      <c r="BT442" s="29">
        <v>0</v>
      </c>
      <c r="BV442" s="22">
        <v>44987</v>
      </c>
      <c r="BW442" s="26">
        <f t="shared" ca="1" si="47"/>
        <v>0.39053245464192543</v>
      </c>
      <c r="BX442" s="29">
        <v>0</v>
      </c>
    </row>
    <row r="443" spans="2:77" ht="12.75" x14ac:dyDescent="0.2">
      <c r="B443" s="22">
        <v>44988</v>
      </c>
      <c r="C443" s="26">
        <f t="shared" ca="1" si="56"/>
        <v>0.7964665458205662</v>
      </c>
      <c r="D443" s="29">
        <f t="shared" ca="1" si="66"/>
        <v>92</v>
      </c>
      <c r="F443" s="22">
        <v>44988</v>
      </c>
      <c r="G443" s="26">
        <f t="shared" ca="1" si="31"/>
        <v>6.5553956375658862E-2</v>
      </c>
      <c r="H443" s="29">
        <f t="shared" ca="1" si="59"/>
        <v>194</v>
      </c>
      <c r="J443" s="22">
        <v>44988</v>
      </c>
      <c r="K443" s="26">
        <f t="shared" ca="1" si="32"/>
        <v>0.58933189125811436</v>
      </c>
      <c r="L443" s="29">
        <f t="shared" ca="1" si="60"/>
        <v>153</v>
      </c>
      <c r="N443" s="22">
        <v>44988</v>
      </c>
      <c r="O443" s="26">
        <f t="shared" ca="1" si="33"/>
        <v>0.2055118651794674</v>
      </c>
      <c r="P443" s="29">
        <f t="shared" ca="1" si="61"/>
        <v>217</v>
      </c>
      <c r="R443" s="22">
        <v>44988</v>
      </c>
      <c r="S443" s="26">
        <f t="shared" ca="1" si="34"/>
        <v>0.86619745667357539</v>
      </c>
      <c r="T443" s="29">
        <f t="shared" ca="1" si="62"/>
        <v>150</v>
      </c>
      <c r="V443" s="22">
        <v>44988</v>
      </c>
      <c r="W443" s="26">
        <f t="shared" ca="1" si="35"/>
        <v>0.10074691468592978</v>
      </c>
      <c r="X443" s="29">
        <f t="shared" ca="1" si="65"/>
        <v>206</v>
      </c>
      <c r="Z443" s="22">
        <v>44988</v>
      </c>
      <c r="AA443" s="26">
        <f t="shared" ca="1" si="36"/>
        <v>0.26105981962759828</v>
      </c>
      <c r="AB443" s="29">
        <f t="shared" ca="1" si="63"/>
        <v>259</v>
      </c>
      <c r="AC443"/>
      <c r="AD443" s="25"/>
      <c r="AF443" s="22">
        <v>44988</v>
      </c>
      <c r="AG443" s="26">
        <f t="shared" ca="1" si="37"/>
        <v>4.3606642557254327E-2</v>
      </c>
      <c r="AH443" s="29">
        <f t="shared" ca="1" si="64"/>
        <v>178</v>
      </c>
      <c r="AJ443" s="22">
        <v>44988</v>
      </c>
      <c r="AK443" s="26">
        <f t="shared" ca="1" si="38"/>
        <v>4.1215211406010921E-2</v>
      </c>
      <c r="AL443" s="29">
        <f t="shared" ca="1" si="67"/>
        <v>97</v>
      </c>
      <c r="AN443" s="22">
        <v>44988</v>
      </c>
      <c r="AO443" s="26">
        <f t="shared" ca="1" si="39"/>
        <v>0.90210612552877845</v>
      </c>
      <c r="AP443" s="29">
        <v>0</v>
      </c>
      <c r="AR443" s="22">
        <v>44988</v>
      </c>
      <c r="AS443" s="26">
        <f t="shared" ca="1" si="40"/>
        <v>3.133837886169144E-2</v>
      </c>
      <c r="AT443" s="29">
        <v>0</v>
      </c>
      <c r="AV443" s="22">
        <v>44988</v>
      </c>
      <c r="AW443" s="26">
        <f t="shared" ca="1" si="41"/>
        <v>0.31151510537474258</v>
      </c>
      <c r="AX443" s="29">
        <v>0</v>
      </c>
      <c r="AZ443" s="22">
        <v>44988</v>
      </c>
      <c r="BA443" s="26">
        <f t="shared" ca="1" si="42"/>
        <v>0.13407305005479342</v>
      </c>
      <c r="BB443" s="29">
        <v>0</v>
      </c>
      <c r="BC443"/>
      <c r="BD443" s="25"/>
      <c r="BF443" s="22">
        <v>44988</v>
      </c>
      <c r="BG443" s="26">
        <f t="shared" ca="1" si="43"/>
        <v>9.0934702158044223E-3</v>
      </c>
      <c r="BH443" s="29">
        <v>0</v>
      </c>
      <c r="BJ443" s="22">
        <v>44988</v>
      </c>
      <c r="BK443" s="26">
        <f t="shared" ca="1" si="44"/>
        <v>0.1692081030699274</v>
      </c>
      <c r="BL443" s="29">
        <v>0</v>
      </c>
      <c r="BN443" s="22">
        <v>44988</v>
      </c>
      <c r="BO443" s="26">
        <f t="shared" ca="1" si="45"/>
        <v>0.57812419858486319</v>
      </c>
      <c r="BP443" s="29">
        <v>0</v>
      </c>
      <c r="BR443" s="22">
        <v>44988</v>
      </c>
      <c r="BS443" s="26">
        <f t="shared" ca="1" si="46"/>
        <v>0.55542634546192349</v>
      </c>
      <c r="BT443" s="29">
        <v>0</v>
      </c>
      <c r="BV443" s="22">
        <v>44988</v>
      </c>
      <c r="BW443" s="26">
        <f t="shared" ca="1" si="47"/>
        <v>0.26519078180357292</v>
      </c>
      <c r="BX443" s="29">
        <v>0</v>
      </c>
    </row>
    <row r="444" spans="2:77" ht="12.75" x14ac:dyDescent="0.2">
      <c r="B444" s="22">
        <v>44989</v>
      </c>
      <c r="C444" s="26">
        <f t="shared" ca="1" si="56"/>
        <v>0.58420681492577808</v>
      </c>
      <c r="D444" s="29">
        <f t="shared" ca="1" si="66"/>
        <v>80</v>
      </c>
      <c r="F444" s="22">
        <v>44989</v>
      </c>
      <c r="G444" s="26">
        <f t="shared" ca="1" si="31"/>
        <v>0.20176643739048339</v>
      </c>
      <c r="H444" s="29">
        <f t="shared" ca="1" si="59"/>
        <v>204</v>
      </c>
      <c r="J444" s="22">
        <v>44989</v>
      </c>
      <c r="K444" s="26">
        <f t="shared" ca="1" si="32"/>
        <v>0.49847639750998807</v>
      </c>
      <c r="L444" s="29">
        <f t="shared" ca="1" si="60"/>
        <v>150</v>
      </c>
      <c r="N444" s="22">
        <v>44989</v>
      </c>
      <c r="O444" s="26">
        <f t="shared" ca="1" si="33"/>
        <v>0.10967842296845143</v>
      </c>
      <c r="P444" s="29">
        <f t="shared" ca="1" si="61"/>
        <v>211</v>
      </c>
      <c r="R444" s="22">
        <v>44989</v>
      </c>
      <c r="S444" s="26">
        <f t="shared" ca="1" si="34"/>
        <v>0.8001423529221926</v>
      </c>
      <c r="T444" s="29">
        <f t="shared" ca="1" si="62"/>
        <v>147</v>
      </c>
      <c r="V444" s="22">
        <v>44989</v>
      </c>
      <c r="W444" s="26">
        <f t="shared" ca="1" si="35"/>
        <v>0.28411901692012409</v>
      </c>
      <c r="X444" s="29">
        <f t="shared" ca="1" si="65"/>
        <v>217</v>
      </c>
      <c r="Z444" s="22">
        <v>44989</v>
      </c>
      <c r="AA444" s="26">
        <f t="shared" ca="1" si="36"/>
        <v>0.1816571358177107</v>
      </c>
      <c r="AB444" s="29">
        <f t="shared" ca="1" si="63"/>
        <v>254</v>
      </c>
      <c r="AC444"/>
      <c r="AD444" s="25"/>
      <c r="AF444" s="22">
        <v>44989</v>
      </c>
      <c r="AG444" s="26">
        <f t="shared" ca="1" si="37"/>
        <v>0.54036077096746826</v>
      </c>
      <c r="AH444" s="29">
        <f t="shared" ca="1" si="64"/>
        <v>336</v>
      </c>
      <c r="AJ444" s="22">
        <v>44989</v>
      </c>
      <c r="AK444" s="26">
        <f t="shared" ca="1" si="38"/>
        <v>2.0310431230703752E-2</v>
      </c>
      <c r="AL444" s="29">
        <f t="shared" ca="1" si="67"/>
        <v>82</v>
      </c>
      <c r="AN444" s="22">
        <v>44989</v>
      </c>
      <c r="AO444" s="26">
        <f t="shared" ca="1" si="39"/>
        <v>6.6292286541834611E-2</v>
      </c>
      <c r="AP444" s="29">
        <v>0</v>
      </c>
      <c r="AR444" s="22">
        <v>44989</v>
      </c>
      <c r="AS444" s="26">
        <f t="shared" ca="1" si="40"/>
        <v>0.66316920000999147</v>
      </c>
      <c r="AT444" s="29">
        <v>0</v>
      </c>
      <c r="AV444" s="22">
        <v>44989</v>
      </c>
      <c r="AW444" s="26">
        <f t="shared" ca="1" si="41"/>
        <v>0.50799776287265697</v>
      </c>
      <c r="AX444" s="29">
        <v>0</v>
      </c>
      <c r="AZ444" s="22">
        <v>44989</v>
      </c>
      <c r="BA444" s="26">
        <f t="shared" ca="1" si="42"/>
        <v>0.71903266675610633</v>
      </c>
      <c r="BB444" s="29">
        <v>0</v>
      </c>
      <c r="BC444"/>
      <c r="BD444" s="25"/>
      <c r="BF444" s="22">
        <v>44989</v>
      </c>
      <c r="BG444" s="26">
        <f t="shared" ca="1" si="43"/>
        <v>0.61629002718309445</v>
      </c>
      <c r="BH444" s="29">
        <v>0</v>
      </c>
      <c r="BJ444" s="22">
        <v>44989</v>
      </c>
      <c r="BK444" s="26">
        <f t="shared" ca="1" si="44"/>
        <v>0.92142089052667486</v>
      </c>
      <c r="BL444" s="29">
        <v>0</v>
      </c>
      <c r="BN444" s="22">
        <v>44989</v>
      </c>
      <c r="BO444" s="26">
        <f t="shared" ca="1" si="45"/>
        <v>0.21450695804572506</v>
      </c>
      <c r="BP444" s="29">
        <v>0</v>
      </c>
      <c r="BR444" s="22">
        <v>44989</v>
      </c>
      <c r="BS444" s="26">
        <f t="shared" ca="1" si="46"/>
        <v>0.66645503547877205</v>
      </c>
      <c r="BT444" s="29">
        <v>0</v>
      </c>
      <c r="BV444" s="22">
        <v>44989</v>
      </c>
      <c r="BW444" s="26">
        <f t="shared" ca="1" si="47"/>
        <v>0.4916798276757357</v>
      </c>
      <c r="BX444" s="29">
        <v>0</v>
      </c>
    </row>
    <row r="445" spans="2:77" ht="12.75" x14ac:dyDescent="0.2">
      <c r="B445" s="22">
        <v>44990</v>
      </c>
      <c r="C445" s="26">
        <f t="shared" ca="1" si="56"/>
        <v>0.19771741522559272</v>
      </c>
      <c r="D445" s="29">
        <f t="shared" ca="1" si="66"/>
        <v>59</v>
      </c>
      <c r="F445" s="22">
        <v>44990</v>
      </c>
      <c r="G445" s="26">
        <f t="shared" ca="1" si="31"/>
        <v>0.47329100439409555</v>
      </c>
      <c r="H445" s="29">
        <f t="shared" ca="1" si="59"/>
        <v>215</v>
      </c>
      <c r="J445" s="22">
        <v>44990</v>
      </c>
      <c r="K445" s="26">
        <f t="shared" ca="1" si="32"/>
        <v>0.2393829473901522</v>
      </c>
      <c r="L445" s="29">
        <f t="shared" ca="1" si="60"/>
        <v>143</v>
      </c>
      <c r="N445" s="22">
        <v>44990</v>
      </c>
      <c r="O445" s="26">
        <f t="shared" ca="1" si="33"/>
        <v>0.55508286402683238</v>
      </c>
      <c r="P445" s="29">
        <f t="shared" ca="1" si="61"/>
        <v>232</v>
      </c>
      <c r="R445" s="22">
        <v>44990</v>
      </c>
      <c r="S445" s="26">
        <f t="shared" ca="1" si="34"/>
        <v>0.32982931260171189</v>
      </c>
      <c r="T445" s="29">
        <f t="shared" ca="1" si="62"/>
        <v>135</v>
      </c>
      <c r="V445" s="22">
        <v>44990</v>
      </c>
      <c r="W445" s="26">
        <f t="shared" ca="1" si="35"/>
        <v>0.87733260579700989</v>
      </c>
      <c r="X445" s="29">
        <f t="shared" ca="1" si="65"/>
        <v>243</v>
      </c>
      <c r="Z445" s="22">
        <v>44990</v>
      </c>
      <c r="AA445" s="26">
        <f t="shared" ca="1" si="36"/>
        <v>0.99687805656466699</v>
      </c>
      <c r="AB445" s="29">
        <f t="shared" ca="1" si="63"/>
        <v>320</v>
      </c>
      <c r="AC445"/>
      <c r="AD445" s="25"/>
      <c r="AF445" s="22">
        <v>44990</v>
      </c>
      <c r="AG445" s="26">
        <f t="shared" ca="1" si="37"/>
        <v>1.4641848784390676E-2</v>
      </c>
      <c r="AH445" s="29">
        <f t="shared" ca="1" si="64"/>
        <v>137</v>
      </c>
      <c r="AJ445" s="22">
        <v>44990</v>
      </c>
      <c r="AK445" s="26">
        <f t="shared" ca="1" si="38"/>
        <v>0.64275181720279184</v>
      </c>
      <c r="AL445" s="29">
        <f t="shared" ca="1" si="67"/>
        <v>198</v>
      </c>
      <c r="AN445" s="22">
        <v>44990</v>
      </c>
      <c r="AO445" s="26">
        <f t="shared" ca="1" si="39"/>
        <v>8.5062590804036331E-2</v>
      </c>
      <c r="AP445" s="29">
        <v>0</v>
      </c>
      <c r="AR445" s="22">
        <v>44990</v>
      </c>
      <c r="AS445" s="26">
        <f t="shared" ca="1" si="40"/>
        <v>0.9503604618172472</v>
      </c>
      <c r="AT445" s="29">
        <v>0</v>
      </c>
      <c r="AV445" s="22">
        <v>44990</v>
      </c>
      <c r="AW445" s="26">
        <f t="shared" ca="1" si="41"/>
        <v>9.7788349461208068E-2</v>
      </c>
      <c r="AX445" s="29">
        <v>0</v>
      </c>
      <c r="AZ445" s="22">
        <v>44990</v>
      </c>
      <c r="BA445" s="26">
        <f t="shared" ca="1" si="42"/>
        <v>8.0186636171177827E-2</v>
      </c>
      <c r="BB445" s="29">
        <v>0</v>
      </c>
      <c r="BC445"/>
      <c r="BD445" s="25"/>
      <c r="BF445" s="22">
        <v>44990</v>
      </c>
      <c r="BG445" s="26">
        <f t="shared" ca="1" si="43"/>
        <v>0.26114357141452427</v>
      </c>
      <c r="BH445" s="29">
        <v>0</v>
      </c>
      <c r="BJ445" s="22">
        <v>44990</v>
      </c>
      <c r="BK445" s="26">
        <f t="shared" ca="1" si="44"/>
        <v>0.31986342570303827</v>
      </c>
      <c r="BL445" s="29">
        <v>0</v>
      </c>
      <c r="BN445" s="22">
        <v>44990</v>
      </c>
      <c r="BO445" s="26">
        <f t="shared" ca="1" si="45"/>
        <v>0.48825244621518082</v>
      </c>
      <c r="BP445" s="29">
        <v>0</v>
      </c>
      <c r="BR445" s="22">
        <v>44990</v>
      </c>
      <c r="BS445" s="26">
        <f t="shared" ca="1" si="46"/>
        <v>0.57154596322915507</v>
      </c>
      <c r="BT445" s="29">
        <v>0</v>
      </c>
      <c r="BV445" s="22">
        <v>44990</v>
      </c>
      <c r="BW445" s="26">
        <f t="shared" ca="1" si="47"/>
        <v>0.90877548734078584</v>
      </c>
      <c r="BX445" s="29">
        <v>0</v>
      </c>
    </row>
    <row r="446" spans="2:77" ht="12.75" x14ac:dyDescent="0.2">
      <c r="B446" s="22">
        <v>44991</v>
      </c>
      <c r="C446" s="26">
        <f t="shared" ca="1" si="56"/>
        <v>0.21270136907990589</v>
      </c>
      <c r="D446" s="29">
        <f t="shared" ca="1" si="66"/>
        <v>60</v>
      </c>
      <c r="F446" s="22">
        <v>44991</v>
      </c>
      <c r="G446" s="26">
        <f t="shared" ca="1" si="31"/>
        <v>0.48919595395034265</v>
      </c>
      <c r="H446" s="29">
        <f t="shared" ca="1" si="59"/>
        <v>216</v>
      </c>
      <c r="J446" s="22">
        <v>44991</v>
      </c>
      <c r="K446" s="26">
        <f t="shared" ca="1" si="32"/>
        <v>0.95062558146308107</v>
      </c>
      <c r="L446" s="29">
        <f t="shared" ca="1" si="60"/>
        <v>167</v>
      </c>
      <c r="N446" s="22">
        <v>44991</v>
      </c>
      <c r="O446" s="26">
        <f t="shared" ca="1" si="33"/>
        <v>0.62058323592231279</v>
      </c>
      <c r="P446" s="29">
        <f t="shared" ca="1" si="61"/>
        <v>235</v>
      </c>
      <c r="R446" s="22">
        <v>44991</v>
      </c>
      <c r="S446" s="26">
        <f t="shared" ca="1" si="34"/>
        <v>0.22180248539365055</v>
      </c>
      <c r="T446" s="29">
        <f t="shared" ca="1" si="62"/>
        <v>132</v>
      </c>
      <c r="V446" s="22">
        <v>44991</v>
      </c>
      <c r="W446" s="26">
        <f t="shared" ca="1" si="35"/>
        <v>0.58307413692233279</v>
      </c>
      <c r="X446" s="29">
        <f t="shared" ca="1" si="65"/>
        <v>229</v>
      </c>
      <c r="Z446" s="22">
        <v>44991</v>
      </c>
      <c r="AA446" s="26">
        <f t="shared" ca="1" si="36"/>
        <v>0.75787925547226653</v>
      </c>
      <c r="AB446" s="29">
        <f t="shared" ca="1" si="63"/>
        <v>283</v>
      </c>
      <c r="AC446"/>
      <c r="AD446" s="25"/>
      <c r="AF446" s="22">
        <v>44991</v>
      </c>
      <c r="AG446" s="26">
        <f t="shared" ca="1" si="37"/>
        <v>0.37441836902678471</v>
      </c>
      <c r="AH446" s="29">
        <f t="shared" ca="1" si="64"/>
        <v>300</v>
      </c>
      <c r="AJ446" s="22">
        <v>44991</v>
      </c>
      <c r="AK446" s="26">
        <f t="shared" ca="1" si="38"/>
        <v>0.95295671313911512</v>
      </c>
      <c r="AL446" s="29">
        <f t="shared" ca="1" si="67"/>
        <v>261</v>
      </c>
      <c r="AN446" s="22">
        <v>44991</v>
      </c>
      <c r="AO446" s="26">
        <f t="shared" ca="1" si="39"/>
        <v>0.90073593757885451</v>
      </c>
      <c r="AP446" s="29">
        <v>0</v>
      </c>
      <c r="AR446" s="22">
        <v>44991</v>
      </c>
      <c r="AS446" s="26">
        <f t="shared" ca="1" si="40"/>
        <v>0.20758622411050187</v>
      </c>
      <c r="AT446" s="29">
        <v>0</v>
      </c>
      <c r="AV446" s="22">
        <v>44991</v>
      </c>
      <c r="AW446" s="26">
        <f t="shared" ca="1" si="41"/>
        <v>0.20002629705354136</v>
      </c>
      <c r="AX446" s="29">
        <v>0</v>
      </c>
      <c r="AZ446" s="22">
        <v>44991</v>
      </c>
      <c r="BA446" s="26">
        <f t="shared" ca="1" si="42"/>
        <v>0.4430139783447683</v>
      </c>
      <c r="BB446" s="29">
        <v>0</v>
      </c>
      <c r="BC446"/>
      <c r="BD446" s="25"/>
      <c r="BF446" s="22">
        <v>44991</v>
      </c>
      <c r="BG446" s="26">
        <f t="shared" ca="1" si="43"/>
        <v>0.59992226739962684</v>
      </c>
      <c r="BH446" s="29">
        <v>0</v>
      </c>
      <c r="BJ446" s="22">
        <v>44991</v>
      </c>
      <c r="BK446" s="26">
        <f t="shared" ca="1" si="44"/>
        <v>0.73247098842155922</v>
      </c>
      <c r="BL446" s="29">
        <v>0</v>
      </c>
      <c r="BN446" s="22">
        <v>44991</v>
      </c>
      <c r="BO446" s="26">
        <f t="shared" ca="1" si="45"/>
        <v>0.8314556055534148</v>
      </c>
      <c r="BP446" s="29">
        <v>0</v>
      </c>
      <c r="BR446" s="22">
        <v>44991</v>
      </c>
      <c r="BS446" s="26">
        <f t="shared" ca="1" si="46"/>
        <v>0.56731978039137787</v>
      </c>
      <c r="BT446" s="29">
        <v>0</v>
      </c>
      <c r="BV446" s="22">
        <v>44991</v>
      </c>
      <c r="BW446" s="26">
        <f t="shared" ca="1" si="47"/>
        <v>0.3583935205924621</v>
      </c>
      <c r="BX446" s="29">
        <v>0</v>
      </c>
    </row>
    <row r="447" spans="2:77" ht="12.75" x14ac:dyDescent="0.2">
      <c r="B447" s="22">
        <v>44992</v>
      </c>
      <c r="C447" s="26">
        <f t="shared" ca="1" si="56"/>
        <v>0.78483733870989392</v>
      </c>
      <c r="D447" s="29">
        <f t="shared" ca="1" si="66"/>
        <v>91</v>
      </c>
      <c r="F447" s="22">
        <v>44992</v>
      </c>
      <c r="G447" s="26">
        <f t="shared" ca="1" si="31"/>
        <v>0.21708752618415028</v>
      </c>
      <c r="H447" s="29">
        <f t="shared" ca="1" si="59"/>
        <v>205</v>
      </c>
      <c r="J447" s="22">
        <v>44992</v>
      </c>
      <c r="K447" s="26">
        <f t="shared" ca="1" si="32"/>
        <v>0.89360452707164006</v>
      </c>
      <c r="L447" s="29">
        <f t="shared" ca="1" si="60"/>
        <v>163</v>
      </c>
      <c r="N447" s="22">
        <v>44992</v>
      </c>
      <c r="O447" s="26">
        <f t="shared" ca="1" si="33"/>
        <v>0.20766305219893877</v>
      </c>
      <c r="P447" s="29">
        <f t="shared" ca="1" si="61"/>
        <v>217</v>
      </c>
      <c r="R447" s="22">
        <v>44992</v>
      </c>
      <c r="S447" s="26">
        <f t="shared" ca="1" si="34"/>
        <v>0.3805958440853191</v>
      </c>
      <c r="T447" s="29">
        <f t="shared" ca="1" si="62"/>
        <v>136</v>
      </c>
      <c r="V447" s="22">
        <v>44992</v>
      </c>
      <c r="W447" s="26">
        <f t="shared" ca="1" si="35"/>
        <v>0.3136759470314312</v>
      </c>
      <c r="X447" s="29">
        <f t="shared" ca="1" si="65"/>
        <v>218</v>
      </c>
      <c r="Z447" s="22">
        <v>44992</v>
      </c>
      <c r="AA447" s="26">
        <f t="shared" ca="1" si="36"/>
        <v>0.60086812703445669</v>
      </c>
      <c r="AB447" s="29">
        <f t="shared" ca="1" si="63"/>
        <v>275</v>
      </c>
      <c r="AC447"/>
      <c r="AD447" s="25"/>
      <c r="AF447" s="22">
        <v>44992</v>
      </c>
      <c r="AG447" s="26">
        <f t="shared" ca="1" si="37"/>
        <v>0.48088474105832857</v>
      </c>
      <c r="AH447" s="29">
        <f t="shared" ca="1" si="64"/>
        <v>323</v>
      </c>
      <c r="AJ447" s="22">
        <v>44992</v>
      </c>
      <c r="AK447" s="26">
        <f t="shared" ca="1" si="38"/>
        <v>0.73650504398865846</v>
      </c>
      <c r="AL447" s="29">
        <f t="shared" ca="1" si="67"/>
        <v>211</v>
      </c>
      <c r="AN447" s="22">
        <v>44992</v>
      </c>
      <c r="AO447" s="26">
        <f t="shared" ca="1" si="39"/>
        <v>0.99125880557035806</v>
      </c>
      <c r="AP447" s="29">
        <v>0</v>
      </c>
      <c r="AR447" s="22">
        <v>44992</v>
      </c>
      <c r="AS447" s="26">
        <f t="shared" ca="1" si="40"/>
        <v>1.1436463764626925E-3</v>
      </c>
      <c r="AT447" s="29">
        <v>0</v>
      </c>
      <c r="AV447" s="22">
        <v>44992</v>
      </c>
      <c r="AW447" s="26">
        <f t="shared" ca="1" si="41"/>
        <v>0.20414540873276787</v>
      </c>
      <c r="AX447" s="29">
        <v>0</v>
      </c>
      <c r="AZ447" s="22">
        <v>44992</v>
      </c>
      <c r="BA447" s="26">
        <f t="shared" ca="1" si="42"/>
        <v>0.46483109413925316</v>
      </c>
      <c r="BB447" s="29">
        <v>0</v>
      </c>
      <c r="BC447"/>
      <c r="BD447" s="25"/>
      <c r="BF447" s="22">
        <v>44992</v>
      </c>
      <c r="BG447" s="26">
        <f t="shared" ca="1" si="43"/>
        <v>0.98751811407018331</v>
      </c>
      <c r="BH447" s="29">
        <v>0</v>
      </c>
      <c r="BJ447" s="22">
        <v>44992</v>
      </c>
      <c r="BK447" s="26">
        <f t="shared" ca="1" si="44"/>
        <v>0.19450527910917204</v>
      </c>
      <c r="BL447" s="29">
        <v>0</v>
      </c>
      <c r="BN447" s="22">
        <v>44992</v>
      </c>
      <c r="BO447" s="26">
        <f t="shared" ca="1" si="45"/>
        <v>0.65300428388977327</v>
      </c>
      <c r="BP447" s="29">
        <v>0</v>
      </c>
      <c r="BR447" s="22">
        <v>44992</v>
      </c>
      <c r="BS447" s="26">
        <f t="shared" ca="1" si="46"/>
        <v>0.49480993270753693</v>
      </c>
      <c r="BT447" s="29">
        <v>0</v>
      </c>
      <c r="BV447" s="22">
        <v>44992</v>
      </c>
      <c r="BW447" s="26">
        <f t="shared" ca="1" si="47"/>
        <v>0.30541676838412535</v>
      </c>
      <c r="BX447" s="29">
        <v>0</v>
      </c>
    </row>
    <row r="448" spans="2:77" ht="12.75" x14ac:dyDescent="0.2">
      <c r="B448" s="22">
        <v>44993</v>
      </c>
      <c r="C448" s="26">
        <f t="shared" ca="1" si="56"/>
        <v>0.32081659798115225</v>
      </c>
      <c r="D448" s="29">
        <f t="shared" ca="1" si="66"/>
        <v>66</v>
      </c>
      <c r="F448" s="22">
        <v>44993</v>
      </c>
      <c r="G448" s="26">
        <f t="shared" ca="1" si="31"/>
        <v>0.95678076606692608</v>
      </c>
      <c r="H448" s="29">
        <f t="shared" ca="1" si="59"/>
        <v>241</v>
      </c>
      <c r="J448" s="22">
        <v>44993</v>
      </c>
      <c r="K448" s="26">
        <f t="shared" ca="1" si="32"/>
        <v>0.61263640303976297</v>
      </c>
      <c r="L448" s="29">
        <f t="shared" ca="1" si="60"/>
        <v>153</v>
      </c>
      <c r="N448" s="22">
        <v>44993</v>
      </c>
      <c r="O448" s="26">
        <f t="shared" ca="1" si="33"/>
        <v>0.95859945019995663</v>
      </c>
      <c r="P448" s="29">
        <f t="shared" ca="1" si="61"/>
        <v>256</v>
      </c>
      <c r="R448" s="22">
        <v>44993</v>
      </c>
      <c r="S448" s="26">
        <f t="shared" ca="1" si="34"/>
        <v>0.86599550340591991</v>
      </c>
      <c r="T448" s="29">
        <f t="shared" ca="1" si="62"/>
        <v>149</v>
      </c>
      <c r="V448" s="22">
        <v>44993</v>
      </c>
      <c r="W448" s="26">
        <f t="shared" ca="1" si="35"/>
        <v>0.70332395009461024</v>
      </c>
      <c r="X448" s="29">
        <f t="shared" ca="1" si="65"/>
        <v>234</v>
      </c>
      <c r="Z448" s="22">
        <v>44993</v>
      </c>
      <c r="AA448" s="26">
        <f t="shared" ca="1" si="36"/>
        <v>0.35143790753982107</v>
      </c>
      <c r="AB448" s="29">
        <f t="shared" ca="1" si="63"/>
        <v>264</v>
      </c>
      <c r="AC448"/>
      <c r="AD448" s="25"/>
      <c r="AF448" s="22">
        <v>44993</v>
      </c>
      <c r="AG448" s="26">
        <f t="shared" ca="1" si="37"/>
        <v>0.7118436244544184</v>
      </c>
      <c r="AH448" s="29">
        <f t="shared" ca="1" si="64"/>
        <v>376</v>
      </c>
      <c r="AJ448" s="22">
        <v>44993</v>
      </c>
      <c r="AK448" s="26">
        <f t="shared" ca="1" si="38"/>
        <v>0.21588137479690994</v>
      </c>
      <c r="AL448" s="29">
        <f t="shared" ca="1" si="67"/>
        <v>143</v>
      </c>
      <c r="AN448" s="22">
        <v>44993</v>
      </c>
      <c r="AO448" s="26">
        <f t="shared" ca="1" si="39"/>
        <v>6.8633757085530878E-2</v>
      </c>
      <c r="AP448" s="29">
        <v>0</v>
      </c>
      <c r="AR448" s="22">
        <v>44993</v>
      </c>
      <c r="AS448" s="26">
        <f t="shared" ca="1" si="40"/>
        <v>0.61618125454348138</v>
      </c>
      <c r="AT448" s="29">
        <v>0</v>
      </c>
      <c r="AV448" s="22">
        <v>44993</v>
      </c>
      <c r="AW448" s="26">
        <f t="shared" ca="1" si="41"/>
        <v>0.11020067008566825</v>
      </c>
      <c r="AX448" s="29">
        <v>0</v>
      </c>
      <c r="AZ448" s="22">
        <v>44993</v>
      </c>
      <c r="BA448" s="26">
        <f t="shared" ca="1" si="42"/>
        <v>0.54819952525082627</v>
      </c>
      <c r="BB448" s="29">
        <v>0</v>
      </c>
      <c r="BC448"/>
      <c r="BD448" s="25"/>
      <c r="BF448" s="22">
        <v>44993</v>
      </c>
      <c r="BG448" s="26">
        <f t="shared" ca="1" si="43"/>
        <v>0.39128129572917503</v>
      </c>
      <c r="BH448" s="29">
        <v>0</v>
      </c>
      <c r="BJ448" s="22">
        <v>44993</v>
      </c>
      <c r="BK448" s="26">
        <f t="shared" ca="1" si="44"/>
        <v>0.91499543293366337</v>
      </c>
      <c r="BL448" s="29">
        <v>0</v>
      </c>
      <c r="BN448" s="22">
        <v>44993</v>
      </c>
      <c r="BO448" s="26">
        <f t="shared" ca="1" si="45"/>
        <v>0.23364025209244421</v>
      </c>
      <c r="BP448" s="29">
        <v>0</v>
      </c>
      <c r="BR448" s="22">
        <v>44993</v>
      </c>
      <c r="BS448" s="26">
        <f t="shared" ca="1" si="46"/>
        <v>9.4163377647176305E-2</v>
      </c>
      <c r="BT448" s="29">
        <v>0</v>
      </c>
      <c r="BV448" s="22">
        <v>44993</v>
      </c>
      <c r="BW448" s="26">
        <f t="shared" ca="1" si="47"/>
        <v>0.74856206773848311</v>
      </c>
      <c r="BX448" s="29">
        <v>0</v>
      </c>
    </row>
    <row r="449" spans="2:76" ht="12.75" x14ac:dyDescent="0.2">
      <c r="B449" s="22">
        <v>44994</v>
      </c>
      <c r="C449" s="26">
        <f t="shared" ref="C449:C659" ca="1" si="68">RAND()</f>
        <v>0.96270253883846102</v>
      </c>
      <c r="D449" s="29">
        <f t="shared" ca="1" si="66"/>
        <v>111</v>
      </c>
      <c r="F449" s="22">
        <v>44994</v>
      </c>
      <c r="G449" s="26">
        <f t="shared" ca="1" si="31"/>
        <v>0.59248426965583301</v>
      </c>
      <c r="H449" s="29">
        <f t="shared" ca="1" si="59"/>
        <v>219</v>
      </c>
      <c r="J449" s="22">
        <v>44994</v>
      </c>
      <c r="K449" s="26">
        <f t="shared" ca="1" si="32"/>
        <v>0.37039116802703109</v>
      </c>
      <c r="L449" s="29">
        <f t="shared" ca="1" si="60"/>
        <v>147</v>
      </c>
      <c r="N449" s="22">
        <v>44994</v>
      </c>
      <c r="O449" s="26">
        <f t="shared" ca="1" si="33"/>
        <v>0.54114805586069592</v>
      </c>
      <c r="P449" s="29">
        <f t="shared" ca="1" si="61"/>
        <v>231</v>
      </c>
      <c r="R449" s="22">
        <v>44994</v>
      </c>
      <c r="S449" s="26">
        <f t="shared" ca="1" si="34"/>
        <v>0.29954857777414212</v>
      </c>
      <c r="T449" s="29">
        <f t="shared" ca="1" si="62"/>
        <v>134</v>
      </c>
      <c r="V449" s="22">
        <v>44994</v>
      </c>
      <c r="W449" s="26">
        <f t="shared" ca="1" si="35"/>
        <v>0.93492763636143761</v>
      </c>
      <c r="X449" s="29">
        <f t="shared" ca="1" si="65"/>
        <v>248</v>
      </c>
      <c r="Z449" s="22">
        <v>44994</v>
      </c>
      <c r="AA449" s="26">
        <f t="shared" ca="1" si="36"/>
        <v>0.25796386796934689</v>
      </c>
      <c r="AB449" s="29">
        <f t="shared" ca="1" si="63"/>
        <v>259</v>
      </c>
      <c r="AC449"/>
      <c r="AD449" s="25"/>
      <c r="AF449" s="22">
        <v>44994</v>
      </c>
      <c r="AG449" s="26">
        <f t="shared" ca="1" si="37"/>
        <v>0.54261876374956231</v>
      </c>
      <c r="AH449" s="29">
        <f t="shared" ca="1" si="64"/>
        <v>337</v>
      </c>
      <c r="AJ449" s="22">
        <v>44994</v>
      </c>
      <c r="AK449" s="26">
        <f t="shared" ca="1" si="38"/>
        <v>0.27136412244164876</v>
      </c>
      <c r="AL449" s="29">
        <f t="shared" ca="1" si="67"/>
        <v>151</v>
      </c>
      <c r="AN449" s="22">
        <v>44994</v>
      </c>
      <c r="AO449" s="26">
        <f t="shared" ca="1" si="39"/>
        <v>0.30662859734347414</v>
      </c>
      <c r="AP449" s="29">
        <v>0</v>
      </c>
      <c r="AR449" s="22">
        <v>44994</v>
      </c>
      <c r="AS449" s="26">
        <f t="shared" ca="1" si="40"/>
        <v>0.42724464154696762</v>
      </c>
      <c r="AT449" s="29">
        <v>0</v>
      </c>
      <c r="AV449" s="22">
        <v>44994</v>
      </c>
      <c r="AW449" s="26">
        <f t="shared" ca="1" si="41"/>
        <v>0.67712245441935326</v>
      </c>
      <c r="AX449" s="29">
        <v>0</v>
      </c>
      <c r="AZ449" s="22">
        <v>44994</v>
      </c>
      <c r="BA449" s="26">
        <f t="shared" ca="1" si="42"/>
        <v>0.20770169148296214</v>
      </c>
      <c r="BB449" s="29">
        <v>0</v>
      </c>
      <c r="BC449"/>
      <c r="BD449" s="25"/>
      <c r="BF449" s="22">
        <v>44994</v>
      </c>
      <c r="BG449" s="26">
        <f t="shared" ca="1" si="43"/>
        <v>0.60961184940300372</v>
      </c>
      <c r="BH449" s="29">
        <v>0</v>
      </c>
      <c r="BJ449" s="22">
        <v>44994</v>
      </c>
      <c r="BK449" s="26">
        <f t="shared" ca="1" si="44"/>
        <v>8.644371352142266E-2</v>
      </c>
      <c r="BL449" s="29">
        <v>0</v>
      </c>
      <c r="BN449" s="22">
        <v>44994</v>
      </c>
      <c r="BO449" s="26">
        <f t="shared" ca="1" si="45"/>
        <v>8.8974103747477939E-2</v>
      </c>
      <c r="BP449" s="29">
        <v>0</v>
      </c>
      <c r="BR449" s="22">
        <v>44994</v>
      </c>
      <c r="BS449" s="26">
        <f t="shared" ca="1" si="46"/>
        <v>0.60850541644760725</v>
      </c>
      <c r="BT449" s="29">
        <v>0</v>
      </c>
      <c r="BV449" s="22">
        <v>44994</v>
      </c>
      <c r="BW449" s="26">
        <f t="shared" ca="1" si="47"/>
        <v>0.95439003614072659</v>
      </c>
      <c r="BX449" s="29">
        <v>0</v>
      </c>
    </row>
    <row r="450" spans="2:76" ht="12.75" x14ac:dyDescent="0.2">
      <c r="B450" s="22">
        <v>44995</v>
      </c>
      <c r="C450" s="26">
        <f t="shared" ca="1" si="68"/>
        <v>0.96162565435881797</v>
      </c>
      <c r="D450" s="29">
        <f t="shared" ca="1" si="66"/>
        <v>111</v>
      </c>
      <c r="F450" s="22">
        <v>44995</v>
      </c>
      <c r="G450" s="26">
        <f t="shared" ca="1" si="31"/>
        <v>0.36251208371768262</v>
      </c>
      <c r="H450" s="29">
        <f t="shared" ca="1" si="59"/>
        <v>211</v>
      </c>
      <c r="J450" s="22">
        <v>44995</v>
      </c>
      <c r="K450" s="26">
        <f t="shared" ca="1" si="32"/>
        <v>0.80346646792044074</v>
      </c>
      <c r="L450" s="29">
        <f t="shared" ca="1" si="60"/>
        <v>159</v>
      </c>
      <c r="N450" s="22">
        <v>44995</v>
      </c>
      <c r="O450" s="26">
        <f t="shared" ca="1" si="33"/>
        <v>0.74517757487298752</v>
      </c>
      <c r="P450" s="29">
        <f t="shared" ca="1" si="61"/>
        <v>240</v>
      </c>
      <c r="R450" s="22">
        <v>44995</v>
      </c>
      <c r="S450" s="26">
        <f t="shared" ca="1" si="34"/>
        <v>0.80830035008168044</v>
      </c>
      <c r="T450" s="29">
        <f t="shared" ca="1" si="62"/>
        <v>147</v>
      </c>
      <c r="V450" s="22">
        <v>44995</v>
      </c>
      <c r="W450" s="26">
        <f t="shared" ca="1" si="35"/>
        <v>5.7398636091341659E-2</v>
      </c>
      <c r="X450" s="29">
        <f t="shared" ca="1" si="65"/>
        <v>202</v>
      </c>
      <c r="Z450" s="22">
        <v>44995</v>
      </c>
      <c r="AA450" s="26">
        <f t="shared" ca="1" si="36"/>
        <v>0.97551655009840199</v>
      </c>
      <c r="AB450" s="29">
        <f t="shared" ca="1" si="63"/>
        <v>306</v>
      </c>
      <c r="AC450"/>
      <c r="AD450" s="25"/>
      <c r="AF450" s="22">
        <v>44995</v>
      </c>
      <c r="AG450" s="26">
        <f t="shared" ca="1" si="37"/>
        <v>0.38460004334486231</v>
      </c>
      <c r="AH450" s="29">
        <f t="shared" ca="1" si="64"/>
        <v>302</v>
      </c>
      <c r="AJ450" s="22">
        <v>44995</v>
      </c>
      <c r="AK450" s="26">
        <f t="shared" ca="1" si="38"/>
        <v>0.36161029774112607</v>
      </c>
      <c r="AL450" s="29">
        <f t="shared" ca="1" si="67"/>
        <v>163</v>
      </c>
      <c r="AN450" s="22">
        <v>44995</v>
      </c>
      <c r="AO450" s="26">
        <f t="shared" ca="1" si="39"/>
        <v>0.19563228779107944</v>
      </c>
      <c r="AP450" s="29">
        <v>0</v>
      </c>
      <c r="AR450" s="22">
        <v>44995</v>
      </c>
      <c r="AS450" s="26">
        <f t="shared" ca="1" si="40"/>
        <v>0.86812196667420716</v>
      </c>
      <c r="AT450" s="29">
        <v>0</v>
      </c>
      <c r="AV450" s="22">
        <v>44995</v>
      </c>
      <c r="AW450" s="26">
        <f t="shared" ca="1" si="41"/>
        <v>0.98274077357550227</v>
      </c>
      <c r="AX450" s="29">
        <v>0</v>
      </c>
      <c r="AZ450" s="22">
        <v>44995</v>
      </c>
      <c r="BA450" s="26">
        <f t="shared" ca="1" si="42"/>
        <v>6.7208102109049372E-2</v>
      </c>
      <c r="BB450" s="29">
        <v>0</v>
      </c>
      <c r="BC450"/>
      <c r="BD450" s="25"/>
      <c r="BF450" s="22">
        <v>44995</v>
      </c>
      <c r="BG450" s="26">
        <f t="shared" ca="1" si="43"/>
        <v>0.59358459018395604</v>
      </c>
      <c r="BH450" s="29">
        <v>0</v>
      </c>
      <c r="BJ450" s="22">
        <v>44995</v>
      </c>
      <c r="BK450" s="26">
        <f t="shared" ca="1" si="44"/>
        <v>0.58147433897859713</v>
      </c>
      <c r="BL450" s="29">
        <v>0</v>
      </c>
      <c r="BN450" s="22">
        <v>44995</v>
      </c>
      <c r="BO450" s="26">
        <f t="shared" ca="1" si="45"/>
        <v>0.36119072355306281</v>
      </c>
      <c r="BP450" s="29">
        <v>0</v>
      </c>
      <c r="BR450" s="22">
        <v>44995</v>
      </c>
      <c r="BS450" s="26">
        <f t="shared" ca="1" si="46"/>
        <v>0.57320110710410221</v>
      </c>
      <c r="BT450" s="29">
        <v>0</v>
      </c>
      <c r="BV450" s="22">
        <v>44995</v>
      </c>
      <c r="BW450" s="26">
        <f t="shared" ca="1" si="47"/>
        <v>0.90310709924204779</v>
      </c>
      <c r="BX450" s="29">
        <v>0</v>
      </c>
    </row>
    <row r="451" spans="2:76" ht="12.75" x14ac:dyDescent="0.2">
      <c r="B451" s="22">
        <v>44996</v>
      </c>
      <c r="C451" s="26">
        <f t="shared" ca="1" si="68"/>
        <v>0.59621942682014095</v>
      </c>
      <c r="D451" s="29">
        <f t="shared" ca="1" si="66"/>
        <v>80</v>
      </c>
      <c r="F451" s="22">
        <v>44996</v>
      </c>
      <c r="G451" s="26">
        <f t="shared" ca="1" si="31"/>
        <v>0.43140437536384324</v>
      </c>
      <c r="H451" s="29">
        <f t="shared" ca="1" si="59"/>
        <v>213</v>
      </c>
      <c r="J451" s="22">
        <v>44996</v>
      </c>
      <c r="K451" s="26">
        <f t="shared" ca="1" si="32"/>
        <v>0.92716048403067941</v>
      </c>
      <c r="L451" s="29">
        <f t="shared" ca="1" si="60"/>
        <v>165</v>
      </c>
      <c r="N451" s="22">
        <v>44996</v>
      </c>
      <c r="O451" s="26">
        <f t="shared" ca="1" si="33"/>
        <v>0.57875515041828107</v>
      </c>
      <c r="P451" s="29">
        <f t="shared" ca="1" si="61"/>
        <v>233</v>
      </c>
      <c r="R451" s="22">
        <v>44996</v>
      </c>
      <c r="S451" s="26">
        <f t="shared" ca="1" si="34"/>
        <v>0.84359214754592926</v>
      </c>
      <c r="T451" s="29">
        <f t="shared" ca="1" si="62"/>
        <v>149</v>
      </c>
      <c r="V451" s="22">
        <v>44996</v>
      </c>
      <c r="W451" s="26">
        <f t="shared" ca="1" si="35"/>
        <v>0.28245800992357684</v>
      </c>
      <c r="X451" s="29">
        <f t="shared" ca="1" si="65"/>
        <v>217</v>
      </c>
      <c r="Z451" s="22">
        <v>44996</v>
      </c>
      <c r="AA451" s="26">
        <f t="shared" ca="1" si="36"/>
        <v>0.34441961692622958</v>
      </c>
      <c r="AB451" s="29">
        <f t="shared" ca="1" si="63"/>
        <v>263</v>
      </c>
      <c r="AC451"/>
      <c r="AD451" s="25"/>
      <c r="AF451" s="22">
        <v>44996</v>
      </c>
      <c r="AG451" s="26">
        <f t="shared" ca="1" si="37"/>
        <v>0.17708383690268914</v>
      </c>
      <c r="AH451" s="29">
        <f t="shared" ca="1" si="64"/>
        <v>247</v>
      </c>
      <c r="AJ451" s="22">
        <v>44996</v>
      </c>
      <c r="AK451" s="26">
        <f t="shared" ca="1" si="38"/>
        <v>0.66969097044751336</v>
      </c>
      <c r="AL451" s="29">
        <f t="shared" ca="1" si="67"/>
        <v>201</v>
      </c>
      <c r="AN451" s="22">
        <v>44996</v>
      </c>
      <c r="AO451" s="26">
        <f t="shared" ca="1" si="39"/>
        <v>0.37398718111604567</v>
      </c>
      <c r="AP451" s="29">
        <v>0</v>
      </c>
      <c r="AR451" s="22">
        <v>44996</v>
      </c>
      <c r="AS451" s="26">
        <f t="shared" ca="1" si="40"/>
        <v>0.19945176449470692</v>
      </c>
      <c r="AT451" s="29">
        <v>0</v>
      </c>
      <c r="AV451" s="22">
        <v>44996</v>
      </c>
      <c r="AW451" s="26">
        <f t="shared" ca="1" si="41"/>
        <v>0.30696578259463858</v>
      </c>
      <c r="AX451" s="29">
        <v>0</v>
      </c>
      <c r="AZ451" s="22">
        <v>44996</v>
      </c>
      <c r="BA451" s="26">
        <f t="shared" ca="1" si="42"/>
        <v>0.65289912699136188</v>
      </c>
      <c r="BB451" s="29">
        <v>0</v>
      </c>
      <c r="BC451"/>
      <c r="BD451" s="25"/>
      <c r="BF451" s="22">
        <v>44996</v>
      </c>
      <c r="BG451" s="26">
        <f t="shared" ca="1" si="43"/>
        <v>0.12863083562349331</v>
      </c>
      <c r="BH451" s="29">
        <v>0</v>
      </c>
      <c r="BJ451" s="22">
        <v>44996</v>
      </c>
      <c r="BK451" s="26">
        <f t="shared" ca="1" si="44"/>
        <v>0.17168863780835031</v>
      </c>
      <c r="BL451" s="29">
        <v>0</v>
      </c>
      <c r="BN451" s="22">
        <v>44996</v>
      </c>
      <c r="BO451" s="26">
        <f t="shared" ca="1" si="45"/>
        <v>0.46845089094659476</v>
      </c>
      <c r="BP451" s="29">
        <v>0</v>
      </c>
      <c r="BR451" s="22">
        <v>44996</v>
      </c>
      <c r="BS451" s="26">
        <f t="shared" ca="1" si="46"/>
        <v>0.40518966705117643</v>
      </c>
      <c r="BT451" s="29">
        <v>0</v>
      </c>
      <c r="BV451" s="22">
        <v>44996</v>
      </c>
      <c r="BW451" s="26">
        <f t="shared" ca="1" si="47"/>
        <v>0.66415814809441587</v>
      </c>
      <c r="BX451" s="29">
        <v>0</v>
      </c>
    </row>
    <row r="452" spans="2:76" ht="12.75" x14ac:dyDescent="0.2">
      <c r="B452" s="22">
        <v>44997</v>
      </c>
      <c r="C452" s="26">
        <f t="shared" ca="1" si="68"/>
        <v>0.20559340997689701</v>
      </c>
      <c r="D452" s="29">
        <f t="shared" ca="1" si="66"/>
        <v>59</v>
      </c>
      <c r="F452" s="22">
        <v>44997</v>
      </c>
      <c r="G452" s="26">
        <f t="shared" ca="1" si="31"/>
        <v>0.68400191499860397</v>
      </c>
      <c r="H452" s="29">
        <f t="shared" ref="H452:H515" ca="1" si="69">ROUNDUP(_xlfn.NORM.INV(G452,G$10,G$12),0)</f>
        <v>223</v>
      </c>
      <c r="J452" s="22">
        <v>44997</v>
      </c>
      <c r="K452" s="26">
        <f t="shared" ca="1" si="32"/>
        <v>0.44611896613515256</v>
      </c>
      <c r="L452" s="29">
        <f t="shared" ref="L452:L515" ca="1" si="70">ROUNDUP(_xlfn.NORM.INV(K452,K$10,K$12),0)</f>
        <v>149</v>
      </c>
      <c r="N452" s="22">
        <v>44997</v>
      </c>
      <c r="O452" s="26">
        <f t="shared" ca="1" si="33"/>
        <v>0.96595425656172273</v>
      </c>
      <c r="P452" s="29">
        <f t="shared" ref="P452:P515" ca="1" si="71">ROUNDUP(_xlfn.NORM.INV(O452,O$10,O$12),0)</f>
        <v>258</v>
      </c>
      <c r="R452" s="22">
        <v>44997</v>
      </c>
      <c r="S452" s="26">
        <f t="shared" ca="1" si="34"/>
        <v>0.86151951298930929</v>
      </c>
      <c r="T452" s="29">
        <f t="shared" ref="T452:T515" ca="1" si="72">ROUNDUP(_xlfn.NORM.INV(S452,S$10,S$12),0)</f>
        <v>149</v>
      </c>
      <c r="V452" s="22">
        <v>44997</v>
      </c>
      <c r="W452" s="26">
        <f t="shared" ca="1" si="35"/>
        <v>0.48321034219116366</v>
      </c>
      <c r="X452" s="29">
        <f t="shared" ref="X452:X515" ca="1" si="73">ROUNDUP(_xlfn.NORM.INV(W452,W$10,W$12),0)</f>
        <v>225</v>
      </c>
      <c r="Z452" s="22">
        <v>44997</v>
      </c>
      <c r="AA452" s="26">
        <f t="shared" ca="1" si="36"/>
        <v>0.40468280769156073</v>
      </c>
      <c r="AB452" s="29">
        <f t="shared" ref="AB452:AB515" ca="1" si="74">ROUNDUP(_xlfn.NORM.INV(AA452,AA$10,AA$12),0)</f>
        <v>266</v>
      </c>
      <c r="AC452"/>
      <c r="AD452" s="25"/>
      <c r="AF452" s="22">
        <v>44997</v>
      </c>
      <c r="AG452" s="26">
        <f t="shared" ca="1" si="37"/>
        <v>0.61664168625228422</v>
      </c>
      <c r="AH452" s="29">
        <f t="shared" ref="AH452:AH515" ca="1" si="75">ROUNDUP(_xlfn.NORM.INV(AG452,AG$10,AG$12),0)</f>
        <v>353</v>
      </c>
      <c r="AJ452" s="22">
        <v>44997</v>
      </c>
      <c r="AK452" s="26">
        <f t="shared" ca="1" si="38"/>
        <v>0.17399824276334197</v>
      </c>
      <c r="AL452" s="29">
        <f t="shared" ref="AL452:AL515" ca="1" si="76">ROUNDUP(_xlfn.NORM.INV(AK452,AK$10,AK$12),0)</f>
        <v>135</v>
      </c>
      <c r="AN452" s="22">
        <v>44997</v>
      </c>
      <c r="AO452" s="26">
        <f t="shared" ca="1" si="39"/>
        <v>0.79792993332276196</v>
      </c>
      <c r="AP452" s="29">
        <v>0</v>
      </c>
      <c r="AR452" s="22">
        <v>44997</v>
      </c>
      <c r="AS452" s="26">
        <f t="shared" ca="1" si="40"/>
        <v>0.26832725646695654</v>
      </c>
      <c r="AT452" s="29">
        <v>0</v>
      </c>
      <c r="AV452" s="22">
        <v>44997</v>
      </c>
      <c r="AW452" s="26">
        <f t="shared" ca="1" si="41"/>
        <v>0.54757789881307461</v>
      </c>
      <c r="AX452" s="29">
        <v>0</v>
      </c>
      <c r="AZ452" s="22">
        <v>44997</v>
      </c>
      <c r="BA452" s="26">
        <f t="shared" ca="1" si="42"/>
        <v>0.76394367074967617</v>
      </c>
      <c r="BB452" s="29">
        <v>0</v>
      </c>
      <c r="BC452"/>
      <c r="BD452" s="25"/>
      <c r="BF452" s="22">
        <v>44997</v>
      </c>
      <c r="BG452" s="26">
        <f t="shared" ca="1" si="43"/>
        <v>0.68042035104008602</v>
      </c>
      <c r="BH452" s="29">
        <v>0</v>
      </c>
      <c r="BJ452" s="22">
        <v>44997</v>
      </c>
      <c r="BK452" s="26">
        <f t="shared" ca="1" si="44"/>
        <v>0.67096150400953591</v>
      </c>
      <c r="BL452" s="29">
        <v>0</v>
      </c>
      <c r="BN452" s="22">
        <v>44997</v>
      </c>
      <c r="BO452" s="26">
        <f t="shared" ca="1" si="45"/>
        <v>0.10073814463104969</v>
      </c>
      <c r="BP452" s="29">
        <v>0</v>
      </c>
      <c r="BR452" s="22">
        <v>44997</v>
      </c>
      <c r="BS452" s="26">
        <f t="shared" ca="1" si="46"/>
        <v>0.92040036419359628</v>
      </c>
      <c r="BT452" s="29">
        <v>0</v>
      </c>
      <c r="BV452" s="22">
        <v>44997</v>
      </c>
      <c r="BW452" s="26">
        <f t="shared" ca="1" si="47"/>
        <v>4.8138690986888388E-2</v>
      </c>
      <c r="BX452" s="29">
        <v>0</v>
      </c>
    </row>
    <row r="453" spans="2:76" ht="12.75" x14ac:dyDescent="0.2">
      <c r="B453" s="22">
        <v>44998</v>
      </c>
      <c r="C453" s="26">
        <f t="shared" ca="1" si="68"/>
        <v>0.58146133233627295</v>
      </c>
      <c r="D453" s="29">
        <f t="shared" ca="1" si="66"/>
        <v>80</v>
      </c>
      <c r="F453" s="22">
        <v>44998</v>
      </c>
      <c r="G453" s="26">
        <f t="shared" ca="1" si="31"/>
        <v>0.14876869038338592</v>
      </c>
      <c r="H453" s="29">
        <f t="shared" ca="1" si="69"/>
        <v>201</v>
      </c>
      <c r="J453" s="22">
        <v>44998</v>
      </c>
      <c r="K453" s="26">
        <f t="shared" ca="1" si="32"/>
        <v>4.112052305354752E-2</v>
      </c>
      <c r="L453" s="29">
        <f t="shared" ca="1" si="70"/>
        <v>133</v>
      </c>
      <c r="N453" s="22">
        <v>44998</v>
      </c>
      <c r="O453" s="26">
        <f t="shared" ca="1" si="33"/>
        <v>0.94069051072417698</v>
      </c>
      <c r="P453" s="29">
        <f t="shared" ca="1" si="71"/>
        <v>254</v>
      </c>
      <c r="R453" s="22">
        <v>44998</v>
      </c>
      <c r="S453" s="26">
        <f t="shared" ca="1" si="34"/>
        <v>5.6152321343944878E-2</v>
      </c>
      <c r="T453" s="29">
        <f t="shared" ca="1" si="72"/>
        <v>125</v>
      </c>
      <c r="V453" s="22">
        <v>44998</v>
      </c>
      <c r="W453" s="26">
        <f t="shared" ca="1" si="35"/>
        <v>0.34215923116164482</v>
      </c>
      <c r="X453" s="29">
        <f t="shared" ca="1" si="73"/>
        <v>219</v>
      </c>
      <c r="Z453" s="22">
        <v>44998</v>
      </c>
      <c r="AA453" s="26">
        <f t="shared" ca="1" si="36"/>
        <v>0.68165371826615861</v>
      </c>
      <c r="AB453" s="29">
        <f t="shared" ca="1" si="74"/>
        <v>279</v>
      </c>
      <c r="AC453"/>
      <c r="AD453" s="25"/>
      <c r="AF453" s="22">
        <v>44998</v>
      </c>
      <c r="AG453" s="26">
        <f t="shared" ca="1" si="37"/>
        <v>0.35632639170406399</v>
      </c>
      <c r="AH453" s="29">
        <f t="shared" ca="1" si="75"/>
        <v>295</v>
      </c>
      <c r="AJ453" s="22">
        <v>44998</v>
      </c>
      <c r="AK453" s="26">
        <f t="shared" ca="1" si="38"/>
        <v>0.30795024623166134</v>
      </c>
      <c r="AL453" s="29">
        <f t="shared" ca="1" si="76"/>
        <v>156</v>
      </c>
      <c r="AN453" s="22">
        <v>44998</v>
      </c>
      <c r="AO453" s="26">
        <f t="shared" ca="1" si="39"/>
        <v>0.21922422145169351</v>
      </c>
      <c r="AP453" s="29">
        <v>0</v>
      </c>
      <c r="AR453" s="22">
        <v>44998</v>
      </c>
      <c r="AS453" s="26">
        <f t="shared" ca="1" si="40"/>
        <v>0.18607541218917967</v>
      </c>
      <c r="AT453" s="29">
        <v>0</v>
      </c>
      <c r="AV453" s="22">
        <v>44998</v>
      </c>
      <c r="AW453" s="26">
        <f t="shared" ca="1" si="41"/>
        <v>0.46380511891225273</v>
      </c>
      <c r="AX453" s="29">
        <v>0</v>
      </c>
      <c r="AZ453" s="22">
        <v>44998</v>
      </c>
      <c r="BA453" s="26">
        <f t="shared" ca="1" si="42"/>
        <v>8.388930603867395E-2</v>
      </c>
      <c r="BB453" s="29">
        <v>0</v>
      </c>
      <c r="BC453"/>
      <c r="BD453" s="25"/>
      <c r="BF453" s="22">
        <v>44998</v>
      </c>
      <c r="BG453" s="26">
        <f t="shared" ca="1" si="43"/>
        <v>0.19282929730365606</v>
      </c>
      <c r="BH453" s="29">
        <v>0</v>
      </c>
      <c r="BJ453" s="22">
        <v>44998</v>
      </c>
      <c r="BK453" s="26">
        <f t="shared" ca="1" si="44"/>
        <v>0.2471465877501815</v>
      </c>
      <c r="BL453" s="29">
        <v>0</v>
      </c>
      <c r="BN453" s="22">
        <v>44998</v>
      </c>
      <c r="BO453" s="26">
        <f t="shared" ca="1" si="45"/>
        <v>0.43581380308971429</v>
      </c>
      <c r="BP453" s="29">
        <v>0</v>
      </c>
      <c r="BR453" s="22">
        <v>44998</v>
      </c>
      <c r="BS453" s="26">
        <f t="shared" ca="1" si="46"/>
        <v>8.1810597110256733E-2</v>
      </c>
      <c r="BT453" s="29">
        <v>0</v>
      </c>
      <c r="BV453" s="22">
        <v>44998</v>
      </c>
      <c r="BW453" s="26">
        <f t="shared" ca="1" si="47"/>
        <v>0.29743019609497912</v>
      </c>
      <c r="BX453" s="29">
        <v>0</v>
      </c>
    </row>
    <row r="454" spans="2:76" ht="12.75" x14ac:dyDescent="0.2">
      <c r="B454" s="22">
        <v>44999</v>
      </c>
      <c r="C454" s="26">
        <f t="shared" ca="1" si="68"/>
        <v>0.73705541415162656</v>
      </c>
      <c r="D454" s="29">
        <f t="shared" ca="1" si="66"/>
        <v>88</v>
      </c>
      <c r="F454" s="22">
        <v>44999</v>
      </c>
      <c r="G454" s="26">
        <f t="shared" ca="1" si="31"/>
        <v>0.21043441886516945</v>
      </c>
      <c r="H454" s="29">
        <f t="shared" ca="1" si="69"/>
        <v>204</v>
      </c>
      <c r="J454" s="22">
        <v>44999</v>
      </c>
      <c r="K454" s="26">
        <f t="shared" ca="1" si="32"/>
        <v>0.43286304491375582</v>
      </c>
      <c r="L454" s="29">
        <f t="shared" ca="1" si="70"/>
        <v>149</v>
      </c>
      <c r="N454" s="22">
        <v>44999</v>
      </c>
      <c r="O454" s="26">
        <f t="shared" ca="1" si="33"/>
        <v>0.58174328585052815</v>
      </c>
      <c r="P454" s="29">
        <f t="shared" ca="1" si="71"/>
        <v>233</v>
      </c>
      <c r="R454" s="22">
        <v>44999</v>
      </c>
      <c r="S454" s="26">
        <f t="shared" ca="1" si="34"/>
        <v>0.52087104107582904</v>
      </c>
      <c r="T454" s="29">
        <f t="shared" ca="1" si="72"/>
        <v>140</v>
      </c>
      <c r="V454" s="22">
        <v>44999</v>
      </c>
      <c r="W454" s="26">
        <f t="shared" ca="1" si="35"/>
        <v>0.51180784864963635</v>
      </c>
      <c r="X454" s="29">
        <f t="shared" ca="1" si="73"/>
        <v>226</v>
      </c>
      <c r="Z454" s="22">
        <v>44999</v>
      </c>
      <c r="AA454" s="26">
        <f t="shared" ca="1" si="36"/>
        <v>0.81924811403173581</v>
      </c>
      <c r="AB454" s="29">
        <f t="shared" ca="1" si="74"/>
        <v>287</v>
      </c>
      <c r="AC454"/>
      <c r="AD454" s="25"/>
      <c r="AF454" s="22">
        <v>44999</v>
      </c>
      <c r="AG454" s="26">
        <f t="shared" ca="1" si="37"/>
        <v>0.84547446470305376</v>
      </c>
      <c r="AH454" s="29">
        <f t="shared" ca="1" si="75"/>
        <v>416</v>
      </c>
      <c r="AJ454" s="22">
        <v>44999</v>
      </c>
      <c r="AK454" s="26">
        <f t="shared" ca="1" si="38"/>
        <v>0.88276983276968723</v>
      </c>
      <c r="AL454" s="29">
        <f t="shared" ca="1" si="76"/>
        <v>237</v>
      </c>
      <c r="AN454" s="22">
        <v>44999</v>
      </c>
      <c r="AO454" s="26">
        <f t="shared" ca="1" si="39"/>
        <v>0.66853927856066786</v>
      </c>
      <c r="AP454" s="29">
        <v>0</v>
      </c>
      <c r="AR454" s="22">
        <v>44999</v>
      </c>
      <c r="AS454" s="26">
        <f t="shared" ca="1" si="40"/>
        <v>0.97774244823357526</v>
      </c>
      <c r="AT454" s="29">
        <v>0</v>
      </c>
      <c r="AV454" s="22">
        <v>44999</v>
      </c>
      <c r="AW454" s="26">
        <f t="shared" ca="1" si="41"/>
        <v>0.19042840252158899</v>
      </c>
      <c r="AX454" s="29">
        <v>0</v>
      </c>
      <c r="AZ454" s="22">
        <v>44999</v>
      </c>
      <c r="BA454" s="26">
        <f t="shared" ca="1" si="42"/>
        <v>0.23841745799383274</v>
      </c>
      <c r="BB454" s="29">
        <v>0</v>
      </c>
      <c r="BC454"/>
      <c r="BD454" s="25"/>
      <c r="BF454" s="22">
        <v>44999</v>
      </c>
      <c r="BG454" s="26">
        <f t="shared" ca="1" si="43"/>
        <v>0.25972857372393288</v>
      </c>
      <c r="BH454" s="29">
        <v>0</v>
      </c>
      <c r="BJ454" s="22">
        <v>44999</v>
      </c>
      <c r="BK454" s="26">
        <f t="shared" ca="1" si="44"/>
        <v>0.28793504856882635</v>
      </c>
      <c r="BL454" s="29">
        <v>0</v>
      </c>
      <c r="BN454" s="22">
        <v>44999</v>
      </c>
      <c r="BO454" s="26">
        <f t="shared" ca="1" si="45"/>
        <v>4.1620473108304412E-2</v>
      </c>
      <c r="BP454" s="29">
        <v>0</v>
      </c>
      <c r="BR454" s="22">
        <v>44999</v>
      </c>
      <c r="BS454" s="26">
        <f t="shared" ca="1" si="46"/>
        <v>0.18276926112776348</v>
      </c>
      <c r="BT454" s="29">
        <v>0</v>
      </c>
      <c r="BV454" s="22">
        <v>44999</v>
      </c>
      <c r="BW454" s="26">
        <f t="shared" ca="1" si="47"/>
        <v>0.86460074793761865</v>
      </c>
      <c r="BX454" s="29">
        <v>0</v>
      </c>
    </row>
    <row r="455" spans="2:76" ht="12.75" x14ac:dyDescent="0.2">
      <c r="B455" s="22">
        <v>45000</v>
      </c>
      <c r="C455" s="26">
        <f t="shared" ca="1" si="68"/>
        <v>0.6991911783805117</v>
      </c>
      <c r="D455" s="29">
        <f t="shared" ca="1" si="66"/>
        <v>86</v>
      </c>
      <c r="F455" s="22">
        <v>45000</v>
      </c>
      <c r="G455" s="26">
        <f t="shared" ca="1" si="31"/>
        <v>0.42534011068044031</v>
      </c>
      <c r="H455" s="29">
        <f t="shared" ca="1" si="69"/>
        <v>213</v>
      </c>
      <c r="J455" s="22">
        <v>45000</v>
      </c>
      <c r="K455" s="26">
        <f t="shared" ca="1" si="32"/>
        <v>0.95497162744940434</v>
      </c>
      <c r="L455" s="29">
        <f t="shared" ca="1" si="70"/>
        <v>167</v>
      </c>
      <c r="N455" s="22">
        <v>45000</v>
      </c>
      <c r="O455" s="26">
        <f t="shared" ca="1" si="33"/>
        <v>2.7769657859953445E-2</v>
      </c>
      <c r="P455" s="29">
        <f t="shared" ca="1" si="71"/>
        <v>201</v>
      </c>
      <c r="R455" s="22">
        <v>45000</v>
      </c>
      <c r="S455" s="26">
        <f t="shared" ca="1" si="34"/>
        <v>0.32564762734328967</v>
      </c>
      <c r="T455" s="29">
        <f t="shared" ca="1" si="72"/>
        <v>135</v>
      </c>
      <c r="V455" s="22">
        <v>45000</v>
      </c>
      <c r="W455" s="26">
        <f t="shared" ca="1" si="35"/>
        <v>0.40645902307654047</v>
      </c>
      <c r="X455" s="29">
        <f t="shared" ca="1" si="73"/>
        <v>222</v>
      </c>
      <c r="Z455" s="22">
        <v>45000</v>
      </c>
      <c r="AA455" s="26">
        <f t="shared" ca="1" si="36"/>
        <v>0.37188693517909865</v>
      </c>
      <c r="AB455" s="29">
        <f t="shared" ca="1" si="74"/>
        <v>265</v>
      </c>
      <c r="AC455"/>
      <c r="AD455" s="25"/>
      <c r="AF455" s="22">
        <v>45000</v>
      </c>
      <c r="AG455" s="26">
        <f t="shared" ca="1" si="37"/>
        <v>0.88685987140684619</v>
      </c>
      <c r="AH455" s="29">
        <f t="shared" ca="1" si="75"/>
        <v>433</v>
      </c>
      <c r="AJ455" s="22">
        <v>45000</v>
      </c>
      <c r="AK455" s="26">
        <f t="shared" ca="1" si="38"/>
        <v>9.0648678664248306E-2</v>
      </c>
      <c r="AL455" s="29">
        <f t="shared" ca="1" si="76"/>
        <v>116</v>
      </c>
      <c r="AN455" s="22">
        <v>45000</v>
      </c>
      <c r="AO455" s="26">
        <f t="shared" ca="1" si="39"/>
        <v>0.75181098270676638</v>
      </c>
      <c r="AP455" s="29">
        <v>0</v>
      </c>
      <c r="AR455" s="22">
        <v>45000</v>
      </c>
      <c r="AS455" s="26">
        <f t="shared" ca="1" si="40"/>
        <v>0.30312809188795242</v>
      </c>
      <c r="AT455" s="29">
        <v>0</v>
      </c>
      <c r="AV455" s="22">
        <v>45000</v>
      </c>
      <c r="AW455" s="26">
        <f t="shared" ca="1" si="41"/>
        <v>0.70535907307975187</v>
      </c>
      <c r="AX455" s="29">
        <v>0</v>
      </c>
      <c r="AZ455" s="22">
        <v>45000</v>
      </c>
      <c r="BA455" s="26">
        <f t="shared" ca="1" si="42"/>
        <v>0.88516032841389869</v>
      </c>
      <c r="BB455" s="29">
        <v>0</v>
      </c>
      <c r="BC455"/>
      <c r="BD455" s="25"/>
      <c r="BF455" s="22">
        <v>45000</v>
      </c>
      <c r="BG455" s="26">
        <f t="shared" ca="1" si="43"/>
        <v>0.71099097469864458</v>
      </c>
      <c r="BH455" s="29">
        <v>0</v>
      </c>
      <c r="BJ455" s="22">
        <v>45000</v>
      </c>
      <c r="BK455" s="26">
        <f t="shared" ca="1" si="44"/>
        <v>0.64259828310928246</v>
      </c>
      <c r="BL455" s="29">
        <v>0</v>
      </c>
      <c r="BN455" s="22">
        <v>45000</v>
      </c>
      <c r="BO455" s="26">
        <f t="shared" ca="1" si="45"/>
        <v>0.82936311875032365</v>
      </c>
      <c r="BP455" s="29">
        <v>0</v>
      </c>
      <c r="BR455" s="22">
        <v>45000</v>
      </c>
      <c r="BS455" s="26">
        <f t="shared" ca="1" si="46"/>
        <v>0.18398327150539617</v>
      </c>
      <c r="BT455" s="29">
        <v>0</v>
      </c>
      <c r="BV455" s="22">
        <v>45000</v>
      </c>
      <c r="BW455" s="26">
        <f t="shared" ca="1" si="47"/>
        <v>0.39049498792223247</v>
      </c>
      <c r="BX455" s="29">
        <v>0</v>
      </c>
    </row>
    <row r="456" spans="2:76" ht="12.75" x14ac:dyDescent="0.2">
      <c r="B456" s="22">
        <v>45001</v>
      </c>
      <c r="C456" s="26">
        <f t="shared" ca="1" si="68"/>
        <v>0.8682042277650337</v>
      </c>
      <c r="D456" s="29">
        <f t="shared" ca="1" si="66"/>
        <v>98</v>
      </c>
      <c r="F456" s="22">
        <v>45001</v>
      </c>
      <c r="G456" s="26">
        <f t="shared" ca="1" si="31"/>
        <v>0.98987658809343448</v>
      </c>
      <c r="H456" s="29">
        <f t="shared" ca="1" si="69"/>
        <v>249</v>
      </c>
      <c r="J456" s="22">
        <v>45001</v>
      </c>
      <c r="K456" s="26">
        <f t="shared" ca="1" si="32"/>
        <v>0.28906532979773947</v>
      </c>
      <c r="L456" s="29">
        <f t="shared" ca="1" si="70"/>
        <v>145</v>
      </c>
      <c r="N456" s="22">
        <v>45001</v>
      </c>
      <c r="O456" s="26">
        <f t="shared" ca="1" si="33"/>
        <v>0.83532215063478021</v>
      </c>
      <c r="P456" s="29">
        <f t="shared" ca="1" si="71"/>
        <v>245</v>
      </c>
      <c r="R456" s="22">
        <v>45001</v>
      </c>
      <c r="S456" s="26">
        <f t="shared" ca="1" si="34"/>
        <v>0.2288902583369451</v>
      </c>
      <c r="T456" s="29">
        <f t="shared" ca="1" si="72"/>
        <v>132</v>
      </c>
      <c r="V456" s="22">
        <v>45001</v>
      </c>
      <c r="W456" s="26">
        <f t="shared" ca="1" si="35"/>
        <v>0.46644949907048916</v>
      </c>
      <c r="X456" s="29">
        <f t="shared" ca="1" si="73"/>
        <v>224</v>
      </c>
      <c r="Z456" s="22">
        <v>45001</v>
      </c>
      <c r="AA456" s="26">
        <f t="shared" ca="1" si="36"/>
        <v>0.1759791871771631</v>
      </c>
      <c r="AB456" s="29">
        <f t="shared" ca="1" si="74"/>
        <v>254</v>
      </c>
      <c r="AC456"/>
      <c r="AD456" s="25"/>
      <c r="AF456" s="22">
        <v>45001</v>
      </c>
      <c r="AG456" s="26">
        <f t="shared" ca="1" si="37"/>
        <v>0.29993284441508272</v>
      </c>
      <c r="AH456" s="29">
        <f t="shared" ca="1" si="75"/>
        <v>282</v>
      </c>
      <c r="AJ456" s="22">
        <v>45001</v>
      </c>
      <c r="AK456" s="26">
        <f t="shared" ca="1" si="38"/>
        <v>0.57864064127572512</v>
      </c>
      <c r="AL456" s="29">
        <f t="shared" ca="1" si="76"/>
        <v>190</v>
      </c>
      <c r="AN456" s="22">
        <v>45001</v>
      </c>
      <c r="AO456" s="26">
        <f t="shared" ca="1" si="39"/>
        <v>3.234226233096138E-2</v>
      </c>
      <c r="AP456" s="29">
        <v>0</v>
      </c>
      <c r="AR456" s="22">
        <v>45001</v>
      </c>
      <c r="AS456" s="26">
        <f t="shared" ca="1" si="40"/>
        <v>0.9267402231872498</v>
      </c>
      <c r="AT456" s="29">
        <v>0</v>
      </c>
      <c r="AV456" s="22">
        <v>45001</v>
      </c>
      <c r="AW456" s="26">
        <f t="shared" ca="1" si="41"/>
        <v>0.59931558495158022</v>
      </c>
      <c r="AX456" s="29">
        <v>0</v>
      </c>
      <c r="AZ456" s="22">
        <v>45001</v>
      </c>
      <c r="BA456" s="26">
        <f t="shared" ca="1" si="42"/>
        <v>0.65497642416074342</v>
      </c>
      <c r="BB456" s="29">
        <v>0</v>
      </c>
      <c r="BC456"/>
      <c r="BD456" s="25"/>
      <c r="BF456" s="22">
        <v>45001</v>
      </c>
      <c r="BG456" s="26">
        <f t="shared" ca="1" si="43"/>
        <v>0.2940619618872965</v>
      </c>
      <c r="BH456" s="29">
        <v>0</v>
      </c>
      <c r="BJ456" s="22">
        <v>45001</v>
      </c>
      <c r="BK456" s="26">
        <f t="shared" ca="1" si="44"/>
        <v>0.20030225038611504</v>
      </c>
      <c r="BL456" s="29">
        <v>0</v>
      </c>
      <c r="BN456" s="22">
        <v>45001</v>
      </c>
      <c r="BO456" s="26">
        <f t="shared" ca="1" si="45"/>
        <v>0.38213385210598971</v>
      </c>
      <c r="BP456" s="29">
        <v>0</v>
      </c>
      <c r="BR456" s="22">
        <v>45001</v>
      </c>
      <c r="BS456" s="26">
        <f t="shared" ca="1" si="46"/>
        <v>0.7237074972543005</v>
      </c>
      <c r="BT456" s="29">
        <v>0</v>
      </c>
      <c r="BV456" s="22">
        <v>45001</v>
      </c>
      <c r="BW456" s="26">
        <f t="shared" ca="1" si="47"/>
        <v>5.0098395648468186E-2</v>
      </c>
      <c r="BX456" s="29">
        <v>0</v>
      </c>
    </row>
    <row r="457" spans="2:76" ht="12.75" x14ac:dyDescent="0.2">
      <c r="B457" s="22">
        <v>45002</v>
      </c>
      <c r="C457" s="26">
        <f t="shared" ca="1" si="68"/>
        <v>0.37030947519153656</v>
      </c>
      <c r="D457" s="29">
        <f t="shared" ca="1" si="66"/>
        <v>69</v>
      </c>
      <c r="F457" s="22">
        <v>45002</v>
      </c>
      <c r="G457" s="26">
        <f t="shared" ca="1" si="31"/>
        <v>0.21550123617741646</v>
      </c>
      <c r="H457" s="29">
        <f t="shared" ca="1" si="69"/>
        <v>205</v>
      </c>
      <c r="J457" s="22">
        <v>45002</v>
      </c>
      <c r="K457" s="26">
        <f t="shared" ca="1" si="32"/>
        <v>0.64120819109768501</v>
      </c>
      <c r="L457" s="29">
        <f t="shared" ca="1" si="70"/>
        <v>154</v>
      </c>
      <c r="N457" s="22">
        <v>45002</v>
      </c>
      <c r="O457" s="26">
        <f t="shared" ca="1" si="33"/>
        <v>0.6891003214246193</v>
      </c>
      <c r="P457" s="29">
        <f t="shared" ca="1" si="71"/>
        <v>237</v>
      </c>
      <c r="R457" s="22">
        <v>45002</v>
      </c>
      <c r="S457" s="26">
        <f t="shared" ca="1" si="34"/>
        <v>0.18646849433529078</v>
      </c>
      <c r="T457" s="29">
        <f t="shared" ca="1" si="72"/>
        <v>131</v>
      </c>
      <c r="V457" s="22">
        <v>45002</v>
      </c>
      <c r="W457" s="26">
        <f t="shared" ca="1" si="35"/>
        <v>0.34034395932775241</v>
      </c>
      <c r="X457" s="29">
        <f t="shared" ca="1" si="73"/>
        <v>219</v>
      </c>
      <c r="Z457" s="22">
        <v>45002</v>
      </c>
      <c r="AA457" s="26">
        <f t="shared" ca="1" si="36"/>
        <v>0.21472687801875068</v>
      </c>
      <c r="AB457" s="29">
        <f t="shared" ca="1" si="74"/>
        <v>256</v>
      </c>
      <c r="AC457"/>
      <c r="AD457" s="25"/>
      <c r="AF457" s="22">
        <v>45002</v>
      </c>
      <c r="AG457" s="26">
        <f t="shared" ca="1" si="37"/>
        <v>0.40546522937855423</v>
      </c>
      <c r="AH457" s="29">
        <f t="shared" ca="1" si="75"/>
        <v>307</v>
      </c>
      <c r="AJ457" s="22">
        <v>45002</v>
      </c>
      <c r="AK457" s="26">
        <f t="shared" ca="1" si="38"/>
        <v>0.54981720924294342</v>
      </c>
      <c r="AL457" s="29">
        <f t="shared" ca="1" si="76"/>
        <v>186</v>
      </c>
      <c r="AN457" s="22">
        <v>45002</v>
      </c>
      <c r="AO457" s="26">
        <f t="shared" ca="1" si="39"/>
        <v>0.55363278325164977</v>
      </c>
      <c r="AP457" s="29">
        <v>0</v>
      </c>
      <c r="AR457" s="22">
        <v>45002</v>
      </c>
      <c r="AS457" s="26">
        <f t="shared" ca="1" si="40"/>
        <v>1.2190138163882036E-2</v>
      </c>
      <c r="AT457" s="29">
        <v>0</v>
      </c>
      <c r="AV457" s="22">
        <v>45002</v>
      </c>
      <c r="AW457" s="26">
        <f t="shared" ca="1" si="41"/>
        <v>0.68314298080137992</v>
      </c>
      <c r="AX457" s="29">
        <v>0</v>
      </c>
      <c r="AZ457" s="22">
        <v>45002</v>
      </c>
      <c r="BA457" s="26">
        <f t="shared" ca="1" si="42"/>
        <v>0.66544488161343485</v>
      </c>
      <c r="BB457" s="29">
        <v>0</v>
      </c>
      <c r="BC457"/>
      <c r="BD457" s="25"/>
      <c r="BF457" s="22">
        <v>45002</v>
      </c>
      <c r="BG457" s="26">
        <f t="shared" ca="1" si="43"/>
        <v>0.86688069766296538</v>
      </c>
      <c r="BH457" s="29">
        <v>0</v>
      </c>
      <c r="BJ457" s="22">
        <v>45002</v>
      </c>
      <c r="BK457" s="26">
        <f t="shared" ca="1" si="44"/>
        <v>0.92554825434679133</v>
      </c>
      <c r="BL457" s="29">
        <v>0</v>
      </c>
      <c r="BN457" s="22">
        <v>45002</v>
      </c>
      <c r="BO457" s="26">
        <f t="shared" ca="1" si="45"/>
        <v>0.53127348217617532</v>
      </c>
      <c r="BP457" s="29">
        <v>0</v>
      </c>
      <c r="BR457" s="22">
        <v>45002</v>
      </c>
      <c r="BS457" s="26">
        <f t="shared" ca="1" si="46"/>
        <v>0.77772112052671616</v>
      </c>
      <c r="BT457" s="29">
        <v>0</v>
      </c>
      <c r="BV457" s="22">
        <v>45002</v>
      </c>
      <c r="BW457" s="26">
        <f t="shared" ca="1" si="47"/>
        <v>9.8406902413971875E-2</v>
      </c>
      <c r="BX457" s="29">
        <v>0</v>
      </c>
    </row>
    <row r="458" spans="2:76" ht="12.75" x14ac:dyDescent="0.2">
      <c r="B458" s="22">
        <v>45003</v>
      </c>
      <c r="C458" s="26">
        <f t="shared" ca="1" si="68"/>
        <v>0.5015922925474755</v>
      </c>
      <c r="D458" s="29">
        <f t="shared" ca="1" si="66"/>
        <v>76</v>
      </c>
      <c r="F458" s="22">
        <v>45003</v>
      </c>
      <c r="G458" s="26">
        <f t="shared" ca="1" si="31"/>
        <v>0.70835612055226793</v>
      </c>
      <c r="H458" s="29">
        <f t="shared" ca="1" si="69"/>
        <v>224</v>
      </c>
      <c r="J458" s="22">
        <v>45003</v>
      </c>
      <c r="K458" s="26">
        <f t="shared" ca="1" si="32"/>
        <v>0.17762938425615449</v>
      </c>
      <c r="L458" s="29">
        <f t="shared" ca="1" si="70"/>
        <v>141</v>
      </c>
      <c r="N458" s="22">
        <v>45003</v>
      </c>
      <c r="O458" s="26">
        <f t="shared" ca="1" si="33"/>
        <v>0.84050227017781542</v>
      </c>
      <c r="P458" s="29">
        <f t="shared" ca="1" si="71"/>
        <v>245</v>
      </c>
      <c r="R458" s="22">
        <v>45003</v>
      </c>
      <c r="S458" s="26">
        <f t="shared" ca="1" si="34"/>
        <v>9.4646725459164194E-2</v>
      </c>
      <c r="T458" s="29">
        <f t="shared" ca="1" si="72"/>
        <v>127</v>
      </c>
      <c r="V458" s="22">
        <v>45003</v>
      </c>
      <c r="W458" s="26">
        <f t="shared" ca="1" si="35"/>
        <v>0.38557615178465265</v>
      </c>
      <c r="X458" s="29">
        <f t="shared" ca="1" si="73"/>
        <v>221</v>
      </c>
      <c r="Z458" s="22">
        <v>45003</v>
      </c>
      <c r="AA458" s="26">
        <f t="shared" ca="1" si="36"/>
        <v>0.83640827999670153</v>
      </c>
      <c r="AB458" s="29">
        <f t="shared" ca="1" si="74"/>
        <v>288</v>
      </c>
      <c r="AC458"/>
      <c r="AD458" s="25"/>
      <c r="AF458" s="22">
        <v>45003</v>
      </c>
      <c r="AG458" s="26">
        <f t="shared" ca="1" si="37"/>
        <v>0.30799196382205973</v>
      </c>
      <c r="AH458" s="29">
        <f t="shared" ca="1" si="75"/>
        <v>284</v>
      </c>
      <c r="AJ458" s="22">
        <v>45003</v>
      </c>
      <c r="AK458" s="26">
        <f t="shared" ca="1" si="38"/>
        <v>0.25982464885330103</v>
      </c>
      <c r="AL458" s="29">
        <f t="shared" ca="1" si="76"/>
        <v>149</v>
      </c>
      <c r="AN458" s="22">
        <v>45003</v>
      </c>
      <c r="AO458" s="26">
        <f t="shared" ca="1" si="39"/>
        <v>0.58929146980307467</v>
      </c>
      <c r="AP458" s="29">
        <v>0</v>
      </c>
      <c r="AR458" s="22">
        <v>45003</v>
      </c>
      <c r="AS458" s="26">
        <f t="shared" ca="1" si="40"/>
        <v>4.8637571454564044E-2</v>
      </c>
      <c r="AT458" s="29">
        <v>0</v>
      </c>
      <c r="AV458" s="22">
        <v>45003</v>
      </c>
      <c r="AW458" s="26">
        <f t="shared" ca="1" si="41"/>
        <v>0.43512387051314272</v>
      </c>
      <c r="AX458" s="29">
        <v>0</v>
      </c>
      <c r="AZ458" s="22">
        <v>45003</v>
      </c>
      <c r="BA458" s="26">
        <f t="shared" ca="1" si="42"/>
        <v>0.50740219275551035</v>
      </c>
      <c r="BB458" s="29">
        <v>0</v>
      </c>
      <c r="BC458"/>
      <c r="BD458" s="25"/>
      <c r="BF458" s="22">
        <v>45003</v>
      </c>
      <c r="BG458" s="26">
        <f t="shared" ca="1" si="43"/>
        <v>0.33415551904629559</v>
      </c>
      <c r="BH458" s="29">
        <v>0</v>
      </c>
      <c r="BJ458" s="22">
        <v>45003</v>
      </c>
      <c r="BK458" s="26">
        <f t="shared" ca="1" si="44"/>
        <v>0.77758554365870114</v>
      </c>
      <c r="BL458" s="29">
        <v>0</v>
      </c>
      <c r="BN458" s="22">
        <v>45003</v>
      </c>
      <c r="BO458" s="26">
        <f t="shared" ca="1" si="45"/>
        <v>0.12712381893920532</v>
      </c>
      <c r="BP458" s="29">
        <v>0</v>
      </c>
      <c r="BR458" s="22">
        <v>45003</v>
      </c>
      <c r="BS458" s="26">
        <f t="shared" ca="1" si="46"/>
        <v>0.95558856147621674</v>
      </c>
      <c r="BT458" s="29">
        <v>0</v>
      </c>
      <c r="BV458" s="22">
        <v>45003</v>
      </c>
      <c r="BW458" s="26">
        <f t="shared" ca="1" si="47"/>
        <v>0.8121443925746451</v>
      </c>
      <c r="BX458" s="29">
        <v>0</v>
      </c>
    </row>
    <row r="459" spans="2:76" ht="12.75" x14ac:dyDescent="0.2">
      <c r="B459" s="22">
        <v>45004</v>
      </c>
      <c r="C459" s="26">
        <f t="shared" ca="1" si="68"/>
        <v>0.86463906387238665</v>
      </c>
      <c r="D459" s="29">
        <f t="shared" ca="1" si="66"/>
        <v>98</v>
      </c>
      <c r="F459" s="22">
        <v>45004</v>
      </c>
      <c r="G459" s="26">
        <f t="shared" ca="1" si="31"/>
        <v>0.56434239744239811</v>
      </c>
      <c r="H459" s="29">
        <f t="shared" ca="1" si="69"/>
        <v>218</v>
      </c>
      <c r="J459" s="22">
        <v>45004</v>
      </c>
      <c r="K459" s="26">
        <f t="shared" ca="1" si="32"/>
        <v>0.21660973967978758</v>
      </c>
      <c r="L459" s="29">
        <f t="shared" ca="1" si="70"/>
        <v>143</v>
      </c>
      <c r="N459" s="22">
        <v>45004</v>
      </c>
      <c r="O459" s="26">
        <f t="shared" ca="1" si="33"/>
        <v>0.91903993475186596</v>
      </c>
      <c r="P459" s="29">
        <f t="shared" ca="1" si="71"/>
        <v>251</v>
      </c>
      <c r="R459" s="22">
        <v>45004</v>
      </c>
      <c r="S459" s="26">
        <f t="shared" ca="1" si="34"/>
        <v>0.44590606759625351</v>
      </c>
      <c r="T459" s="29">
        <f t="shared" ca="1" si="72"/>
        <v>138</v>
      </c>
      <c r="V459" s="22">
        <v>45004</v>
      </c>
      <c r="W459" s="26">
        <f t="shared" ca="1" si="35"/>
        <v>0.67292830822669192</v>
      </c>
      <c r="X459" s="29">
        <f t="shared" ca="1" si="73"/>
        <v>232</v>
      </c>
      <c r="Z459" s="22">
        <v>45004</v>
      </c>
      <c r="AA459" s="26">
        <f t="shared" ca="1" si="36"/>
        <v>0.75999887852646697</v>
      </c>
      <c r="AB459" s="29">
        <f t="shared" ca="1" si="74"/>
        <v>283</v>
      </c>
      <c r="AC459"/>
      <c r="AD459" s="25"/>
      <c r="AF459" s="22">
        <v>45004</v>
      </c>
      <c r="AG459" s="26">
        <f t="shared" ca="1" si="37"/>
        <v>0.65833589859395614</v>
      </c>
      <c r="AH459" s="29">
        <f t="shared" ca="1" si="75"/>
        <v>363</v>
      </c>
      <c r="AJ459" s="22">
        <v>45004</v>
      </c>
      <c r="AK459" s="26">
        <f t="shared" ca="1" si="38"/>
        <v>0.13695831468747355</v>
      </c>
      <c r="AL459" s="29">
        <f t="shared" ca="1" si="76"/>
        <v>128</v>
      </c>
      <c r="AN459" s="22">
        <v>45004</v>
      </c>
      <c r="AO459" s="26">
        <f t="shared" ca="1" si="39"/>
        <v>0.50433993965432877</v>
      </c>
      <c r="AP459" s="29">
        <v>0</v>
      </c>
      <c r="AR459" s="22">
        <v>45004</v>
      </c>
      <c r="AS459" s="26">
        <f t="shared" ca="1" si="40"/>
        <v>0.30520355496555029</v>
      </c>
      <c r="AT459" s="29">
        <v>0</v>
      </c>
      <c r="AV459" s="22">
        <v>45004</v>
      </c>
      <c r="AW459" s="26">
        <f t="shared" ca="1" si="41"/>
        <v>0.4411442615017056</v>
      </c>
      <c r="AX459" s="29">
        <v>0</v>
      </c>
      <c r="AZ459" s="22">
        <v>45004</v>
      </c>
      <c r="BA459" s="26">
        <f t="shared" ca="1" si="42"/>
        <v>0.41990252289928132</v>
      </c>
      <c r="BB459" s="29">
        <v>0</v>
      </c>
      <c r="BC459"/>
      <c r="BD459" s="25"/>
      <c r="BF459" s="22">
        <v>45004</v>
      </c>
      <c r="BG459" s="26">
        <f t="shared" ca="1" si="43"/>
        <v>0.25758071902572888</v>
      </c>
      <c r="BH459" s="29">
        <v>0</v>
      </c>
      <c r="BJ459" s="22">
        <v>45004</v>
      </c>
      <c r="BK459" s="26">
        <f t="shared" ca="1" si="44"/>
        <v>0.67807071431926025</v>
      </c>
      <c r="BL459" s="29">
        <v>0</v>
      </c>
      <c r="BN459" s="22">
        <v>45004</v>
      </c>
      <c r="BO459" s="26">
        <f t="shared" ca="1" si="45"/>
        <v>0.82634721540219191</v>
      </c>
      <c r="BP459" s="29">
        <v>0</v>
      </c>
      <c r="BR459" s="22">
        <v>45004</v>
      </c>
      <c r="BS459" s="26">
        <f t="shared" ca="1" si="46"/>
        <v>0.34327100376993824</v>
      </c>
      <c r="BT459" s="29">
        <v>0</v>
      </c>
      <c r="BV459" s="22">
        <v>45004</v>
      </c>
      <c r="BW459" s="26">
        <f t="shared" ca="1" si="47"/>
        <v>0.78247883903383564</v>
      </c>
      <c r="BX459" s="29">
        <v>0</v>
      </c>
    </row>
    <row r="460" spans="2:76" ht="12.75" x14ac:dyDescent="0.2">
      <c r="B460" s="22">
        <v>45005</v>
      </c>
      <c r="C460" s="26">
        <f t="shared" ca="1" si="68"/>
        <v>0.31195947171085869</v>
      </c>
      <c r="D460" s="29">
        <f t="shared" ca="1" si="66"/>
        <v>66</v>
      </c>
      <c r="F460" s="22">
        <v>45005</v>
      </c>
      <c r="G460" s="26">
        <f t="shared" ca="1" si="31"/>
        <v>0.54199678628690229</v>
      </c>
      <c r="H460" s="29">
        <f t="shared" ca="1" si="69"/>
        <v>217</v>
      </c>
      <c r="J460" s="22">
        <v>45005</v>
      </c>
      <c r="K460" s="26">
        <f t="shared" ca="1" si="32"/>
        <v>0.30694282575832776</v>
      </c>
      <c r="L460" s="29">
        <f t="shared" ca="1" si="70"/>
        <v>145</v>
      </c>
      <c r="N460" s="22">
        <v>45005</v>
      </c>
      <c r="O460" s="26">
        <f t="shared" ca="1" si="33"/>
        <v>0.34792662098204763</v>
      </c>
      <c r="P460" s="29">
        <f t="shared" ca="1" si="71"/>
        <v>224</v>
      </c>
      <c r="R460" s="22">
        <v>45005</v>
      </c>
      <c r="S460" s="26">
        <f t="shared" ca="1" si="34"/>
        <v>0.20656328446791516</v>
      </c>
      <c r="T460" s="29">
        <f t="shared" ca="1" si="72"/>
        <v>132</v>
      </c>
      <c r="V460" s="22">
        <v>45005</v>
      </c>
      <c r="W460" s="26">
        <f t="shared" ca="1" si="35"/>
        <v>0.57484321754069967</v>
      </c>
      <c r="X460" s="29">
        <f t="shared" ca="1" si="73"/>
        <v>228</v>
      </c>
      <c r="Z460" s="22">
        <v>45005</v>
      </c>
      <c r="AA460" s="26">
        <f t="shared" ca="1" si="36"/>
        <v>0.77099145345460895</v>
      </c>
      <c r="AB460" s="29">
        <f t="shared" ca="1" si="74"/>
        <v>284</v>
      </c>
      <c r="AC460"/>
      <c r="AD460" s="25"/>
      <c r="AF460" s="22">
        <v>45005</v>
      </c>
      <c r="AG460" s="26">
        <f t="shared" ca="1" si="37"/>
        <v>0.96000862432652068</v>
      </c>
      <c r="AH460" s="29">
        <f t="shared" ca="1" si="75"/>
        <v>480</v>
      </c>
      <c r="AJ460" s="22">
        <v>45005</v>
      </c>
      <c r="AK460" s="26">
        <f t="shared" ca="1" si="38"/>
        <v>0.6159760678249131</v>
      </c>
      <c r="AL460" s="29">
        <f t="shared" ca="1" si="76"/>
        <v>194</v>
      </c>
      <c r="AN460" s="22">
        <v>45005</v>
      </c>
      <c r="AO460" s="26">
        <f t="shared" ca="1" si="39"/>
        <v>0.64183928197754681</v>
      </c>
      <c r="AP460" s="29">
        <v>0</v>
      </c>
      <c r="AR460" s="22">
        <v>45005</v>
      </c>
      <c r="AS460" s="26">
        <f t="shared" ca="1" si="40"/>
        <v>0.78115599428426796</v>
      </c>
      <c r="AT460" s="29">
        <v>0</v>
      </c>
      <c r="AV460" s="22">
        <v>45005</v>
      </c>
      <c r="AW460" s="26">
        <f t="shared" ca="1" si="41"/>
        <v>0.81278371237517333</v>
      </c>
      <c r="AX460" s="29">
        <v>0</v>
      </c>
      <c r="AZ460" s="22">
        <v>45005</v>
      </c>
      <c r="BA460" s="26">
        <f t="shared" ca="1" si="42"/>
        <v>0.20986729531572146</v>
      </c>
      <c r="BB460" s="29">
        <v>0</v>
      </c>
      <c r="BC460"/>
      <c r="BD460" s="25"/>
      <c r="BF460" s="22">
        <v>45005</v>
      </c>
      <c r="BG460" s="26">
        <f t="shared" ca="1" si="43"/>
        <v>0.49239492024122433</v>
      </c>
      <c r="BH460" s="29">
        <v>0</v>
      </c>
      <c r="BJ460" s="22">
        <v>45005</v>
      </c>
      <c r="BK460" s="26">
        <f t="shared" ca="1" si="44"/>
        <v>0.25644272074867147</v>
      </c>
      <c r="BL460" s="29">
        <v>0</v>
      </c>
      <c r="BN460" s="22">
        <v>45005</v>
      </c>
      <c r="BO460" s="26">
        <f t="shared" ca="1" si="45"/>
        <v>6.3194317811643641E-2</v>
      </c>
      <c r="BP460" s="29">
        <v>0</v>
      </c>
      <c r="BR460" s="22">
        <v>45005</v>
      </c>
      <c r="BS460" s="26">
        <f t="shared" ca="1" si="46"/>
        <v>0.68748043756216659</v>
      </c>
      <c r="BT460" s="29">
        <v>0</v>
      </c>
      <c r="BV460" s="22">
        <v>45005</v>
      </c>
      <c r="BW460" s="26">
        <f t="shared" ca="1" si="47"/>
        <v>0.96681169495247032</v>
      </c>
      <c r="BX460" s="29">
        <v>0</v>
      </c>
    </row>
    <row r="461" spans="2:76" ht="12.75" x14ac:dyDescent="0.2">
      <c r="B461" s="22">
        <v>45006</v>
      </c>
      <c r="C461" s="26">
        <f t="shared" ca="1" si="68"/>
        <v>0.36007354947118753</v>
      </c>
      <c r="D461" s="29">
        <f t="shared" ca="1" si="66"/>
        <v>68</v>
      </c>
      <c r="F461" s="22">
        <v>45006</v>
      </c>
      <c r="G461" s="26">
        <f t="shared" ca="1" si="31"/>
        <v>0.20855238655844233</v>
      </c>
      <c r="H461" s="29">
        <f t="shared" ca="1" si="69"/>
        <v>204</v>
      </c>
      <c r="J461" s="22">
        <v>45006</v>
      </c>
      <c r="K461" s="26">
        <f t="shared" ca="1" si="32"/>
        <v>0.33852638404866287</v>
      </c>
      <c r="L461" s="29">
        <f t="shared" ca="1" si="70"/>
        <v>146</v>
      </c>
      <c r="N461" s="22">
        <v>45006</v>
      </c>
      <c r="O461" s="26">
        <f t="shared" ca="1" si="33"/>
        <v>0.91246453995582966</v>
      </c>
      <c r="P461" s="29">
        <f t="shared" ca="1" si="71"/>
        <v>251</v>
      </c>
      <c r="R461" s="22">
        <v>45006</v>
      </c>
      <c r="S461" s="26">
        <f t="shared" ca="1" si="34"/>
        <v>0.6156845007069528</v>
      </c>
      <c r="T461" s="29">
        <f t="shared" ca="1" si="72"/>
        <v>142</v>
      </c>
      <c r="V461" s="22">
        <v>45006</v>
      </c>
      <c r="W461" s="26">
        <f t="shared" ca="1" si="35"/>
        <v>0.38387554954974357</v>
      </c>
      <c r="X461" s="29">
        <f t="shared" ca="1" si="73"/>
        <v>221</v>
      </c>
      <c r="Z461" s="22">
        <v>45006</v>
      </c>
      <c r="AA461" s="26">
        <f t="shared" ca="1" si="36"/>
        <v>0.60077476203023261</v>
      </c>
      <c r="AB461" s="29">
        <f t="shared" ca="1" si="74"/>
        <v>275</v>
      </c>
      <c r="AC461"/>
      <c r="AD461" s="25"/>
      <c r="AF461" s="22">
        <v>45006</v>
      </c>
      <c r="AG461" s="26">
        <f t="shared" ca="1" si="37"/>
        <v>0.24604479714344041</v>
      </c>
      <c r="AH461" s="29">
        <f t="shared" ca="1" si="75"/>
        <v>268</v>
      </c>
      <c r="AJ461" s="22">
        <v>45006</v>
      </c>
      <c r="AK461" s="26">
        <f t="shared" ca="1" si="38"/>
        <v>0.3988098822800038</v>
      </c>
      <c r="AL461" s="29">
        <f t="shared" ca="1" si="76"/>
        <v>168</v>
      </c>
      <c r="AN461" s="22">
        <v>45006</v>
      </c>
      <c r="AO461" s="26">
        <f t="shared" ca="1" si="39"/>
        <v>0.8371884588437527</v>
      </c>
      <c r="AP461" s="29">
        <v>0</v>
      </c>
      <c r="AR461" s="22">
        <v>45006</v>
      </c>
      <c r="AS461" s="26">
        <f t="shared" ca="1" si="40"/>
        <v>0.50716788240494926</v>
      </c>
      <c r="AT461" s="29">
        <v>0</v>
      </c>
      <c r="AV461" s="22">
        <v>45006</v>
      </c>
      <c r="AW461" s="26">
        <f t="shared" ca="1" si="41"/>
        <v>0.45783409997975066</v>
      </c>
      <c r="AX461" s="29">
        <v>0</v>
      </c>
      <c r="AZ461" s="22">
        <v>45006</v>
      </c>
      <c r="BA461" s="26">
        <f t="shared" ca="1" si="42"/>
        <v>0.83644610349024906</v>
      </c>
      <c r="BB461" s="29">
        <v>0</v>
      </c>
      <c r="BC461"/>
      <c r="BD461" s="25"/>
      <c r="BF461" s="22">
        <v>45006</v>
      </c>
      <c r="BG461" s="26">
        <f t="shared" ca="1" si="43"/>
        <v>0.30567840212218778</v>
      </c>
      <c r="BH461" s="29">
        <v>0</v>
      </c>
      <c r="BJ461" s="22">
        <v>45006</v>
      </c>
      <c r="BK461" s="26">
        <f t="shared" ca="1" si="44"/>
        <v>0.96269930063835285</v>
      </c>
      <c r="BL461" s="29">
        <v>0</v>
      </c>
      <c r="BN461" s="22">
        <v>45006</v>
      </c>
      <c r="BO461" s="26">
        <f t="shared" ca="1" si="45"/>
        <v>0.94197318926500306</v>
      </c>
      <c r="BP461" s="29">
        <v>0</v>
      </c>
      <c r="BR461" s="22">
        <v>45006</v>
      </c>
      <c r="BS461" s="26">
        <f t="shared" ca="1" si="46"/>
        <v>0.71642184739768922</v>
      </c>
      <c r="BT461" s="29">
        <v>0</v>
      </c>
      <c r="BV461" s="22">
        <v>45006</v>
      </c>
      <c r="BW461" s="26">
        <f t="shared" ca="1" si="47"/>
        <v>0.9304413681532433</v>
      </c>
      <c r="BX461" s="29">
        <v>0</v>
      </c>
    </row>
    <row r="462" spans="2:76" ht="12.75" x14ac:dyDescent="0.2">
      <c r="B462" s="22">
        <v>45007</v>
      </c>
      <c r="C462" s="26">
        <f t="shared" ca="1" si="68"/>
        <v>0.11983399342265288</v>
      </c>
      <c r="D462" s="29">
        <f t="shared" ca="1" si="66"/>
        <v>52</v>
      </c>
      <c r="F462" s="22">
        <v>45007</v>
      </c>
      <c r="G462" s="26">
        <f t="shared" ca="1" si="31"/>
        <v>1.3867057027299956E-2</v>
      </c>
      <c r="H462" s="29">
        <f t="shared" ca="1" si="69"/>
        <v>184</v>
      </c>
      <c r="J462" s="22">
        <v>45007</v>
      </c>
      <c r="K462" s="26">
        <f t="shared" ca="1" si="32"/>
        <v>0.35685250003941094</v>
      </c>
      <c r="L462" s="29">
        <f t="shared" ca="1" si="70"/>
        <v>147</v>
      </c>
      <c r="N462" s="22">
        <v>45007</v>
      </c>
      <c r="O462" s="26">
        <f t="shared" ca="1" si="33"/>
        <v>0.18734051492204151</v>
      </c>
      <c r="P462" s="29">
        <f t="shared" ca="1" si="71"/>
        <v>216</v>
      </c>
      <c r="R462" s="22">
        <v>45007</v>
      </c>
      <c r="S462" s="26">
        <f t="shared" ca="1" si="34"/>
        <v>0.37983024380781083</v>
      </c>
      <c r="T462" s="29">
        <f t="shared" ca="1" si="72"/>
        <v>136</v>
      </c>
      <c r="V462" s="22">
        <v>45007</v>
      </c>
      <c r="W462" s="26">
        <f t="shared" ca="1" si="35"/>
        <v>0.87014189629461069</v>
      </c>
      <c r="X462" s="29">
        <f t="shared" ca="1" si="73"/>
        <v>242</v>
      </c>
      <c r="Z462" s="22">
        <v>45007</v>
      </c>
      <c r="AA462" s="26">
        <f t="shared" ca="1" si="36"/>
        <v>0.27351403665670782</v>
      </c>
      <c r="AB462" s="29">
        <f t="shared" ca="1" si="74"/>
        <v>260</v>
      </c>
      <c r="AC462"/>
      <c r="AD462" s="25"/>
      <c r="AF462" s="22">
        <v>45007</v>
      </c>
      <c r="AG462" s="26">
        <f t="shared" ca="1" si="37"/>
        <v>0.63918232333638503</v>
      </c>
      <c r="AH462" s="29">
        <f t="shared" ca="1" si="75"/>
        <v>359</v>
      </c>
      <c r="AJ462" s="22">
        <v>45007</v>
      </c>
      <c r="AK462" s="26">
        <f t="shared" ca="1" si="38"/>
        <v>0.61187529049915357</v>
      </c>
      <c r="AL462" s="29">
        <f t="shared" ca="1" si="76"/>
        <v>194</v>
      </c>
      <c r="AN462" s="22">
        <v>45007</v>
      </c>
      <c r="AO462" s="26">
        <f t="shared" ca="1" si="39"/>
        <v>0.89850507923790768</v>
      </c>
      <c r="AP462" s="29">
        <v>0</v>
      </c>
      <c r="AR462" s="22">
        <v>45007</v>
      </c>
      <c r="AS462" s="26">
        <f t="shared" ca="1" si="40"/>
        <v>0.75397630543038163</v>
      </c>
      <c r="AT462" s="29">
        <v>0</v>
      </c>
      <c r="AV462" s="22">
        <v>45007</v>
      </c>
      <c r="AW462" s="26">
        <f t="shared" ca="1" si="41"/>
        <v>0.83174204095326332</v>
      </c>
      <c r="AX462" s="29">
        <v>0</v>
      </c>
      <c r="AZ462" s="22">
        <v>45007</v>
      </c>
      <c r="BA462" s="26">
        <f t="shared" ca="1" si="42"/>
        <v>0.85465015906042463</v>
      </c>
      <c r="BB462" s="29">
        <v>0</v>
      </c>
      <c r="BC462"/>
      <c r="BD462" s="25"/>
      <c r="BF462" s="22">
        <v>45007</v>
      </c>
      <c r="BG462" s="26">
        <f t="shared" ca="1" si="43"/>
        <v>0.26323595525906474</v>
      </c>
      <c r="BH462" s="29">
        <v>0</v>
      </c>
      <c r="BJ462" s="22">
        <v>45007</v>
      </c>
      <c r="BK462" s="26">
        <f t="shared" ca="1" si="44"/>
        <v>0.13575113938856798</v>
      </c>
      <c r="BL462" s="29">
        <v>0</v>
      </c>
      <c r="BN462" s="22">
        <v>45007</v>
      </c>
      <c r="BO462" s="26">
        <f t="shared" ca="1" si="45"/>
        <v>0.16786497725086669</v>
      </c>
      <c r="BP462" s="29">
        <v>0</v>
      </c>
      <c r="BR462" s="22">
        <v>45007</v>
      </c>
      <c r="BS462" s="26">
        <f t="shared" ca="1" si="46"/>
        <v>0.20170994658967534</v>
      </c>
      <c r="BT462" s="29">
        <v>0</v>
      </c>
      <c r="BV462" s="22">
        <v>45007</v>
      </c>
      <c r="BW462" s="26">
        <f t="shared" ca="1" si="47"/>
        <v>0.43235592123359146</v>
      </c>
      <c r="BX462" s="29">
        <v>0</v>
      </c>
    </row>
    <row r="463" spans="2:76" ht="12.75" x14ac:dyDescent="0.2">
      <c r="B463" s="22">
        <v>45008</v>
      </c>
      <c r="C463" s="26">
        <f t="shared" ca="1" si="68"/>
        <v>0.46619510534292452</v>
      </c>
      <c r="D463" s="29">
        <f t="shared" ca="1" si="66"/>
        <v>74</v>
      </c>
      <c r="F463" s="22">
        <v>45008</v>
      </c>
      <c r="G463" s="26">
        <f t="shared" ca="1" si="31"/>
        <v>4.8792628976805585E-2</v>
      </c>
      <c r="H463" s="29">
        <f t="shared" ca="1" si="69"/>
        <v>192</v>
      </c>
      <c r="J463" s="22">
        <v>45008</v>
      </c>
      <c r="K463" s="26">
        <f t="shared" ca="1" si="32"/>
        <v>0.34986012328482163</v>
      </c>
      <c r="L463" s="29">
        <f t="shared" ca="1" si="70"/>
        <v>147</v>
      </c>
      <c r="N463" s="22">
        <v>45008</v>
      </c>
      <c r="O463" s="26">
        <f t="shared" ca="1" si="33"/>
        <v>0.56501043595299671</v>
      </c>
      <c r="P463" s="29">
        <f t="shared" ca="1" si="71"/>
        <v>232</v>
      </c>
      <c r="R463" s="22">
        <v>45008</v>
      </c>
      <c r="S463" s="26">
        <f t="shared" ca="1" si="34"/>
        <v>7.7625685799595945E-2</v>
      </c>
      <c r="T463" s="29">
        <f t="shared" ca="1" si="72"/>
        <v>126</v>
      </c>
      <c r="V463" s="22">
        <v>45008</v>
      </c>
      <c r="W463" s="26">
        <f t="shared" ca="1" si="35"/>
        <v>0.6270589107058413</v>
      </c>
      <c r="X463" s="29">
        <f t="shared" ca="1" si="73"/>
        <v>230</v>
      </c>
      <c r="Z463" s="22">
        <v>45008</v>
      </c>
      <c r="AA463" s="26">
        <f t="shared" ca="1" si="36"/>
        <v>0.18868520715678816</v>
      </c>
      <c r="AB463" s="29">
        <f t="shared" ca="1" si="74"/>
        <v>255</v>
      </c>
      <c r="AC463"/>
      <c r="AD463" s="25"/>
      <c r="AF463" s="22">
        <v>45008</v>
      </c>
      <c r="AG463" s="26">
        <f t="shared" ca="1" si="37"/>
        <v>0.74359354388359933</v>
      </c>
      <c r="AH463" s="29">
        <f t="shared" ca="1" si="75"/>
        <v>385</v>
      </c>
      <c r="AJ463" s="22">
        <v>45008</v>
      </c>
      <c r="AK463" s="26">
        <f t="shared" ca="1" si="38"/>
        <v>0.77226383724508585</v>
      </c>
      <c r="AL463" s="29">
        <f t="shared" ca="1" si="76"/>
        <v>216</v>
      </c>
      <c r="AN463" s="22">
        <v>45008</v>
      </c>
      <c r="AO463" s="26">
        <f t="shared" ca="1" si="39"/>
        <v>0.54700026050054018</v>
      </c>
      <c r="AP463" s="29">
        <v>0</v>
      </c>
      <c r="AR463" s="22">
        <v>45008</v>
      </c>
      <c r="AS463" s="26">
        <f t="shared" ca="1" si="40"/>
        <v>0.67162723347898534</v>
      </c>
      <c r="AT463" s="29">
        <v>0</v>
      </c>
      <c r="AV463" s="22">
        <v>45008</v>
      </c>
      <c r="AW463" s="26">
        <f t="shared" ca="1" si="41"/>
        <v>0.65458401323421522</v>
      </c>
      <c r="AX463" s="29">
        <v>0</v>
      </c>
      <c r="AZ463" s="22">
        <v>45008</v>
      </c>
      <c r="BA463" s="26">
        <f t="shared" ca="1" si="42"/>
        <v>0.9231031117161298</v>
      </c>
      <c r="BB463" s="29">
        <v>0</v>
      </c>
      <c r="BC463"/>
      <c r="BD463" s="25"/>
      <c r="BF463" s="22">
        <v>45008</v>
      </c>
      <c r="BG463" s="26">
        <f t="shared" ca="1" si="43"/>
        <v>0.81916878600891108</v>
      </c>
      <c r="BH463" s="29">
        <v>0</v>
      </c>
      <c r="BJ463" s="22">
        <v>45008</v>
      </c>
      <c r="BK463" s="26">
        <f t="shared" ca="1" si="44"/>
        <v>0.77215147475815971</v>
      </c>
      <c r="BL463" s="29">
        <v>0</v>
      </c>
      <c r="BN463" s="22">
        <v>45008</v>
      </c>
      <c r="BO463" s="26">
        <f t="shared" ca="1" si="45"/>
        <v>0.25233059438435912</v>
      </c>
      <c r="BP463" s="29">
        <v>0</v>
      </c>
      <c r="BR463" s="22">
        <v>45008</v>
      </c>
      <c r="BS463" s="26">
        <f t="shared" ca="1" si="46"/>
        <v>0.45720480880338532</v>
      </c>
      <c r="BT463" s="29">
        <v>0</v>
      </c>
      <c r="BV463" s="22">
        <v>45008</v>
      </c>
      <c r="BW463" s="26">
        <f t="shared" ca="1" si="47"/>
        <v>0.96478350028928772</v>
      </c>
      <c r="BX463" s="29">
        <v>0</v>
      </c>
    </row>
    <row r="464" spans="2:76" ht="12.75" x14ac:dyDescent="0.2">
      <c r="B464" s="22">
        <v>45009</v>
      </c>
      <c r="C464" s="26">
        <f t="shared" ca="1" si="68"/>
        <v>0.69267394601962884</v>
      </c>
      <c r="D464" s="29">
        <f t="shared" ca="1" si="66"/>
        <v>86</v>
      </c>
      <c r="F464" s="22">
        <v>45009</v>
      </c>
      <c r="G464" s="26">
        <f t="shared" ca="1" si="31"/>
        <v>0.76686948229020746</v>
      </c>
      <c r="H464" s="29">
        <f t="shared" ca="1" si="69"/>
        <v>226</v>
      </c>
      <c r="J464" s="22">
        <v>45009</v>
      </c>
      <c r="K464" s="26">
        <f t="shared" ca="1" si="32"/>
        <v>0.23499819975113379</v>
      </c>
      <c r="L464" s="29">
        <f t="shared" ca="1" si="70"/>
        <v>143</v>
      </c>
      <c r="N464" s="22">
        <v>45009</v>
      </c>
      <c r="O464" s="26">
        <f t="shared" ca="1" si="33"/>
        <v>0.82877674507590227</v>
      </c>
      <c r="P464" s="29">
        <f t="shared" ca="1" si="71"/>
        <v>244</v>
      </c>
      <c r="R464" s="22">
        <v>45009</v>
      </c>
      <c r="S464" s="26">
        <f t="shared" ca="1" si="34"/>
        <v>0.81826020633846341</v>
      </c>
      <c r="T464" s="29">
        <f t="shared" ca="1" si="72"/>
        <v>148</v>
      </c>
      <c r="V464" s="22">
        <v>45009</v>
      </c>
      <c r="W464" s="26">
        <f t="shared" ca="1" si="35"/>
        <v>0.76549008311348865</v>
      </c>
      <c r="X464" s="29">
        <f t="shared" ca="1" si="73"/>
        <v>236</v>
      </c>
      <c r="Z464" s="22">
        <v>45009</v>
      </c>
      <c r="AA464" s="26">
        <f t="shared" ca="1" si="36"/>
        <v>0.23993346630126922</v>
      </c>
      <c r="AB464" s="29">
        <f t="shared" ca="1" si="74"/>
        <v>258</v>
      </c>
      <c r="AC464"/>
      <c r="AD464" s="25"/>
      <c r="AF464" s="22">
        <v>45009</v>
      </c>
      <c r="AG464" s="26">
        <f t="shared" ca="1" si="37"/>
        <v>1.4734826484885E-2</v>
      </c>
      <c r="AH464" s="29">
        <f t="shared" ca="1" si="75"/>
        <v>138</v>
      </c>
      <c r="AJ464" s="22">
        <v>45009</v>
      </c>
      <c r="AK464" s="26">
        <f t="shared" ca="1" si="38"/>
        <v>0.40672316014374321</v>
      </c>
      <c r="AL464" s="29">
        <f t="shared" ca="1" si="76"/>
        <v>169</v>
      </c>
      <c r="AN464" s="22">
        <v>45009</v>
      </c>
      <c r="AO464" s="26">
        <f t="shared" ca="1" si="39"/>
        <v>6.7423633391702764E-2</v>
      </c>
      <c r="AP464" s="29">
        <v>0</v>
      </c>
      <c r="AR464" s="22">
        <v>45009</v>
      </c>
      <c r="AS464" s="26">
        <f t="shared" ca="1" si="40"/>
        <v>0.71467001496215665</v>
      </c>
      <c r="AT464" s="29">
        <v>0</v>
      </c>
      <c r="AV464" s="22">
        <v>45009</v>
      </c>
      <c r="AW464" s="26">
        <f t="shared" ca="1" si="41"/>
        <v>0.24958235818915842</v>
      </c>
      <c r="AX464" s="29">
        <v>0</v>
      </c>
      <c r="AZ464" s="22">
        <v>45009</v>
      </c>
      <c r="BA464" s="26">
        <f t="shared" ca="1" si="42"/>
        <v>8.4623124309515685E-2</v>
      </c>
      <c r="BB464" s="29">
        <v>0</v>
      </c>
      <c r="BC464"/>
      <c r="BD464" s="25"/>
      <c r="BF464" s="22">
        <v>45009</v>
      </c>
      <c r="BG464" s="26">
        <f t="shared" ca="1" si="43"/>
        <v>0.13913739124856184</v>
      </c>
      <c r="BH464" s="29">
        <v>0</v>
      </c>
      <c r="BJ464" s="22">
        <v>45009</v>
      </c>
      <c r="BK464" s="26">
        <f t="shared" ca="1" si="44"/>
        <v>3.3117570646936545E-2</v>
      </c>
      <c r="BL464" s="29">
        <v>0</v>
      </c>
      <c r="BN464" s="22">
        <v>45009</v>
      </c>
      <c r="BO464" s="26">
        <f t="shared" ca="1" si="45"/>
        <v>0.57054114173448389</v>
      </c>
      <c r="BP464" s="29">
        <v>0</v>
      </c>
      <c r="BR464" s="22">
        <v>45009</v>
      </c>
      <c r="BS464" s="26">
        <f t="shared" ca="1" si="46"/>
        <v>4.4986613094132877E-2</v>
      </c>
      <c r="BT464" s="29">
        <v>0</v>
      </c>
      <c r="BV464" s="22">
        <v>45009</v>
      </c>
      <c r="BW464" s="26">
        <f t="shared" ca="1" si="47"/>
        <v>0.53291422036220792</v>
      </c>
      <c r="BX464" s="29">
        <v>0</v>
      </c>
    </row>
    <row r="465" spans="2:77" ht="12.75" x14ac:dyDescent="0.2">
      <c r="B465" s="22">
        <v>45010</v>
      </c>
      <c r="C465" s="26">
        <f t="shared" ca="1" si="68"/>
        <v>0.98474945848595674</v>
      </c>
      <c r="D465" s="29">
        <f t="shared" ca="1" si="66"/>
        <v>119</v>
      </c>
      <c r="F465" s="22">
        <v>45010</v>
      </c>
      <c r="G465" s="26">
        <f t="shared" ca="1" si="31"/>
        <v>0.3622349937918975</v>
      </c>
      <c r="H465" s="29">
        <f t="shared" ca="1" si="69"/>
        <v>211</v>
      </c>
      <c r="J465" s="22">
        <v>45010</v>
      </c>
      <c r="K465" s="26">
        <f t="shared" ca="1" si="32"/>
        <v>0.14186684827636475</v>
      </c>
      <c r="L465" s="29">
        <f t="shared" ca="1" si="70"/>
        <v>140</v>
      </c>
      <c r="N465" s="22">
        <v>45010</v>
      </c>
      <c r="O465" s="26">
        <f t="shared" ca="1" si="33"/>
        <v>6.9333237485670995E-2</v>
      </c>
      <c r="P465" s="29">
        <f t="shared" ca="1" si="71"/>
        <v>207</v>
      </c>
      <c r="R465" s="22">
        <v>45010</v>
      </c>
      <c r="S465" s="26">
        <f t="shared" ca="1" si="34"/>
        <v>0.81747188690326889</v>
      </c>
      <c r="T465" s="29">
        <f t="shared" ca="1" si="72"/>
        <v>148</v>
      </c>
      <c r="V465" s="22">
        <v>45010</v>
      </c>
      <c r="W465" s="26">
        <f t="shared" ca="1" si="35"/>
        <v>6.9000862398513885E-3</v>
      </c>
      <c r="X465" s="29">
        <f t="shared" ca="1" si="73"/>
        <v>189</v>
      </c>
      <c r="Z465" s="22">
        <v>45010</v>
      </c>
      <c r="AA465" s="26">
        <f t="shared" ca="1" si="36"/>
        <v>0.55052334925649271</v>
      </c>
      <c r="AB465" s="29">
        <f t="shared" ca="1" si="74"/>
        <v>273</v>
      </c>
      <c r="AC465"/>
      <c r="AD465" s="25"/>
      <c r="AF465" s="22">
        <v>45010</v>
      </c>
      <c r="AG465" s="26">
        <f t="shared" ca="1" si="37"/>
        <v>6.0974458614986071E-2</v>
      </c>
      <c r="AH465" s="29">
        <f t="shared" ca="1" si="75"/>
        <v>193</v>
      </c>
      <c r="AJ465" s="22">
        <v>45010</v>
      </c>
      <c r="AK465" s="26">
        <f t="shared" ca="1" si="38"/>
        <v>0.25231731030623794</v>
      </c>
      <c r="AL465" s="29">
        <f t="shared" ca="1" si="76"/>
        <v>148</v>
      </c>
      <c r="AN465" s="22">
        <v>45010</v>
      </c>
      <c r="AO465" s="26">
        <f t="shared" ca="1" si="39"/>
        <v>5.774828578097857E-5</v>
      </c>
      <c r="AP465" s="29">
        <v>0</v>
      </c>
      <c r="AR465" s="22">
        <v>45010</v>
      </c>
      <c r="AS465" s="26">
        <f t="shared" ca="1" si="40"/>
        <v>0.44189508753476603</v>
      </c>
      <c r="AT465" s="29">
        <v>0</v>
      </c>
      <c r="AV465" s="22">
        <v>45010</v>
      </c>
      <c r="AW465" s="26">
        <f t="shared" ca="1" si="41"/>
        <v>0.34152830335658901</v>
      </c>
      <c r="AX465" s="29">
        <v>0</v>
      </c>
      <c r="AZ465" s="22">
        <v>45010</v>
      </c>
      <c r="BA465" s="26">
        <f t="shared" ca="1" si="42"/>
        <v>0.53074003674843795</v>
      </c>
      <c r="BB465" s="29">
        <v>0</v>
      </c>
      <c r="BC465"/>
      <c r="BD465" s="25"/>
      <c r="BF465" s="22">
        <v>45010</v>
      </c>
      <c r="BG465" s="26">
        <f t="shared" ca="1" si="43"/>
        <v>0.56308704409506827</v>
      </c>
      <c r="BH465" s="29">
        <v>0</v>
      </c>
      <c r="BJ465" s="22">
        <v>45010</v>
      </c>
      <c r="BK465" s="26">
        <f t="shared" ca="1" si="44"/>
        <v>0.31794166725620032</v>
      </c>
      <c r="BL465" s="29">
        <v>0</v>
      </c>
      <c r="BN465" s="22">
        <v>45010</v>
      </c>
      <c r="BO465" s="26">
        <f t="shared" ca="1" si="45"/>
        <v>0.28654225259807165</v>
      </c>
      <c r="BP465" s="29">
        <v>0</v>
      </c>
      <c r="BR465" s="22">
        <v>45010</v>
      </c>
      <c r="BS465" s="26">
        <f t="shared" ca="1" si="46"/>
        <v>6.6923410261736982E-2</v>
      </c>
      <c r="BT465" s="29">
        <v>0</v>
      </c>
      <c r="BV465" s="22">
        <v>45010</v>
      </c>
      <c r="BW465" s="26">
        <f t="shared" ca="1" si="47"/>
        <v>0.92116295859802988</v>
      </c>
      <c r="BX465" s="29">
        <v>0</v>
      </c>
    </row>
    <row r="466" spans="2:77" ht="12.75" x14ac:dyDescent="0.2">
      <c r="B466" s="22">
        <v>45011</v>
      </c>
      <c r="C466" s="26">
        <f t="shared" ca="1" si="68"/>
        <v>2.8246568603068067E-2</v>
      </c>
      <c r="D466" s="29">
        <f t="shared" ref="D466:D529" ca="1" si="77">ROUNDUP(_xlfn.NORM.INV(C466,C$10,C$12),0)</f>
        <v>37</v>
      </c>
      <c r="F466" s="22">
        <v>45011</v>
      </c>
      <c r="G466" s="26">
        <f t="shared" ca="1" si="31"/>
        <v>0.89873365238754932</v>
      </c>
      <c r="H466" s="29">
        <f t="shared" ca="1" si="69"/>
        <v>234</v>
      </c>
      <c r="J466" s="22">
        <v>45011</v>
      </c>
      <c r="K466" s="26">
        <f t="shared" ca="1" si="32"/>
        <v>0.61930631331401054</v>
      </c>
      <c r="L466" s="29">
        <f t="shared" ca="1" si="70"/>
        <v>154</v>
      </c>
      <c r="N466" s="22">
        <v>45011</v>
      </c>
      <c r="O466" s="26">
        <f t="shared" ca="1" si="33"/>
        <v>0.70701570104583467</v>
      </c>
      <c r="P466" s="29">
        <f t="shared" ca="1" si="71"/>
        <v>238</v>
      </c>
      <c r="R466" s="22">
        <v>45011</v>
      </c>
      <c r="S466" s="26">
        <f t="shared" ca="1" si="34"/>
        <v>0.78630171964200846</v>
      </c>
      <c r="T466" s="29">
        <f t="shared" ca="1" si="72"/>
        <v>147</v>
      </c>
      <c r="V466" s="22">
        <v>45011</v>
      </c>
      <c r="W466" s="26">
        <f t="shared" ca="1" si="35"/>
        <v>0.28595332437559839</v>
      </c>
      <c r="X466" s="29">
        <f t="shared" ca="1" si="73"/>
        <v>217</v>
      </c>
      <c r="Z466" s="22">
        <v>45011</v>
      </c>
      <c r="AA466" s="26">
        <f t="shared" ca="1" si="36"/>
        <v>0.67013429711552341</v>
      </c>
      <c r="AB466" s="29">
        <f t="shared" ca="1" si="74"/>
        <v>278</v>
      </c>
      <c r="AC466"/>
      <c r="AD466" s="25"/>
      <c r="AF466" s="22">
        <v>45011</v>
      </c>
      <c r="AG466" s="26">
        <f t="shared" ca="1" si="37"/>
        <v>1.0646204186960384E-2</v>
      </c>
      <c r="AH466" s="29">
        <f t="shared" ca="1" si="75"/>
        <v>127</v>
      </c>
      <c r="AJ466" s="22">
        <v>45011</v>
      </c>
      <c r="AK466" s="26">
        <f t="shared" ca="1" si="38"/>
        <v>0.28860609631738743</v>
      </c>
      <c r="AL466" s="29">
        <f t="shared" ca="1" si="76"/>
        <v>154</v>
      </c>
      <c r="AN466" s="22">
        <v>45011</v>
      </c>
      <c r="AO466" s="26">
        <f t="shared" ca="1" si="39"/>
        <v>9.9198470604754396E-2</v>
      </c>
      <c r="AP466" s="29">
        <v>0</v>
      </c>
      <c r="AR466" s="22">
        <v>45011</v>
      </c>
      <c r="AS466" s="26">
        <f t="shared" ca="1" si="40"/>
        <v>0.5176123013121432</v>
      </c>
      <c r="AT466" s="29">
        <v>0</v>
      </c>
      <c r="AV466" s="22">
        <v>45011</v>
      </c>
      <c r="AW466" s="26">
        <f t="shared" ca="1" si="41"/>
        <v>3.9985524244463E-2</v>
      </c>
      <c r="AX466" s="29">
        <v>0</v>
      </c>
      <c r="AZ466" s="22">
        <v>45011</v>
      </c>
      <c r="BA466" s="26">
        <f t="shared" ca="1" si="42"/>
        <v>0.30283249335578999</v>
      </c>
      <c r="BB466" s="29">
        <v>0</v>
      </c>
      <c r="BC466"/>
      <c r="BD466" s="25"/>
      <c r="BF466" s="22">
        <v>45011</v>
      </c>
      <c r="BG466" s="26">
        <f t="shared" ca="1" si="43"/>
        <v>0.99063745470270315</v>
      </c>
      <c r="BH466" s="29">
        <v>0</v>
      </c>
      <c r="BJ466" s="22">
        <v>45011</v>
      </c>
      <c r="BK466" s="26">
        <f t="shared" ca="1" si="44"/>
        <v>0.788452291851372</v>
      </c>
      <c r="BL466" s="29">
        <v>0</v>
      </c>
      <c r="BN466" s="22">
        <v>45011</v>
      </c>
      <c r="BO466" s="26">
        <f t="shared" ca="1" si="45"/>
        <v>0.76634850624359918</v>
      </c>
      <c r="BP466" s="29">
        <v>0</v>
      </c>
      <c r="BR466" s="22">
        <v>45011</v>
      </c>
      <c r="BS466" s="26">
        <f t="shared" ca="1" si="46"/>
        <v>0.24276272954248779</v>
      </c>
      <c r="BT466" s="29">
        <v>0</v>
      </c>
      <c r="BV466" s="22">
        <v>45011</v>
      </c>
      <c r="BW466" s="26">
        <f t="shared" ca="1" si="47"/>
        <v>0.52238474104911647</v>
      </c>
      <c r="BX466" s="29">
        <v>0</v>
      </c>
    </row>
    <row r="467" spans="2:77" ht="12.75" x14ac:dyDescent="0.2">
      <c r="B467" s="22">
        <v>45012</v>
      </c>
      <c r="C467" s="26">
        <f t="shared" ca="1" si="68"/>
        <v>0.82280421356883016</v>
      </c>
      <c r="D467" s="29">
        <f t="shared" ca="1" si="77"/>
        <v>94</v>
      </c>
      <c r="F467" s="22">
        <v>45012</v>
      </c>
      <c r="G467" s="26">
        <f t="shared" ca="1" si="31"/>
        <v>0.60483257784691657</v>
      </c>
      <c r="H467" s="29">
        <f t="shared" ca="1" si="69"/>
        <v>220</v>
      </c>
      <c r="J467" s="22">
        <v>45012</v>
      </c>
      <c r="K467" s="26">
        <f t="shared" ca="1" si="32"/>
        <v>0.29853526843764278</v>
      </c>
      <c r="L467" s="29">
        <f t="shared" ca="1" si="70"/>
        <v>145</v>
      </c>
      <c r="N467" s="22">
        <v>45012</v>
      </c>
      <c r="O467" s="26">
        <f t="shared" ca="1" si="33"/>
        <v>8.6215622250600088E-2</v>
      </c>
      <c r="P467" s="29">
        <f t="shared" ca="1" si="71"/>
        <v>209</v>
      </c>
      <c r="R467" s="22">
        <v>45012</v>
      </c>
      <c r="S467" s="26">
        <f t="shared" ca="1" si="34"/>
        <v>0.19678337874162322</v>
      </c>
      <c r="T467" s="29">
        <f t="shared" ca="1" si="72"/>
        <v>131</v>
      </c>
      <c r="V467" s="22">
        <v>45012</v>
      </c>
      <c r="W467" s="26">
        <f t="shared" ca="1" si="35"/>
        <v>0.5122958703394993</v>
      </c>
      <c r="X467" s="29">
        <f t="shared" ca="1" si="73"/>
        <v>226</v>
      </c>
      <c r="Z467" s="22">
        <v>45012</v>
      </c>
      <c r="AA467" s="26">
        <f t="shared" ca="1" si="36"/>
        <v>0.12427487521352532</v>
      </c>
      <c r="AB467" s="29">
        <f t="shared" ca="1" si="74"/>
        <v>250</v>
      </c>
      <c r="AC467"/>
      <c r="AD467" s="25"/>
      <c r="AF467" s="22">
        <v>45012</v>
      </c>
      <c r="AG467" s="26">
        <f t="shared" ca="1" si="37"/>
        <v>0.67613091428831551</v>
      </c>
      <c r="AH467" s="29">
        <f t="shared" ca="1" si="75"/>
        <v>367</v>
      </c>
      <c r="AJ467" s="22">
        <v>45012</v>
      </c>
      <c r="AK467" s="26">
        <f t="shared" ca="1" si="38"/>
        <v>0.54351692964221765</v>
      </c>
      <c r="AL467" s="29">
        <f t="shared" ca="1" si="76"/>
        <v>186</v>
      </c>
      <c r="AN467" s="22">
        <v>45012</v>
      </c>
      <c r="AO467" s="26">
        <f t="shared" ca="1" si="39"/>
        <v>3.4030270624956005E-2</v>
      </c>
      <c r="AP467" s="29">
        <v>0</v>
      </c>
      <c r="AR467" s="22">
        <v>45012</v>
      </c>
      <c r="AS467" s="26">
        <f t="shared" ca="1" si="40"/>
        <v>0.47428519896965915</v>
      </c>
      <c r="AT467" s="29">
        <v>0</v>
      </c>
      <c r="AV467" s="22">
        <v>45012</v>
      </c>
      <c r="AW467" s="26">
        <f t="shared" ca="1" si="41"/>
        <v>1.2727530684436217E-2</v>
      </c>
      <c r="AX467" s="29">
        <v>0</v>
      </c>
      <c r="AZ467" s="22">
        <v>45012</v>
      </c>
      <c r="BA467" s="26">
        <f t="shared" ca="1" si="42"/>
        <v>0.48106342345246722</v>
      </c>
      <c r="BB467" s="29">
        <v>0</v>
      </c>
      <c r="BC467"/>
      <c r="BD467" s="25"/>
      <c r="BF467" s="22">
        <v>45012</v>
      </c>
      <c r="BG467" s="26">
        <f t="shared" ca="1" si="43"/>
        <v>0.35500816843126615</v>
      </c>
      <c r="BH467" s="29">
        <v>0</v>
      </c>
      <c r="BJ467" s="22">
        <v>45012</v>
      </c>
      <c r="BK467" s="26">
        <f t="shared" ca="1" si="44"/>
        <v>0.39000547531094942</v>
      </c>
      <c r="BL467" s="29">
        <v>0</v>
      </c>
      <c r="BN467" s="22">
        <v>45012</v>
      </c>
      <c r="BO467" s="26">
        <f t="shared" ca="1" si="45"/>
        <v>0.56457736041856887</v>
      </c>
      <c r="BP467" s="29">
        <v>0</v>
      </c>
      <c r="BR467" s="22">
        <v>45012</v>
      </c>
      <c r="BS467" s="26">
        <f t="shared" ca="1" si="46"/>
        <v>0.39920413131036647</v>
      </c>
      <c r="BT467" s="29">
        <v>0</v>
      </c>
      <c r="BV467" s="22">
        <v>45012</v>
      </c>
      <c r="BW467" s="26">
        <f t="shared" ca="1" si="47"/>
        <v>0.40726163496495149</v>
      </c>
      <c r="BX467" s="29">
        <v>0</v>
      </c>
    </row>
    <row r="468" spans="2:77" ht="12.75" x14ac:dyDescent="0.2">
      <c r="B468" s="22">
        <v>45013</v>
      </c>
      <c r="C468" s="26">
        <f t="shared" ca="1" si="68"/>
        <v>0.3359566517885838</v>
      </c>
      <c r="D468" s="29">
        <f t="shared" ca="1" si="77"/>
        <v>67</v>
      </c>
      <c r="F468" s="22">
        <v>45013</v>
      </c>
      <c r="G468" s="26">
        <f t="shared" ca="1" si="31"/>
        <v>0.91078751040241956</v>
      </c>
      <c r="H468" s="29">
        <f t="shared" ca="1" si="69"/>
        <v>235</v>
      </c>
      <c r="J468" s="22">
        <v>45013</v>
      </c>
      <c r="K468" s="26">
        <f t="shared" ca="1" si="32"/>
        <v>0.30714919202701263</v>
      </c>
      <c r="L468" s="29">
        <f t="shared" ca="1" si="70"/>
        <v>145</v>
      </c>
      <c r="N468" s="22">
        <v>45013</v>
      </c>
      <c r="O468" s="26">
        <f t="shared" ca="1" si="33"/>
        <v>0.57669888776441636</v>
      </c>
      <c r="P468" s="29">
        <f t="shared" ca="1" si="71"/>
        <v>233</v>
      </c>
      <c r="R468" s="22">
        <v>45013</v>
      </c>
      <c r="S468" s="26">
        <f t="shared" ca="1" si="34"/>
        <v>0.40347746486134262</v>
      </c>
      <c r="T468" s="29">
        <f t="shared" ca="1" si="72"/>
        <v>137</v>
      </c>
      <c r="V468" s="22">
        <v>45013</v>
      </c>
      <c r="W468" s="26">
        <f t="shared" ca="1" si="35"/>
        <v>4.7139704684644457E-3</v>
      </c>
      <c r="X468" s="29">
        <f t="shared" ca="1" si="73"/>
        <v>187</v>
      </c>
      <c r="Z468" s="22">
        <v>45013</v>
      </c>
      <c r="AA468" s="26">
        <f t="shared" ca="1" si="36"/>
        <v>0.16235640970450937</v>
      </c>
      <c r="AB468" s="29">
        <f t="shared" ca="1" si="74"/>
        <v>253</v>
      </c>
      <c r="AC468"/>
      <c r="AD468" s="25"/>
      <c r="AF468" s="22">
        <v>45013</v>
      </c>
      <c r="AG468" s="26">
        <f t="shared" ca="1" si="37"/>
        <v>1.7323205331175373E-2</v>
      </c>
      <c r="AH468" s="29">
        <f t="shared" ca="1" si="75"/>
        <v>143</v>
      </c>
      <c r="AJ468" s="22">
        <v>45013</v>
      </c>
      <c r="AK468" s="26">
        <f t="shared" ca="1" si="38"/>
        <v>0.77674423417253768</v>
      </c>
      <c r="AL468" s="29">
        <f t="shared" ca="1" si="76"/>
        <v>217</v>
      </c>
      <c r="AN468" s="22">
        <v>45013</v>
      </c>
      <c r="AO468" s="26">
        <f t="shared" ca="1" si="39"/>
        <v>0.63110210466481986</v>
      </c>
      <c r="AP468" s="29">
        <v>0</v>
      </c>
      <c r="AR468" s="22">
        <v>45013</v>
      </c>
      <c r="AS468" s="26">
        <f t="shared" ca="1" si="40"/>
        <v>0.50279252341322089</v>
      </c>
      <c r="AT468" s="29">
        <v>0</v>
      </c>
      <c r="AV468" s="22">
        <v>45013</v>
      </c>
      <c r="AW468" s="26">
        <f t="shared" ca="1" si="41"/>
        <v>8.5004255864068679E-2</v>
      </c>
      <c r="AX468" s="29">
        <v>0</v>
      </c>
      <c r="AZ468" s="22">
        <v>45013</v>
      </c>
      <c r="BA468" s="26">
        <f t="shared" ca="1" si="42"/>
        <v>0.70568226619706298</v>
      </c>
      <c r="BB468" s="29">
        <v>0</v>
      </c>
      <c r="BC468"/>
      <c r="BD468" s="25"/>
      <c r="BF468" s="22">
        <v>45013</v>
      </c>
      <c r="BG468" s="26">
        <f t="shared" ca="1" si="43"/>
        <v>0.39594955591913161</v>
      </c>
      <c r="BH468" s="29">
        <v>0</v>
      </c>
      <c r="BJ468" s="22">
        <v>45013</v>
      </c>
      <c r="BK468" s="26">
        <f t="shared" ca="1" si="44"/>
        <v>0.80944108461842568</v>
      </c>
      <c r="BL468" s="29">
        <v>0</v>
      </c>
      <c r="BN468" s="22">
        <v>45013</v>
      </c>
      <c r="BO468" s="26">
        <f t="shared" ca="1" si="45"/>
        <v>0.65329887634989126</v>
      </c>
      <c r="BP468" s="29">
        <v>0</v>
      </c>
      <c r="BR468" s="22">
        <v>45013</v>
      </c>
      <c r="BS468" s="26">
        <f t="shared" ca="1" si="46"/>
        <v>4.814663635182459E-2</v>
      </c>
      <c r="BT468" s="29">
        <v>0</v>
      </c>
      <c r="BV468" s="22">
        <v>45013</v>
      </c>
      <c r="BW468" s="26">
        <f t="shared" ca="1" si="47"/>
        <v>0.59739386822640639</v>
      </c>
      <c r="BX468" s="29">
        <v>0</v>
      </c>
    </row>
    <row r="469" spans="2:77" ht="12.75" x14ac:dyDescent="0.2">
      <c r="B469" s="22">
        <v>45014</v>
      </c>
      <c r="C469" s="26">
        <f t="shared" ca="1" si="68"/>
        <v>0.77697268824636234</v>
      </c>
      <c r="D469" s="29">
        <f t="shared" ca="1" si="77"/>
        <v>91</v>
      </c>
      <c r="F469" s="22">
        <v>45014</v>
      </c>
      <c r="G469" s="26">
        <f t="shared" ca="1" si="31"/>
        <v>3.7905418659004209E-2</v>
      </c>
      <c r="H469" s="29">
        <f t="shared" ca="1" si="69"/>
        <v>190</v>
      </c>
      <c r="J469" s="22">
        <v>45014</v>
      </c>
      <c r="K469" s="26">
        <f t="shared" ca="1" si="32"/>
        <v>0.81775663373606622</v>
      </c>
      <c r="L469" s="29">
        <f t="shared" ca="1" si="70"/>
        <v>160</v>
      </c>
      <c r="N469" s="22">
        <v>45014</v>
      </c>
      <c r="O469" s="26">
        <f t="shared" ca="1" si="33"/>
        <v>0.50647440652909925</v>
      </c>
      <c r="P469" s="29">
        <f t="shared" ca="1" si="71"/>
        <v>230</v>
      </c>
      <c r="R469" s="22">
        <v>45014</v>
      </c>
      <c r="S469" s="26">
        <f t="shared" ca="1" si="34"/>
        <v>0.12084770217833174</v>
      </c>
      <c r="T469" s="29">
        <f t="shared" ca="1" si="72"/>
        <v>128</v>
      </c>
      <c r="V469" s="22">
        <v>45014</v>
      </c>
      <c r="W469" s="26">
        <f t="shared" ca="1" si="35"/>
        <v>0.43579282560567101</v>
      </c>
      <c r="X469" s="29">
        <f t="shared" ca="1" si="73"/>
        <v>223</v>
      </c>
      <c r="Z469" s="22">
        <v>45014</v>
      </c>
      <c r="AA469" s="26">
        <f t="shared" ca="1" si="36"/>
        <v>0.16789346963186724</v>
      </c>
      <c r="AB469" s="29">
        <f t="shared" ca="1" si="74"/>
        <v>253</v>
      </c>
      <c r="AC469"/>
      <c r="AD469" s="25"/>
      <c r="AF469" s="22">
        <v>45014</v>
      </c>
      <c r="AG469" s="26">
        <f t="shared" ca="1" si="37"/>
        <v>0.48931473508776058</v>
      </c>
      <c r="AH469" s="29">
        <f t="shared" ca="1" si="75"/>
        <v>325</v>
      </c>
      <c r="AJ469" s="22">
        <v>45014</v>
      </c>
      <c r="AK469" s="26">
        <f t="shared" ca="1" si="38"/>
        <v>0.82464370450268065</v>
      </c>
      <c r="AL469" s="29">
        <f t="shared" ca="1" si="76"/>
        <v>225</v>
      </c>
      <c r="AN469" s="22">
        <v>45014</v>
      </c>
      <c r="AO469" s="26">
        <f t="shared" ca="1" si="39"/>
        <v>0.89770237831588917</v>
      </c>
      <c r="AP469" s="29">
        <v>0</v>
      </c>
      <c r="AR469" s="22">
        <v>45014</v>
      </c>
      <c r="AS469" s="26">
        <f t="shared" ca="1" si="40"/>
        <v>0.94281730846241085</v>
      </c>
      <c r="AT469" s="29">
        <v>0</v>
      </c>
      <c r="AV469" s="22">
        <v>45014</v>
      </c>
      <c r="AW469" s="26">
        <f t="shared" ca="1" si="41"/>
        <v>0.40058178810907952</v>
      </c>
      <c r="AX469" s="29">
        <v>0</v>
      </c>
      <c r="AZ469" s="22">
        <v>45014</v>
      </c>
      <c r="BA469" s="26">
        <f t="shared" ca="1" si="42"/>
        <v>0.1831646909532133</v>
      </c>
      <c r="BB469" s="29">
        <v>0</v>
      </c>
      <c r="BC469"/>
      <c r="BD469" s="25"/>
      <c r="BF469" s="22">
        <v>45014</v>
      </c>
      <c r="BG469" s="26">
        <f t="shared" ca="1" si="43"/>
        <v>0.39290563123318656</v>
      </c>
      <c r="BH469" s="29">
        <v>0</v>
      </c>
      <c r="BJ469" s="22">
        <v>45014</v>
      </c>
      <c r="BK469" s="26">
        <f t="shared" ca="1" si="44"/>
        <v>0.64319695028221702</v>
      </c>
      <c r="BL469" s="29">
        <v>0</v>
      </c>
      <c r="BN469" s="22">
        <v>45014</v>
      </c>
      <c r="BO469" s="26">
        <f t="shared" ca="1" si="45"/>
        <v>2.0075802857890679E-2</v>
      </c>
      <c r="BP469" s="29">
        <v>0</v>
      </c>
      <c r="BR469" s="22">
        <v>45014</v>
      </c>
      <c r="BS469" s="26">
        <f t="shared" ca="1" si="46"/>
        <v>0.83371269943949766</v>
      </c>
      <c r="BT469" s="29">
        <v>0</v>
      </c>
      <c r="BV469" s="22">
        <v>45014</v>
      </c>
      <c r="BW469" s="26">
        <f t="shared" ca="1" si="47"/>
        <v>0.44795978076639731</v>
      </c>
      <c r="BX469" s="29">
        <v>0</v>
      </c>
    </row>
    <row r="470" spans="2:77" ht="12.75" x14ac:dyDescent="0.2">
      <c r="B470" s="22">
        <v>45015</v>
      </c>
      <c r="C470" s="26">
        <f t="shared" ca="1" si="68"/>
        <v>0.416674802410961</v>
      </c>
      <c r="D470" s="29">
        <f t="shared" ca="1" si="77"/>
        <v>71</v>
      </c>
      <c r="F470" s="22">
        <v>45015</v>
      </c>
      <c r="G470" s="26">
        <f t="shared" ca="1" si="31"/>
        <v>0.14718408539735783</v>
      </c>
      <c r="H470" s="29">
        <f t="shared" ca="1" si="69"/>
        <v>201</v>
      </c>
      <c r="J470" s="22">
        <v>45015</v>
      </c>
      <c r="K470" s="26">
        <f t="shared" ca="1" si="32"/>
        <v>0.55834274500851033</v>
      </c>
      <c r="L470" s="29">
        <f t="shared" ca="1" si="70"/>
        <v>152</v>
      </c>
      <c r="N470" s="22">
        <v>45015</v>
      </c>
      <c r="O470" s="26">
        <f t="shared" ca="1" si="33"/>
        <v>2.1643352862703247E-2</v>
      </c>
      <c r="P470" s="29">
        <f t="shared" ca="1" si="71"/>
        <v>199</v>
      </c>
      <c r="R470" s="22">
        <v>45015</v>
      </c>
      <c r="S470" s="26">
        <f t="shared" ca="1" si="34"/>
        <v>5.9270922134388337E-2</v>
      </c>
      <c r="T470" s="29">
        <f t="shared" ca="1" si="72"/>
        <v>125</v>
      </c>
      <c r="V470" s="22">
        <v>45015</v>
      </c>
      <c r="W470" s="26">
        <f t="shared" ca="1" si="35"/>
        <v>0.55297718164403376</v>
      </c>
      <c r="X470" s="29">
        <f t="shared" ca="1" si="73"/>
        <v>227</v>
      </c>
      <c r="Z470" s="22">
        <v>45015</v>
      </c>
      <c r="AA470" s="26">
        <f t="shared" ca="1" si="36"/>
        <v>0.61431606242568448</v>
      </c>
      <c r="AB470" s="29">
        <f t="shared" ca="1" si="74"/>
        <v>276</v>
      </c>
      <c r="AC470"/>
      <c r="AD470" s="25"/>
      <c r="AF470" s="22">
        <v>45015</v>
      </c>
      <c r="AG470" s="26">
        <f t="shared" ca="1" si="37"/>
        <v>0.31655037657254326</v>
      </c>
      <c r="AH470" s="29">
        <f t="shared" ca="1" si="75"/>
        <v>286</v>
      </c>
      <c r="AJ470" s="22">
        <v>45015</v>
      </c>
      <c r="AK470" s="26">
        <f t="shared" ca="1" si="38"/>
        <v>1.7269062897176668E-2</v>
      </c>
      <c r="AL470" s="29">
        <f t="shared" ca="1" si="76"/>
        <v>79</v>
      </c>
      <c r="AN470" s="22">
        <v>45015</v>
      </c>
      <c r="AO470" s="26">
        <f t="shared" ca="1" si="39"/>
        <v>0.22272051201349863</v>
      </c>
      <c r="AP470" s="29">
        <v>0</v>
      </c>
      <c r="AR470" s="22">
        <v>45015</v>
      </c>
      <c r="AS470" s="26">
        <f t="shared" ca="1" si="40"/>
        <v>7.4727327437382529E-2</v>
      </c>
      <c r="AT470" s="29">
        <v>0</v>
      </c>
      <c r="AV470" s="22">
        <v>45015</v>
      </c>
      <c r="AW470" s="26">
        <f t="shared" ca="1" si="41"/>
        <v>0.5292801625157566</v>
      </c>
      <c r="AX470" s="29">
        <v>0</v>
      </c>
      <c r="AZ470" s="22">
        <v>45015</v>
      </c>
      <c r="BA470" s="26">
        <f t="shared" ca="1" si="42"/>
        <v>0.26695416792708948</v>
      </c>
      <c r="BB470" s="29">
        <v>0</v>
      </c>
      <c r="BC470"/>
      <c r="BD470" s="25"/>
      <c r="BF470" s="22">
        <v>45015</v>
      </c>
      <c r="BG470" s="26">
        <f t="shared" ca="1" si="43"/>
        <v>0.29942229325181213</v>
      </c>
      <c r="BH470" s="29">
        <v>0</v>
      </c>
      <c r="BJ470" s="22">
        <v>45015</v>
      </c>
      <c r="BK470" s="26">
        <f t="shared" ca="1" si="44"/>
        <v>0.3800718650605992</v>
      </c>
      <c r="BL470" s="29">
        <v>0</v>
      </c>
      <c r="BN470" s="22">
        <v>45015</v>
      </c>
      <c r="BO470" s="26">
        <f t="shared" ca="1" si="45"/>
        <v>0.69197754546498769</v>
      </c>
      <c r="BP470" s="29">
        <v>0</v>
      </c>
      <c r="BR470" s="22">
        <v>45015</v>
      </c>
      <c r="BS470" s="26">
        <f t="shared" ca="1" si="46"/>
        <v>3.243223207772028E-2</v>
      </c>
      <c r="BT470" s="29">
        <v>0</v>
      </c>
      <c r="BV470" s="22">
        <v>45015</v>
      </c>
      <c r="BW470" s="26">
        <f t="shared" ca="1" si="47"/>
        <v>0.8131542142207524</v>
      </c>
      <c r="BX470" s="29">
        <v>0</v>
      </c>
    </row>
    <row r="471" spans="2:77" ht="12.75" x14ac:dyDescent="0.2">
      <c r="B471" s="22">
        <v>45016</v>
      </c>
      <c r="C471" s="26">
        <f t="shared" ca="1" si="68"/>
        <v>0.36913846303109887</v>
      </c>
      <c r="D471" s="29">
        <f t="shared" ca="1" si="77"/>
        <v>69</v>
      </c>
      <c r="E471">
        <v>2436</v>
      </c>
      <c r="F471" s="22">
        <v>45016</v>
      </c>
      <c r="G471" s="26">
        <f t="shared" ca="1" si="31"/>
        <v>0.89439188574184447</v>
      </c>
      <c r="H471" s="29">
        <f t="shared" ca="1" si="69"/>
        <v>234</v>
      </c>
      <c r="I471">
        <v>6733</v>
      </c>
      <c r="J471" s="22">
        <v>45016</v>
      </c>
      <c r="K471" s="26">
        <f t="shared" ca="1" si="32"/>
        <v>5.2714347673902706E-2</v>
      </c>
      <c r="L471" s="29">
        <f t="shared" ca="1" si="70"/>
        <v>134</v>
      </c>
      <c r="M471">
        <v>4719</v>
      </c>
      <c r="N471" s="22">
        <v>45016</v>
      </c>
      <c r="O471" s="26">
        <f t="shared" ca="1" si="33"/>
        <v>0.42729610859750189</v>
      </c>
      <c r="P471" s="29">
        <f t="shared" ca="1" si="71"/>
        <v>227</v>
      </c>
      <c r="Q471">
        <v>7236</v>
      </c>
      <c r="R471" s="22">
        <v>45016</v>
      </c>
      <c r="S471" s="26">
        <f t="shared" ca="1" si="34"/>
        <v>0.55060908863162528</v>
      </c>
      <c r="T471" s="29">
        <f t="shared" ca="1" si="72"/>
        <v>140</v>
      </c>
      <c r="U471">
        <v>4381</v>
      </c>
      <c r="V471" s="22">
        <v>45016</v>
      </c>
      <c r="W471" s="26">
        <f t="shared" ca="1" si="35"/>
        <v>0.88308921100522109</v>
      </c>
      <c r="X471" s="29">
        <f t="shared" ca="1" si="73"/>
        <v>243</v>
      </c>
      <c r="Y471">
        <v>6973</v>
      </c>
      <c r="Z471" s="22">
        <v>45016</v>
      </c>
      <c r="AA471" s="26">
        <f t="shared" ca="1" si="36"/>
        <v>0.4675712507782096</v>
      </c>
      <c r="AB471" s="29">
        <f t="shared" ca="1" si="74"/>
        <v>269</v>
      </c>
      <c r="AC471">
        <v>8407</v>
      </c>
      <c r="AD471" s="25"/>
      <c r="AF471" s="22">
        <v>45016</v>
      </c>
      <c r="AG471" s="26">
        <f t="shared" ca="1" si="37"/>
        <v>0.19402937080767491</v>
      </c>
      <c r="AH471" s="29">
        <f t="shared" ca="1" si="75"/>
        <v>252</v>
      </c>
      <c r="AI471">
        <v>9402</v>
      </c>
      <c r="AJ471" s="22">
        <v>45016</v>
      </c>
      <c r="AK471" s="26">
        <f t="shared" ca="1" si="38"/>
        <v>6.3794744904209555E-2</v>
      </c>
      <c r="AL471" s="29">
        <f t="shared" ca="1" si="76"/>
        <v>107</v>
      </c>
      <c r="AM471">
        <v>5472</v>
      </c>
      <c r="AN471" s="22">
        <v>45016</v>
      </c>
      <c r="AO471" s="26">
        <f t="shared" ca="1" si="39"/>
        <v>0.45207936972556739</v>
      </c>
      <c r="AP471" s="29">
        <v>0</v>
      </c>
      <c r="AQ471">
        <v>0</v>
      </c>
      <c r="AR471" s="22">
        <v>45016</v>
      </c>
      <c r="AS471" s="26">
        <f t="shared" ca="1" si="40"/>
        <v>5.9035856191135605E-2</v>
      </c>
      <c r="AT471" s="29">
        <v>0</v>
      </c>
      <c r="AU471">
        <v>0</v>
      </c>
      <c r="AV471" s="22">
        <v>45016</v>
      </c>
      <c r="AW471" s="26">
        <f t="shared" ca="1" si="41"/>
        <v>0.64474152992739564</v>
      </c>
      <c r="AX471" s="29">
        <v>0</v>
      </c>
      <c r="AY471">
        <v>0</v>
      </c>
      <c r="AZ471" s="22">
        <v>45016</v>
      </c>
      <c r="BA471" s="26">
        <f t="shared" ca="1" si="42"/>
        <v>0.45633069017007999</v>
      </c>
      <c r="BB471" s="29">
        <v>0</v>
      </c>
      <c r="BC471">
        <v>0</v>
      </c>
      <c r="BD471" s="25"/>
      <c r="BF471" s="22">
        <v>45016</v>
      </c>
      <c r="BG471" s="26">
        <f t="shared" ca="1" si="43"/>
        <v>0.81625455093763954</v>
      </c>
      <c r="BH471" s="29">
        <v>0</v>
      </c>
      <c r="BI471">
        <v>0</v>
      </c>
      <c r="BJ471" s="22">
        <v>45016</v>
      </c>
      <c r="BK471" s="26">
        <f t="shared" ca="1" si="44"/>
        <v>0.52406703462776105</v>
      </c>
      <c r="BL471" s="29">
        <v>0</v>
      </c>
      <c r="BM471">
        <v>0</v>
      </c>
      <c r="BN471" s="22">
        <v>45016</v>
      </c>
      <c r="BO471" s="26">
        <f t="shared" ca="1" si="45"/>
        <v>0.26832021328740396</v>
      </c>
      <c r="BP471" s="29">
        <v>0</v>
      </c>
      <c r="BQ471">
        <v>0</v>
      </c>
      <c r="BR471" s="22">
        <v>45016</v>
      </c>
      <c r="BS471" s="26">
        <f t="shared" ca="1" si="46"/>
        <v>0.68855671588493794</v>
      </c>
      <c r="BT471" s="29">
        <v>0</v>
      </c>
      <c r="BU471">
        <v>0</v>
      </c>
      <c r="BV471" s="22">
        <v>45016</v>
      </c>
      <c r="BW471" s="26">
        <f t="shared" ca="1" si="47"/>
        <v>6.7195239298716736E-2</v>
      </c>
      <c r="BX471" s="29">
        <v>0</v>
      </c>
      <c r="BY471">
        <v>0</v>
      </c>
    </row>
    <row r="472" spans="2:77" ht="12.75" x14ac:dyDescent="0.2">
      <c r="B472" s="22">
        <v>45017</v>
      </c>
      <c r="C472" s="26">
        <f t="shared" ca="1" si="68"/>
        <v>0.39044961469280104</v>
      </c>
      <c r="D472" s="29">
        <f ca="1">ROUNDUP(_xlfn.NORM.INV(C471,C$10,C$12),0)</f>
        <v>69</v>
      </c>
      <c r="F472" s="22">
        <v>45017</v>
      </c>
      <c r="G472" s="26">
        <f t="shared" ca="1" si="31"/>
        <v>0.18496036163032203</v>
      </c>
      <c r="H472" s="29">
        <f ca="1">ROUNDUP(_xlfn.NORM.INV(G471,G$10,G$12),0)</f>
        <v>234</v>
      </c>
      <c r="J472" s="22">
        <v>45017</v>
      </c>
      <c r="K472" s="26">
        <f t="shared" ca="1" si="32"/>
        <v>0.75990834502318938</v>
      </c>
      <c r="L472" s="29">
        <f ca="1">ROUNDUP(_xlfn.NORM.INV(K471,K$10,K$12),0)</f>
        <v>134</v>
      </c>
      <c r="N472" s="22">
        <v>45017</v>
      </c>
      <c r="O472" s="26">
        <f t="shared" ca="1" si="33"/>
        <v>0.21841278324060198</v>
      </c>
      <c r="P472" s="29">
        <f ca="1">ROUNDUP(_xlfn.NORM.INV(O471,O$10,O$12),0)</f>
        <v>227</v>
      </c>
      <c r="R472" s="22">
        <v>45017</v>
      </c>
      <c r="S472" s="26">
        <f t="shared" ca="1" si="34"/>
        <v>0.3723656183716213</v>
      </c>
      <c r="T472" s="29">
        <f ca="1">ROUNDUP(_xlfn.NORM.INV(S471,S$10,S$12),0)</f>
        <v>140</v>
      </c>
      <c r="V472" s="22">
        <v>45017</v>
      </c>
      <c r="W472" s="26">
        <f t="shared" ca="1" si="35"/>
        <v>0.82860591922372839</v>
      </c>
      <c r="X472" s="29">
        <f ca="1">ROUNDUP(_xlfn.NORM.INV(W471,W$10,W$12),0)</f>
        <v>243</v>
      </c>
      <c r="Z472" s="22">
        <v>45017</v>
      </c>
      <c r="AA472" s="26">
        <f t="shared" ca="1" si="36"/>
        <v>0.1190555515784486</v>
      </c>
      <c r="AB472" s="29">
        <f ca="1">ROUNDUP(_xlfn.NORM.INV(AA471,AA$10,AA$12),0)</f>
        <v>269</v>
      </c>
      <c r="AC472"/>
      <c r="AD472" s="25"/>
      <c r="AF472" s="22">
        <v>45017</v>
      </c>
      <c r="AG472" s="26">
        <f t="shared" ca="1" si="37"/>
        <v>0.72058182424606387</v>
      </c>
      <c r="AH472" s="29">
        <f ca="1">ROUNDUP(_xlfn.NORM.INV(AG471,AG$10,AG$12),0)</f>
        <v>252</v>
      </c>
      <c r="AJ472" s="22">
        <v>45017</v>
      </c>
      <c r="AK472" s="26">
        <f t="shared" ca="1" si="38"/>
        <v>0.45464733435989191</v>
      </c>
      <c r="AL472" s="29">
        <f ca="1">ROUNDUP(_xlfn.NORM.INV(AK471,AK$10,AK$12),0)</f>
        <v>107</v>
      </c>
      <c r="AN472" s="22">
        <v>45017</v>
      </c>
      <c r="AO472" s="26">
        <f t="shared" ca="1" si="39"/>
        <v>0.67290823478255146</v>
      </c>
      <c r="AP472" s="29">
        <v>0</v>
      </c>
      <c r="AR472" s="22">
        <v>45017</v>
      </c>
      <c r="AS472" s="26">
        <f t="shared" ca="1" si="40"/>
        <v>0.30920443727206293</v>
      </c>
      <c r="AT472" s="29">
        <v>0</v>
      </c>
      <c r="AV472" s="22">
        <v>45017</v>
      </c>
      <c r="AW472" s="26">
        <f t="shared" ca="1" si="41"/>
        <v>0.9647001280409796</v>
      </c>
      <c r="AX472" s="29">
        <v>0</v>
      </c>
      <c r="AZ472" s="22">
        <v>45017</v>
      </c>
      <c r="BA472" s="26">
        <f t="shared" ca="1" si="42"/>
        <v>0.69326468224244953</v>
      </c>
      <c r="BB472" s="29">
        <v>0</v>
      </c>
      <c r="BC472"/>
      <c r="BD472" s="25"/>
      <c r="BF472" s="22">
        <v>45017</v>
      </c>
      <c r="BG472" s="26">
        <f t="shared" ca="1" si="43"/>
        <v>8.0158384051191023E-3</v>
      </c>
      <c r="BH472" s="29">
        <v>0</v>
      </c>
      <c r="BJ472" s="22">
        <v>45017</v>
      </c>
      <c r="BK472" s="26">
        <f t="shared" ca="1" si="44"/>
        <v>0.84423425532239471</v>
      </c>
      <c r="BL472" s="29">
        <v>0</v>
      </c>
      <c r="BN472" s="22">
        <v>45017</v>
      </c>
      <c r="BO472" s="26">
        <f t="shared" ca="1" si="45"/>
        <v>5.8274875768863477E-2</v>
      </c>
      <c r="BP472" s="29">
        <v>0</v>
      </c>
      <c r="BR472" s="22">
        <v>45017</v>
      </c>
      <c r="BS472" s="26">
        <f t="shared" ca="1" si="46"/>
        <v>0.19979228036612962</v>
      </c>
      <c r="BT472" s="29">
        <v>0</v>
      </c>
      <c r="BV472" s="22">
        <v>45017</v>
      </c>
      <c r="BW472" s="26">
        <f t="shared" ca="1" si="47"/>
        <v>4.7548661641406809E-2</v>
      </c>
      <c r="BX472" s="29">
        <v>0</v>
      </c>
    </row>
    <row r="473" spans="2:77" ht="12.75" x14ac:dyDescent="0.2">
      <c r="B473" s="22">
        <v>45018</v>
      </c>
      <c r="C473" s="26">
        <f t="shared" ca="1" si="68"/>
        <v>0.42209050161106709</v>
      </c>
      <c r="D473" s="29">
        <f t="shared" ca="1" si="77"/>
        <v>72</v>
      </c>
      <c r="F473" s="22">
        <v>45018</v>
      </c>
      <c r="G473" s="26">
        <f t="shared" ca="1" si="31"/>
        <v>0.21124236229793014</v>
      </c>
      <c r="H473" s="29">
        <f t="shared" ca="1" si="69"/>
        <v>204</v>
      </c>
      <c r="J473" s="22">
        <v>45018</v>
      </c>
      <c r="K473" s="26">
        <f t="shared" ca="1" si="32"/>
        <v>0.57513479387961763</v>
      </c>
      <c r="L473" s="29">
        <f t="shared" ca="1" si="70"/>
        <v>152</v>
      </c>
      <c r="N473" s="22">
        <v>45018</v>
      </c>
      <c r="O473" s="26">
        <f t="shared" ca="1" si="33"/>
        <v>0.33619870188103929</v>
      </c>
      <c r="P473" s="29">
        <f t="shared" ca="1" si="71"/>
        <v>223</v>
      </c>
      <c r="R473" s="22">
        <v>45018</v>
      </c>
      <c r="S473" s="26">
        <f t="shared" ca="1" si="34"/>
        <v>3.0797433172376154E-2</v>
      </c>
      <c r="T473" s="29">
        <f t="shared" ca="1" si="72"/>
        <v>122</v>
      </c>
      <c r="V473" s="22">
        <v>45018</v>
      </c>
      <c r="W473" s="26">
        <f t="shared" ca="1" si="35"/>
        <v>0.51695581346426966</v>
      </c>
      <c r="X473" s="29">
        <f t="shared" ca="1" si="73"/>
        <v>226</v>
      </c>
      <c r="Z473" s="22">
        <v>45018</v>
      </c>
      <c r="AA473" s="26">
        <f t="shared" ca="1" si="36"/>
        <v>0.62593746266292616</v>
      </c>
      <c r="AB473" s="29">
        <f t="shared" ca="1" si="74"/>
        <v>276</v>
      </c>
      <c r="AC473"/>
      <c r="AD473" s="25"/>
      <c r="AF473" s="22">
        <v>45018</v>
      </c>
      <c r="AG473" s="26">
        <f t="shared" ca="1" si="37"/>
        <v>0.82296541645831378</v>
      </c>
      <c r="AH473" s="29">
        <f t="shared" ca="1" si="75"/>
        <v>408</v>
      </c>
      <c r="AJ473" s="22">
        <v>45018</v>
      </c>
      <c r="AK473" s="26">
        <f t="shared" ca="1" si="38"/>
        <v>0.56259937267594784</v>
      </c>
      <c r="AL473" s="29">
        <f t="shared" ca="1" si="76"/>
        <v>188</v>
      </c>
      <c r="AN473" s="22">
        <v>45018</v>
      </c>
      <c r="AO473" s="26">
        <f t="shared" ca="1" si="39"/>
        <v>0.17100846564860961</v>
      </c>
      <c r="AP473" s="29">
        <v>0</v>
      </c>
      <c r="AR473" s="22">
        <v>45018</v>
      </c>
      <c r="AS473" s="26">
        <f t="shared" ca="1" si="40"/>
        <v>0.31888712518957818</v>
      </c>
      <c r="AT473" s="29">
        <v>0</v>
      </c>
      <c r="AV473" s="22">
        <v>45018</v>
      </c>
      <c r="AW473" s="26">
        <f t="shared" ca="1" si="41"/>
        <v>0.2279150690660815</v>
      </c>
      <c r="AX473" s="29">
        <v>0</v>
      </c>
      <c r="AZ473" s="22">
        <v>45018</v>
      </c>
      <c r="BA473" s="26">
        <f t="shared" ca="1" si="42"/>
        <v>0.3939026783242966</v>
      </c>
      <c r="BB473" s="29">
        <v>0</v>
      </c>
      <c r="BC473"/>
      <c r="BD473" s="25"/>
      <c r="BF473" s="22">
        <v>45018</v>
      </c>
      <c r="BG473" s="26">
        <f t="shared" ca="1" si="43"/>
        <v>0.66881636069799377</v>
      </c>
      <c r="BH473" s="29">
        <v>0</v>
      </c>
      <c r="BJ473" s="22">
        <v>45018</v>
      </c>
      <c r="BK473" s="26">
        <f t="shared" ca="1" si="44"/>
        <v>3.852812666846106E-2</v>
      </c>
      <c r="BL473" s="29">
        <v>0</v>
      </c>
      <c r="BN473" s="22">
        <v>45018</v>
      </c>
      <c r="BO473" s="26">
        <f t="shared" ca="1" si="45"/>
        <v>0.98629283737197548</v>
      </c>
      <c r="BP473" s="29">
        <v>0</v>
      </c>
      <c r="BR473" s="22">
        <v>45018</v>
      </c>
      <c r="BS473" s="26">
        <f t="shared" ca="1" si="46"/>
        <v>0.83461966504337082</v>
      </c>
      <c r="BT473" s="29">
        <v>0</v>
      </c>
      <c r="BV473" s="22">
        <v>45018</v>
      </c>
      <c r="BW473" s="26">
        <f t="shared" ca="1" si="47"/>
        <v>0.11735180881577134</v>
      </c>
      <c r="BX473" s="29">
        <v>0</v>
      </c>
    </row>
    <row r="474" spans="2:77" ht="12.75" x14ac:dyDescent="0.2">
      <c r="B474" s="22">
        <v>45019</v>
      </c>
      <c r="C474" s="26">
        <f t="shared" ca="1" si="68"/>
        <v>0.28766192014223813</v>
      </c>
      <c r="D474" s="29">
        <f t="shared" ca="1" si="77"/>
        <v>64</v>
      </c>
      <c r="F474" s="22">
        <v>45019</v>
      </c>
      <c r="G474" s="26">
        <f t="shared" ca="1" si="31"/>
        <v>0.71016636066776917</v>
      </c>
      <c r="H474" s="29">
        <f t="shared" ca="1" si="69"/>
        <v>224</v>
      </c>
      <c r="J474" s="22">
        <v>45019</v>
      </c>
      <c r="K474" s="26">
        <f t="shared" ca="1" si="32"/>
        <v>0.41465683650880658</v>
      </c>
      <c r="L474" s="29">
        <f t="shared" ca="1" si="70"/>
        <v>148</v>
      </c>
      <c r="N474" s="22">
        <v>45019</v>
      </c>
      <c r="O474" s="26">
        <f t="shared" ca="1" si="33"/>
        <v>0.89231118870064563</v>
      </c>
      <c r="P474" s="29">
        <f t="shared" ca="1" si="71"/>
        <v>249</v>
      </c>
      <c r="R474" s="22">
        <v>45019</v>
      </c>
      <c r="S474" s="26">
        <f t="shared" ca="1" si="34"/>
        <v>0.79860661354318629</v>
      </c>
      <c r="T474" s="29">
        <f t="shared" ca="1" si="72"/>
        <v>147</v>
      </c>
      <c r="V474" s="22">
        <v>45019</v>
      </c>
      <c r="W474" s="26">
        <f t="shared" ca="1" si="35"/>
        <v>0.28415245150112778</v>
      </c>
      <c r="X474" s="29">
        <f t="shared" ca="1" si="73"/>
        <v>217</v>
      </c>
      <c r="Z474" s="22">
        <v>45019</v>
      </c>
      <c r="AA474" s="26">
        <f t="shared" ca="1" si="36"/>
        <v>0.76128562009196643</v>
      </c>
      <c r="AB474" s="29">
        <f t="shared" ca="1" si="74"/>
        <v>283</v>
      </c>
      <c r="AC474"/>
      <c r="AD474" s="25"/>
      <c r="AF474" s="22">
        <v>45019</v>
      </c>
      <c r="AG474" s="26">
        <f t="shared" ca="1" si="37"/>
        <v>0.95375193819363413</v>
      </c>
      <c r="AH474" s="29">
        <f t="shared" ca="1" si="75"/>
        <v>474</v>
      </c>
      <c r="AJ474" s="22">
        <v>45019</v>
      </c>
      <c r="AK474" s="26">
        <f t="shared" ca="1" si="38"/>
        <v>0.22858753271079246</v>
      </c>
      <c r="AL474" s="29">
        <f t="shared" ca="1" si="76"/>
        <v>145</v>
      </c>
      <c r="AN474" s="22">
        <v>45019</v>
      </c>
      <c r="AO474" s="26">
        <f t="shared" ca="1" si="39"/>
        <v>0.52678530388977884</v>
      </c>
      <c r="AP474" s="29">
        <v>0</v>
      </c>
      <c r="AR474" s="22">
        <v>45019</v>
      </c>
      <c r="AS474" s="26">
        <f t="shared" ca="1" si="40"/>
        <v>0.75524735317585234</v>
      </c>
      <c r="AT474" s="29">
        <v>0</v>
      </c>
      <c r="AV474" s="22">
        <v>45019</v>
      </c>
      <c r="AW474" s="26">
        <f t="shared" ca="1" si="41"/>
        <v>0.79462856047786479</v>
      </c>
      <c r="AX474" s="29">
        <v>0</v>
      </c>
      <c r="AZ474" s="22">
        <v>45019</v>
      </c>
      <c r="BA474" s="26">
        <f t="shared" ca="1" si="42"/>
        <v>0.2117475487737176</v>
      </c>
      <c r="BB474" s="29">
        <v>0</v>
      </c>
      <c r="BC474"/>
      <c r="BD474" s="25"/>
      <c r="BF474" s="22">
        <v>45019</v>
      </c>
      <c r="BG474" s="26">
        <f t="shared" ca="1" si="43"/>
        <v>0.13182425975063772</v>
      </c>
      <c r="BH474" s="29">
        <v>0</v>
      </c>
      <c r="BJ474" s="22">
        <v>45019</v>
      </c>
      <c r="BK474" s="26">
        <f t="shared" ca="1" si="44"/>
        <v>0.33588816272334832</v>
      </c>
      <c r="BL474" s="29">
        <v>0</v>
      </c>
      <c r="BN474" s="22">
        <v>45019</v>
      </c>
      <c r="BO474" s="26">
        <f t="shared" ca="1" si="45"/>
        <v>0.74991743673423794</v>
      </c>
      <c r="BP474" s="29">
        <v>0</v>
      </c>
      <c r="BR474" s="22">
        <v>45019</v>
      </c>
      <c r="BS474" s="26">
        <f t="shared" ca="1" si="46"/>
        <v>0.8078087731199558</v>
      </c>
      <c r="BT474" s="29">
        <v>0</v>
      </c>
      <c r="BV474" s="22">
        <v>45019</v>
      </c>
      <c r="BW474" s="26">
        <f t="shared" ca="1" si="47"/>
        <v>3.9455652418535991E-2</v>
      </c>
      <c r="BX474" s="29">
        <v>0</v>
      </c>
    </row>
    <row r="475" spans="2:77" ht="12.75" x14ac:dyDescent="0.2">
      <c r="B475" s="22">
        <v>45020</v>
      </c>
      <c r="C475" s="26">
        <f t="shared" ca="1" si="68"/>
        <v>8.9562317910148792E-2</v>
      </c>
      <c r="D475" s="29">
        <f t="shared" ca="1" si="77"/>
        <v>49</v>
      </c>
      <c r="F475" s="22">
        <v>45020</v>
      </c>
      <c r="G475" s="26">
        <f t="shared" ca="1" si="31"/>
        <v>0.87518492050161711</v>
      </c>
      <c r="H475" s="29">
        <f t="shared" ca="1" si="69"/>
        <v>232</v>
      </c>
      <c r="J475" s="22">
        <v>45020</v>
      </c>
      <c r="K475" s="26">
        <f t="shared" ca="1" si="32"/>
        <v>0.9241590928072827</v>
      </c>
      <c r="L475" s="29">
        <f t="shared" ca="1" si="70"/>
        <v>165</v>
      </c>
      <c r="N475" s="22">
        <v>45020</v>
      </c>
      <c r="O475" s="26">
        <f t="shared" ca="1" si="33"/>
        <v>0.42047880114170055</v>
      </c>
      <c r="P475" s="29">
        <f t="shared" ca="1" si="71"/>
        <v>227</v>
      </c>
      <c r="R475" s="22">
        <v>45020</v>
      </c>
      <c r="S475" s="26">
        <f t="shared" ca="1" si="34"/>
        <v>0.71066185620566369</v>
      </c>
      <c r="T475" s="29">
        <f t="shared" ca="1" si="72"/>
        <v>144</v>
      </c>
      <c r="V475" s="22">
        <v>45020</v>
      </c>
      <c r="W475" s="26">
        <f t="shared" ca="1" si="35"/>
        <v>0.88625488311849399</v>
      </c>
      <c r="X475" s="29">
        <f t="shared" ca="1" si="73"/>
        <v>244</v>
      </c>
      <c r="Z475" s="22">
        <v>45020</v>
      </c>
      <c r="AA475" s="26">
        <f t="shared" ca="1" si="36"/>
        <v>0.5627138472166241</v>
      </c>
      <c r="AB475" s="29">
        <f t="shared" ca="1" si="74"/>
        <v>273</v>
      </c>
      <c r="AC475"/>
      <c r="AD475" s="25"/>
      <c r="AF475" s="22">
        <v>45020</v>
      </c>
      <c r="AG475" s="26">
        <f t="shared" ca="1" si="37"/>
        <v>0.47879845776222163</v>
      </c>
      <c r="AH475" s="29">
        <f t="shared" ca="1" si="75"/>
        <v>323</v>
      </c>
      <c r="AJ475" s="22">
        <v>45020</v>
      </c>
      <c r="AK475" s="26">
        <f t="shared" ca="1" si="38"/>
        <v>0.70355826531043497</v>
      </c>
      <c r="AL475" s="29">
        <f t="shared" ca="1" si="76"/>
        <v>206</v>
      </c>
      <c r="AN475" s="22">
        <v>45020</v>
      </c>
      <c r="AO475" s="26">
        <f t="shared" ca="1" si="39"/>
        <v>0.47526799168012079</v>
      </c>
      <c r="AP475" s="29">
        <v>0</v>
      </c>
      <c r="AR475" s="22">
        <v>45020</v>
      </c>
      <c r="AS475" s="26">
        <f t="shared" ca="1" si="40"/>
        <v>0.29586151520955761</v>
      </c>
      <c r="AT475" s="29">
        <v>0</v>
      </c>
      <c r="AV475" s="22">
        <v>45020</v>
      </c>
      <c r="AW475" s="26">
        <f t="shared" ca="1" si="41"/>
        <v>0.56732332801956542</v>
      </c>
      <c r="AX475" s="29">
        <v>0</v>
      </c>
      <c r="AZ475" s="22">
        <v>45020</v>
      </c>
      <c r="BA475" s="26">
        <f t="shared" ca="1" si="42"/>
        <v>0.28158265268337812</v>
      </c>
      <c r="BB475" s="29">
        <v>0</v>
      </c>
      <c r="BC475"/>
      <c r="BD475" s="25"/>
      <c r="BF475" s="22">
        <v>45020</v>
      </c>
      <c r="BG475" s="26">
        <f t="shared" ca="1" si="43"/>
        <v>0.31032924117194738</v>
      </c>
      <c r="BH475" s="29">
        <v>0</v>
      </c>
      <c r="BJ475" s="22">
        <v>45020</v>
      </c>
      <c r="BK475" s="26">
        <f t="shared" ca="1" si="44"/>
        <v>0.40069050670584805</v>
      </c>
      <c r="BL475" s="29">
        <v>0</v>
      </c>
      <c r="BN475" s="22">
        <v>45020</v>
      </c>
      <c r="BO475" s="26">
        <f t="shared" ca="1" si="45"/>
        <v>0.29150601289347555</v>
      </c>
      <c r="BP475" s="29">
        <v>0</v>
      </c>
      <c r="BR475" s="22">
        <v>45020</v>
      </c>
      <c r="BS475" s="26">
        <f t="shared" ca="1" si="46"/>
        <v>0.93891112124652987</v>
      </c>
      <c r="BT475" s="29">
        <v>0</v>
      </c>
      <c r="BV475" s="22">
        <v>45020</v>
      </c>
      <c r="BW475" s="26">
        <f t="shared" ca="1" si="47"/>
        <v>0.26491656740290526</v>
      </c>
      <c r="BX475" s="29">
        <v>0</v>
      </c>
    </row>
    <row r="476" spans="2:77" ht="12.75" x14ac:dyDescent="0.2">
      <c r="B476" s="22">
        <v>45021</v>
      </c>
      <c r="C476" s="26">
        <f t="shared" ca="1" si="68"/>
        <v>3.7060529757714233E-2</v>
      </c>
      <c r="D476" s="29">
        <f t="shared" ca="1" si="77"/>
        <v>40</v>
      </c>
      <c r="F476" s="22">
        <v>45021</v>
      </c>
      <c r="G476" s="26">
        <f t="shared" ca="1" si="31"/>
        <v>0.38687366356767061</v>
      </c>
      <c r="H476" s="29">
        <f t="shared" ca="1" si="69"/>
        <v>212</v>
      </c>
      <c r="J476" s="22">
        <v>45021</v>
      </c>
      <c r="K476" s="26">
        <f t="shared" ca="1" si="32"/>
        <v>0.28942404331133409</v>
      </c>
      <c r="L476" s="29">
        <f t="shared" ca="1" si="70"/>
        <v>145</v>
      </c>
      <c r="N476" s="22">
        <v>45021</v>
      </c>
      <c r="O476" s="26">
        <f t="shared" ca="1" si="33"/>
        <v>0.86366305045797609</v>
      </c>
      <c r="P476" s="29">
        <f t="shared" ca="1" si="71"/>
        <v>247</v>
      </c>
      <c r="R476" s="22">
        <v>45021</v>
      </c>
      <c r="S476" s="26">
        <f t="shared" ca="1" si="34"/>
        <v>0.77394738672834018</v>
      </c>
      <c r="T476" s="29">
        <f t="shared" ca="1" si="72"/>
        <v>146</v>
      </c>
      <c r="V476" s="22">
        <v>45021</v>
      </c>
      <c r="W476" s="26">
        <f t="shared" ca="1" si="35"/>
        <v>0.87478094161485043</v>
      </c>
      <c r="X476" s="29">
        <f t="shared" ca="1" si="73"/>
        <v>243</v>
      </c>
      <c r="Z476" s="22">
        <v>45021</v>
      </c>
      <c r="AA476" s="26">
        <f t="shared" ca="1" si="36"/>
        <v>0.42524708264979039</v>
      </c>
      <c r="AB476" s="29">
        <f t="shared" ca="1" si="74"/>
        <v>267</v>
      </c>
      <c r="AC476"/>
      <c r="AD476" s="25"/>
      <c r="AF476" s="22">
        <v>45021</v>
      </c>
      <c r="AG476" s="26">
        <f t="shared" ca="1" si="37"/>
        <v>0.26245637997438098</v>
      </c>
      <c r="AH476" s="29">
        <f t="shared" ca="1" si="75"/>
        <v>272</v>
      </c>
      <c r="AJ476" s="22">
        <v>45021</v>
      </c>
      <c r="AK476" s="26">
        <f t="shared" ca="1" si="38"/>
        <v>4.1741556822657788E-2</v>
      </c>
      <c r="AL476" s="29">
        <f t="shared" ca="1" si="76"/>
        <v>97</v>
      </c>
      <c r="AN476" s="22">
        <v>45021</v>
      </c>
      <c r="AO476" s="26">
        <f t="shared" ca="1" si="39"/>
        <v>0.81887018373844334</v>
      </c>
      <c r="AP476" s="29">
        <v>0</v>
      </c>
      <c r="AR476" s="22">
        <v>45021</v>
      </c>
      <c r="AS476" s="26">
        <f t="shared" ca="1" si="40"/>
        <v>0.92085203081441214</v>
      </c>
      <c r="AT476" s="29">
        <v>0</v>
      </c>
      <c r="AV476" s="22">
        <v>45021</v>
      </c>
      <c r="AW476" s="26">
        <f t="shared" ca="1" si="41"/>
        <v>0.34740625690446159</v>
      </c>
      <c r="AX476" s="29">
        <v>0</v>
      </c>
      <c r="AZ476" s="22">
        <v>45021</v>
      </c>
      <c r="BA476" s="26">
        <f t="shared" ca="1" si="42"/>
        <v>0.15244337460339941</v>
      </c>
      <c r="BB476" s="29">
        <v>0</v>
      </c>
      <c r="BC476"/>
      <c r="BD476" s="25"/>
      <c r="BF476" s="22">
        <v>45021</v>
      </c>
      <c r="BG476" s="26">
        <f t="shared" ca="1" si="43"/>
        <v>0.63289605555208994</v>
      </c>
      <c r="BH476" s="29">
        <v>0</v>
      </c>
      <c r="BJ476" s="22">
        <v>45021</v>
      </c>
      <c r="BK476" s="26">
        <f t="shared" ca="1" si="44"/>
        <v>0.46993038339324933</v>
      </c>
      <c r="BL476" s="29">
        <v>0</v>
      </c>
      <c r="BN476" s="22">
        <v>45021</v>
      </c>
      <c r="BO476" s="26">
        <f t="shared" ca="1" si="45"/>
        <v>0.80052822285307024</v>
      </c>
      <c r="BP476" s="29">
        <v>0</v>
      </c>
      <c r="BR476" s="22">
        <v>45021</v>
      </c>
      <c r="BS476" s="26">
        <f t="shared" ca="1" si="46"/>
        <v>0.41724603378451031</v>
      </c>
      <c r="BT476" s="29">
        <v>0</v>
      </c>
      <c r="BV476" s="22">
        <v>45021</v>
      </c>
      <c r="BW476" s="26">
        <f t="shared" ca="1" si="47"/>
        <v>0.22322314312903857</v>
      </c>
      <c r="BX476" s="29">
        <v>0</v>
      </c>
    </row>
    <row r="477" spans="2:77" ht="12.75" x14ac:dyDescent="0.2">
      <c r="B477" s="22">
        <v>45022</v>
      </c>
      <c r="C477" s="26">
        <f t="shared" ca="1" si="68"/>
        <v>0.36583807609805341</v>
      </c>
      <c r="D477" s="29">
        <f t="shared" ca="1" si="77"/>
        <v>69</v>
      </c>
      <c r="F477" s="22">
        <v>45022</v>
      </c>
      <c r="G477" s="26">
        <f t="shared" ca="1" si="31"/>
        <v>0.48710317910665035</v>
      </c>
      <c r="H477" s="29">
        <f t="shared" ca="1" si="69"/>
        <v>215</v>
      </c>
      <c r="J477" s="22">
        <v>45022</v>
      </c>
      <c r="K477" s="26">
        <f t="shared" ca="1" si="32"/>
        <v>0.79862876089756352</v>
      </c>
      <c r="L477" s="29">
        <f t="shared" ca="1" si="70"/>
        <v>159</v>
      </c>
      <c r="N477" s="22">
        <v>45022</v>
      </c>
      <c r="O477" s="26">
        <f t="shared" ca="1" si="33"/>
        <v>0.86936925216581262</v>
      </c>
      <c r="P477" s="29">
        <f t="shared" ca="1" si="71"/>
        <v>247</v>
      </c>
      <c r="R477" s="22">
        <v>45022</v>
      </c>
      <c r="S477" s="26">
        <f t="shared" ca="1" si="34"/>
        <v>0.96856703498554342</v>
      </c>
      <c r="T477" s="29">
        <f t="shared" ca="1" si="72"/>
        <v>156</v>
      </c>
      <c r="V477" s="22">
        <v>45022</v>
      </c>
      <c r="W477" s="26">
        <f t="shared" ca="1" si="35"/>
        <v>0.24248487169883737</v>
      </c>
      <c r="X477" s="29">
        <f t="shared" ca="1" si="73"/>
        <v>215</v>
      </c>
      <c r="Z477" s="22">
        <v>45022</v>
      </c>
      <c r="AA477" s="26">
        <f t="shared" ca="1" si="36"/>
        <v>0.39755808354287903</v>
      </c>
      <c r="AB477" s="29">
        <f t="shared" ca="1" si="74"/>
        <v>266</v>
      </c>
      <c r="AC477"/>
      <c r="AD477" s="25"/>
      <c r="AF477" s="22">
        <v>45022</v>
      </c>
      <c r="AG477" s="26">
        <f t="shared" ca="1" si="37"/>
        <v>4.4318657110242743E-3</v>
      </c>
      <c r="AH477" s="29">
        <f t="shared" ca="1" si="75"/>
        <v>99</v>
      </c>
      <c r="AJ477" s="22">
        <v>45022</v>
      </c>
      <c r="AK477" s="26">
        <f t="shared" ca="1" si="38"/>
        <v>3.5766874402901161E-2</v>
      </c>
      <c r="AL477" s="29">
        <f t="shared" ca="1" si="76"/>
        <v>94</v>
      </c>
      <c r="AN477" s="22">
        <v>45022</v>
      </c>
      <c r="AO477" s="26">
        <f t="shared" ca="1" si="39"/>
        <v>0.1371737109399338</v>
      </c>
      <c r="AP477" s="29">
        <v>0</v>
      </c>
      <c r="AR477" s="22">
        <v>45022</v>
      </c>
      <c r="AS477" s="26">
        <f t="shared" ca="1" si="40"/>
        <v>0.86506610951327678</v>
      </c>
      <c r="AT477" s="29">
        <v>0</v>
      </c>
      <c r="AV477" s="22">
        <v>45022</v>
      </c>
      <c r="AW477" s="26">
        <f t="shared" ca="1" si="41"/>
        <v>0.71481267608478638</v>
      </c>
      <c r="AX477" s="29">
        <v>0</v>
      </c>
      <c r="AZ477" s="22">
        <v>45022</v>
      </c>
      <c r="BA477" s="26">
        <f t="shared" ca="1" si="42"/>
        <v>0.14200623356738051</v>
      </c>
      <c r="BB477" s="29">
        <v>0</v>
      </c>
      <c r="BC477"/>
      <c r="BD477" s="25"/>
      <c r="BF477" s="22">
        <v>45022</v>
      </c>
      <c r="BG477" s="26">
        <f t="shared" ca="1" si="43"/>
        <v>0.76751478642932502</v>
      </c>
      <c r="BH477" s="29">
        <v>0</v>
      </c>
      <c r="BJ477" s="22">
        <v>45022</v>
      </c>
      <c r="BK477" s="26">
        <f t="shared" ca="1" si="44"/>
        <v>0.73572057732431762</v>
      </c>
      <c r="BL477" s="29">
        <v>0</v>
      </c>
      <c r="BN477" s="22">
        <v>45022</v>
      </c>
      <c r="BO477" s="26">
        <f t="shared" ca="1" si="45"/>
        <v>0.12376225388044004</v>
      </c>
      <c r="BP477" s="29">
        <v>0</v>
      </c>
      <c r="BR477" s="22">
        <v>45022</v>
      </c>
      <c r="BS477" s="26">
        <f t="shared" ca="1" si="46"/>
        <v>0.98576116162141136</v>
      </c>
      <c r="BT477" s="29">
        <v>0</v>
      </c>
      <c r="BV477" s="22">
        <v>45022</v>
      </c>
      <c r="BW477" s="26">
        <f t="shared" ca="1" si="47"/>
        <v>0.51721337942501511</v>
      </c>
      <c r="BX477" s="29">
        <v>0</v>
      </c>
    </row>
    <row r="478" spans="2:77" ht="12.75" x14ac:dyDescent="0.2">
      <c r="B478" s="22">
        <v>45023</v>
      </c>
      <c r="C478" s="26">
        <f t="shared" ca="1" si="68"/>
        <v>0.63896520999761053</v>
      </c>
      <c r="D478" s="29">
        <f t="shared" ca="1" si="77"/>
        <v>83</v>
      </c>
      <c r="F478" s="22">
        <v>45023</v>
      </c>
      <c r="G478" s="26">
        <f t="shared" ca="1" si="31"/>
        <v>0.6915763230362475</v>
      </c>
      <c r="H478" s="29">
        <f t="shared" ca="1" si="69"/>
        <v>223</v>
      </c>
      <c r="J478" s="22">
        <v>45023</v>
      </c>
      <c r="K478" s="26">
        <f t="shared" ca="1" si="32"/>
        <v>0.44682105240300696</v>
      </c>
      <c r="L478" s="29">
        <f t="shared" ca="1" si="70"/>
        <v>149</v>
      </c>
      <c r="N478" s="22">
        <v>45023</v>
      </c>
      <c r="O478" s="26">
        <f t="shared" ca="1" si="33"/>
        <v>0.49428411894062396</v>
      </c>
      <c r="P478" s="29">
        <f t="shared" ca="1" si="71"/>
        <v>230</v>
      </c>
      <c r="R478" s="22">
        <v>45023</v>
      </c>
      <c r="S478" s="26">
        <f t="shared" ca="1" si="34"/>
        <v>0.59767153875989543</v>
      </c>
      <c r="T478" s="29">
        <f t="shared" ca="1" si="72"/>
        <v>142</v>
      </c>
      <c r="V478" s="22">
        <v>45023</v>
      </c>
      <c r="W478" s="26">
        <f t="shared" ca="1" si="35"/>
        <v>0.6864736757845642</v>
      </c>
      <c r="X478" s="29">
        <f t="shared" ca="1" si="73"/>
        <v>233</v>
      </c>
      <c r="Z478" s="22">
        <v>45023</v>
      </c>
      <c r="AA478" s="26">
        <f t="shared" ca="1" si="36"/>
        <v>0.97426265137189338</v>
      </c>
      <c r="AB478" s="29">
        <f t="shared" ca="1" si="74"/>
        <v>306</v>
      </c>
      <c r="AC478"/>
      <c r="AD478" s="25"/>
      <c r="AF478" s="22">
        <v>45023</v>
      </c>
      <c r="AG478" s="26">
        <f t="shared" ca="1" si="37"/>
        <v>0.79662299216355592</v>
      </c>
      <c r="AH478" s="29">
        <f t="shared" ca="1" si="75"/>
        <v>400</v>
      </c>
      <c r="AJ478" s="22">
        <v>45023</v>
      </c>
      <c r="AK478" s="26">
        <f t="shared" ca="1" si="38"/>
        <v>0.23170629931790121</v>
      </c>
      <c r="AL478" s="29">
        <f t="shared" ca="1" si="76"/>
        <v>145</v>
      </c>
      <c r="AN478" s="22">
        <v>45023</v>
      </c>
      <c r="AO478" s="26">
        <f t="shared" ca="1" si="39"/>
        <v>0.1457384035461472</v>
      </c>
      <c r="AP478" s="29">
        <v>0</v>
      </c>
      <c r="AR478" s="22">
        <v>45023</v>
      </c>
      <c r="AS478" s="26">
        <f t="shared" ca="1" si="40"/>
        <v>0.71744744843201813</v>
      </c>
      <c r="AT478" s="29">
        <v>0</v>
      </c>
      <c r="AV478" s="22">
        <v>45023</v>
      </c>
      <c r="AW478" s="26">
        <f t="shared" ca="1" si="41"/>
        <v>0.45664577969462439</v>
      </c>
      <c r="AX478" s="29">
        <v>0</v>
      </c>
      <c r="AZ478" s="22">
        <v>45023</v>
      </c>
      <c r="BA478" s="26">
        <f t="shared" ca="1" si="42"/>
        <v>0.63571854455260002</v>
      </c>
      <c r="BB478" s="29">
        <v>0</v>
      </c>
      <c r="BC478"/>
      <c r="BD478" s="25"/>
      <c r="BF478" s="22">
        <v>45023</v>
      </c>
      <c r="BG478" s="26">
        <f t="shared" ca="1" si="43"/>
        <v>0.38542430160774976</v>
      </c>
      <c r="BH478" s="29">
        <v>0</v>
      </c>
      <c r="BJ478" s="22">
        <v>45023</v>
      </c>
      <c r="BK478" s="26">
        <f t="shared" ca="1" si="44"/>
        <v>0.33436528645453156</v>
      </c>
      <c r="BL478" s="29">
        <v>0</v>
      </c>
      <c r="BN478" s="22">
        <v>45023</v>
      </c>
      <c r="BO478" s="26">
        <f t="shared" ca="1" si="45"/>
        <v>0.22884200576388314</v>
      </c>
      <c r="BP478" s="29">
        <v>0</v>
      </c>
      <c r="BR478" s="22">
        <v>45023</v>
      </c>
      <c r="BS478" s="26">
        <f t="shared" ca="1" si="46"/>
        <v>0.52922852647942964</v>
      </c>
      <c r="BT478" s="29">
        <v>0</v>
      </c>
      <c r="BV478" s="22">
        <v>45023</v>
      </c>
      <c r="BW478" s="26">
        <f t="shared" ca="1" si="47"/>
        <v>9.5704595325550534E-2</v>
      </c>
      <c r="BX478" s="29">
        <v>0</v>
      </c>
    </row>
    <row r="479" spans="2:77" ht="12.75" x14ac:dyDescent="0.2">
      <c r="B479" s="22">
        <v>45024</v>
      </c>
      <c r="C479" s="26">
        <f t="shared" ca="1" si="68"/>
        <v>0.16949381727528767</v>
      </c>
      <c r="D479" s="29">
        <f t="shared" ca="1" si="77"/>
        <v>56</v>
      </c>
      <c r="F479" s="22">
        <v>45024</v>
      </c>
      <c r="G479" s="26">
        <f t="shared" ca="1" si="31"/>
        <v>0.80922235327706904</v>
      </c>
      <c r="H479" s="29">
        <f t="shared" ca="1" si="69"/>
        <v>228</v>
      </c>
      <c r="J479" s="22">
        <v>45024</v>
      </c>
      <c r="K479" s="26">
        <f t="shared" ca="1" si="32"/>
        <v>0.48319461182091394</v>
      </c>
      <c r="L479" s="29">
        <f t="shared" ca="1" si="70"/>
        <v>150</v>
      </c>
      <c r="N479" s="22">
        <v>45024</v>
      </c>
      <c r="O479" s="26">
        <f t="shared" ca="1" si="33"/>
        <v>0.70841064921949348</v>
      </c>
      <c r="P479" s="29">
        <f t="shared" ca="1" si="71"/>
        <v>238</v>
      </c>
      <c r="R479" s="22">
        <v>45024</v>
      </c>
      <c r="S479" s="26">
        <f t="shared" ca="1" si="34"/>
        <v>0.49569937384027241</v>
      </c>
      <c r="T479" s="29">
        <f t="shared" ca="1" si="72"/>
        <v>139</v>
      </c>
      <c r="V479" s="22">
        <v>45024</v>
      </c>
      <c r="W479" s="26">
        <f t="shared" ca="1" si="35"/>
        <v>0.30332874246397479</v>
      </c>
      <c r="X479" s="29">
        <f t="shared" ca="1" si="73"/>
        <v>218</v>
      </c>
      <c r="Z479" s="22">
        <v>45024</v>
      </c>
      <c r="AA479" s="26">
        <f t="shared" ca="1" si="36"/>
        <v>0.1770396971901308</v>
      </c>
      <c r="AB479" s="29">
        <f t="shared" ca="1" si="74"/>
        <v>254</v>
      </c>
      <c r="AC479"/>
      <c r="AD479" s="25"/>
      <c r="AF479" s="22">
        <v>45024</v>
      </c>
      <c r="AG479" s="26">
        <f t="shared" ca="1" si="37"/>
        <v>0.58113722804298418</v>
      </c>
      <c r="AH479" s="29">
        <f t="shared" ca="1" si="75"/>
        <v>345</v>
      </c>
      <c r="AJ479" s="22">
        <v>45024</v>
      </c>
      <c r="AK479" s="26">
        <f t="shared" ca="1" si="38"/>
        <v>0.97053742307986046</v>
      </c>
      <c r="AL479" s="29">
        <f t="shared" ca="1" si="76"/>
        <v>271</v>
      </c>
      <c r="AN479" s="22">
        <v>45024</v>
      </c>
      <c r="AO479" s="26">
        <f t="shared" ca="1" si="39"/>
        <v>0.24442917714255363</v>
      </c>
      <c r="AP479" s="29">
        <v>0</v>
      </c>
      <c r="AR479" s="22">
        <v>45024</v>
      </c>
      <c r="AS479" s="26">
        <f t="shared" ca="1" si="40"/>
        <v>0.71038314063879548</v>
      </c>
      <c r="AT479" s="29">
        <v>0</v>
      </c>
      <c r="AV479" s="22">
        <v>45024</v>
      </c>
      <c r="AW479" s="26">
        <f t="shared" ca="1" si="41"/>
        <v>0.3389360162242121</v>
      </c>
      <c r="AX479" s="29">
        <v>0</v>
      </c>
      <c r="AZ479" s="22">
        <v>45024</v>
      </c>
      <c r="BA479" s="26">
        <f t="shared" ca="1" si="42"/>
        <v>8.9062270488630357E-2</v>
      </c>
      <c r="BB479" s="29">
        <v>0</v>
      </c>
      <c r="BC479"/>
      <c r="BD479" s="25"/>
      <c r="BF479" s="22">
        <v>45024</v>
      </c>
      <c r="BG479" s="26">
        <f t="shared" ca="1" si="43"/>
        <v>0.89928773710445886</v>
      </c>
      <c r="BH479" s="29">
        <v>0</v>
      </c>
      <c r="BJ479" s="22">
        <v>45024</v>
      </c>
      <c r="BK479" s="26">
        <f t="shared" ca="1" si="44"/>
        <v>0.15593821408956987</v>
      </c>
      <c r="BL479" s="29">
        <v>0</v>
      </c>
      <c r="BN479" s="22">
        <v>45024</v>
      </c>
      <c r="BO479" s="26">
        <f t="shared" ca="1" si="45"/>
        <v>0.45206099797358357</v>
      </c>
      <c r="BP479" s="29">
        <v>0</v>
      </c>
      <c r="BR479" s="22">
        <v>45024</v>
      </c>
      <c r="BS479" s="26">
        <f t="shared" ca="1" si="46"/>
        <v>0.80597193315718196</v>
      </c>
      <c r="BT479" s="29">
        <v>0</v>
      </c>
      <c r="BV479" s="22">
        <v>45024</v>
      </c>
      <c r="BW479" s="26">
        <f t="shared" ca="1" si="47"/>
        <v>9.0265434867738192E-2</v>
      </c>
      <c r="BX479" s="29">
        <v>0</v>
      </c>
    </row>
    <row r="480" spans="2:77" ht="12.75" x14ac:dyDescent="0.2">
      <c r="B480" s="22">
        <v>45025</v>
      </c>
      <c r="C480" s="26">
        <f t="shared" ca="1" si="68"/>
        <v>5.4362938586296483E-2</v>
      </c>
      <c r="D480" s="29">
        <f t="shared" ca="1" si="77"/>
        <v>43</v>
      </c>
      <c r="F480" s="22">
        <v>45025</v>
      </c>
      <c r="G480" s="26">
        <f t="shared" ca="1" si="31"/>
        <v>0.40511918428771776</v>
      </c>
      <c r="H480" s="29">
        <f t="shared" ca="1" si="69"/>
        <v>212</v>
      </c>
      <c r="J480" s="22">
        <v>45025</v>
      </c>
      <c r="K480" s="26">
        <f t="shared" ca="1" si="32"/>
        <v>0.11844199756908758</v>
      </c>
      <c r="L480" s="29">
        <f t="shared" ca="1" si="70"/>
        <v>139</v>
      </c>
      <c r="N480" s="22">
        <v>45025</v>
      </c>
      <c r="O480" s="26">
        <f t="shared" ca="1" si="33"/>
        <v>0.20053465851838315</v>
      </c>
      <c r="P480" s="29">
        <f t="shared" ca="1" si="71"/>
        <v>217</v>
      </c>
      <c r="R480" s="22">
        <v>45025</v>
      </c>
      <c r="S480" s="26">
        <f t="shared" ca="1" si="34"/>
        <v>0.71481684212385599</v>
      </c>
      <c r="T480" s="29">
        <f t="shared" ca="1" si="72"/>
        <v>144</v>
      </c>
      <c r="V480" s="22">
        <v>45025</v>
      </c>
      <c r="W480" s="26">
        <f t="shared" ca="1" si="35"/>
        <v>0.6261254587050108</v>
      </c>
      <c r="X480" s="29">
        <f t="shared" ca="1" si="73"/>
        <v>230</v>
      </c>
      <c r="Z480" s="22">
        <v>45025</v>
      </c>
      <c r="AA480" s="26">
        <f t="shared" ca="1" si="36"/>
        <v>0.31819267324530676</v>
      </c>
      <c r="AB480" s="29">
        <f t="shared" ca="1" si="74"/>
        <v>262</v>
      </c>
      <c r="AC480"/>
      <c r="AD480" s="25"/>
      <c r="AF480" s="22">
        <v>45025</v>
      </c>
      <c r="AG480" s="26">
        <f t="shared" ca="1" si="37"/>
        <v>0.43987405706268412</v>
      </c>
      <c r="AH480" s="29">
        <f t="shared" ca="1" si="75"/>
        <v>314</v>
      </c>
      <c r="AJ480" s="22">
        <v>45025</v>
      </c>
      <c r="AK480" s="26">
        <f t="shared" ca="1" si="38"/>
        <v>0.60305112396742011</v>
      </c>
      <c r="AL480" s="29">
        <f t="shared" ca="1" si="76"/>
        <v>193</v>
      </c>
      <c r="AN480" s="22">
        <v>45025</v>
      </c>
      <c r="AO480" s="26">
        <f t="shared" ca="1" si="39"/>
        <v>0.88389953976799107</v>
      </c>
      <c r="AP480" s="29">
        <v>0</v>
      </c>
      <c r="AR480" s="22">
        <v>45025</v>
      </c>
      <c r="AS480" s="26">
        <f t="shared" ca="1" si="40"/>
        <v>0.51279312307999403</v>
      </c>
      <c r="AT480" s="29">
        <v>0</v>
      </c>
      <c r="AV480" s="22">
        <v>45025</v>
      </c>
      <c r="AW480" s="26">
        <f t="shared" ca="1" si="41"/>
        <v>0.86133080513301274</v>
      </c>
      <c r="AX480" s="29">
        <v>0</v>
      </c>
      <c r="AZ480" s="22">
        <v>45025</v>
      </c>
      <c r="BA480" s="26">
        <f t="shared" ca="1" si="42"/>
        <v>0.41006079704566845</v>
      </c>
      <c r="BB480" s="29">
        <v>0</v>
      </c>
      <c r="BC480"/>
      <c r="BD480" s="25"/>
      <c r="BF480" s="22">
        <v>45025</v>
      </c>
      <c r="BG480" s="26">
        <f t="shared" ca="1" si="43"/>
        <v>0.98217863328388277</v>
      </c>
      <c r="BH480" s="29">
        <v>0</v>
      </c>
      <c r="BJ480" s="22">
        <v>45025</v>
      </c>
      <c r="BK480" s="26">
        <f t="shared" ca="1" si="44"/>
        <v>0.47081813990949817</v>
      </c>
      <c r="BL480" s="29">
        <v>0</v>
      </c>
      <c r="BN480" s="22">
        <v>45025</v>
      </c>
      <c r="BO480" s="26">
        <f t="shared" ca="1" si="45"/>
        <v>0.38902358048216357</v>
      </c>
      <c r="BP480" s="29">
        <v>0</v>
      </c>
      <c r="BR480" s="22">
        <v>45025</v>
      </c>
      <c r="BS480" s="26">
        <f t="shared" ca="1" si="46"/>
        <v>7.0139478610486861E-2</v>
      </c>
      <c r="BT480" s="29">
        <v>0</v>
      </c>
      <c r="BV480" s="22">
        <v>45025</v>
      </c>
      <c r="BW480" s="26">
        <f t="shared" ca="1" si="47"/>
        <v>0.10117427152948666</v>
      </c>
      <c r="BX480" s="29">
        <v>0</v>
      </c>
    </row>
    <row r="481" spans="2:76" ht="12.75" x14ac:dyDescent="0.2">
      <c r="B481" s="22">
        <v>45026</v>
      </c>
      <c r="C481" s="26">
        <f t="shared" ca="1" si="68"/>
        <v>0.6648443773997722</v>
      </c>
      <c r="D481" s="29">
        <v>0</v>
      </c>
      <c r="F481" s="22">
        <v>45026</v>
      </c>
      <c r="G481" s="26">
        <f t="shared" ca="1" si="31"/>
        <v>0.10504549225081872</v>
      </c>
      <c r="H481" s="29">
        <v>0</v>
      </c>
      <c r="J481" s="22">
        <v>45026</v>
      </c>
      <c r="K481" s="26">
        <f t="shared" ca="1" si="32"/>
        <v>0.12346122484085942</v>
      </c>
      <c r="L481" s="29">
        <v>0</v>
      </c>
      <c r="N481" s="22">
        <v>45026</v>
      </c>
      <c r="O481" s="26">
        <f t="shared" ca="1" si="33"/>
        <v>0.27394830542036075</v>
      </c>
      <c r="P481" s="29">
        <v>0</v>
      </c>
      <c r="R481" s="22">
        <v>45026</v>
      </c>
      <c r="S481" s="26">
        <f t="shared" ca="1" si="34"/>
        <v>0.20146270821999102</v>
      </c>
      <c r="T481" s="29">
        <v>0</v>
      </c>
      <c r="V481" s="22">
        <v>45026</v>
      </c>
      <c r="W481" s="26">
        <f t="shared" ca="1" si="35"/>
        <v>0.32450870346969207</v>
      </c>
      <c r="X481" s="29">
        <v>0</v>
      </c>
      <c r="Z481" s="22">
        <v>45026</v>
      </c>
      <c r="AA481" s="26">
        <f t="shared" ca="1" si="36"/>
        <v>0.82250902733767839</v>
      </c>
      <c r="AB481" s="29">
        <v>0</v>
      </c>
      <c r="AC481"/>
      <c r="AD481" s="25"/>
      <c r="AF481" s="22">
        <v>45026</v>
      </c>
      <c r="AG481" s="26">
        <f t="shared" ca="1" si="37"/>
        <v>0.28938644884693865</v>
      </c>
      <c r="AH481" s="29">
        <v>0</v>
      </c>
      <c r="AJ481" s="22">
        <v>45026</v>
      </c>
      <c r="AK481" s="26">
        <f t="shared" ca="1" si="38"/>
        <v>0.44139637065631498</v>
      </c>
      <c r="AL481" s="29">
        <v>0</v>
      </c>
      <c r="AN481" s="22">
        <v>45026</v>
      </c>
      <c r="AO481" s="26">
        <f t="shared" ca="1" si="39"/>
        <v>0.55871017824265123</v>
      </c>
      <c r="AP481" s="29">
        <v>0</v>
      </c>
      <c r="AR481" s="22">
        <v>45026</v>
      </c>
      <c r="AS481" s="26">
        <f t="shared" ca="1" si="40"/>
        <v>0.27829311224031916</v>
      </c>
      <c r="AT481" s="29">
        <v>0</v>
      </c>
      <c r="AV481" s="22">
        <v>45026</v>
      </c>
      <c r="AW481" s="26">
        <f t="shared" ca="1" si="41"/>
        <v>0.58883380418969755</v>
      </c>
      <c r="AX481" s="29">
        <v>0</v>
      </c>
      <c r="AZ481" s="22">
        <v>45026</v>
      </c>
      <c r="BA481" s="26">
        <f t="shared" ca="1" si="42"/>
        <v>7.1382579146422209E-2</v>
      </c>
      <c r="BB481" s="29">
        <v>0</v>
      </c>
      <c r="BC481"/>
      <c r="BD481" s="25"/>
      <c r="BF481" s="22">
        <v>45026</v>
      </c>
      <c r="BG481" s="26">
        <f t="shared" ca="1" si="43"/>
        <v>0.82060687934898957</v>
      </c>
      <c r="BH481" s="29">
        <v>0</v>
      </c>
      <c r="BJ481" s="22">
        <v>45026</v>
      </c>
      <c r="BK481" s="26">
        <f t="shared" ca="1" si="44"/>
        <v>0.95923207411121192</v>
      </c>
      <c r="BL481" s="29">
        <v>0</v>
      </c>
      <c r="BN481" s="22">
        <v>45026</v>
      </c>
      <c r="BO481" s="26">
        <f t="shared" ca="1" si="45"/>
        <v>9.8976703418045542E-3</v>
      </c>
      <c r="BP481" s="29">
        <v>0</v>
      </c>
      <c r="BR481" s="22">
        <v>45026</v>
      </c>
      <c r="BS481" s="26">
        <f t="shared" ca="1" si="46"/>
        <v>0.45374526131760828</v>
      </c>
      <c r="BT481" s="29">
        <v>0</v>
      </c>
      <c r="BV481" s="22">
        <v>45026</v>
      </c>
      <c r="BW481" s="26">
        <f t="shared" ca="1" si="47"/>
        <v>0.253521162302772</v>
      </c>
      <c r="BX481" s="29">
        <v>0</v>
      </c>
    </row>
    <row r="482" spans="2:76" ht="12.75" x14ac:dyDescent="0.2">
      <c r="B482" s="22">
        <v>45027</v>
      </c>
      <c r="C482" s="26">
        <f t="shared" ca="1" si="68"/>
        <v>0.42765984104509946</v>
      </c>
      <c r="D482" s="29">
        <v>0</v>
      </c>
      <c r="F482" s="22">
        <v>45027</v>
      </c>
      <c r="G482" s="26">
        <f t="shared" ca="1" si="31"/>
        <v>0.76140597039337399</v>
      </c>
      <c r="H482" s="29">
        <v>0</v>
      </c>
      <c r="J482" s="22">
        <v>45027</v>
      </c>
      <c r="K482" s="26">
        <f t="shared" ca="1" si="32"/>
        <v>0.83352065124026553</v>
      </c>
      <c r="L482" s="29">
        <v>0</v>
      </c>
      <c r="N482" s="22">
        <v>45027</v>
      </c>
      <c r="O482" s="26">
        <f t="shared" ca="1" si="33"/>
        <v>0.82737680093262755</v>
      </c>
      <c r="P482" s="29">
        <v>0</v>
      </c>
      <c r="R482" s="22">
        <v>45027</v>
      </c>
      <c r="S482" s="26">
        <f t="shared" ca="1" si="34"/>
        <v>0.95333022670477197</v>
      </c>
      <c r="T482" s="29">
        <v>0</v>
      </c>
      <c r="V482" s="22">
        <v>45027</v>
      </c>
      <c r="W482" s="26">
        <f t="shared" ca="1" si="35"/>
        <v>0.58366247871739985</v>
      </c>
      <c r="X482" s="29">
        <v>0</v>
      </c>
      <c r="Z482" s="22">
        <v>45027</v>
      </c>
      <c r="AA482" s="26">
        <f t="shared" ca="1" si="36"/>
        <v>0.33494952561271951</v>
      </c>
      <c r="AB482" s="29">
        <v>0</v>
      </c>
      <c r="AC482"/>
      <c r="AD482" s="25"/>
      <c r="AF482" s="22">
        <v>45027</v>
      </c>
      <c r="AG482" s="26">
        <f t="shared" ca="1" si="37"/>
        <v>0.90268585798213263</v>
      </c>
      <c r="AH482" s="29">
        <v>0</v>
      </c>
      <c r="AJ482" s="22">
        <v>45027</v>
      </c>
      <c r="AK482" s="26">
        <f t="shared" ca="1" si="38"/>
        <v>0.62711511529592823</v>
      </c>
      <c r="AL482" s="29">
        <v>0</v>
      </c>
      <c r="AN482" s="22">
        <v>45027</v>
      </c>
      <c r="AO482" s="26">
        <f t="shared" ca="1" si="39"/>
        <v>0.39643466186640075</v>
      </c>
      <c r="AP482" s="29">
        <v>0</v>
      </c>
      <c r="AR482" s="22">
        <v>45027</v>
      </c>
      <c r="AS482" s="26">
        <f t="shared" ca="1" si="40"/>
        <v>0.69241432297928351</v>
      </c>
      <c r="AT482" s="29">
        <v>0</v>
      </c>
      <c r="AV482" s="22">
        <v>45027</v>
      </c>
      <c r="AW482" s="26">
        <f t="shared" ca="1" si="41"/>
        <v>0.15562405963490256</v>
      </c>
      <c r="AX482" s="29">
        <v>0</v>
      </c>
      <c r="AZ482" s="22">
        <v>45027</v>
      </c>
      <c r="BA482" s="26">
        <f t="shared" ca="1" si="42"/>
        <v>0.32998589991828842</v>
      </c>
      <c r="BB482" s="29">
        <v>0</v>
      </c>
      <c r="BC482"/>
      <c r="BD482" s="25"/>
      <c r="BF482" s="22">
        <v>45027</v>
      </c>
      <c r="BG482" s="26">
        <f t="shared" ca="1" si="43"/>
        <v>0.33784994795237677</v>
      </c>
      <c r="BH482" s="29">
        <v>0</v>
      </c>
      <c r="BJ482" s="22">
        <v>45027</v>
      </c>
      <c r="BK482" s="26">
        <f t="shared" ca="1" si="44"/>
        <v>0.14497987920433264</v>
      </c>
      <c r="BL482" s="29">
        <v>0</v>
      </c>
      <c r="BN482" s="22">
        <v>45027</v>
      </c>
      <c r="BO482" s="26">
        <f t="shared" ca="1" si="45"/>
        <v>0.1184668825141898</v>
      </c>
      <c r="BP482" s="29">
        <v>0</v>
      </c>
      <c r="BR482" s="22">
        <v>45027</v>
      </c>
      <c r="BS482" s="26">
        <f t="shared" ca="1" si="46"/>
        <v>0.37430620390649028</v>
      </c>
      <c r="BT482" s="29">
        <v>0</v>
      </c>
      <c r="BV482" s="22">
        <v>45027</v>
      </c>
      <c r="BW482" s="26">
        <f t="shared" ca="1" si="47"/>
        <v>8.9632181324328597E-2</v>
      </c>
      <c r="BX482" s="29">
        <v>0</v>
      </c>
    </row>
    <row r="483" spans="2:76" ht="12.75" x14ac:dyDescent="0.2">
      <c r="B483" s="22">
        <v>45028</v>
      </c>
      <c r="C483" s="26">
        <f t="shared" ca="1" si="68"/>
        <v>0.40309054061658245</v>
      </c>
      <c r="D483" s="29">
        <v>0</v>
      </c>
      <c r="F483" s="22">
        <v>45028</v>
      </c>
      <c r="G483" s="26">
        <f t="shared" ca="1" si="31"/>
        <v>0.67781185002091537</v>
      </c>
      <c r="H483" s="29">
        <v>0</v>
      </c>
      <c r="J483" s="22">
        <v>45028</v>
      </c>
      <c r="K483" s="26">
        <f t="shared" ca="1" si="32"/>
        <v>0.34990984390531221</v>
      </c>
      <c r="L483" s="29">
        <v>0</v>
      </c>
      <c r="N483" s="22">
        <v>45028</v>
      </c>
      <c r="O483" s="26">
        <f t="shared" ca="1" si="33"/>
        <v>1.4525156546368656E-2</v>
      </c>
      <c r="P483" s="29">
        <v>0</v>
      </c>
      <c r="R483" s="22">
        <v>45028</v>
      </c>
      <c r="S483" s="26">
        <f t="shared" ca="1" si="34"/>
        <v>0.88088759393688665</v>
      </c>
      <c r="T483" s="29">
        <v>0</v>
      </c>
      <c r="V483" s="22">
        <v>45028</v>
      </c>
      <c r="W483" s="26">
        <f t="shared" ca="1" si="35"/>
        <v>0.36999386596088146</v>
      </c>
      <c r="X483" s="29">
        <v>0</v>
      </c>
      <c r="Z483" s="22">
        <v>45028</v>
      </c>
      <c r="AA483" s="26">
        <f t="shared" ca="1" si="36"/>
        <v>0.46072050903582362</v>
      </c>
      <c r="AB483" s="29">
        <v>0</v>
      </c>
      <c r="AC483"/>
      <c r="AD483" s="25"/>
      <c r="AF483" s="22">
        <v>45028</v>
      </c>
      <c r="AG483" s="26">
        <f t="shared" ca="1" si="37"/>
        <v>0.16045745794578503</v>
      </c>
      <c r="AH483" s="29">
        <v>0</v>
      </c>
      <c r="AJ483" s="22">
        <v>45028</v>
      </c>
      <c r="AK483" s="26">
        <f t="shared" ca="1" si="38"/>
        <v>0.92889263244880471</v>
      </c>
      <c r="AL483" s="29">
        <v>0</v>
      </c>
      <c r="AN483" s="22">
        <v>45028</v>
      </c>
      <c r="AO483" s="26">
        <f t="shared" ca="1" si="39"/>
        <v>0.85788975057296424</v>
      </c>
      <c r="AP483" s="29">
        <v>0</v>
      </c>
      <c r="AR483" s="22">
        <v>45028</v>
      </c>
      <c r="AS483" s="26">
        <f t="shared" ca="1" si="40"/>
        <v>0.29665410297300809</v>
      </c>
      <c r="AT483" s="29">
        <v>0</v>
      </c>
      <c r="AV483" s="22">
        <v>45028</v>
      </c>
      <c r="AW483" s="26">
        <f t="shared" ca="1" si="41"/>
        <v>4.7814484867018114E-3</v>
      </c>
      <c r="AX483" s="29">
        <v>0</v>
      </c>
      <c r="AZ483" s="22">
        <v>45028</v>
      </c>
      <c r="BA483" s="26">
        <f t="shared" ca="1" si="42"/>
        <v>0.99236692352797606</v>
      </c>
      <c r="BB483" s="29">
        <v>0</v>
      </c>
      <c r="BC483"/>
      <c r="BD483" s="25"/>
      <c r="BF483" s="22">
        <v>45028</v>
      </c>
      <c r="BG483" s="26">
        <f t="shared" ca="1" si="43"/>
        <v>0.33571850605887699</v>
      </c>
      <c r="BH483" s="29">
        <v>0</v>
      </c>
      <c r="BJ483" s="22">
        <v>45028</v>
      </c>
      <c r="BK483" s="26">
        <f t="shared" ca="1" si="44"/>
        <v>0.29249775997025951</v>
      </c>
      <c r="BL483" s="29">
        <v>0</v>
      </c>
      <c r="BN483" s="22">
        <v>45028</v>
      </c>
      <c r="BO483" s="26">
        <f t="shared" ca="1" si="45"/>
        <v>0.65076279805669546</v>
      </c>
      <c r="BP483" s="29">
        <v>0</v>
      </c>
      <c r="BR483" s="22">
        <v>45028</v>
      </c>
      <c r="BS483" s="26">
        <f t="shared" ca="1" si="46"/>
        <v>0.28486684372671522</v>
      </c>
      <c r="BT483" s="29">
        <v>0</v>
      </c>
      <c r="BV483" s="22">
        <v>45028</v>
      </c>
      <c r="BW483" s="26">
        <f t="shared" ca="1" si="47"/>
        <v>0.9192130661263912</v>
      </c>
      <c r="BX483" s="29">
        <v>0</v>
      </c>
    </row>
    <row r="484" spans="2:76" ht="12.75" x14ac:dyDescent="0.2">
      <c r="B484" s="22">
        <v>45029</v>
      </c>
      <c r="C484" s="26">
        <f t="shared" ca="1" si="68"/>
        <v>0.40163064617182664</v>
      </c>
      <c r="D484" s="29">
        <v>0</v>
      </c>
      <c r="F484" s="22">
        <v>45029</v>
      </c>
      <c r="G484" s="26">
        <f t="shared" ca="1" si="31"/>
        <v>0.63811217753013361</v>
      </c>
      <c r="H484" s="29">
        <v>0</v>
      </c>
      <c r="J484" s="22">
        <v>45029</v>
      </c>
      <c r="K484" s="26">
        <f t="shared" ca="1" si="32"/>
        <v>0.16389198892724821</v>
      </c>
      <c r="L484" s="29">
        <v>0</v>
      </c>
      <c r="N484" s="22">
        <v>45029</v>
      </c>
      <c r="O484" s="26">
        <f t="shared" ca="1" si="33"/>
        <v>0.52796195264194068</v>
      </c>
      <c r="P484" s="29">
        <v>0</v>
      </c>
      <c r="R484" s="22">
        <v>45029</v>
      </c>
      <c r="S484" s="26">
        <f t="shared" ca="1" si="34"/>
        <v>0.90659505063489509</v>
      </c>
      <c r="T484" s="29">
        <v>0</v>
      </c>
      <c r="V484" s="22">
        <v>45029</v>
      </c>
      <c r="W484" s="26">
        <f t="shared" ca="1" si="35"/>
        <v>0.46535440767785119</v>
      </c>
      <c r="X484" s="29">
        <v>0</v>
      </c>
      <c r="Z484" s="22">
        <v>45029</v>
      </c>
      <c r="AA484" s="26">
        <f t="shared" ca="1" si="36"/>
        <v>0.92698885845442425</v>
      </c>
      <c r="AB484" s="29">
        <v>0</v>
      </c>
      <c r="AC484"/>
      <c r="AD484" s="25"/>
      <c r="AF484" s="22">
        <v>45029</v>
      </c>
      <c r="AG484" s="26">
        <f t="shared" ca="1" si="37"/>
        <v>0.40568206940696006</v>
      </c>
      <c r="AH484" s="29">
        <v>0</v>
      </c>
      <c r="AJ484" s="22">
        <v>45029</v>
      </c>
      <c r="AK484" s="26">
        <f t="shared" ca="1" si="38"/>
        <v>0.22119795674614595</v>
      </c>
      <c r="AL484" s="29">
        <v>0</v>
      </c>
      <c r="AN484" s="22">
        <v>45029</v>
      </c>
      <c r="AO484" s="26">
        <f t="shared" ca="1" si="39"/>
        <v>0.52702760008012528</v>
      </c>
      <c r="AP484" s="29">
        <v>0</v>
      </c>
      <c r="AR484" s="22">
        <v>45029</v>
      </c>
      <c r="AS484" s="26">
        <f t="shared" ca="1" si="40"/>
        <v>0.90067491161438973</v>
      </c>
      <c r="AT484" s="29">
        <v>0</v>
      </c>
      <c r="AV484" s="22">
        <v>45029</v>
      </c>
      <c r="AW484" s="26">
        <f t="shared" ca="1" si="41"/>
        <v>0.68951326360636289</v>
      </c>
      <c r="AX484" s="29">
        <v>0</v>
      </c>
      <c r="AZ484" s="22">
        <v>45029</v>
      </c>
      <c r="BA484" s="26">
        <f t="shared" ca="1" si="42"/>
        <v>0.73709176864346015</v>
      </c>
      <c r="BB484" s="29">
        <v>0</v>
      </c>
      <c r="BC484"/>
      <c r="BD484" s="25"/>
      <c r="BF484" s="22">
        <v>45029</v>
      </c>
      <c r="BG484" s="26">
        <f t="shared" ca="1" si="43"/>
        <v>0.42018942507886092</v>
      </c>
      <c r="BH484" s="29">
        <v>0</v>
      </c>
      <c r="BJ484" s="22">
        <v>45029</v>
      </c>
      <c r="BK484" s="26">
        <f t="shared" ca="1" si="44"/>
        <v>0.7612654954234499</v>
      </c>
      <c r="BL484" s="29">
        <v>0</v>
      </c>
      <c r="BN484" s="22">
        <v>45029</v>
      </c>
      <c r="BO484" s="26">
        <f t="shared" ca="1" si="45"/>
        <v>0.35264533816305077</v>
      </c>
      <c r="BP484" s="29">
        <v>0</v>
      </c>
      <c r="BR484" s="22">
        <v>45029</v>
      </c>
      <c r="BS484" s="26">
        <f t="shared" ca="1" si="46"/>
        <v>0.95611124662959912</v>
      </c>
      <c r="BT484" s="29">
        <v>0</v>
      </c>
      <c r="BV484" s="22">
        <v>45029</v>
      </c>
      <c r="BW484" s="26">
        <f t="shared" ca="1" si="47"/>
        <v>0.23410275976004324</v>
      </c>
      <c r="BX484" s="29">
        <v>0</v>
      </c>
    </row>
    <row r="485" spans="2:76" ht="12.75" x14ac:dyDescent="0.2">
      <c r="B485" s="22">
        <v>45030</v>
      </c>
      <c r="C485" s="26">
        <f t="shared" ca="1" si="68"/>
        <v>0.66690195574640343</v>
      </c>
      <c r="D485" s="29">
        <v>0</v>
      </c>
      <c r="F485" s="22">
        <v>45030</v>
      </c>
      <c r="G485" s="26">
        <f t="shared" ca="1" si="31"/>
        <v>0.48182925660278653</v>
      </c>
      <c r="H485" s="29">
        <v>0</v>
      </c>
      <c r="J485" s="22">
        <v>45030</v>
      </c>
      <c r="K485" s="26">
        <f t="shared" ca="1" si="32"/>
        <v>0.27834237085327729</v>
      </c>
      <c r="L485" s="29">
        <v>0</v>
      </c>
      <c r="N485" s="22">
        <v>45030</v>
      </c>
      <c r="O485" s="26">
        <f t="shared" ca="1" si="33"/>
        <v>0.21608795185398588</v>
      </c>
      <c r="P485" s="29">
        <v>0</v>
      </c>
      <c r="R485" s="22">
        <v>45030</v>
      </c>
      <c r="S485" s="26">
        <f t="shared" ca="1" si="34"/>
        <v>0.71641324748351942</v>
      </c>
      <c r="T485" s="29">
        <v>0</v>
      </c>
      <c r="V485" s="22">
        <v>45030</v>
      </c>
      <c r="W485" s="26">
        <f t="shared" ca="1" si="35"/>
        <v>0.72023372560556109</v>
      </c>
      <c r="X485" s="29">
        <v>0</v>
      </c>
      <c r="Z485" s="22">
        <v>45030</v>
      </c>
      <c r="AA485" s="26">
        <f t="shared" ca="1" si="36"/>
        <v>0.89631385524780283</v>
      </c>
      <c r="AB485" s="29">
        <v>0</v>
      </c>
      <c r="AC485"/>
      <c r="AD485" s="25"/>
      <c r="AF485" s="22">
        <v>45030</v>
      </c>
      <c r="AG485" s="26">
        <f t="shared" ca="1" si="37"/>
        <v>0.26177563242592872</v>
      </c>
      <c r="AH485" s="29">
        <v>0</v>
      </c>
      <c r="AJ485" s="22">
        <v>45030</v>
      </c>
      <c r="AK485" s="26">
        <f t="shared" ca="1" si="38"/>
        <v>0.76132601100902886</v>
      </c>
      <c r="AL485" s="29">
        <v>0</v>
      </c>
      <c r="AN485" s="22">
        <v>45030</v>
      </c>
      <c r="AO485" s="26">
        <f t="shared" ca="1" si="39"/>
        <v>0.20551375902253288</v>
      </c>
      <c r="AP485" s="29">
        <v>0</v>
      </c>
      <c r="AR485" s="22">
        <v>45030</v>
      </c>
      <c r="AS485" s="26">
        <f t="shared" ca="1" si="40"/>
        <v>4.570925242491175E-2</v>
      </c>
      <c r="AT485" s="29">
        <v>0</v>
      </c>
      <c r="AV485" s="22">
        <v>45030</v>
      </c>
      <c r="AW485" s="26">
        <f t="shared" ca="1" si="41"/>
        <v>0.96545333283861956</v>
      </c>
      <c r="AX485" s="29">
        <v>0</v>
      </c>
      <c r="AZ485" s="22">
        <v>45030</v>
      </c>
      <c r="BA485" s="26">
        <f t="shared" ca="1" si="42"/>
        <v>0.40019293171892178</v>
      </c>
      <c r="BB485" s="29">
        <v>0</v>
      </c>
      <c r="BC485"/>
      <c r="BD485" s="25"/>
      <c r="BF485" s="22">
        <v>45030</v>
      </c>
      <c r="BG485" s="26">
        <f t="shared" ca="1" si="43"/>
        <v>0.15178819951681832</v>
      </c>
      <c r="BH485" s="29">
        <v>0</v>
      </c>
      <c r="BJ485" s="22">
        <v>45030</v>
      </c>
      <c r="BK485" s="26">
        <f t="shared" ca="1" si="44"/>
        <v>0.16455266913206301</v>
      </c>
      <c r="BL485" s="29">
        <v>0</v>
      </c>
      <c r="BN485" s="22">
        <v>45030</v>
      </c>
      <c r="BO485" s="26">
        <f t="shared" ca="1" si="45"/>
        <v>0.53313203260576569</v>
      </c>
      <c r="BP485" s="29">
        <v>0</v>
      </c>
      <c r="BR485" s="22">
        <v>45030</v>
      </c>
      <c r="BS485" s="26">
        <f t="shared" ca="1" si="46"/>
        <v>0.11791084082643744</v>
      </c>
      <c r="BT485" s="29">
        <v>0</v>
      </c>
      <c r="BV485" s="22">
        <v>45030</v>
      </c>
      <c r="BW485" s="26">
        <f t="shared" ca="1" si="47"/>
        <v>0.44864166761857427</v>
      </c>
      <c r="BX485" s="29">
        <v>0</v>
      </c>
    </row>
    <row r="486" spans="2:76" ht="12.75" x14ac:dyDescent="0.2">
      <c r="B486" s="22">
        <v>45031</v>
      </c>
      <c r="C486" s="26">
        <f t="shared" ca="1" si="68"/>
        <v>0.72037443543608815</v>
      </c>
      <c r="D486" s="29">
        <v>0</v>
      </c>
      <c r="F486" s="22">
        <v>45031</v>
      </c>
      <c r="G486" s="26">
        <f t="shared" ca="1" si="31"/>
        <v>0.28465650784533236</v>
      </c>
      <c r="H486" s="29">
        <v>0</v>
      </c>
      <c r="J486" s="22">
        <v>45031</v>
      </c>
      <c r="K486" s="26">
        <f t="shared" ca="1" si="32"/>
        <v>0.98613801061125161</v>
      </c>
      <c r="L486" s="29">
        <v>0</v>
      </c>
      <c r="N486" s="22">
        <v>45031</v>
      </c>
      <c r="O486" s="26">
        <f t="shared" ca="1" si="33"/>
        <v>0.34336456440856911</v>
      </c>
      <c r="P486" s="29">
        <v>0</v>
      </c>
      <c r="R486" s="22">
        <v>45031</v>
      </c>
      <c r="S486" s="26">
        <f t="shared" ca="1" si="34"/>
        <v>0.77378448201897898</v>
      </c>
      <c r="T486" s="29">
        <v>0</v>
      </c>
      <c r="V486" s="22">
        <v>45031</v>
      </c>
      <c r="W486" s="26">
        <f t="shared" ca="1" si="35"/>
        <v>0.20066376007955489</v>
      </c>
      <c r="X486" s="29">
        <v>0</v>
      </c>
      <c r="Z486" s="22">
        <v>45031</v>
      </c>
      <c r="AA486" s="26">
        <f t="shared" ca="1" si="36"/>
        <v>8.272939158994963E-2</v>
      </c>
      <c r="AB486" s="29">
        <v>0</v>
      </c>
      <c r="AC486"/>
      <c r="AD486" s="25"/>
      <c r="AF486" s="22">
        <v>45031</v>
      </c>
      <c r="AG486" s="26">
        <f t="shared" ca="1" si="37"/>
        <v>0.75988651884935121</v>
      </c>
      <c r="AH486" s="29">
        <v>0</v>
      </c>
      <c r="AJ486" s="22">
        <v>45031</v>
      </c>
      <c r="AK486" s="26">
        <f t="shared" ca="1" si="38"/>
        <v>8.5750917292480744E-2</v>
      </c>
      <c r="AL486" s="29">
        <v>0</v>
      </c>
      <c r="AN486" s="22">
        <v>45031</v>
      </c>
      <c r="AO486" s="26">
        <f t="shared" ca="1" si="39"/>
        <v>0.50051501678568966</v>
      </c>
      <c r="AP486" s="29">
        <v>0</v>
      </c>
      <c r="AR486" s="22">
        <v>45031</v>
      </c>
      <c r="AS486" s="26">
        <f t="shared" ca="1" si="40"/>
        <v>0.26434704729296055</v>
      </c>
      <c r="AT486" s="29">
        <v>0</v>
      </c>
      <c r="AV486" s="22">
        <v>45031</v>
      </c>
      <c r="AW486" s="26">
        <f t="shared" ca="1" si="41"/>
        <v>0.19849387437736177</v>
      </c>
      <c r="AX486" s="29">
        <v>0</v>
      </c>
      <c r="AZ486" s="22">
        <v>45031</v>
      </c>
      <c r="BA486" s="26">
        <f t="shared" ca="1" si="42"/>
        <v>0.56718123190412784</v>
      </c>
      <c r="BB486" s="29">
        <v>0</v>
      </c>
      <c r="BC486"/>
      <c r="BD486" s="25"/>
      <c r="BF486" s="22">
        <v>45031</v>
      </c>
      <c r="BG486" s="26">
        <f t="shared" ca="1" si="43"/>
        <v>0.2994456057478001</v>
      </c>
      <c r="BH486" s="29">
        <v>0</v>
      </c>
      <c r="BJ486" s="22">
        <v>45031</v>
      </c>
      <c r="BK486" s="26">
        <f t="shared" ca="1" si="44"/>
        <v>0.57382302452060485</v>
      </c>
      <c r="BL486" s="29">
        <v>0</v>
      </c>
      <c r="BN486" s="22">
        <v>45031</v>
      </c>
      <c r="BO486" s="26">
        <f t="shared" ca="1" si="45"/>
        <v>0.50179888419306551</v>
      </c>
      <c r="BP486" s="29">
        <v>0</v>
      </c>
      <c r="BR486" s="22">
        <v>45031</v>
      </c>
      <c r="BS486" s="26">
        <f t="shared" ca="1" si="46"/>
        <v>0.14895779218314431</v>
      </c>
      <c r="BT486" s="29">
        <v>0</v>
      </c>
      <c r="BV486" s="22">
        <v>45031</v>
      </c>
      <c r="BW486" s="26">
        <f t="shared" ca="1" si="47"/>
        <v>0.26875327319943865</v>
      </c>
      <c r="BX486" s="29">
        <v>0</v>
      </c>
    </row>
    <row r="487" spans="2:76" ht="12.75" x14ac:dyDescent="0.2">
      <c r="B487" s="22">
        <v>45032</v>
      </c>
      <c r="C487" s="26">
        <f t="shared" ca="1" si="68"/>
        <v>0.46366907281149716</v>
      </c>
      <c r="D487" s="29">
        <v>0</v>
      </c>
      <c r="F487" s="22">
        <v>45032</v>
      </c>
      <c r="G487" s="26">
        <f t="shared" ca="1" si="31"/>
        <v>0.48466675860394592</v>
      </c>
      <c r="H487" s="29">
        <v>0</v>
      </c>
      <c r="J487" s="22">
        <v>45032</v>
      </c>
      <c r="K487" s="26">
        <f t="shared" ca="1" si="32"/>
        <v>0.39308295044306907</v>
      </c>
      <c r="L487" s="29">
        <v>0</v>
      </c>
      <c r="N487" s="22">
        <v>45032</v>
      </c>
      <c r="O487" s="26">
        <f t="shared" ca="1" si="33"/>
        <v>0.95459378958058005</v>
      </c>
      <c r="P487" s="29">
        <v>0</v>
      </c>
      <c r="R487" s="22">
        <v>45032</v>
      </c>
      <c r="S487" s="26">
        <f t="shared" ca="1" si="34"/>
        <v>0.86025346158532423</v>
      </c>
      <c r="T487" s="29">
        <v>0</v>
      </c>
      <c r="V487" s="22">
        <v>45032</v>
      </c>
      <c r="W487" s="26">
        <f t="shared" ca="1" si="35"/>
        <v>0.43626232462538217</v>
      </c>
      <c r="X487" s="29">
        <v>0</v>
      </c>
      <c r="Z487" s="22">
        <v>45032</v>
      </c>
      <c r="AA487" s="26">
        <f t="shared" ca="1" si="36"/>
        <v>0.33580628061545748</v>
      </c>
      <c r="AB487" s="29">
        <v>0</v>
      </c>
      <c r="AC487"/>
      <c r="AD487" s="25"/>
      <c r="AF487" s="22">
        <v>45032</v>
      </c>
      <c r="AG487" s="26">
        <f t="shared" ca="1" si="37"/>
        <v>5.2768829021896946E-2</v>
      </c>
      <c r="AH487" s="29">
        <v>0</v>
      </c>
      <c r="AJ487" s="22">
        <v>45032</v>
      </c>
      <c r="AK487" s="26">
        <f t="shared" ca="1" si="38"/>
        <v>0.45089525096694472</v>
      </c>
      <c r="AL487" s="29">
        <v>0</v>
      </c>
      <c r="AN487" s="22">
        <v>45032</v>
      </c>
      <c r="AO487" s="26">
        <f t="shared" ca="1" si="39"/>
        <v>0.21814825087019529</v>
      </c>
      <c r="AP487" s="29">
        <v>0</v>
      </c>
      <c r="AR487" s="22">
        <v>45032</v>
      </c>
      <c r="AS487" s="26">
        <f t="shared" ca="1" si="40"/>
        <v>0.78580573934104214</v>
      </c>
      <c r="AT487" s="29">
        <v>0</v>
      </c>
      <c r="AV487" s="22">
        <v>45032</v>
      </c>
      <c r="AW487" s="26">
        <f t="shared" ca="1" si="41"/>
        <v>0.3089197222070228</v>
      </c>
      <c r="AX487" s="29">
        <v>0</v>
      </c>
      <c r="AZ487" s="22">
        <v>45032</v>
      </c>
      <c r="BA487" s="26">
        <f t="shared" ca="1" si="42"/>
        <v>3.21786483635218E-2</v>
      </c>
      <c r="BB487" s="29">
        <v>0</v>
      </c>
      <c r="BC487"/>
      <c r="BD487" s="25"/>
      <c r="BF487" s="22">
        <v>45032</v>
      </c>
      <c r="BG487" s="26">
        <f t="shared" ca="1" si="43"/>
        <v>0.45162291253277398</v>
      </c>
      <c r="BH487" s="29">
        <v>0</v>
      </c>
      <c r="BJ487" s="22">
        <v>45032</v>
      </c>
      <c r="BK487" s="26">
        <f t="shared" ca="1" si="44"/>
        <v>0.97464094991609929</v>
      </c>
      <c r="BL487" s="29">
        <v>0</v>
      </c>
      <c r="BN487" s="22">
        <v>45032</v>
      </c>
      <c r="BO487" s="26">
        <f t="shared" ca="1" si="45"/>
        <v>0.70253250800719358</v>
      </c>
      <c r="BP487" s="29">
        <v>0</v>
      </c>
      <c r="BR487" s="22">
        <v>45032</v>
      </c>
      <c r="BS487" s="26">
        <f t="shared" ca="1" si="46"/>
        <v>6.2722878268980042E-2</v>
      </c>
      <c r="BT487" s="29">
        <v>0</v>
      </c>
      <c r="BV487" s="22">
        <v>45032</v>
      </c>
      <c r="BW487" s="26">
        <f t="shared" ca="1" si="47"/>
        <v>3.6400212150391797E-2</v>
      </c>
      <c r="BX487" s="29">
        <v>0</v>
      </c>
    </row>
    <row r="488" spans="2:76" ht="12.75" x14ac:dyDescent="0.2">
      <c r="B488" s="22">
        <v>45033</v>
      </c>
      <c r="C488" s="26">
        <f t="shared" ca="1" si="68"/>
        <v>0.26348942556774413</v>
      </c>
      <c r="D488" s="29">
        <v>0</v>
      </c>
      <c r="F488" s="22">
        <v>45033</v>
      </c>
      <c r="G488" s="26">
        <f t="shared" ca="1" si="31"/>
        <v>0.96608047138748709</v>
      </c>
      <c r="H488" s="29">
        <v>0</v>
      </c>
      <c r="J488" s="22">
        <v>45033</v>
      </c>
      <c r="K488" s="26">
        <f t="shared" ca="1" si="32"/>
        <v>0.77670691992527896</v>
      </c>
      <c r="L488" s="29">
        <v>0</v>
      </c>
      <c r="N488" s="22">
        <v>45033</v>
      </c>
      <c r="O488" s="26">
        <f t="shared" ca="1" si="33"/>
        <v>0.86573472088373959</v>
      </c>
      <c r="P488" s="29">
        <v>0</v>
      </c>
      <c r="R488" s="22">
        <v>45033</v>
      </c>
      <c r="S488" s="26">
        <f t="shared" ca="1" si="34"/>
        <v>0.97347429410839059</v>
      </c>
      <c r="T488" s="29">
        <v>0</v>
      </c>
      <c r="V488" s="22">
        <v>45033</v>
      </c>
      <c r="W488" s="26">
        <f t="shared" ca="1" si="35"/>
        <v>0.45891448118092071</v>
      </c>
      <c r="X488" s="29">
        <v>0</v>
      </c>
      <c r="Z488" s="22">
        <v>45033</v>
      </c>
      <c r="AA488" s="26">
        <f t="shared" ca="1" si="36"/>
        <v>0.13549263784470889</v>
      </c>
      <c r="AB488" s="29">
        <v>0</v>
      </c>
      <c r="AC488"/>
      <c r="AD488" s="25"/>
      <c r="AF488" s="22">
        <v>45033</v>
      </c>
      <c r="AG488" s="26">
        <f t="shared" ca="1" si="37"/>
        <v>0.36713057386566672</v>
      </c>
      <c r="AH488" s="29">
        <v>0</v>
      </c>
      <c r="AJ488" s="22">
        <v>45033</v>
      </c>
      <c r="AK488" s="26">
        <f t="shared" ca="1" si="38"/>
        <v>0.62281923729240396</v>
      </c>
      <c r="AL488" s="29">
        <v>0</v>
      </c>
      <c r="AN488" s="22">
        <v>45033</v>
      </c>
      <c r="AO488" s="26">
        <f t="shared" ca="1" si="39"/>
        <v>0.21921644312114397</v>
      </c>
      <c r="AP488" s="29">
        <v>0</v>
      </c>
      <c r="AR488" s="22">
        <v>45033</v>
      </c>
      <c r="AS488" s="26">
        <f t="shared" ca="1" si="40"/>
        <v>0.34497102960097803</v>
      </c>
      <c r="AT488" s="29">
        <v>0</v>
      </c>
      <c r="AV488" s="22">
        <v>45033</v>
      </c>
      <c r="AW488" s="26">
        <f t="shared" ca="1" si="41"/>
        <v>0.54297344323151853</v>
      </c>
      <c r="AX488" s="29">
        <v>0</v>
      </c>
      <c r="AZ488" s="22">
        <v>45033</v>
      </c>
      <c r="BA488" s="26">
        <f t="shared" ca="1" si="42"/>
        <v>0.48808697309367843</v>
      </c>
      <c r="BB488" s="29">
        <v>0</v>
      </c>
      <c r="BC488"/>
      <c r="BD488" s="25"/>
      <c r="BF488" s="22">
        <v>45033</v>
      </c>
      <c r="BG488" s="26">
        <f t="shared" ca="1" si="43"/>
        <v>0.502778088007796</v>
      </c>
      <c r="BH488" s="29">
        <v>0</v>
      </c>
      <c r="BJ488" s="22">
        <v>45033</v>
      </c>
      <c r="BK488" s="26">
        <f t="shared" ca="1" si="44"/>
        <v>9.1949935389378346E-2</v>
      </c>
      <c r="BL488" s="29">
        <v>0</v>
      </c>
      <c r="BN488" s="22">
        <v>45033</v>
      </c>
      <c r="BO488" s="26">
        <f t="shared" ca="1" si="45"/>
        <v>0.65266349557980685</v>
      </c>
      <c r="BP488" s="29">
        <v>0</v>
      </c>
      <c r="BR488" s="22">
        <v>45033</v>
      </c>
      <c r="BS488" s="26">
        <f t="shared" ca="1" si="46"/>
        <v>0.81406461810154829</v>
      </c>
      <c r="BT488" s="29">
        <v>0</v>
      </c>
      <c r="BV488" s="22">
        <v>45033</v>
      </c>
      <c r="BW488" s="26">
        <f t="shared" ca="1" si="47"/>
        <v>0.13923631778522083</v>
      </c>
      <c r="BX488" s="29">
        <v>0</v>
      </c>
    </row>
    <row r="489" spans="2:76" ht="12.75" x14ac:dyDescent="0.2">
      <c r="B489" s="22">
        <v>45034</v>
      </c>
      <c r="C489" s="26">
        <f t="shared" ca="1" si="68"/>
        <v>0.89691324841868658</v>
      </c>
      <c r="D489" s="29">
        <v>0</v>
      </c>
      <c r="F489" s="22">
        <v>45034</v>
      </c>
      <c r="G489" s="26">
        <f t="shared" ca="1" si="31"/>
        <v>9.7456159937851838E-2</v>
      </c>
      <c r="H489" s="29">
        <v>0</v>
      </c>
      <c r="J489" s="22">
        <v>45034</v>
      </c>
      <c r="K489" s="26">
        <f t="shared" ca="1" si="32"/>
        <v>0.13941397066730621</v>
      </c>
      <c r="L489" s="29">
        <v>0</v>
      </c>
      <c r="N489" s="22">
        <v>45034</v>
      </c>
      <c r="O489" s="26">
        <f t="shared" ca="1" si="33"/>
        <v>0.97488670167417346</v>
      </c>
      <c r="P489" s="29">
        <v>0</v>
      </c>
      <c r="R489" s="22">
        <v>45034</v>
      </c>
      <c r="S489" s="26">
        <f t="shared" ca="1" si="34"/>
        <v>0.97891767541179031</v>
      </c>
      <c r="T489" s="29">
        <v>0</v>
      </c>
      <c r="V489" s="22">
        <v>45034</v>
      </c>
      <c r="W489" s="26">
        <f t="shared" ca="1" si="35"/>
        <v>0.14270504067619738</v>
      </c>
      <c r="X489" s="29">
        <v>0</v>
      </c>
      <c r="Z489" s="22">
        <v>45034</v>
      </c>
      <c r="AA489" s="26">
        <f t="shared" ca="1" si="36"/>
        <v>0.18349594725854557</v>
      </c>
      <c r="AB489" s="29">
        <v>0</v>
      </c>
      <c r="AC489"/>
      <c r="AD489" s="25"/>
      <c r="AF489" s="22">
        <v>45034</v>
      </c>
      <c r="AG489" s="26">
        <f t="shared" ca="1" si="37"/>
        <v>0.78756635935109509</v>
      </c>
      <c r="AH489" s="29">
        <v>0</v>
      </c>
      <c r="AJ489" s="22">
        <v>45034</v>
      </c>
      <c r="AK489" s="26">
        <f t="shared" ca="1" si="38"/>
        <v>0.27003879923754548</v>
      </c>
      <c r="AL489" s="29">
        <v>0</v>
      </c>
      <c r="AN489" s="22">
        <v>45034</v>
      </c>
      <c r="AO489" s="26">
        <f t="shared" ca="1" si="39"/>
        <v>3.2611147105824578E-2</v>
      </c>
      <c r="AP489" s="29">
        <v>0</v>
      </c>
      <c r="AR489" s="22">
        <v>45034</v>
      </c>
      <c r="AS489" s="26">
        <f t="shared" ca="1" si="40"/>
        <v>0.37942724257300586</v>
      </c>
      <c r="AT489" s="29">
        <v>0</v>
      </c>
      <c r="AV489" s="22">
        <v>45034</v>
      </c>
      <c r="AW489" s="26">
        <f t="shared" ca="1" si="41"/>
        <v>0.84416034340447366</v>
      </c>
      <c r="AX489" s="29">
        <v>0</v>
      </c>
      <c r="AZ489" s="22">
        <v>45034</v>
      </c>
      <c r="BA489" s="26">
        <f t="shared" ca="1" si="42"/>
        <v>0.1932614301698502</v>
      </c>
      <c r="BB489" s="29">
        <v>0</v>
      </c>
      <c r="BC489"/>
      <c r="BD489" s="25"/>
      <c r="BF489" s="22">
        <v>45034</v>
      </c>
      <c r="BG489" s="26">
        <f t="shared" ca="1" si="43"/>
        <v>0.9136958032544511</v>
      </c>
      <c r="BH489" s="29">
        <v>0</v>
      </c>
      <c r="BJ489" s="22">
        <v>45034</v>
      </c>
      <c r="BK489" s="26">
        <f t="shared" ca="1" si="44"/>
        <v>0.84190761422961169</v>
      </c>
      <c r="BL489" s="29">
        <v>0</v>
      </c>
      <c r="BN489" s="22">
        <v>45034</v>
      </c>
      <c r="BO489" s="26">
        <f t="shared" ca="1" si="45"/>
        <v>0.49785143015856526</v>
      </c>
      <c r="BP489" s="29">
        <v>0</v>
      </c>
      <c r="BR489" s="22">
        <v>45034</v>
      </c>
      <c r="BS489" s="26">
        <f t="shared" ca="1" si="46"/>
        <v>0.21005873945368803</v>
      </c>
      <c r="BT489" s="29">
        <v>0</v>
      </c>
      <c r="BV489" s="22">
        <v>45034</v>
      </c>
      <c r="BW489" s="26">
        <f t="shared" ca="1" si="47"/>
        <v>0.10371893779278818</v>
      </c>
      <c r="BX489" s="29">
        <v>0</v>
      </c>
    </row>
    <row r="490" spans="2:76" ht="12.75" x14ac:dyDescent="0.2">
      <c r="B490" s="22">
        <v>45035</v>
      </c>
      <c r="C490" s="26">
        <f t="shared" ca="1" si="68"/>
        <v>0.91519330120349707</v>
      </c>
      <c r="D490" s="29">
        <f t="shared" ca="1" si="77"/>
        <v>103</v>
      </c>
      <c r="F490" s="22">
        <v>45035</v>
      </c>
      <c r="G490" s="26">
        <f t="shared" ca="1" si="31"/>
        <v>0.3189805036572243</v>
      </c>
      <c r="H490" s="29">
        <f t="shared" ca="1" si="69"/>
        <v>209</v>
      </c>
      <c r="J490" s="22">
        <v>45035</v>
      </c>
      <c r="K490" s="26">
        <f t="shared" ca="1" si="32"/>
        <v>9.5305851440112055E-2</v>
      </c>
      <c r="L490" s="29">
        <f t="shared" ca="1" si="70"/>
        <v>137</v>
      </c>
      <c r="N490" s="22">
        <v>45035</v>
      </c>
      <c r="O490" s="26">
        <f t="shared" ca="1" si="33"/>
        <v>0.24268231404665408</v>
      </c>
      <c r="P490" s="29">
        <f t="shared" ca="1" si="71"/>
        <v>219</v>
      </c>
      <c r="R490" s="22">
        <v>45035</v>
      </c>
      <c r="S490" s="26">
        <f t="shared" ca="1" si="34"/>
        <v>0.51024224452274436</v>
      </c>
      <c r="T490" s="29">
        <f t="shared" ca="1" si="72"/>
        <v>139</v>
      </c>
      <c r="V490" s="22">
        <v>45035</v>
      </c>
      <c r="W490" s="26">
        <f t="shared" ca="1" si="35"/>
        <v>0.52206093037883849</v>
      </c>
      <c r="X490" s="29">
        <f t="shared" ca="1" si="73"/>
        <v>226</v>
      </c>
      <c r="Z490" s="22">
        <v>45035</v>
      </c>
      <c r="AA490" s="26">
        <f t="shared" ca="1" si="36"/>
        <v>0.35205296948824161</v>
      </c>
      <c r="AB490" s="29">
        <f t="shared" ca="1" si="74"/>
        <v>264</v>
      </c>
      <c r="AC490"/>
      <c r="AD490" s="25"/>
      <c r="AF490" s="22">
        <v>45035</v>
      </c>
      <c r="AG490" s="26">
        <f t="shared" ca="1" si="37"/>
        <v>0.41875783622255214</v>
      </c>
      <c r="AH490" s="29">
        <f t="shared" ca="1" si="75"/>
        <v>310</v>
      </c>
      <c r="AJ490" s="22">
        <v>45035</v>
      </c>
      <c r="AK490" s="26">
        <f t="shared" ca="1" si="38"/>
        <v>0.63866314495985854</v>
      </c>
      <c r="AL490" s="29">
        <f t="shared" ca="1" si="76"/>
        <v>197</v>
      </c>
      <c r="AN490" s="22">
        <v>45035</v>
      </c>
      <c r="AO490" s="26">
        <f t="shared" ca="1" si="39"/>
        <v>0.11432643508061824</v>
      </c>
      <c r="AP490" s="29">
        <v>0</v>
      </c>
      <c r="AR490" s="22">
        <v>45035</v>
      </c>
      <c r="AS490" s="26">
        <f t="shared" ca="1" si="40"/>
        <v>0.43747590880447185</v>
      </c>
      <c r="AT490" s="29">
        <v>0</v>
      </c>
      <c r="AV490" s="22">
        <v>45035</v>
      </c>
      <c r="AW490" s="26">
        <f t="shared" ca="1" si="41"/>
        <v>0.79545008888306368</v>
      </c>
      <c r="AX490" s="29">
        <v>0</v>
      </c>
      <c r="AZ490" s="22">
        <v>45035</v>
      </c>
      <c r="BA490" s="26">
        <f t="shared" ca="1" si="42"/>
        <v>0.35031781022208608</v>
      </c>
      <c r="BB490" s="29">
        <v>0</v>
      </c>
      <c r="BC490"/>
      <c r="BD490" s="25"/>
      <c r="BF490" s="22">
        <v>45035</v>
      </c>
      <c r="BG490" s="26">
        <f t="shared" ca="1" si="43"/>
        <v>0.15919056274002941</v>
      </c>
      <c r="BH490" s="29">
        <v>0</v>
      </c>
      <c r="BJ490" s="22">
        <v>45035</v>
      </c>
      <c r="BK490" s="26">
        <f t="shared" ca="1" si="44"/>
        <v>0.3870950829105102</v>
      </c>
      <c r="BL490" s="29">
        <v>0</v>
      </c>
      <c r="BN490" s="22">
        <v>45035</v>
      </c>
      <c r="BO490" s="26">
        <f t="shared" ca="1" si="45"/>
        <v>0.46799345923196956</v>
      </c>
      <c r="BP490" s="29">
        <v>0</v>
      </c>
      <c r="BR490" s="22">
        <v>45035</v>
      </c>
      <c r="BS490" s="26">
        <f t="shared" ca="1" si="46"/>
        <v>6.2439649362656224E-2</v>
      </c>
      <c r="BT490" s="29">
        <v>0</v>
      </c>
      <c r="BV490" s="22">
        <v>45035</v>
      </c>
      <c r="BW490" s="26">
        <f t="shared" ca="1" si="47"/>
        <v>0.26459565004829222</v>
      </c>
      <c r="BX490" s="29">
        <v>0</v>
      </c>
    </row>
    <row r="491" spans="2:76" ht="12.75" x14ac:dyDescent="0.2">
      <c r="B491" s="22">
        <v>45036</v>
      </c>
      <c r="C491" s="26">
        <f t="shared" ca="1" si="68"/>
        <v>0.45743697782477832</v>
      </c>
      <c r="D491" s="29">
        <f t="shared" ca="1" si="77"/>
        <v>73</v>
      </c>
      <c r="F491" s="22">
        <v>45036</v>
      </c>
      <c r="G491" s="26">
        <f t="shared" ca="1" si="31"/>
        <v>0.88381220251417647</v>
      </c>
      <c r="H491" s="29">
        <f t="shared" ca="1" si="69"/>
        <v>233</v>
      </c>
      <c r="J491" s="22">
        <v>45036</v>
      </c>
      <c r="K491" s="26">
        <f t="shared" ca="1" si="32"/>
        <v>3.590616828855886E-2</v>
      </c>
      <c r="L491" s="29">
        <f t="shared" ca="1" si="70"/>
        <v>132</v>
      </c>
      <c r="N491" s="22">
        <v>45036</v>
      </c>
      <c r="O491" s="26">
        <f t="shared" ca="1" si="33"/>
        <v>0.65183604797499173</v>
      </c>
      <c r="P491" s="29">
        <f t="shared" ca="1" si="71"/>
        <v>236</v>
      </c>
      <c r="R491" s="22">
        <v>45036</v>
      </c>
      <c r="S491" s="26">
        <f t="shared" ca="1" si="34"/>
        <v>0.36405442291966139</v>
      </c>
      <c r="T491" s="29">
        <f t="shared" ca="1" si="72"/>
        <v>136</v>
      </c>
      <c r="V491" s="22">
        <v>45036</v>
      </c>
      <c r="W491" s="26">
        <f t="shared" ca="1" si="35"/>
        <v>0.26119183589784978</v>
      </c>
      <c r="X491" s="29">
        <f t="shared" ca="1" si="73"/>
        <v>216</v>
      </c>
      <c r="Z491" s="22">
        <v>45036</v>
      </c>
      <c r="AA491" s="26">
        <f t="shared" ca="1" si="36"/>
        <v>0.76315610053135285</v>
      </c>
      <c r="AB491" s="29">
        <f t="shared" ca="1" si="74"/>
        <v>283</v>
      </c>
      <c r="AC491"/>
      <c r="AD491" s="25"/>
      <c r="AF491" s="22">
        <v>45036</v>
      </c>
      <c r="AG491" s="26">
        <f t="shared" ca="1" si="37"/>
        <v>0.48653376048222907</v>
      </c>
      <c r="AH491" s="29">
        <f t="shared" ca="1" si="75"/>
        <v>325</v>
      </c>
      <c r="AJ491" s="22">
        <v>45036</v>
      </c>
      <c r="AK491" s="26">
        <f t="shared" ca="1" si="38"/>
        <v>7.7431113313537359E-2</v>
      </c>
      <c r="AL491" s="29">
        <f t="shared" ca="1" si="76"/>
        <v>112</v>
      </c>
      <c r="AN491" s="22">
        <v>45036</v>
      </c>
      <c r="AO491" s="26">
        <f t="shared" ca="1" si="39"/>
        <v>0.86784018444444144</v>
      </c>
      <c r="AP491" s="29">
        <v>0</v>
      </c>
      <c r="AR491" s="22">
        <v>45036</v>
      </c>
      <c r="AS491" s="26">
        <f t="shared" ca="1" si="40"/>
        <v>0.47141527829068475</v>
      </c>
      <c r="AT491" s="29">
        <v>0</v>
      </c>
      <c r="AV491" s="22">
        <v>45036</v>
      </c>
      <c r="AW491" s="26">
        <f t="shared" ca="1" si="41"/>
        <v>0.61210169492375743</v>
      </c>
      <c r="AX491" s="29">
        <v>0</v>
      </c>
      <c r="AZ491" s="22">
        <v>45036</v>
      </c>
      <c r="BA491" s="26">
        <f t="shared" ca="1" si="42"/>
        <v>0.81581733807991508</v>
      </c>
      <c r="BB491" s="29">
        <v>0</v>
      </c>
      <c r="BC491"/>
      <c r="BD491" s="25"/>
      <c r="BF491" s="22">
        <v>45036</v>
      </c>
      <c r="BG491" s="26">
        <f t="shared" ca="1" si="43"/>
        <v>0.71985683691008218</v>
      </c>
      <c r="BH491" s="29">
        <v>0</v>
      </c>
      <c r="BJ491" s="22">
        <v>45036</v>
      </c>
      <c r="BK491" s="26">
        <f t="shared" ca="1" si="44"/>
        <v>0.19050662883928071</v>
      </c>
      <c r="BL491" s="29">
        <v>0</v>
      </c>
      <c r="BN491" s="22">
        <v>45036</v>
      </c>
      <c r="BO491" s="26">
        <f t="shared" ca="1" si="45"/>
        <v>0.87012817078407523</v>
      </c>
      <c r="BP491" s="29">
        <v>0</v>
      </c>
      <c r="BR491" s="22">
        <v>45036</v>
      </c>
      <c r="BS491" s="26">
        <f t="shared" ca="1" si="46"/>
        <v>0.3394171438121375</v>
      </c>
      <c r="BT491" s="29">
        <v>0</v>
      </c>
      <c r="BV491" s="22">
        <v>45036</v>
      </c>
      <c r="BW491" s="26">
        <f t="shared" ca="1" si="47"/>
        <v>0.89961828670189936</v>
      </c>
      <c r="BX491" s="29">
        <v>0</v>
      </c>
    </row>
    <row r="492" spans="2:76" ht="12.75" x14ac:dyDescent="0.2">
      <c r="B492" s="22">
        <v>45037</v>
      </c>
      <c r="C492" s="26">
        <f t="shared" ca="1" si="68"/>
        <v>0.84171246525362842</v>
      </c>
      <c r="D492" s="29">
        <f t="shared" ca="1" si="77"/>
        <v>96</v>
      </c>
      <c r="F492" s="22">
        <v>45037</v>
      </c>
      <c r="G492" s="26">
        <f t="shared" ca="1" si="31"/>
        <v>0.27582203796520155</v>
      </c>
      <c r="H492" s="29">
        <f t="shared" ca="1" si="69"/>
        <v>207</v>
      </c>
      <c r="J492" s="22">
        <v>45037</v>
      </c>
      <c r="K492" s="26">
        <f t="shared" ca="1" si="32"/>
        <v>0.12273006145772769</v>
      </c>
      <c r="L492" s="29">
        <f t="shared" ca="1" si="70"/>
        <v>139</v>
      </c>
      <c r="N492" s="22">
        <v>45037</v>
      </c>
      <c r="O492" s="26">
        <f t="shared" ca="1" si="33"/>
        <v>0.11199541821398518</v>
      </c>
      <c r="P492" s="29">
        <f t="shared" ca="1" si="71"/>
        <v>211</v>
      </c>
      <c r="R492" s="22">
        <v>45037</v>
      </c>
      <c r="S492" s="26">
        <f t="shared" ca="1" si="34"/>
        <v>0.28295749477994447</v>
      </c>
      <c r="T492" s="29">
        <f t="shared" ca="1" si="72"/>
        <v>134</v>
      </c>
      <c r="V492" s="22">
        <v>45037</v>
      </c>
      <c r="W492" s="26">
        <f t="shared" ca="1" si="35"/>
        <v>0.11495618352063475</v>
      </c>
      <c r="X492" s="29">
        <f t="shared" ca="1" si="73"/>
        <v>207</v>
      </c>
      <c r="Z492" s="22">
        <v>45037</v>
      </c>
      <c r="AA492" s="26">
        <f t="shared" ca="1" si="36"/>
        <v>0.15361354297564467</v>
      </c>
      <c r="AB492" s="29">
        <f t="shared" ca="1" si="74"/>
        <v>252</v>
      </c>
      <c r="AC492"/>
      <c r="AD492" s="25"/>
      <c r="AF492" s="22">
        <v>45037</v>
      </c>
      <c r="AG492" s="26">
        <f t="shared" ca="1" si="37"/>
        <v>0.78575995045521774</v>
      </c>
      <c r="AH492" s="29">
        <f t="shared" ca="1" si="75"/>
        <v>397</v>
      </c>
      <c r="AJ492" s="22">
        <v>45037</v>
      </c>
      <c r="AK492" s="26">
        <f t="shared" ca="1" si="38"/>
        <v>0.64700409943734816</v>
      </c>
      <c r="AL492" s="29">
        <f t="shared" ca="1" si="76"/>
        <v>198</v>
      </c>
      <c r="AN492" s="22">
        <v>45037</v>
      </c>
      <c r="AO492" s="26">
        <f t="shared" ca="1" si="39"/>
        <v>0.97630283019991926</v>
      </c>
      <c r="AP492" s="29">
        <v>0</v>
      </c>
      <c r="AR492" s="22">
        <v>45037</v>
      </c>
      <c r="AS492" s="26">
        <f t="shared" ca="1" si="40"/>
        <v>0.72012437611921432</v>
      </c>
      <c r="AT492" s="29">
        <v>0</v>
      </c>
      <c r="AV492" s="22">
        <v>45037</v>
      </c>
      <c r="AW492" s="26">
        <f t="shared" ca="1" si="41"/>
        <v>0.91614378427569987</v>
      </c>
      <c r="AX492" s="29">
        <v>0</v>
      </c>
      <c r="AZ492" s="22">
        <v>45037</v>
      </c>
      <c r="BA492" s="26">
        <f t="shared" ca="1" si="42"/>
        <v>0.80377669425877651</v>
      </c>
      <c r="BB492" s="29">
        <v>0</v>
      </c>
      <c r="BC492"/>
      <c r="BD492" s="25"/>
      <c r="BF492" s="22">
        <v>45037</v>
      </c>
      <c r="BG492" s="26">
        <f t="shared" ca="1" si="43"/>
        <v>0.89679760200783043</v>
      </c>
      <c r="BH492" s="29">
        <v>0</v>
      </c>
      <c r="BJ492" s="22">
        <v>45037</v>
      </c>
      <c r="BK492" s="26">
        <f t="shared" ca="1" si="44"/>
        <v>0.62315506180660929</v>
      </c>
      <c r="BL492" s="29">
        <v>0</v>
      </c>
      <c r="BN492" s="22">
        <v>45037</v>
      </c>
      <c r="BO492" s="26">
        <f t="shared" ca="1" si="45"/>
        <v>0.6514372505235011</v>
      </c>
      <c r="BP492" s="29">
        <v>0</v>
      </c>
      <c r="BR492" s="22">
        <v>45037</v>
      </c>
      <c r="BS492" s="26">
        <f t="shared" ca="1" si="46"/>
        <v>0.38112660481128346</v>
      </c>
      <c r="BT492" s="29">
        <v>0</v>
      </c>
      <c r="BV492" s="22">
        <v>45037</v>
      </c>
      <c r="BW492" s="26">
        <f t="shared" ca="1" si="47"/>
        <v>0.64066544618270993</v>
      </c>
      <c r="BX492" s="29">
        <v>0</v>
      </c>
    </row>
    <row r="493" spans="2:76" ht="12.75" x14ac:dyDescent="0.2">
      <c r="B493" s="22">
        <v>45038</v>
      </c>
      <c r="C493" s="26">
        <f t="shared" ca="1" si="68"/>
        <v>0.45139951981130211</v>
      </c>
      <c r="D493" s="29">
        <f t="shared" ca="1" si="77"/>
        <v>73</v>
      </c>
      <c r="F493" s="22">
        <v>45038</v>
      </c>
      <c r="G493" s="26">
        <f t="shared" ca="1" si="31"/>
        <v>0.23122441609798916</v>
      </c>
      <c r="H493" s="29">
        <f t="shared" ca="1" si="69"/>
        <v>205</v>
      </c>
      <c r="J493" s="22">
        <v>45038</v>
      </c>
      <c r="K493" s="26">
        <f t="shared" ca="1" si="32"/>
        <v>0.5161660255526862</v>
      </c>
      <c r="L493" s="29">
        <f t="shared" ca="1" si="70"/>
        <v>151</v>
      </c>
      <c r="N493" s="22">
        <v>45038</v>
      </c>
      <c r="O493" s="26">
        <f t="shared" ca="1" si="33"/>
        <v>0.49559263803174625</v>
      </c>
      <c r="P493" s="29">
        <f t="shared" ca="1" si="71"/>
        <v>230</v>
      </c>
      <c r="R493" s="22">
        <v>45038</v>
      </c>
      <c r="S493" s="26">
        <f t="shared" ca="1" si="34"/>
        <v>0.3874761248694425</v>
      </c>
      <c r="T493" s="29">
        <f t="shared" ca="1" si="72"/>
        <v>137</v>
      </c>
      <c r="V493" s="22">
        <v>45038</v>
      </c>
      <c r="W493" s="26">
        <f t="shared" ca="1" si="35"/>
        <v>0.81055030597530375</v>
      </c>
      <c r="X493" s="29">
        <f t="shared" ca="1" si="73"/>
        <v>239</v>
      </c>
      <c r="Z493" s="22">
        <v>45038</v>
      </c>
      <c r="AA493" s="26">
        <f t="shared" ca="1" si="36"/>
        <v>0.2485640701030386</v>
      </c>
      <c r="AB493" s="29">
        <f t="shared" ca="1" si="74"/>
        <v>258</v>
      </c>
      <c r="AC493"/>
      <c r="AD493" s="25"/>
      <c r="AF493" s="22">
        <v>45038</v>
      </c>
      <c r="AG493" s="26">
        <f t="shared" ca="1" si="37"/>
        <v>0.63265530356469124</v>
      </c>
      <c r="AH493" s="29">
        <f t="shared" ca="1" si="75"/>
        <v>357</v>
      </c>
      <c r="AJ493" s="22">
        <v>45038</v>
      </c>
      <c r="AK493" s="26">
        <f t="shared" ca="1" si="38"/>
        <v>0.62974416118248755</v>
      </c>
      <c r="AL493" s="29">
        <f t="shared" ca="1" si="76"/>
        <v>196</v>
      </c>
      <c r="AN493" s="22">
        <v>45038</v>
      </c>
      <c r="AO493" s="26">
        <f t="shared" ca="1" si="39"/>
        <v>0.64471000330622663</v>
      </c>
      <c r="AP493" s="29">
        <v>0</v>
      </c>
      <c r="AR493" s="22">
        <v>45038</v>
      </c>
      <c r="AS493" s="26">
        <f t="shared" ca="1" si="40"/>
        <v>0.52468618113496313</v>
      </c>
      <c r="AT493" s="29">
        <v>0</v>
      </c>
      <c r="AV493" s="22">
        <v>45038</v>
      </c>
      <c r="AW493" s="26">
        <f t="shared" ca="1" si="41"/>
        <v>0.20346728254171076</v>
      </c>
      <c r="AX493" s="29">
        <v>0</v>
      </c>
      <c r="AZ493" s="22">
        <v>45038</v>
      </c>
      <c r="BA493" s="26">
        <f t="shared" ca="1" si="42"/>
        <v>0.65128112089396284</v>
      </c>
      <c r="BB493" s="29">
        <v>0</v>
      </c>
      <c r="BC493"/>
      <c r="BD493" s="25"/>
      <c r="BF493" s="22">
        <v>45038</v>
      </c>
      <c r="BG493" s="26">
        <f t="shared" ca="1" si="43"/>
        <v>0.18422700134714742</v>
      </c>
      <c r="BH493" s="29">
        <v>0</v>
      </c>
      <c r="BJ493" s="22">
        <v>45038</v>
      </c>
      <c r="BK493" s="26">
        <f t="shared" ca="1" si="44"/>
        <v>0.80395802355854995</v>
      </c>
      <c r="BL493" s="29">
        <v>0</v>
      </c>
      <c r="BN493" s="22">
        <v>45038</v>
      </c>
      <c r="BO493" s="26">
        <f t="shared" ca="1" si="45"/>
        <v>0.84657164110082594</v>
      </c>
      <c r="BP493" s="29">
        <v>0</v>
      </c>
      <c r="BR493" s="22">
        <v>45038</v>
      </c>
      <c r="BS493" s="26">
        <f t="shared" ca="1" si="46"/>
        <v>0.40849149162537657</v>
      </c>
      <c r="BT493" s="29">
        <v>0</v>
      </c>
      <c r="BV493" s="22">
        <v>45038</v>
      </c>
      <c r="BW493" s="26">
        <f t="shared" ca="1" si="47"/>
        <v>0.4862953949982004</v>
      </c>
      <c r="BX493" s="29">
        <v>0</v>
      </c>
    </row>
    <row r="494" spans="2:76" ht="12.75" x14ac:dyDescent="0.2">
      <c r="B494" s="22">
        <v>45039</v>
      </c>
      <c r="C494" s="26">
        <f t="shared" ca="1" si="68"/>
        <v>0.46334245135948915</v>
      </c>
      <c r="D494" s="29">
        <f t="shared" ca="1" si="77"/>
        <v>74</v>
      </c>
      <c r="F494" s="22">
        <v>45039</v>
      </c>
      <c r="G494" s="26">
        <f t="shared" ca="1" si="31"/>
        <v>0.10164282974012739</v>
      </c>
      <c r="H494" s="29">
        <f t="shared" ca="1" si="69"/>
        <v>198</v>
      </c>
      <c r="J494" s="22">
        <v>45039</v>
      </c>
      <c r="K494" s="26">
        <f t="shared" ca="1" si="32"/>
        <v>0.4317916647601211</v>
      </c>
      <c r="L494" s="29">
        <f t="shared" ca="1" si="70"/>
        <v>149</v>
      </c>
      <c r="N494" s="22">
        <v>45039</v>
      </c>
      <c r="O494" s="26">
        <f t="shared" ca="1" si="33"/>
        <v>0.86918659587137936</v>
      </c>
      <c r="P494" s="29">
        <f t="shared" ca="1" si="71"/>
        <v>247</v>
      </c>
      <c r="R494" s="22">
        <v>45039</v>
      </c>
      <c r="S494" s="26">
        <f t="shared" ca="1" si="34"/>
        <v>0.58304691935329001</v>
      </c>
      <c r="T494" s="29">
        <f t="shared" ca="1" si="72"/>
        <v>141</v>
      </c>
      <c r="V494" s="22">
        <v>45039</v>
      </c>
      <c r="W494" s="26">
        <f t="shared" ca="1" si="35"/>
        <v>0.25654409252193533</v>
      </c>
      <c r="X494" s="29">
        <f t="shared" ca="1" si="73"/>
        <v>216</v>
      </c>
      <c r="Z494" s="22">
        <v>45039</v>
      </c>
      <c r="AA494" s="26">
        <f t="shared" ca="1" si="36"/>
        <v>0.78550483857200137</v>
      </c>
      <c r="AB494" s="29">
        <f t="shared" ca="1" si="74"/>
        <v>285</v>
      </c>
      <c r="AC494"/>
      <c r="AD494" s="25"/>
      <c r="AF494" s="22">
        <v>45039</v>
      </c>
      <c r="AG494" s="26">
        <f t="shared" ca="1" si="37"/>
        <v>0.69977264429158859</v>
      </c>
      <c r="AH494" s="29">
        <f t="shared" ca="1" si="75"/>
        <v>373</v>
      </c>
      <c r="AJ494" s="22">
        <v>45039</v>
      </c>
      <c r="AK494" s="26">
        <f t="shared" ca="1" si="38"/>
        <v>0.37914120055124478</v>
      </c>
      <c r="AL494" s="29">
        <f t="shared" ca="1" si="76"/>
        <v>166</v>
      </c>
      <c r="AN494" s="22">
        <v>45039</v>
      </c>
      <c r="AO494" s="26">
        <f t="shared" ca="1" si="39"/>
        <v>0.71827403955349955</v>
      </c>
      <c r="AP494" s="29">
        <v>0</v>
      </c>
      <c r="AR494" s="22">
        <v>45039</v>
      </c>
      <c r="AS494" s="26">
        <f t="shared" ca="1" si="40"/>
        <v>0.66415485394750873</v>
      </c>
      <c r="AT494" s="29">
        <v>0</v>
      </c>
      <c r="AV494" s="22">
        <v>45039</v>
      </c>
      <c r="AW494" s="26">
        <f t="shared" ca="1" si="41"/>
        <v>0.43806405648397273</v>
      </c>
      <c r="AX494" s="29">
        <v>0</v>
      </c>
      <c r="AZ494" s="22">
        <v>45039</v>
      </c>
      <c r="BA494" s="26">
        <f t="shared" ca="1" si="42"/>
        <v>2.607156892715945E-2</v>
      </c>
      <c r="BB494" s="29">
        <v>0</v>
      </c>
      <c r="BC494"/>
      <c r="BD494" s="25"/>
      <c r="BF494" s="22">
        <v>45039</v>
      </c>
      <c r="BG494" s="26">
        <f t="shared" ca="1" si="43"/>
        <v>0.78602296911257552</v>
      </c>
      <c r="BH494" s="29">
        <v>0</v>
      </c>
      <c r="BJ494" s="22">
        <v>45039</v>
      </c>
      <c r="BK494" s="26">
        <f t="shared" ca="1" si="44"/>
        <v>9.501665081804278E-2</v>
      </c>
      <c r="BL494" s="29">
        <v>0</v>
      </c>
      <c r="BN494" s="22">
        <v>45039</v>
      </c>
      <c r="BO494" s="26">
        <f t="shared" ca="1" si="45"/>
        <v>5.9265571744807621E-3</v>
      </c>
      <c r="BP494" s="29">
        <v>0</v>
      </c>
      <c r="BR494" s="22">
        <v>45039</v>
      </c>
      <c r="BS494" s="26">
        <f t="shared" ca="1" si="46"/>
        <v>1.1933789167997588E-2</v>
      </c>
      <c r="BT494" s="29">
        <v>0</v>
      </c>
      <c r="BV494" s="22">
        <v>45039</v>
      </c>
      <c r="BW494" s="26">
        <f t="shared" ca="1" si="47"/>
        <v>0.2372903404800456</v>
      </c>
      <c r="BX494" s="29">
        <v>0</v>
      </c>
    </row>
    <row r="495" spans="2:76" ht="12.75" x14ac:dyDescent="0.2">
      <c r="B495" s="22">
        <v>45040</v>
      </c>
      <c r="C495" s="26">
        <f t="shared" ca="1" si="68"/>
        <v>0.30722242510359055</v>
      </c>
      <c r="D495" s="29">
        <f t="shared" ca="1" si="77"/>
        <v>65</v>
      </c>
      <c r="F495" s="22">
        <v>45040</v>
      </c>
      <c r="G495" s="26">
        <f t="shared" ca="1" si="31"/>
        <v>0.83872235134896267</v>
      </c>
      <c r="H495" s="29">
        <f t="shared" ca="1" si="69"/>
        <v>230</v>
      </c>
      <c r="J495" s="22">
        <v>45040</v>
      </c>
      <c r="K495" s="26">
        <f t="shared" ca="1" si="32"/>
        <v>0.38481036341685571</v>
      </c>
      <c r="L495" s="29">
        <f t="shared" ca="1" si="70"/>
        <v>148</v>
      </c>
      <c r="N495" s="22">
        <v>45040</v>
      </c>
      <c r="O495" s="26">
        <f t="shared" ca="1" si="33"/>
        <v>0.84466368071641851</v>
      </c>
      <c r="P495" s="29">
        <f t="shared" ca="1" si="71"/>
        <v>245</v>
      </c>
      <c r="R495" s="22">
        <v>45040</v>
      </c>
      <c r="S495" s="26">
        <f t="shared" ca="1" si="34"/>
        <v>0.62941394011287544</v>
      </c>
      <c r="T495" s="29">
        <f t="shared" ca="1" si="72"/>
        <v>142</v>
      </c>
      <c r="V495" s="22">
        <v>45040</v>
      </c>
      <c r="W495" s="26">
        <f t="shared" ca="1" si="35"/>
        <v>0.55612536329759321</v>
      </c>
      <c r="X495" s="29">
        <f t="shared" ca="1" si="73"/>
        <v>228</v>
      </c>
      <c r="Z495" s="22">
        <v>45040</v>
      </c>
      <c r="AA495" s="26">
        <f t="shared" ca="1" si="36"/>
        <v>5.1633733000357673E-2</v>
      </c>
      <c r="AB495" s="29">
        <f t="shared" ca="1" si="74"/>
        <v>241</v>
      </c>
      <c r="AC495"/>
      <c r="AD495" s="25"/>
      <c r="AF495" s="22">
        <v>45040</v>
      </c>
      <c r="AG495" s="26">
        <f t="shared" ca="1" si="37"/>
        <v>5.7524800069112092E-2</v>
      </c>
      <c r="AH495" s="29">
        <f t="shared" ca="1" si="75"/>
        <v>190</v>
      </c>
      <c r="AJ495" s="22">
        <v>45040</v>
      </c>
      <c r="AK495" s="26">
        <f t="shared" ca="1" si="38"/>
        <v>0.94893486145696737</v>
      </c>
      <c r="AL495" s="29">
        <f t="shared" ca="1" si="76"/>
        <v>259</v>
      </c>
      <c r="AN495" s="22">
        <v>45040</v>
      </c>
      <c r="AO495" s="26">
        <f t="shared" ca="1" si="39"/>
        <v>0.98947010714015615</v>
      </c>
      <c r="AP495" s="29">
        <v>0</v>
      </c>
      <c r="AR495" s="22">
        <v>45040</v>
      </c>
      <c r="AS495" s="26">
        <f t="shared" ca="1" si="40"/>
        <v>0.97856208352532148</v>
      </c>
      <c r="AT495" s="29">
        <v>0</v>
      </c>
      <c r="AV495" s="22">
        <v>45040</v>
      </c>
      <c r="AW495" s="26">
        <f t="shared" ca="1" si="41"/>
        <v>0.9293019796694898</v>
      </c>
      <c r="AX495" s="29">
        <v>0</v>
      </c>
      <c r="AZ495" s="22">
        <v>45040</v>
      </c>
      <c r="BA495" s="26">
        <f t="shared" ca="1" si="42"/>
        <v>0.93740843660750206</v>
      </c>
      <c r="BB495" s="29">
        <v>0</v>
      </c>
      <c r="BC495"/>
      <c r="BD495" s="25"/>
      <c r="BF495" s="22">
        <v>45040</v>
      </c>
      <c r="BG495" s="26">
        <f t="shared" ca="1" si="43"/>
        <v>0.98377335246435704</v>
      </c>
      <c r="BH495" s="29">
        <v>0</v>
      </c>
      <c r="BJ495" s="22">
        <v>45040</v>
      </c>
      <c r="BK495" s="26">
        <f t="shared" ca="1" si="44"/>
        <v>0.62782437130514135</v>
      </c>
      <c r="BL495" s="29">
        <v>0</v>
      </c>
      <c r="BN495" s="22">
        <v>45040</v>
      </c>
      <c r="BO495" s="26">
        <f t="shared" ca="1" si="45"/>
        <v>0.30908278088356056</v>
      </c>
      <c r="BP495" s="29">
        <v>0</v>
      </c>
      <c r="BR495" s="22">
        <v>45040</v>
      </c>
      <c r="BS495" s="26">
        <f t="shared" ca="1" si="46"/>
        <v>0.64085695918096042</v>
      </c>
      <c r="BT495" s="29">
        <v>0</v>
      </c>
      <c r="BV495" s="22">
        <v>45040</v>
      </c>
      <c r="BW495" s="26">
        <f t="shared" ca="1" si="47"/>
        <v>0.16496040428081871</v>
      </c>
      <c r="BX495" s="29">
        <v>0</v>
      </c>
    </row>
    <row r="496" spans="2:76" ht="12.75" x14ac:dyDescent="0.2">
      <c r="B496" s="22">
        <v>45041</v>
      </c>
      <c r="C496" s="26">
        <f t="shared" ca="1" si="68"/>
        <v>0.32016993562855323</v>
      </c>
      <c r="D496" s="29">
        <f t="shared" ca="1" si="77"/>
        <v>66</v>
      </c>
      <c r="F496" s="22">
        <v>45041</v>
      </c>
      <c r="G496" s="26">
        <f t="shared" ca="1" si="31"/>
        <v>0.17832616656569722</v>
      </c>
      <c r="H496" s="29">
        <f t="shared" ca="1" si="69"/>
        <v>203</v>
      </c>
      <c r="J496" s="22">
        <v>45041</v>
      </c>
      <c r="K496" s="26">
        <f t="shared" ca="1" si="32"/>
        <v>0.82223085391763318</v>
      </c>
      <c r="L496" s="29">
        <f t="shared" ca="1" si="70"/>
        <v>160</v>
      </c>
      <c r="N496" s="22">
        <v>45041</v>
      </c>
      <c r="O496" s="26">
        <f t="shared" ca="1" si="33"/>
        <v>0.15963998020219883</v>
      </c>
      <c r="P496" s="29">
        <f t="shared" ca="1" si="71"/>
        <v>215</v>
      </c>
      <c r="R496" s="22">
        <v>45041</v>
      </c>
      <c r="S496" s="26">
        <f t="shared" ca="1" si="34"/>
        <v>0.12722637336128007</v>
      </c>
      <c r="T496" s="29">
        <f t="shared" ca="1" si="72"/>
        <v>129</v>
      </c>
      <c r="V496" s="22">
        <v>45041</v>
      </c>
      <c r="W496" s="26">
        <f t="shared" ca="1" si="35"/>
        <v>0.49763053706449478</v>
      </c>
      <c r="X496" s="29">
        <f t="shared" ca="1" si="73"/>
        <v>225</v>
      </c>
      <c r="Z496" s="22">
        <v>45041</v>
      </c>
      <c r="AA496" s="26">
        <f t="shared" ca="1" si="36"/>
        <v>0.53319019323057115</v>
      </c>
      <c r="AB496" s="29">
        <f t="shared" ca="1" si="74"/>
        <v>272</v>
      </c>
      <c r="AC496"/>
      <c r="AD496" s="25"/>
      <c r="AF496" s="22">
        <v>45041</v>
      </c>
      <c r="AG496" s="26">
        <f t="shared" ca="1" si="37"/>
        <v>0.58502941850875023</v>
      </c>
      <c r="AH496" s="29">
        <f t="shared" ca="1" si="75"/>
        <v>346</v>
      </c>
      <c r="AJ496" s="22">
        <v>45041</v>
      </c>
      <c r="AK496" s="26">
        <f t="shared" ca="1" si="38"/>
        <v>0.24442194337553991</v>
      </c>
      <c r="AL496" s="29">
        <f t="shared" ca="1" si="76"/>
        <v>147</v>
      </c>
      <c r="AN496" s="22">
        <v>45041</v>
      </c>
      <c r="AO496" s="26">
        <f t="shared" ca="1" si="39"/>
        <v>0.28447877650777398</v>
      </c>
      <c r="AP496" s="29">
        <v>0</v>
      </c>
      <c r="AR496" s="22">
        <v>45041</v>
      </c>
      <c r="AS496" s="26">
        <f t="shared" ca="1" si="40"/>
        <v>1.3927582424068108E-3</v>
      </c>
      <c r="AT496" s="29">
        <v>0</v>
      </c>
      <c r="AV496" s="22">
        <v>45041</v>
      </c>
      <c r="AW496" s="26">
        <f t="shared" ca="1" si="41"/>
        <v>0.39617071394688985</v>
      </c>
      <c r="AX496" s="29">
        <v>0</v>
      </c>
      <c r="AZ496" s="22">
        <v>45041</v>
      </c>
      <c r="BA496" s="26">
        <f t="shared" ca="1" si="42"/>
        <v>0.26593617631607014</v>
      </c>
      <c r="BB496" s="29">
        <v>0</v>
      </c>
      <c r="BC496"/>
      <c r="BD496" s="25"/>
      <c r="BF496" s="22">
        <v>45041</v>
      </c>
      <c r="BG496" s="26">
        <f t="shared" ca="1" si="43"/>
        <v>0.22543480578429376</v>
      </c>
      <c r="BH496" s="29">
        <v>0</v>
      </c>
      <c r="BJ496" s="22">
        <v>45041</v>
      </c>
      <c r="BK496" s="26">
        <f t="shared" ca="1" si="44"/>
        <v>0.21078271232096568</v>
      </c>
      <c r="BL496" s="29">
        <v>0</v>
      </c>
      <c r="BN496" s="22">
        <v>45041</v>
      </c>
      <c r="BO496" s="26">
        <f t="shared" ca="1" si="45"/>
        <v>0.20074084723559926</v>
      </c>
      <c r="BP496" s="29">
        <v>0</v>
      </c>
      <c r="BR496" s="22">
        <v>45041</v>
      </c>
      <c r="BS496" s="26">
        <f t="shared" ca="1" si="46"/>
        <v>0.41854402294251003</v>
      </c>
      <c r="BT496" s="29">
        <v>0</v>
      </c>
      <c r="BV496" s="22">
        <v>45041</v>
      </c>
      <c r="BW496" s="26">
        <f t="shared" ca="1" si="47"/>
        <v>0.51769505920251635</v>
      </c>
      <c r="BX496" s="29">
        <v>0</v>
      </c>
    </row>
    <row r="497" spans="2:77" ht="12.75" x14ac:dyDescent="0.2">
      <c r="B497" s="22">
        <v>45042</v>
      </c>
      <c r="C497" s="26">
        <f t="shared" ca="1" si="68"/>
        <v>0.96566311492441181</v>
      </c>
      <c r="D497" s="29">
        <f t="shared" ca="1" si="77"/>
        <v>112</v>
      </c>
      <c r="F497" s="22">
        <v>45042</v>
      </c>
      <c r="G497" s="26">
        <f t="shared" ca="1" si="31"/>
        <v>0.58474659725044176</v>
      </c>
      <c r="H497" s="29">
        <f t="shared" ca="1" si="69"/>
        <v>219</v>
      </c>
      <c r="J497" s="22">
        <v>45042</v>
      </c>
      <c r="K497" s="26">
        <f t="shared" ca="1" si="32"/>
        <v>0.91271684920011653</v>
      </c>
      <c r="L497" s="29">
        <f t="shared" ca="1" si="70"/>
        <v>164</v>
      </c>
      <c r="N497" s="22">
        <v>45042</v>
      </c>
      <c r="O497" s="26">
        <f t="shared" ca="1" si="33"/>
        <v>0.44678980090630549</v>
      </c>
      <c r="P497" s="29">
        <f t="shared" ca="1" si="71"/>
        <v>228</v>
      </c>
      <c r="R497" s="22">
        <v>45042</v>
      </c>
      <c r="S497" s="26">
        <f t="shared" ca="1" si="34"/>
        <v>0.5319856121706209</v>
      </c>
      <c r="T497" s="29">
        <f t="shared" ca="1" si="72"/>
        <v>140</v>
      </c>
      <c r="V497" s="22">
        <v>45042</v>
      </c>
      <c r="W497" s="26">
        <f t="shared" ca="1" si="35"/>
        <v>0.43454868038595662</v>
      </c>
      <c r="X497" s="29">
        <f t="shared" ca="1" si="73"/>
        <v>223</v>
      </c>
      <c r="Z497" s="22">
        <v>45042</v>
      </c>
      <c r="AA497" s="26">
        <f t="shared" ca="1" si="36"/>
        <v>0.69402858192438022</v>
      </c>
      <c r="AB497" s="29">
        <f t="shared" ca="1" si="74"/>
        <v>280</v>
      </c>
      <c r="AC497"/>
      <c r="AD497" s="25"/>
      <c r="AF497" s="22">
        <v>45042</v>
      </c>
      <c r="AG497" s="26">
        <f t="shared" ca="1" si="37"/>
        <v>0.46117004820393848</v>
      </c>
      <c r="AH497" s="29">
        <f t="shared" ca="1" si="75"/>
        <v>319</v>
      </c>
      <c r="AJ497" s="22">
        <v>45042</v>
      </c>
      <c r="AK497" s="26">
        <f t="shared" ca="1" si="38"/>
        <v>0.46690259904754139</v>
      </c>
      <c r="AL497" s="29">
        <f t="shared" ca="1" si="76"/>
        <v>176</v>
      </c>
      <c r="AN497" s="22">
        <v>45042</v>
      </c>
      <c r="AO497" s="26">
        <f t="shared" ca="1" si="39"/>
        <v>0.33435550007579551</v>
      </c>
      <c r="AP497" s="29">
        <v>0</v>
      </c>
      <c r="AR497" s="22">
        <v>45042</v>
      </c>
      <c r="AS497" s="26">
        <f t="shared" ca="1" si="40"/>
        <v>0.44541629565605745</v>
      </c>
      <c r="AT497" s="29">
        <v>0</v>
      </c>
      <c r="AV497" s="22">
        <v>45042</v>
      </c>
      <c r="AW497" s="26">
        <f t="shared" ca="1" si="41"/>
        <v>0.60644350032138028</v>
      </c>
      <c r="AX497" s="29">
        <v>0</v>
      </c>
      <c r="AZ497" s="22">
        <v>45042</v>
      </c>
      <c r="BA497" s="26">
        <f t="shared" ca="1" si="42"/>
        <v>0.2087151902185026</v>
      </c>
      <c r="BB497" s="29">
        <v>0</v>
      </c>
      <c r="BC497"/>
      <c r="BD497" s="25"/>
      <c r="BF497" s="22">
        <v>45042</v>
      </c>
      <c r="BG497" s="26">
        <f t="shared" ca="1" si="43"/>
        <v>0.72438065048079325</v>
      </c>
      <c r="BH497" s="29">
        <v>0</v>
      </c>
      <c r="BJ497" s="22">
        <v>45042</v>
      </c>
      <c r="BK497" s="26">
        <f t="shared" ca="1" si="44"/>
        <v>0.70752555222385005</v>
      </c>
      <c r="BL497" s="29">
        <v>0</v>
      </c>
      <c r="BN497" s="22">
        <v>45042</v>
      </c>
      <c r="BO497" s="26">
        <f t="shared" ca="1" si="45"/>
        <v>0.72955032605751291</v>
      </c>
      <c r="BP497" s="29">
        <v>0</v>
      </c>
      <c r="BR497" s="22">
        <v>45042</v>
      </c>
      <c r="BS497" s="26">
        <f t="shared" ca="1" si="46"/>
        <v>0.38054842727004023</v>
      </c>
      <c r="BT497" s="29">
        <v>0</v>
      </c>
      <c r="BV497" s="22">
        <v>45042</v>
      </c>
      <c r="BW497" s="26">
        <f t="shared" ca="1" si="47"/>
        <v>0.82787398545708679</v>
      </c>
      <c r="BX497" s="29">
        <v>0</v>
      </c>
    </row>
    <row r="498" spans="2:77" ht="12.75" x14ac:dyDescent="0.2">
      <c r="B498" s="22">
        <v>45043</v>
      </c>
      <c r="C498" s="26">
        <f t="shared" ca="1" si="68"/>
        <v>0.14299087557622159</v>
      </c>
      <c r="D498" s="29">
        <f t="shared" ca="1" si="77"/>
        <v>54</v>
      </c>
      <c r="F498" s="22">
        <v>45043</v>
      </c>
      <c r="G498" s="26">
        <f t="shared" ca="1" si="31"/>
        <v>0.75592768964912049</v>
      </c>
      <c r="H498" s="29">
        <f t="shared" ca="1" si="69"/>
        <v>226</v>
      </c>
      <c r="J498" s="22">
        <v>45043</v>
      </c>
      <c r="K498" s="26">
        <f t="shared" ca="1" si="32"/>
        <v>0.11511294192055488</v>
      </c>
      <c r="L498" s="29">
        <f t="shared" ca="1" si="70"/>
        <v>139</v>
      </c>
      <c r="N498" s="22">
        <v>45043</v>
      </c>
      <c r="O498" s="26">
        <f t="shared" ca="1" si="33"/>
        <v>0.75664878739961738</v>
      </c>
      <c r="P498" s="29">
        <f t="shared" ca="1" si="71"/>
        <v>240</v>
      </c>
      <c r="R498" s="22">
        <v>45043</v>
      </c>
      <c r="S498" s="26">
        <f t="shared" ca="1" si="34"/>
        <v>4.8828869548676601E-2</v>
      </c>
      <c r="T498" s="29">
        <f t="shared" ca="1" si="72"/>
        <v>124</v>
      </c>
      <c r="V498" s="22">
        <v>45043</v>
      </c>
      <c r="W498" s="26">
        <f t="shared" ca="1" si="35"/>
        <v>0.98980058322553133</v>
      </c>
      <c r="X498" s="29">
        <f t="shared" ca="1" si="73"/>
        <v>260</v>
      </c>
      <c r="Z498" s="22">
        <v>45043</v>
      </c>
      <c r="AA498" s="26">
        <f t="shared" ca="1" si="36"/>
        <v>0.17016649152195917</v>
      </c>
      <c r="AB498" s="29">
        <f t="shared" ca="1" si="74"/>
        <v>253</v>
      </c>
      <c r="AC498"/>
      <c r="AD498" s="25"/>
      <c r="AF498" s="22">
        <v>45043</v>
      </c>
      <c r="AG498" s="26">
        <f t="shared" ca="1" si="37"/>
        <v>0.4367144018619421</v>
      </c>
      <c r="AH498" s="29">
        <f t="shared" ca="1" si="75"/>
        <v>314</v>
      </c>
      <c r="AJ498" s="22">
        <v>45043</v>
      </c>
      <c r="AK498" s="26">
        <f t="shared" ca="1" si="38"/>
        <v>9.8758402038419013E-2</v>
      </c>
      <c r="AL498" s="29">
        <f t="shared" ca="1" si="76"/>
        <v>119</v>
      </c>
      <c r="AN498" s="22">
        <v>45043</v>
      </c>
      <c r="AO498" s="26">
        <f t="shared" ca="1" si="39"/>
        <v>0.32716536955608355</v>
      </c>
      <c r="AP498" s="29">
        <v>0</v>
      </c>
      <c r="AR498" s="22">
        <v>45043</v>
      </c>
      <c r="AS498" s="26">
        <f t="shared" ca="1" si="40"/>
        <v>0.17152264639228165</v>
      </c>
      <c r="AT498" s="29">
        <v>0</v>
      </c>
      <c r="AV498" s="22">
        <v>45043</v>
      </c>
      <c r="AW498" s="26">
        <f t="shared" ca="1" si="41"/>
        <v>0.74844805218984867</v>
      </c>
      <c r="AX498" s="29">
        <v>0</v>
      </c>
      <c r="AZ498" s="22">
        <v>45043</v>
      </c>
      <c r="BA498" s="26">
        <f t="shared" ca="1" si="42"/>
        <v>0.25004128240302548</v>
      </c>
      <c r="BB498" s="29">
        <v>0</v>
      </c>
      <c r="BC498"/>
      <c r="BD498" s="25"/>
      <c r="BF498" s="22">
        <v>45043</v>
      </c>
      <c r="BG498" s="26">
        <f t="shared" ca="1" si="43"/>
        <v>0.17687061026499551</v>
      </c>
      <c r="BH498" s="29">
        <v>0</v>
      </c>
      <c r="BJ498" s="22">
        <v>45043</v>
      </c>
      <c r="BK498" s="26">
        <f t="shared" ca="1" si="44"/>
        <v>0.98090124926680089</v>
      </c>
      <c r="BL498" s="29">
        <v>0</v>
      </c>
      <c r="BN498" s="22">
        <v>45043</v>
      </c>
      <c r="BO498" s="26">
        <f t="shared" ca="1" si="45"/>
        <v>0.66175479079186872</v>
      </c>
      <c r="BP498" s="29">
        <v>0</v>
      </c>
      <c r="BR498" s="22">
        <v>45043</v>
      </c>
      <c r="BS498" s="26">
        <f t="shared" ca="1" si="46"/>
        <v>0.6762394461140333</v>
      </c>
      <c r="BT498" s="29">
        <v>0</v>
      </c>
      <c r="BV498" s="22">
        <v>45043</v>
      </c>
      <c r="BW498" s="26">
        <f t="shared" ca="1" si="47"/>
        <v>0.41232800594847951</v>
      </c>
      <c r="BX498" s="29">
        <v>0</v>
      </c>
    </row>
    <row r="499" spans="2:77" ht="12.75" x14ac:dyDescent="0.2">
      <c r="B499" s="22">
        <v>45044</v>
      </c>
      <c r="C499" s="26">
        <f t="shared" ca="1" si="68"/>
        <v>0.26125458184859329</v>
      </c>
      <c r="D499" s="29">
        <f t="shared" ca="1" si="77"/>
        <v>63</v>
      </c>
      <c r="F499" s="22">
        <v>45044</v>
      </c>
      <c r="G499" s="26">
        <f t="shared" ca="1" si="31"/>
        <v>0.72540025459954693</v>
      </c>
      <c r="H499" s="29">
        <f t="shared" ca="1" si="69"/>
        <v>225</v>
      </c>
      <c r="J499" s="22">
        <v>45044</v>
      </c>
      <c r="K499" s="26">
        <f t="shared" ca="1" si="32"/>
        <v>8.251467220473041E-2</v>
      </c>
      <c r="L499" s="29">
        <f t="shared" ca="1" si="70"/>
        <v>137</v>
      </c>
      <c r="N499" s="22">
        <v>45044</v>
      </c>
      <c r="O499" s="26">
        <f t="shared" ca="1" si="33"/>
        <v>0.91557471606059915</v>
      </c>
      <c r="P499" s="29">
        <f t="shared" ca="1" si="71"/>
        <v>251</v>
      </c>
      <c r="R499" s="22">
        <v>45044</v>
      </c>
      <c r="S499" s="26">
        <f t="shared" ca="1" si="34"/>
        <v>0.1337465450095664</v>
      </c>
      <c r="T499" s="29">
        <f t="shared" ca="1" si="72"/>
        <v>129</v>
      </c>
      <c r="V499" s="22">
        <v>45044</v>
      </c>
      <c r="W499" s="26">
        <f t="shared" ca="1" si="35"/>
        <v>0.46131348809302075</v>
      </c>
      <c r="X499" s="29">
        <f t="shared" ca="1" si="73"/>
        <v>224</v>
      </c>
      <c r="Z499" s="22">
        <v>45044</v>
      </c>
      <c r="AA499" s="26">
        <f t="shared" ca="1" si="36"/>
        <v>0.32925667637991329</v>
      </c>
      <c r="AB499" s="29">
        <f t="shared" ca="1" si="74"/>
        <v>263</v>
      </c>
      <c r="AC499"/>
      <c r="AD499" s="25"/>
      <c r="AF499" s="22">
        <v>45044</v>
      </c>
      <c r="AG499" s="26">
        <f t="shared" ca="1" si="37"/>
        <v>0.65458303809321539</v>
      </c>
      <c r="AH499" s="29">
        <f t="shared" ca="1" si="75"/>
        <v>362</v>
      </c>
      <c r="AJ499" s="22">
        <v>45044</v>
      </c>
      <c r="AK499" s="26">
        <f t="shared" ca="1" si="38"/>
        <v>0.56919668944205948</v>
      </c>
      <c r="AL499" s="29">
        <f t="shared" ca="1" si="76"/>
        <v>189</v>
      </c>
      <c r="AN499" s="22">
        <v>45044</v>
      </c>
      <c r="AO499" s="26">
        <f t="shared" ca="1" si="39"/>
        <v>0.45143939712755699</v>
      </c>
      <c r="AP499" s="29">
        <v>0</v>
      </c>
      <c r="AR499" s="22">
        <v>45044</v>
      </c>
      <c r="AS499" s="26">
        <f t="shared" ca="1" si="40"/>
        <v>0.17481877744604291</v>
      </c>
      <c r="AT499" s="29">
        <v>0</v>
      </c>
      <c r="AV499" s="22">
        <v>45044</v>
      </c>
      <c r="AW499" s="26">
        <f t="shared" ca="1" si="41"/>
        <v>0.29260154464831112</v>
      </c>
      <c r="AX499" s="29">
        <v>0</v>
      </c>
      <c r="AZ499" s="22">
        <v>45044</v>
      </c>
      <c r="BA499" s="26">
        <f t="shared" ca="1" si="42"/>
        <v>0.28775770510258047</v>
      </c>
      <c r="BB499" s="29">
        <v>0</v>
      </c>
      <c r="BC499"/>
      <c r="BD499" s="25"/>
      <c r="BF499" s="22">
        <v>45044</v>
      </c>
      <c r="BG499" s="26">
        <f t="shared" ca="1" si="43"/>
        <v>0.70208571157722377</v>
      </c>
      <c r="BH499" s="29">
        <v>0</v>
      </c>
      <c r="BJ499" s="22">
        <v>45044</v>
      </c>
      <c r="BK499" s="26">
        <f t="shared" ca="1" si="44"/>
        <v>0.84960759062115321</v>
      </c>
      <c r="BL499" s="29">
        <v>0</v>
      </c>
      <c r="BN499" s="22">
        <v>45044</v>
      </c>
      <c r="BO499" s="26">
        <f t="shared" ca="1" si="45"/>
        <v>0.28942726333375424</v>
      </c>
      <c r="BP499" s="29">
        <v>0</v>
      </c>
      <c r="BR499" s="22">
        <v>45044</v>
      </c>
      <c r="BS499" s="26">
        <f t="shared" ca="1" si="46"/>
        <v>3.466009040112028E-2</v>
      </c>
      <c r="BT499" s="29">
        <v>0</v>
      </c>
      <c r="BV499" s="22">
        <v>45044</v>
      </c>
      <c r="BW499" s="26">
        <f t="shared" ca="1" si="47"/>
        <v>0.30379792061059119</v>
      </c>
      <c r="BX499" s="29">
        <v>0</v>
      </c>
    </row>
    <row r="500" spans="2:77" ht="12.75" x14ac:dyDescent="0.2">
      <c r="B500" s="22">
        <v>45045</v>
      </c>
      <c r="C500" s="26">
        <f t="shared" ca="1" si="68"/>
        <v>0.47068538164140905</v>
      </c>
      <c r="D500" s="29">
        <f t="shared" ca="1" si="77"/>
        <v>74</v>
      </c>
      <c r="F500" s="22">
        <v>45045</v>
      </c>
      <c r="G500" s="26">
        <f t="shared" ca="1" si="31"/>
        <v>0.23536386506322959</v>
      </c>
      <c r="H500" s="29">
        <f t="shared" ca="1" si="69"/>
        <v>206</v>
      </c>
      <c r="J500" s="22">
        <v>45045</v>
      </c>
      <c r="K500" s="26">
        <f t="shared" ca="1" si="32"/>
        <v>0.96042505843864934</v>
      </c>
      <c r="L500" s="29">
        <f t="shared" ca="1" si="70"/>
        <v>168</v>
      </c>
      <c r="N500" s="22">
        <v>45045</v>
      </c>
      <c r="O500" s="26">
        <f t="shared" ca="1" si="33"/>
        <v>0.21285497823866129</v>
      </c>
      <c r="P500" s="29">
        <f t="shared" ca="1" si="71"/>
        <v>218</v>
      </c>
      <c r="R500" s="22">
        <v>45045</v>
      </c>
      <c r="S500" s="26">
        <f t="shared" ca="1" si="34"/>
        <v>0.53100713514068032</v>
      </c>
      <c r="T500" s="29">
        <f t="shared" ca="1" si="72"/>
        <v>140</v>
      </c>
      <c r="V500" s="22">
        <v>45045</v>
      </c>
      <c r="W500" s="26">
        <f t="shared" ca="1" si="35"/>
        <v>0.57483838624094141</v>
      </c>
      <c r="X500" s="29">
        <f t="shared" ca="1" si="73"/>
        <v>228</v>
      </c>
      <c r="Z500" s="22">
        <v>45045</v>
      </c>
      <c r="AA500" s="26">
        <f t="shared" ca="1" si="36"/>
        <v>0.32826492415732011</v>
      </c>
      <c r="AB500" s="29">
        <f t="shared" ca="1" si="74"/>
        <v>262</v>
      </c>
      <c r="AC500"/>
      <c r="AD500" s="25"/>
      <c r="AF500" s="22">
        <v>45045</v>
      </c>
      <c r="AG500" s="26">
        <f t="shared" ca="1" si="37"/>
        <v>0.13041767753308253</v>
      </c>
      <c r="AH500" s="29">
        <f t="shared" ca="1" si="75"/>
        <v>229</v>
      </c>
      <c r="AJ500" s="22">
        <v>45045</v>
      </c>
      <c r="AK500" s="26">
        <f t="shared" ca="1" si="38"/>
        <v>0.90058970097513846</v>
      </c>
      <c r="AL500" s="29">
        <f t="shared" ca="1" si="76"/>
        <v>242</v>
      </c>
      <c r="AN500" s="22">
        <v>45045</v>
      </c>
      <c r="AO500" s="26">
        <f t="shared" ca="1" si="39"/>
        <v>0.8082124183276217</v>
      </c>
      <c r="AP500" s="29">
        <v>0</v>
      </c>
      <c r="AR500" s="22">
        <v>45045</v>
      </c>
      <c r="AS500" s="26">
        <f t="shared" ca="1" si="40"/>
        <v>0.79978068817645243</v>
      </c>
      <c r="AT500" s="29">
        <v>0</v>
      </c>
      <c r="AV500" s="22">
        <v>45045</v>
      </c>
      <c r="AW500" s="26">
        <f t="shared" ca="1" si="41"/>
        <v>0.21075959678270451</v>
      </c>
      <c r="AX500" s="29">
        <v>0</v>
      </c>
      <c r="AZ500" s="22">
        <v>45045</v>
      </c>
      <c r="BA500" s="26">
        <f t="shared" ca="1" si="42"/>
        <v>0.32815421891780405</v>
      </c>
      <c r="BB500" s="29">
        <v>0</v>
      </c>
      <c r="BC500"/>
      <c r="BD500" s="25"/>
      <c r="BF500" s="22">
        <v>45045</v>
      </c>
      <c r="BG500" s="26">
        <f t="shared" ca="1" si="43"/>
        <v>0.2080530132597751</v>
      </c>
      <c r="BH500" s="29">
        <v>0</v>
      </c>
      <c r="BJ500" s="22">
        <v>45045</v>
      </c>
      <c r="BK500" s="26">
        <f t="shared" ca="1" si="44"/>
        <v>0.65741652639094117</v>
      </c>
      <c r="BL500" s="29">
        <v>0</v>
      </c>
      <c r="BN500" s="22">
        <v>45045</v>
      </c>
      <c r="BO500" s="26">
        <f t="shared" ca="1" si="45"/>
        <v>0.96412084936654863</v>
      </c>
      <c r="BP500" s="29">
        <v>0</v>
      </c>
      <c r="BR500" s="22">
        <v>45045</v>
      </c>
      <c r="BS500" s="26">
        <f t="shared" ca="1" si="46"/>
        <v>0.31564677602439328</v>
      </c>
      <c r="BT500" s="29">
        <v>0</v>
      </c>
      <c r="BV500" s="22">
        <v>45045</v>
      </c>
      <c r="BW500" s="26">
        <f t="shared" ca="1" si="47"/>
        <v>0.15163321172458943</v>
      </c>
      <c r="BX500" s="29">
        <v>0</v>
      </c>
    </row>
    <row r="501" spans="2:77" ht="12.75" x14ac:dyDescent="0.2">
      <c r="B501" s="22">
        <v>45046</v>
      </c>
      <c r="C501" s="26">
        <f t="shared" ca="1" si="68"/>
        <v>0.9654621356324794</v>
      </c>
      <c r="D501" s="29">
        <f t="shared" ca="1" si="77"/>
        <v>112</v>
      </c>
      <c r="E501">
        <v>1541</v>
      </c>
      <c r="F501" s="22">
        <v>45046</v>
      </c>
      <c r="G501" s="26">
        <f t="shared" ca="1" si="31"/>
        <v>0.27180937923930004</v>
      </c>
      <c r="H501" s="29">
        <f t="shared" ca="1" si="69"/>
        <v>207</v>
      </c>
      <c r="I501">
        <v>4424</v>
      </c>
      <c r="J501" s="22">
        <v>45046</v>
      </c>
      <c r="K501" s="26">
        <f t="shared" ca="1" si="32"/>
        <v>0.51070582425125388</v>
      </c>
      <c r="L501" s="29">
        <f t="shared" ca="1" si="70"/>
        <v>151</v>
      </c>
      <c r="M501">
        <v>3181</v>
      </c>
      <c r="N501" s="22">
        <v>45046</v>
      </c>
      <c r="O501" s="26">
        <f t="shared" ca="1" si="33"/>
        <v>0.89786021280664197</v>
      </c>
      <c r="P501" s="29">
        <f t="shared" ca="1" si="71"/>
        <v>249</v>
      </c>
      <c r="Q501">
        <v>4651</v>
      </c>
      <c r="R501" s="22">
        <v>45046</v>
      </c>
      <c r="S501" s="26">
        <f t="shared" ca="1" si="34"/>
        <v>0.29101614388711305</v>
      </c>
      <c r="T501" s="29">
        <f t="shared" ca="1" si="72"/>
        <v>134</v>
      </c>
      <c r="U501">
        <v>2939</v>
      </c>
      <c r="V501" s="22">
        <v>45046</v>
      </c>
      <c r="W501" s="26">
        <f t="shared" ca="1" si="35"/>
        <v>0.10775346715540723</v>
      </c>
      <c r="X501" s="29">
        <f t="shared" ca="1" si="73"/>
        <v>207</v>
      </c>
      <c r="Y501">
        <v>4793</v>
      </c>
      <c r="Z501" s="22">
        <v>45046</v>
      </c>
      <c r="AA501" s="26">
        <f t="shared" ca="1" si="36"/>
        <v>0.27882812369128895</v>
      </c>
      <c r="AB501" s="29">
        <f t="shared" ca="1" si="74"/>
        <v>260</v>
      </c>
      <c r="AC501">
        <v>5561</v>
      </c>
      <c r="AD501" s="25"/>
      <c r="AF501" s="22">
        <v>45046</v>
      </c>
      <c r="AG501" s="26">
        <f t="shared" ca="1" si="37"/>
        <v>0.47351815172624667</v>
      </c>
      <c r="AH501" s="29">
        <f t="shared" ca="1" si="75"/>
        <v>322</v>
      </c>
      <c r="AI501">
        <v>7161</v>
      </c>
      <c r="AJ501" s="22">
        <v>45046</v>
      </c>
      <c r="AK501" s="26">
        <f t="shared" ca="1" si="38"/>
        <v>0.81683988203339941</v>
      </c>
      <c r="AL501" s="29">
        <f t="shared" ca="1" si="76"/>
        <v>224</v>
      </c>
      <c r="AM501">
        <v>3880</v>
      </c>
      <c r="AN501" s="22">
        <v>45046</v>
      </c>
      <c r="AO501" s="26">
        <f t="shared" ca="1" si="39"/>
        <v>0.63517271584456192</v>
      </c>
      <c r="AP501" s="29">
        <v>0</v>
      </c>
      <c r="AQ501">
        <v>0</v>
      </c>
      <c r="AR501" s="22">
        <v>45046</v>
      </c>
      <c r="AS501" s="26">
        <f t="shared" ca="1" si="40"/>
        <v>0.66476263015945114</v>
      </c>
      <c r="AT501" s="29">
        <v>0</v>
      </c>
      <c r="AU501">
        <v>0</v>
      </c>
      <c r="AV501" s="22">
        <v>45046</v>
      </c>
      <c r="AW501" s="26">
        <f t="shared" ca="1" si="41"/>
        <v>0.87476579613808758</v>
      </c>
      <c r="AX501" s="29">
        <v>0</v>
      </c>
      <c r="AY501">
        <v>0</v>
      </c>
      <c r="AZ501" s="22">
        <v>45046</v>
      </c>
      <c r="BA501" s="26">
        <f t="shared" ca="1" si="42"/>
        <v>0.2367962988549932</v>
      </c>
      <c r="BB501" s="29">
        <v>0</v>
      </c>
      <c r="BC501">
        <v>0</v>
      </c>
      <c r="BD501" s="25"/>
      <c r="BF501" s="22">
        <v>45046</v>
      </c>
      <c r="BG501" s="26">
        <f t="shared" ca="1" si="43"/>
        <v>0.69606476409317108</v>
      </c>
      <c r="BH501" s="29">
        <v>0</v>
      </c>
      <c r="BI501">
        <v>0</v>
      </c>
      <c r="BJ501" s="22">
        <v>45046</v>
      </c>
      <c r="BK501" s="26">
        <f t="shared" ca="1" si="44"/>
        <v>0.44597090980524901</v>
      </c>
      <c r="BL501" s="29">
        <v>0</v>
      </c>
      <c r="BM501">
        <v>0</v>
      </c>
      <c r="BN501" s="22">
        <v>45046</v>
      </c>
      <c r="BO501" s="26">
        <f t="shared" ca="1" si="45"/>
        <v>0.43622998418270098</v>
      </c>
      <c r="BP501" s="29">
        <v>0</v>
      </c>
      <c r="BQ501">
        <v>0</v>
      </c>
      <c r="BR501" s="22">
        <v>45046</v>
      </c>
      <c r="BS501" s="26">
        <f t="shared" ca="1" si="46"/>
        <v>0.15397710286308663</v>
      </c>
      <c r="BT501" s="29">
        <v>0</v>
      </c>
      <c r="BU501">
        <v>0</v>
      </c>
      <c r="BV501" s="22">
        <v>45046</v>
      </c>
      <c r="BW501" s="26">
        <f t="shared" ca="1" si="47"/>
        <v>0.47285067371415779</v>
      </c>
      <c r="BX501" s="29">
        <v>0</v>
      </c>
      <c r="BY501">
        <v>0</v>
      </c>
    </row>
    <row r="502" spans="2:77" ht="12.75" x14ac:dyDescent="0.2">
      <c r="B502" s="22">
        <v>45047</v>
      </c>
      <c r="C502" s="26">
        <f t="shared" ca="1" si="68"/>
        <v>0.96677998518383701</v>
      </c>
      <c r="D502" s="29">
        <f ca="1">ROUNDUP(_xlfn.NORM.INV(C501,C$10,C$12),0)</f>
        <v>112</v>
      </c>
      <c r="F502" s="22">
        <v>45047</v>
      </c>
      <c r="G502" s="26">
        <f t="shared" ca="1" si="31"/>
        <v>0.42141198228496457</v>
      </c>
      <c r="H502" s="29">
        <f ca="1">ROUNDUP(_xlfn.NORM.INV(G501,G$10,G$12),0)</f>
        <v>207</v>
      </c>
      <c r="J502" s="22">
        <v>45047</v>
      </c>
      <c r="K502" s="26">
        <f t="shared" ca="1" si="32"/>
        <v>0.81569377729876469</v>
      </c>
      <c r="L502" s="29">
        <f ca="1">ROUNDUP(_xlfn.NORM.INV(K501,K$10,K$12),0)</f>
        <v>151</v>
      </c>
      <c r="N502" s="22">
        <v>45047</v>
      </c>
      <c r="O502" s="26">
        <f t="shared" ca="1" si="33"/>
        <v>0.1518496720882645</v>
      </c>
      <c r="P502" s="29">
        <f ca="1">ROUNDUP(_xlfn.NORM.INV(O501,O$10,O$12),0)</f>
        <v>249</v>
      </c>
      <c r="R502" s="22">
        <v>45047</v>
      </c>
      <c r="S502" s="26">
        <f t="shared" ca="1" si="34"/>
        <v>0.56938513913336841</v>
      </c>
      <c r="T502" s="29">
        <f ca="1">ROUNDUP(_xlfn.NORM.INV(S501,S$10,S$12),0)</f>
        <v>134</v>
      </c>
      <c r="V502" s="22">
        <v>45047</v>
      </c>
      <c r="W502" s="26">
        <f t="shared" ca="1" si="35"/>
        <v>0.90729809215202761</v>
      </c>
      <c r="X502" s="29">
        <f ca="1">ROUNDUP(_xlfn.NORM.INV(W501,W$10,W$12),0)</f>
        <v>207</v>
      </c>
      <c r="Z502" s="22">
        <v>45047</v>
      </c>
      <c r="AA502" s="26">
        <f t="shared" ca="1" si="36"/>
        <v>0.53979535280132895</v>
      </c>
      <c r="AB502" s="29">
        <f ca="1">ROUNDUP(_xlfn.NORM.INV(AA501,AA$10,AA$12),0)</f>
        <v>260</v>
      </c>
      <c r="AC502"/>
      <c r="AD502" s="25"/>
      <c r="AF502" s="22">
        <v>45047</v>
      </c>
      <c r="AG502" s="26">
        <f t="shared" ca="1" si="37"/>
        <v>0.59270134201938451</v>
      </c>
      <c r="AH502" s="29">
        <f ca="1">ROUNDUP(_xlfn.NORM.INV(AG501,AG$10,AG$12),0)</f>
        <v>322</v>
      </c>
      <c r="AJ502" s="22">
        <v>45047</v>
      </c>
      <c r="AK502" s="26">
        <f t="shared" ca="1" si="38"/>
        <v>0.24950910899255707</v>
      </c>
      <c r="AL502" s="29">
        <f ca="1">ROUNDUP(_xlfn.NORM.INV(AK501,AK$10,AK$12),0)</f>
        <v>224</v>
      </c>
      <c r="AN502" s="22">
        <v>45047</v>
      </c>
      <c r="AO502" s="26">
        <f t="shared" ca="1" si="39"/>
        <v>0.55225485337887947</v>
      </c>
      <c r="AP502" s="29">
        <v>0</v>
      </c>
      <c r="AR502" s="22">
        <v>45047</v>
      </c>
      <c r="AS502" s="26">
        <f t="shared" ca="1" si="40"/>
        <v>0.52316057880088618</v>
      </c>
      <c r="AT502" s="29">
        <v>0</v>
      </c>
      <c r="AV502" s="22">
        <v>45047</v>
      </c>
      <c r="AW502" s="26">
        <f t="shared" ca="1" si="41"/>
        <v>8.4611186975683816E-2</v>
      </c>
      <c r="AX502" s="29">
        <v>0</v>
      </c>
      <c r="AZ502" s="22">
        <v>45047</v>
      </c>
      <c r="BA502" s="26">
        <f t="shared" ca="1" si="42"/>
        <v>0.4262895687949485</v>
      </c>
      <c r="BB502" s="29">
        <v>0</v>
      </c>
      <c r="BC502"/>
      <c r="BD502" s="25"/>
      <c r="BF502" s="22">
        <v>45047</v>
      </c>
      <c r="BG502" s="26">
        <f t="shared" ca="1" si="43"/>
        <v>4.6653182899863865E-2</v>
      </c>
      <c r="BH502" s="29">
        <v>0</v>
      </c>
      <c r="BJ502" s="22">
        <v>45047</v>
      </c>
      <c r="BK502" s="26">
        <f t="shared" ca="1" si="44"/>
        <v>0.28727725074146926</v>
      </c>
      <c r="BL502" s="29">
        <v>0</v>
      </c>
      <c r="BN502" s="22">
        <v>45047</v>
      </c>
      <c r="BO502" s="26">
        <f t="shared" ca="1" si="45"/>
        <v>0.35535409673544227</v>
      </c>
      <c r="BP502" s="29">
        <v>0</v>
      </c>
      <c r="BR502" s="22">
        <v>45047</v>
      </c>
      <c r="BS502" s="26">
        <f t="shared" ca="1" si="46"/>
        <v>0.12457544218300765</v>
      </c>
      <c r="BT502" s="29">
        <v>0</v>
      </c>
      <c r="BV502" s="22">
        <v>45047</v>
      </c>
      <c r="BW502" s="26">
        <f t="shared" ca="1" si="47"/>
        <v>0.18581499547803437</v>
      </c>
      <c r="BX502" s="29">
        <v>0</v>
      </c>
    </row>
    <row r="503" spans="2:77" ht="12.75" x14ac:dyDescent="0.2">
      <c r="B503" s="22">
        <v>45048</v>
      </c>
      <c r="C503" s="26">
        <f t="shared" ca="1" si="68"/>
        <v>0.60491235159223267</v>
      </c>
      <c r="D503" s="29">
        <f t="shared" ca="1" si="77"/>
        <v>81</v>
      </c>
      <c r="F503" s="22">
        <v>45048</v>
      </c>
      <c r="G503" s="26">
        <f t="shared" ca="1" si="31"/>
        <v>0.60415078008102086</v>
      </c>
      <c r="H503" s="29">
        <f t="shared" ca="1" si="69"/>
        <v>220</v>
      </c>
      <c r="J503" s="22">
        <v>45048</v>
      </c>
      <c r="K503" s="26">
        <f t="shared" ca="1" si="32"/>
        <v>0.85196560921223485</v>
      </c>
      <c r="L503" s="29">
        <f t="shared" ca="1" si="70"/>
        <v>161</v>
      </c>
      <c r="N503" s="22">
        <v>45048</v>
      </c>
      <c r="O503" s="26">
        <f t="shared" ca="1" si="33"/>
        <v>0.83898004977352614</v>
      </c>
      <c r="P503" s="29">
        <f t="shared" ca="1" si="71"/>
        <v>245</v>
      </c>
      <c r="R503" s="22">
        <v>45048</v>
      </c>
      <c r="S503" s="26">
        <f t="shared" ca="1" si="34"/>
        <v>0.84120726226175468</v>
      </c>
      <c r="T503" s="29">
        <f t="shared" ca="1" si="72"/>
        <v>148</v>
      </c>
      <c r="V503" s="22">
        <v>45048</v>
      </c>
      <c r="W503" s="26">
        <f t="shared" ca="1" si="35"/>
        <v>0.32185168300674249</v>
      </c>
      <c r="X503" s="29">
        <f t="shared" ca="1" si="73"/>
        <v>219</v>
      </c>
      <c r="Z503" s="22">
        <v>45048</v>
      </c>
      <c r="AA503" s="26">
        <f t="shared" ca="1" si="36"/>
        <v>7.5475480581515209E-2</v>
      </c>
      <c r="AB503" s="29">
        <f t="shared" ca="1" si="74"/>
        <v>245</v>
      </c>
      <c r="AC503"/>
      <c r="AD503" s="25"/>
      <c r="AF503" s="22">
        <v>45048</v>
      </c>
      <c r="AG503" s="26">
        <f t="shared" ca="1" si="37"/>
        <v>0.54342597732884812</v>
      </c>
      <c r="AH503" s="29">
        <f t="shared" ca="1" si="75"/>
        <v>337</v>
      </c>
      <c r="AJ503" s="22">
        <v>45048</v>
      </c>
      <c r="AK503" s="26">
        <f t="shared" ca="1" si="38"/>
        <v>0.5718022719757565</v>
      </c>
      <c r="AL503" s="29">
        <f t="shared" ca="1" si="76"/>
        <v>189</v>
      </c>
      <c r="AN503" s="22">
        <v>45048</v>
      </c>
      <c r="AO503" s="26">
        <f t="shared" ca="1" si="39"/>
        <v>8.7624914103414997E-2</v>
      </c>
      <c r="AP503" s="29">
        <v>0</v>
      </c>
      <c r="AR503" s="22">
        <v>45048</v>
      </c>
      <c r="AS503" s="26">
        <f t="shared" ca="1" si="40"/>
        <v>0.15792569296015813</v>
      </c>
      <c r="AT503" s="29">
        <v>0</v>
      </c>
      <c r="AV503" s="22">
        <v>45048</v>
      </c>
      <c r="AW503" s="26">
        <f t="shared" ca="1" si="41"/>
        <v>0.3284787131775635</v>
      </c>
      <c r="AX503" s="29">
        <v>0</v>
      </c>
      <c r="AZ503" s="22">
        <v>45048</v>
      </c>
      <c r="BA503" s="26">
        <f t="shared" ca="1" si="42"/>
        <v>0.50815592190351622</v>
      </c>
      <c r="BB503" s="29">
        <v>0</v>
      </c>
      <c r="BC503"/>
      <c r="BD503" s="25"/>
      <c r="BF503" s="22">
        <v>45048</v>
      </c>
      <c r="BG503" s="26">
        <f t="shared" ca="1" si="43"/>
        <v>0.8522684579355585</v>
      </c>
      <c r="BH503" s="29">
        <v>0</v>
      </c>
      <c r="BJ503" s="22">
        <v>45048</v>
      </c>
      <c r="BK503" s="26">
        <f t="shared" ca="1" si="44"/>
        <v>0.56919979383358521</v>
      </c>
      <c r="BL503" s="29">
        <v>0</v>
      </c>
      <c r="BN503" s="22">
        <v>45048</v>
      </c>
      <c r="BO503" s="26">
        <f t="shared" ca="1" si="45"/>
        <v>0.45671267581483832</v>
      </c>
      <c r="BP503" s="29">
        <v>0</v>
      </c>
      <c r="BR503" s="22">
        <v>45048</v>
      </c>
      <c r="BS503" s="26">
        <f t="shared" ca="1" si="46"/>
        <v>0.29907945128996716</v>
      </c>
      <c r="BT503" s="29">
        <v>0</v>
      </c>
      <c r="BV503" s="22">
        <v>45048</v>
      </c>
      <c r="BW503" s="26">
        <f t="shared" ca="1" si="47"/>
        <v>0.30741326751558806</v>
      </c>
      <c r="BX503" s="29">
        <v>0</v>
      </c>
    </row>
    <row r="504" spans="2:77" ht="12.75" x14ac:dyDescent="0.2">
      <c r="B504" s="22">
        <v>45049</v>
      </c>
      <c r="C504" s="26">
        <f t="shared" ca="1" si="68"/>
        <v>0.62204709314373374</v>
      </c>
      <c r="D504" s="29">
        <f t="shared" ca="1" si="77"/>
        <v>82</v>
      </c>
      <c r="F504" s="22">
        <v>45049</v>
      </c>
      <c r="G504" s="26">
        <f t="shared" ca="1" si="31"/>
        <v>0.89836110700924132</v>
      </c>
      <c r="H504" s="29">
        <f t="shared" ca="1" si="69"/>
        <v>234</v>
      </c>
      <c r="J504" s="22">
        <v>45049</v>
      </c>
      <c r="K504" s="26">
        <f t="shared" ca="1" si="32"/>
        <v>0.53839950385789959</v>
      </c>
      <c r="L504" s="29">
        <f t="shared" ca="1" si="70"/>
        <v>151</v>
      </c>
      <c r="N504" s="22">
        <v>45049</v>
      </c>
      <c r="O504" s="26">
        <f t="shared" ca="1" si="33"/>
        <v>0.64692675598782334</v>
      </c>
      <c r="P504" s="29">
        <f t="shared" ca="1" si="71"/>
        <v>236</v>
      </c>
      <c r="R504" s="22">
        <v>45049</v>
      </c>
      <c r="S504" s="26">
        <f t="shared" ca="1" si="34"/>
        <v>0.35123657144714238</v>
      </c>
      <c r="T504" s="29">
        <f t="shared" ca="1" si="72"/>
        <v>136</v>
      </c>
      <c r="V504" s="22">
        <v>45049</v>
      </c>
      <c r="W504" s="26">
        <f t="shared" ca="1" si="35"/>
        <v>0.27096699122476786</v>
      </c>
      <c r="X504" s="29">
        <f t="shared" ca="1" si="73"/>
        <v>216</v>
      </c>
      <c r="Z504" s="22">
        <v>45049</v>
      </c>
      <c r="AA504" s="26">
        <f t="shared" ca="1" si="36"/>
        <v>0.4796601994240336</v>
      </c>
      <c r="AB504" s="29">
        <f t="shared" ca="1" si="74"/>
        <v>270</v>
      </c>
      <c r="AC504"/>
      <c r="AD504" s="25"/>
      <c r="AF504" s="22">
        <v>45049</v>
      </c>
      <c r="AG504" s="26">
        <f t="shared" ca="1" si="37"/>
        <v>0.55724734008430421</v>
      </c>
      <c r="AH504" s="29">
        <f t="shared" ca="1" si="75"/>
        <v>340</v>
      </c>
      <c r="AJ504" s="22">
        <v>45049</v>
      </c>
      <c r="AK504" s="26">
        <f t="shared" ca="1" si="38"/>
        <v>0.55338766883938983</v>
      </c>
      <c r="AL504" s="29">
        <f t="shared" ca="1" si="76"/>
        <v>187</v>
      </c>
      <c r="AN504" s="22">
        <v>45049</v>
      </c>
      <c r="AO504" s="26">
        <f t="shared" ca="1" si="39"/>
        <v>8.8350079900454959E-2</v>
      </c>
      <c r="AP504" s="29">
        <f t="shared" ref="AP504:AP515" ca="1" si="78">ROUNDUP(_xlfn.NORM.INV(AO504,AO$10,AO$12),0)</f>
        <v>95</v>
      </c>
      <c r="AR504" s="22">
        <v>45049</v>
      </c>
      <c r="AS504" s="26">
        <f t="shared" ca="1" si="40"/>
        <v>0.75669166759466533</v>
      </c>
      <c r="AT504" s="29">
        <v>0</v>
      </c>
      <c r="AV504" s="22">
        <v>45049</v>
      </c>
      <c r="AW504" s="26">
        <f t="shared" ca="1" si="41"/>
        <v>0.51714161217011623</v>
      </c>
      <c r="AX504" s="29">
        <v>0</v>
      </c>
      <c r="AZ504" s="22">
        <v>45049</v>
      </c>
      <c r="BA504" s="26">
        <f t="shared" ca="1" si="42"/>
        <v>0.42033339741702513</v>
      </c>
      <c r="BB504" s="29">
        <v>0</v>
      </c>
      <c r="BC504"/>
      <c r="BD504" s="25"/>
      <c r="BF504" s="22">
        <v>45049</v>
      </c>
      <c r="BG504" s="26">
        <f t="shared" ca="1" si="43"/>
        <v>0.23162550580547392</v>
      </c>
      <c r="BH504" s="29">
        <v>0</v>
      </c>
      <c r="BJ504" s="22">
        <v>45049</v>
      </c>
      <c r="BK504" s="26">
        <f t="shared" ca="1" si="44"/>
        <v>0.75385780929164159</v>
      </c>
      <c r="BL504" s="29">
        <v>0</v>
      </c>
      <c r="BN504" s="22">
        <v>45049</v>
      </c>
      <c r="BO504" s="26">
        <f t="shared" ca="1" si="45"/>
        <v>0.11541832550654718</v>
      </c>
      <c r="BP504" s="29">
        <v>0</v>
      </c>
      <c r="BR504" s="22">
        <v>45049</v>
      </c>
      <c r="BS504" s="26">
        <f t="shared" ca="1" si="46"/>
        <v>0.11375807624405088</v>
      </c>
      <c r="BT504" s="29">
        <v>0</v>
      </c>
      <c r="BV504" s="22">
        <v>45049</v>
      </c>
      <c r="BW504" s="26">
        <f t="shared" ca="1" si="47"/>
        <v>0.81935525007203081</v>
      </c>
      <c r="BX504" s="29">
        <v>0</v>
      </c>
    </row>
    <row r="505" spans="2:77" ht="12.75" x14ac:dyDescent="0.2">
      <c r="B505" s="22">
        <v>45050</v>
      </c>
      <c r="C505" s="26">
        <f t="shared" ca="1" si="68"/>
        <v>8.5281357754087406E-2</v>
      </c>
      <c r="D505" s="29">
        <f t="shared" ca="1" si="77"/>
        <v>48</v>
      </c>
      <c r="F505" s="22">
        <v>45050</v>
      </c>
      <c r="G505" s="26">
        <f t="shared" ca="1" si="31"/>
        <v>0.16050811605907966</v>
      </c>
      <c r="H505" s="29">
        <f t="shared" ca="1" si="69"/>
        <v>202</v>
      </c>
      <c r="J505" s="22">
        <v>45050</v>
      </c>
      <c r="K505" s="26">
        <f t="shared" ca="1" si="32"/>
        <v>3.0035129762305046E-2</v>
      </c>
      <c r="L505" s="29">
        <f t="shared" ca="1" si="70"/>
        <v>132</v>
      </c>
      <c r="N505" s="22">
        <v>45050</v>
      </c>
      <c r="O505" s="26">
        <f t="shared" ca="1" si="33"/>
        <v>9.7800182397069668E-2</v>
      </c>
      <c r="P505" s="29">
        <f t="shared" ca="1" si="71"/>
        <v>210</v>
      </c>
      <c r="R505" s="22">
        <v>45050</v>
      </c>
      <c r="S505" s="26">
        <f t="shared" ca="1" si="34"/>
        <v>0.97980913248417589</v>
      </c>
      <c r="T505" s="29">
        <f t="shared" ca="1" si="72"/>
        <v>158</v>
      </c>
      <c r="V505" s="22">
        <v>45050</v>
      </c>
      <c r="W505" s="26">
        <f t="shared" ca="1" si="35"/>
        <v>0.69215998933244771</v>
      </c>
      <c r="X505" s="29">
        <f t="shared" ca="1" si="73"/>
        <v>233</v>
      </c>
      <c r="Z505" s="22">
        <v>45050</v>
      </c>
      <c r="AA505" s="26">
        <f t="shared" ca="1" si="36"/>
        <v>0.90311286074122443</v>
      </c>
      <c r="AB505" s="29">
        <f t="shared" ca="1" si="74"/>
        <v>294</v>
      </c>
      <c r="AC505"/>
      <c r="AD505" s="25"/>
      <c r="AF505" s="22">
        <v>45050</v>
      </c>
      <c r="AG505" s="26">
        <f t="shared" ca="1" si="37"/>
        <v>0.63390933791431692</v>
      </c>
      <c r="AH505" s="29">
        <f t="shared" ca="1" si="75"/>
        <v>357</v>
      </c>
      <c r="AJ505" s="22">
        <v>45050</v>
      </c>
      <c r="AK505" s="26">
        <f t="shared" ca="1" si="38"/>
        <v>0.93159543155960567</v>
      </c>
      <c r="AL505" s="29">
        <f t="shared" ca="1" si="76"/>
        <v>252</v>
      </c>
      <c r="AN505" s="22">
        <v>45050</v>
      </c>
      <c r="AO505" s="26">
        <f t="shared" ca="1" si="39"/>
        <v>0.90425733087810045</v>
      </c>
      <c r="AP505" s="29">
        <f t="shared" ca="1" si="78"/>
        <v>199</v>
      </c>
      <c r="AR505" s="22">
        <v>45050</v>
      </c>
      <c r="AS505" s="26">
        <f t="shared" ca="1" si="40"/>
        <v>0.42450551868484221</v>
      </c>
      <c r="AT505" s="29">
        <v>0</v>
      </c>
      <c r="AV505" s="22">
        <v>45050</v>
      </c>
      <c r="AW505" s="26">
        <f t="shared" ca="1" si="41"/>
        <v>0.95009470365348092</v>
      </c>
      <c r="AX505" s="29">
        <v>0</v>
      </c>
      <c r="AZ505" s="22">
        <v>45050</v>
      </c>
      <c r="BA505" s="26">
        <f t="shared" ca="1" si="42"/>
        <v>0.36479758166048104</v>
      </c>
      <c r="BB505" s="29">
        <v>0</v>
      </c>
      <c r="BC505"/>
      <c r="BD505" s="25"/>
      <c r="BF505" s="22">
        <v>45050</v>
      </c>
      <c r="BG505" s="26">
        <f t="shared" ca="1" si="43"/>
        <v>0.53156062178138186</v>
      </c>
      <c r="BH505" s="29">
        <v>0</v>
      </c>
      <c r="BJ505" s="22">
        <v>45050</v>
      </c>
      <c r="BK505" s="26">
        <f t="shared" ca="1" si="44"/>
        <v>0.3798495304937507</v>
      </c>
      <c r="BL505" s="29">
        <v>0</v>
      </c>
      <c r="BN505" s="22">
        <v>45050</v>
      </c>
      <c r="BO505" s="26">
        <f t="shared" ca="1" si="45"/>
        <v>0.67286009808258185</v>
      </c>
      <c r="BP505" s="29">
        <v>0</v>
      </c>
      <c r="BR505" s="22">
        <v>45050</v>
      </c>
      <c r="BS505" s="26">
        <f t="shared" ca="1" si="46"/>
        <v>0.45078879951421125</v>
      </c>
      <c r="BT505" s="29">
        <v>0</v>
      </c>
      <c r="BV505" s="22">
        <v>45050</v>
      </c>
      <c r="BW505" s="26">
        <f t="shared" ca="1" si="47"/>
        <v>0.51390318631505816</v>
      </c>
      <c r="BX505" s="29">
        <v>0</v>
      </c>
    </row>
    <row r="506" spans="2:77" ht="12.75" x14ac:dyDescent="0.2">
      <c r="B506" s="22">
        <v>45051</v>
      </c>
      <c r="C506" s="26">
        <f t="shared" ca="1" si="68"/>
        <v>0.21761154891928203</v>
      </c>
      <c r="D506" s="29">
        <f t="shared" ca="1" si="77"/>
        <v>60</v>
      </c>
      <c r="F506" s="22">
        <v>45051</v>
      </c>
      <c r="G506" s="26">
        <f t="shared" ca="1" si="31"/>
        <v>0.90527533857475373</v>
      </c>
      <c r="H506" s="29">
        <f t="shared" ca="1" si="69"/>
        <v>235</v>
      </c>
      <c r="J506" s="22">
        <v>45051</v>
      </c>
      <c r="K506" s="26">
        <f t="shared" ca="1" si="32"/>
        <v>0.42600712643613348</v>
      </c>
      <c r="L506" s="29">
        <f t="shared" ca="1" si="70"/>
        <v>149</v>
      </c>
      <c r="N506" s="22">
        <v>45051</v>
      </c>
      <c r="O506" s="26">
        <f t="shared" ca="1" si="33"/>
        <v>2.1839467611490804E-2</v>
      </c>
      <c r="P506" s="29">
        <f t="shared" ca="1" si="71"/>
        <v>199</v>
      </c>
      <c r="R506" s="22">
        <v>45051</v>
      </c>
      <c r="S506" s="26">
        <f t="shared" ca="1" si="34"/>
        <v>0.75150435315877517</v>
      </c>
      <c r="T506" s="29">
        <f t="shared" ca="1" si="72"/>
        <v>146</v>
      </c>
      <c r="V506" s="22">
        <v>45051</v>
      </c>
      <c r="W506" s="26">
        <f t="shared" ca="1" si="35"/>
        <v>0.2466137381668001</v>
      </c>
      <c r="X506" s="29">
        <f t="shared" ca="1" si="73"/>
        <v>215</v>
      </c>
      <c r="Z506" s="22">
        <v>45051</v>
      </c>
      <c r="AA506" s="26">
        <f t="shared" ca="1" si="36"/>
        <v>0.68640134358477822</v>
      </c>
      <c r="AB506" s="29">
        <f t="shared" ca="1" si="74"/>
        <v>279</v>
      </c>
      <c r="AC506"/>
      <c r="AD506" s="25"/>
      <c r="AF506" s="22">
        <v>45051</v>
      </c>
      <c r="AG506" s="26">
        <f t="shared" ca="1" si="37"/>
        <v>0.87432414928089042</v>
      </c>
      <c r="AH506" s="29">
        <f t="shared" ca="1" si="75"/>
        <v>428</v>
      </c>
      <c r="AJ506" s="22">
        <v>45051</v>
      </c>
      <c r="AK506" s="26">
        <f t="shared" ca="1" si="38"/>
        <v>0.8786985808423694</v>
      </c>
      <c r="AL506" s="29">
        <f t="shared" ca="1" si="76"/>
        <v>236</v>
      </c>
      <c r="AN506" s="22">
        <v>45051</v>
      </c>
      <c r="AO506" s="26">
        <f t="shared" ca="1" si="39"/>
        <v>0.79042385983592356</v>
      </c>
      <c r="AP506" s="29">
        <f t="shared" ca="1" si="78"/>
        <v>179</v>
      </c>
      <c r="AR506" s="22">
        <v>45051</v>
      </c>
      <c r="AS506" s="26">
        <f t="shared" ca="1" si="40"/>
        <v>0.71768802284151523</v>
      </c>
      <c r="AT506" s="29">
        <v>0</v>
      </c>
      <c r="AV506" s="22">
        <v>45051</v>
      </c>
      <c r="AW506" s="26">
        <f t="shared" ca="1" si="41"/>
        <v>1.7139464348554401E-2</v>
      </c>
      <c r="AX506" s="29">
        <v>0</v>
      </c>
      <c r="AZ506" s="22">
        <v>45051</v>
      </c>
      <c r="BA506" s="26">
        <f t="shared" ca="1" si="42"/>
        <v>0.40670350240215625</v>
      </c>
      <c r="BB506" s="29">
        <v>0</v>
      </c>
      <c r="BC506"/>
      <c r="BD506" s="25"/>
      <c r="BF506" s="22">
        <v>45051</v>
      </c>
      <c r="BG506" s="26">
        <f t="shared" ca="1" si="43"/>
        <v>0.64702615908874206</v>
      </c>
      <c r="BH506" s="29">
        <v>0</v>
      </c>
      <c r="BJ506" s="22">
        <v>45051</v>
      </c>
      <c r="BK506" s="26">
        <f t="shared" ca="1" si="44"/>
        <v>0.95268864583666857</v>
      </c>
      <c r="BL506" s="29">
        <v>0</v>
      </c>
      <c r="BN506" s="22">
        <v>45051</v>
      </c>
      <c r="BO506" s="26">
        <f t="shared" ca="1" si="45"/>
        <v>0.53124292145102614</v>
      </c>
      <c r="BP506" s="29">
        <v>0</v>
      </c>
      <c r="BR506" s="22">
        <v>45051</v>
      </c>
      <c r="BS506" s="26">
        <f t="shared" ca="1" si="46"/>
        <v>6.2364422190652191E-2</v>
      </c>
      <c r="BT506" s="29">
        <v>0</v>
      </c>
      <c r="BV506" s="22">
        <v>45051</v>
      </c>
      <c r="BW506" s="26">
        <f t="shared" ca="1" si="47"/>
        <v>0.17717159691840889</v>
      </c>
      <c r="BX506" s="29">
        <v>0</v>
      </c>
    </row>
    <row r="507" spans="2:77" ht="12.75" x14ac:dyDescent="0.2">
      <c r="B507" s="22">
        <v>45052</v>
      </c>
      <c r="C507" s="26">
        <f t="shared" ca="1" si="68"/>
        <v>8.2065155793757172E-2</v>
      </c>
      <c r="D507" s="29">
        <f t="shared" ca="1" si="77"/>
        <v>48</v>
      </c>
      <c r="F507" s="22">
        <v>45052</v>
      </c>
      <c r="G507" s="26">
        <f t="shared" ca="1" si="31"/>
        <v>0.82614847150379833</v>
      </c>
      <c r="H507" s="29">
        <f t="shared" ca="1" si="69"/>
        <v>229</v>
      </c>
      <c r="J507" s="22">
        <v>45052</v>
      </c>
      <c r="K507" s="26">
        <f t="shared" ca="1" si="32"/>
        <v>6.1450258687351988E-2</v>
      </c>
      <c r="L507" s="29">
        <f t="shared" ca="1" si="70"/>
        <v>135</v>
      </c>
      <c r="N507" s="22">
        <v>45052</v>
      </c>
      <c r="O507" s="26">
        <f t="shared" ca="1" si="33"/>
        <v>0.84614125071355384</v>
      </c>
      <c r="P507" s="29">
        <f t="shared" ca="1" si="71"/>
        <v>245</v>
      </c>
      <c r="R507" s="22">
        <v>45052</v>
      </c>
      <c r="S507" s="26">
        <f t="shared" ca="1" si="34"/>
        <v>0.30144791630599344</v>
      </c>
      <c r="T507" s="29">
        <f t="shared" ca="1" si="72"/>
        <v>134</v>
      </c>
      <c r="V507" s="22">
        <v>45052</v>
      </c>
      <c r="W507" s="26">
        <f t="shared" ca="1" si="35"/>
        <v>0.7511442303970578</v>
      </c>
      <c r="X507" s="29">
        <f t="shared" ca="1" si="73"/>
        <v>236</v>
      </c>
      <c r="Z507" s="22">
        <v>45052</v>
      </c>
      <c r="AA507" s="26">
        <f t="shared" ca="1" si="36"/>
        <v>0.65393668567067442</v>
      </c>
      <c r="AB507" s="29">
        <f t="shared" ca="1" si="74"/>
        <v>278</v>
      </c>
      <c r="AC507"/>
      <c r="AD507" s="25"/>
      <c r="AF507" s="22">
        <v>45052</v>
      </c>
      <c r="AG507" s="26">
        <f t="shared" ca="1" si="37"/>
        <v>0.79229641215367208</v>
      </c>
      <c r="AH507" s="29">
        <f t="shared" ca="1" si="75"/>
        <v>399</v>
      </c>
      <c r="AJ507" s="22">
        <v>45052</v>
      </c>
      <c r="AK507" s="26">
        <f t="shared" ca="1" si="38"/>
        <v>0.8280186270065425</v>
      </c>
      <c r="AL507" s="29">
        <f t="shared" ca="1" si="76"/>
        <v>226</v>
      </c>
      <c r="AN507" s="22">
        <v>45052</v>
      </c>
      <c r="AO507" s="26">
        <f t="shared" ca="1" si="39"/>
        <v>0.77446582306033884</v>
      </c>
      <c r="AP507" s="29">
        <f t="shared" ca="1" si="78"/>
        <v>177</v>
      </c>
      <c r="AR507" s="22">
        <v>45052</v>
      </c>
      <c r="AS507" s="26">
        <f t="shared" ca="1" si="40"/>
        <v>0.52576563582644453</v>
      </c>
      <c r="AT507" s="29">
        <v>0</v>
      </c>
      <c r="AV507" s="22">
        <v>45052</v>
      </c>
      <c r="AW507" s="26">
        <f t="shared" ca="1" si="41"/>
        <v>0.31598673983596637</v>
      </c>
      <c r="AX507" s="29">
        <v>0</v>
      </c>
      <c r="AZ507" s="22">
        <v>45052</v>
      </c>
      <c r="BA507" s="26">
        <f t="shared" ca="1" si="42"/>
        <v>6.069600949088938E-2</v>
      </c>
      <c r="BB507" s="29">
        <v>0</v>
      </c>
      <c r="BC507"/>
      <c r="BD507" s="25"/>
      <c r="BF507" s="22">
        <v>45052</v>
      </c>
      <c r="BG507" s="26">
        <f t="shared" ca="1" si="43"/>
        <v>7.7143358842955978E-3</v>
      </c>
      <c r="BH507" s="29">
        <v>0</v>
      </c>
      <c r="BJ507" s="22">
        <v>45052</v>
      </c>
      <c r="BK507" s="26">
        <f t="shared" ca="1" si="44"/>
        <v>0.55749266456909174</v>
      </c>
      <c r="BL507" s="29">
        <v>0</v>
      </c>
      <c r="BN507" s="22">
        <v>45052</v>
      </c>
      <c r="BO507" s="26">
        <f t="shared" ca="1" si="45"/>
        <v>2.4915650007069079E-2</v>
      </c>
      <c r="BP507" s="29">
        <v>0</v>
      </c>
      <c r="BR507" s="22">
        <v>45052</v>
      </c>
      <c r="BS507" s="26">
        <f t="shared" ca="1" si="46"/>
        <v>0.33960192120163479</v>
      </c>
      <c r="BT507" s="29">
        <v>0</v>
      </c>
      <c r="BV507" s="22">
        <v>45052</v>
      </c>
      <c r="BW507" s="26">
        <f t="shared" ca="1" si="47"/>
        <v>0.28416592384090777</v>
      </c>
      <c r="BX507" s="29">
        <v>0</v>
      </c>
    </row>
    <row r="508" spans="2:77" ht="12.75" x14ac:dyDescent="0.2">
      <c r="B508" s="22">
        <v>45053</v>
      </c>
      <c r="C508" s="26">
        <f t="shared" ca="1" si="68"/>
        <v>7.8446048094750198E-3</v>
      </c>
      <c r="D508" s="29">
        <f t="shared" ca="1" si="77"/>
        <v>27</v>
      </c>
      <c r="F508" s="22">
        <v>45053</v>
      </c>
      <c r="G508" s="26">
        <f t="shared" ca="1" si="31"/>
        <v>0.42963975249233921</v>
      </c>
      <c r="H508" s="29">
        <f t="shared" ca="1" si="69"/>
        <v>213</v>
      </c>
      <c r="J508" s="22">
        <v>45053</v>
      </c>
      <c r="K508" s="26">
        <f t="shared" ca="1" si="32"/>
        <v>0.36180645282306445</v>
      </c>
      <c r="L508" s="29">
        <f t="shared" ca="1" si="70"/>
        <v>147</v>
      </c>
      <c r="N508" s="22">
        <v>45053</v>
      </c>
      <c r="O508" s="26">
        <f t="shared" ca="1" si="33"/>
        <v>0.75136333223515939</v>
      </c>
      <c r="P508" s="29">
        <f t="shared" ca="1" si="71"/>
        <v>240</v>
      </c>
      <c r="R508" s="22">
        <v>45053</v>
      </c>
      <c r="S508" s="26">
        <f t="shared" ca="1" si="34"/>
        <v>0.45511365458842123</v>
      </c>
      <c r="T508" s="29">
        <f t="shared" ca="1" si="72"/>
        <v>138</v>
      </c>
      <c r="V508" s="22">
        <v>45053</v>
      </c>
      <c r="W508" s="26">
        <f t="shared" ca="1" si="35"/>
        <v>0.60832911862550654</v>
      </c>
      <c r="X508" s="29">
        <f t="shared" ca="1" si="73"/>
        <v>230</v>
      </c>
      <c r="Z508" s="22">
        <v>45053</v>
      </c>
      <c r="AA508" s="26">
        <f t="shared" ca="1" si="36"/>
        <v>0.38090075874255758</v>
      </c>
      <c r="AB508" s="29">
        <f t="shared" ca="1" si="74"/>
        <v>265</v>
      </c>
      <c r="AC508"/>
      <c r="AD508" s="25"/>
      <c r="AF508" s="22">
        <v>45053</v>
      </c>
      <c r="AG508" s="26">
        <f t="shared" ca="1" si="37"/>
        <v>0.17073465999145654</v>
      </c>
      <c r="AH508" s="29">
        <f t="shared" ca="1" si="75"/>
        <v>245</v>
      </c>
      <c r="AJ508" s="22">
        <v>45053</v>
      </c>
      <c r="AK508" s="26">
        <f t="shared" ca="1" si="38"/>
        <v>0.38106162809847155</v>
      </c>
      <c r="AL508" s="29">
        <f t="shared" ca="1" si="76"/>
        <v>166</v>
      </c>
      <c r="AN508" s="22">
        <v>45053</v>
      </c>
      <c r="AO508" s="26">
        <f t="shared" ca="1" si="39"/>
        <v>0.39645262958915084</v>
      </c>
      <c r="AP508" s="29">
        <f t="shared" ca="1" si="78"/>
        <v>137</v>
      </c>
      <c r="AR508" s="22">
        <v>45053</v>
      </c>
      <c r="AS508" s="26">
        <f t="shared" ca="1" si="40"/>
        <v>0.91361683688181605</v>
      </c>
      <c r="AT508" s="29">
        <v>0</v>
      </c>
      <c r="AV508" s="22">
        <v>45053</v>
      </c>
      <c r="AW508" s="26">
        <f t="shared" ca="1" si="41"/>
        <v>0.39466668700595398</v>
      </c>
      <c r="AX508" s="29">
        <v>0</v>
      </c>
      <c r="AZ508" s="22">
        <v>45053</v>
      </c>
      <c r="BA508" s="26">
        <f t="shared" ca="1" si="42"/>
        <v>0.88315748984946418</v>
      </c>
      <c r="BB508" s="29">
        <v>0</v>
      </c>
      <c r="BC508"/>
      <c r="BD508" s="25"/>
      <c r="BF508" s="22">
        <v>45053</v>
      </c>
      <c r="BG508" s="26">
        <f t="shared" ca="1" si="43"/>
        <v>0.26395159957526759</v>
      </c>
      <c r="BH508" s="29">
        <v>0</v>
      </c>
      <c r="BJ508" s="22">
        <v>45053</v>
      </c>
      <c r="BK508" s="26">
        <f t="shared" ca="1" si="44"/>
        <v>2.7157693314399212E-2</v>
      </c>
      <c r="BL508" s="29">
        <v>0</v>
      </c>
      <c r="BN508" s="22">
        <v>45053</v>
      </c>
      <c r="BO508" s="26">
        <f t="shared" ca="1" si="45"/>
        <v>0.85170044384848553</v>
      </c>
      <c r="BP508" s="29">
        <v>0</v>
      </c>
      <c r="BR508" s="22">
        <v>45053</v>
      </c>
      <c r="BS508" s="26">
        <f t="shared" ca="1" si="46"/>
        <v>0.15805141927579425</v>
      </c>
      <c r="BT508" s="29">
        <v>0</v>
      </c>
      <c r="BV508" s="22">
        <v>45053</v>
      </c>
      <c r="BW508" s="26">
        <f t="shared" ca="1" si="47"/>
        <v>0.94130657920150718</v>
      </c>
      <c r="BX508" s="29">
        <v>0</v>
      </c>
    </row>
    <row r="509" spans="2:77" ht="12.75" x14ac:dyDescent="0.2">
      <c r="B509" s="22">
        <v>45054</v>
      </c>
      <c r="C509" s="26">
        <f t="shared" ca="1" si="68"/>
        <v>0.39242420369435971</v>
      </c>
      <c r="D509" s="29">
        <f t="shared" ca="1" si="77"/>
        <v>70</v>
      </c>
      <c r="F509" s="22">
        <v>45054</v>
      </c>
      <c r="G509" s="26">
        <f t="shared" ca="1" si="31"/>
        <v>0.73500685894217777</v>
      </c>
      <c r="H509" s="29">
        <f t="shared" ca="1" si="69"/>
        <v>225</v>
      </c>
      <c r="J509" s="22">
        <v>45054</v>
      </c>
      <c r="K509" s="26">
        <f t="shared" ca="1" si="32"/>
        <v>0.39503434405744509</v>
      </c>
      <c r="L509" s="29">
        <f t="shared" ca="1" si="70"/>
        <v>148</v>
      </c>
      <c r="N509" s="22">
        <v>45054</v>
      </c>
      <c r="O509" s="26">
        <f t="shared" ca="1" si="33"/>
        <v>9.8511595611348812E-2</v>
      </c>
      <c r="P509" s="29">
        <f t="shared" ca="1" si="71"/>
        <v>210</v>
      </c>
      <c r="R509" s="22">
        <v>45054</v>
      </c>
      <c r="S509" s="26">
        <f t="shared" ca="1" si="34"/>
        <v>0.22515201779565597</v>
      </c>
      <c r="T509" s="29">
        <f t="shared" ca="1" si="72"/>
        <v>132</v>
      </c>
      <c r="V509" s="22">
        <v>45054</v>
      </c>
      <c r="W509" s="26">
        <f t="shared" ca="1" si="35"/>
        <v>0.81554971018347711</v>
      </c>
      <c r="X509" s="29">
        <f t="shared" ca="1" si="73"/>
        <v>239</v>
      </c>
      <c r="Z509" s="22">
        <v>45054</v>
      </c>
      <c r="AA509" s="26">
        <f t="shared" ca="1" si="36"/>
        <v>0.90261289900868491</v>
      </c>
      <c r="AB509" s="29">
        <f t="shared" ca="1" si="74"/>
        <v>294</v>
      </c>
      <c r="AC509"/>
      <c r="AD509" s="25"/>
      <c r="AF509" s="22">
        <v>45054</v>
      </c>
      <c r="AG509" s="26">
        <f t="shared" ca="1" si="37"/>
        <v>0.21345573753232605</v>
      </c>
      <c r="AH509" s="29">
        <f t="shared" ca="1" si="75"/>
        <v>258</v>
      </c>
      <c r="AJ509" s="22">
        <v>45054</v>
      </c>
      <c r="AK509" s="26">
        <f t="shared" ca="1" si="38"/>
        <v>0.30112883732242479</v>
      </c>
      <c r="AL509" s="29">
        <f t="shared" ca="1" si="76"/>
        <v>155</v>
      </c>
      <c r="AN509" s="22">
        <v>45054</v>
      </c>
      <c r="AO509" s="26">
        <f t="shared" ca="1" si="39"/>
        <v>0.64727598554691368</v>
      </c>
      <c r="AP509" s="29">
        <f t="shared" ca="1" si="78"/>
        <v>162</v>
      </c>
      <c r="AR509" s="22">
        <v>45054</v>
      </c>
      <c r="AS509" s="26">
        <f t="shared" ca="1" si="40"/>
        <v>0.24443067213991332</v>
      </c>
      <c r="AT509" s="29">
        <v>0</v>
      </c>
      <c r="AV509" s="22">
        <v>45054</v>
      </c>
      <c r="AW509" s="26">
        <f t="shared" ca="1" si="41"/>
        <v>0.32328019747092041</v>
      </c>
      <c r="AX509" s="29">
        <v>0</v>
      </c>
      <c r="AZ509" s="22">
        <v>45054</v>
      </c>
      <c r="BA509" s="26">
        <f t="shared" ca="1" si="42"/>
        <v>0.59172171343722346</v>
      </c>
      <c r="BB509" s="29">
        <v>0</v>
      </c>
      <c r="BC509"/>
      <c r="BD509" s="25"/>
      <c r="BF509" s="22">
        <v>45054</v>
      </c>
      <c r="BG509" s="26">
        <f t="shared" ca="1" si="43"/>
        <v>4.6367271089520878E-2</v>
      </c>
      <c r="BH509" s="29">
        <v>0</v>
      </c>
      <c r="BJ509" s="22">
        <v>45054</v>
      </c>
      <c r="BK509" s="26">
        <f t="shared" ca="1" si="44"/>
        <v>0.79264059322102698</v>
      </c>
      <c r="BL509" s="29">
        <v>0</v>
      </c>
      <c r="BN509" s="22">
        <v>45054</v>
      </c>
      <c r="BO509" s="26">
        <f t="shared" ca="1" si="45"/>
        <v>0.5472776657608085</v>
      </c>
      <c r="BP509" s="29">
        <v>0</v>
      </c>
      <c r="BR509" s="22">
        <v>45054</v>
      </c>
      <c r="BS509" s="26">
        <f t="shared" ca="1" si="46"/>
        <v>0.39491304545368078</v>
      </c>
      <c r="BT509" s="29">
        <v>0</v>
      </c>
      <c r="BV509" s="22">
        <v>45054</v>
      </c>
      <c r="BW509" s="26">
        <f t="shared" ca="1" si="47"/>
        <v>0.45223754247127979</v>
      </c>
      <c r="BX509" s="29">
        <v>0</v>
      </c>
    </row>
    <row r="510" spans="2:77" ht="12.75" x14ac:dyDescent="0.2">
      <c r="B510" s="22">
        <v>45055</v>
      </c>
      <c r="C510" s="26">
        <f t="shared" ca="1" si="68"/>
        <v>7.0522675931040335E-2</v>
      </c>
      <c r="D510" s="29">
        <f t="shared" ca="1" si="77"/>
        <v>46</v>
      </c>
      <c r="F510" s="22">
        <v>45055</v>
      </c>
      <c r="G510" s="26">
        <f t="shared" ca="1" si="31"/>
        <v>0.36367514193843409</v>
      </c>
      <c r="H510" s="29">
        <f t="shared" ca="1" si="69"/>
        <v>211</v>
      </c>
      <c r="J510" s="22">
        <v>45055</v>
      </c>
      <c r="K510" s="26">
        <f t="shared" ca="1" si="32"/>
        <v>0.14291179824008848</v>
      </c>
      <c r="L510" s="29">
        <f t="shared" ca="1" si="70"/>
        <v>140</v>
      </c>
      <c r="N510" s="22">
        <v>45055</v>
      </c>
      <c r="O510" s="26">
        <f t="shared" ca="1" si="33"/>
        <v>0.7101051985910829</v>
      </c>
      <c r="P510" s="29">
        <f t="shared" ca="1" si="71"/>
        <v>238</v>
      </c>
      <c r="R510" s="22">
        <v>45055</v>
      </c>
      <c r="S510" s="26">
        <f t="shared" ca="1" si="34"/>
        <v>0.10784057117468671</v>
      </c>
      <c r="T510" s="29">
        <f t="shared" ca="1" si="72"/>
        <v>128</v>
      </c>
      <c r="V510" s="22">
        <v>45055</v>
      </c>
      <c r="W510" s="26">
        <f t="shared" ca="1" si="35"/>
        <v>0.53147806980934431</v>
      </c>
      <c r="X510" s="29">
        <f t="shared" ca="1" si="73"/>
        <v>227</v>
      </c>
      <c r="Z510" s="22">
        <v>45055</v>
      </c>
      <c r="AA510" s="26">
        <f t="shared" ca="1" si="36"/>
        <v>0.61332858828222148</v>
      </c>
      <c r="AB510" s="29">
        <f t="shared" ca="1" si="74"/>
        <v>276</v>
      </c>
      <c r="AC510"/>
      <c r="AD510" s="25"/>
      <c r="AF510" s="22">
        <v>45055</v>
      </c>
      <c r="AG510" s="26">
        <f t="shared" ca="1" si="37"/>
        <v>0.568112577646668</v>
      </c>
      <c r="AH510" s="29">
        <f t="shared" ca="1" si="75"/>
        <v>342</v>
      </c>
      <c r="AJ510" s="22">
        <v>45055</v>
      </c>
      <c r="AK510" s="26">
        <f t="shared" ca="1" si="38"/>
        <v>0.71692798012633385</v>
      </c>
      <c r="AL510" s="29">
        <f t="shared" ca="1" si="76"/>
        <v>208</v>
      </c>
      <c r="AN510" s="22">
        <v>45055</v>
      </c>
      <c r="AO510" s="26">
        <f t="shared" ca="1" si="39"/>
        <v>0.72552748566416769</v>
      </c>
      <c r="AP510" s="29">
        <f t="shared" ca="1" si="78"/>
        <v>171</v>
      </c>
      <c r="AR510" s="22">
        <v>45055</v>
      </c>
      <c r="AS510" s="26">
        <f t="shared" ca="1" si="40"/>
        <v>0.21633924600048737</v>
      </c>
      <c r="AT510" s="29">
        <v>0</v>
      </c>
      <c r="AV510" s="22">
        <v>45055</v>
      </c>
      <c r="AW510" s="26">
        <f t="shared" ca="1" si="41"/>
        <v>3.2540853905482892E-2</v>
      </c>
      <c r="AX510" s="29">
        <v>0</v>
      </c>
      <c r="AZ510" s="22">
        <v>45055</v>
      </c>
      <c r="BA510" s="26">
        <f t="shared" ca="1" si="42"/>
        <v>0.39619271588208838</v>
      </c>
      <c r="BB510" s="29">
        <v>0</v>
      </c>
      <c r="BC510"/>
      <c r="BD510" s="25"/>
      <c r="BF510" s="22">
        <v>45055</v>
      </c>
      <c r="BG510" s="26">
        <f t="shared" ca="1" si="43"/>
        <v>0.14788189146918584</v>
      </c>
      <c r="BH510" s="29">
        <v>0</v>
      </c>
      <c r="BJ510" s="22">
        <v>45055</v>
      </c>
      <c r="BK510" s="26">
        <f t="shared" ca="1" si="44"/>
        <v>0.12720072954514616</v>
      </c>
      <c r="BL510" s="29">
        <v>0</v>
      </c>
      <c r="BN510" s="22">
        <v>45055</v>
      </c>
      <c r="BO510" s="26">
        <f t="shared" ca="1" si="45"/>
        <v>0.8477641064463981</v>
      </c>
      <c r="BP510" s="29">
        <v>0</v>
      </c>
      <c r="BR510" s="22">
        <v>45055</v>
      </c>
      <c r="BS510" s="26">
        <f t="shared" ca="1" si="46"/>
        <v>0.86110437423707442</v>
      </c>
      <c r="BT510" s="29">
        <v>0</v>
      </c>
      <c r="BV510" s="22">
        <v>45055</v>
      </c>
      <c r="BW510" s="26">
        <f t="shared" ca="1" si="47"/>
        <v>1.7320112297167234E-2</v>
      </c>
      <c r="BX510" s="29">
        <v>0</v>
      </c>
    </row>
    <row r="511" spans="2:77" ht="12.75" x14ac:dyDescent="0.2">
      <c r="B511" s="22">
        <v>45056</v>
      </c>
      <c r="C511" s="26">
        <f t="shared" ca="1" si="68"/>
        <v>0.94665692376969468</v>
      </c>
      <c r="D511" s="29">
        <f t="shared" ca="1" si="77"/>
        <v>108</v>
      </c>
      <c r="F511" s="22">
        <v>45056</v>
      </c>
      <c r="G511" s="26">
        <f t="shared" ca="1" si="31"/>
        <v>1.4285782163296901E-3</v>
      </c>
      <c r="H511" s="29">
        <f t="shared" ca="1" si="69"/>
        <v>173</v>
      </c>
      <c r="J511" s="22">
        <v>45056</v>
      </c>
      <c r="K511" s="26">
        <f t="shared" ca="1" si="32"/>
        <v>4.2647115294358384E-2</v>
      </c>
      <c r="L511" s="29">
        <f t="shared" ca="1" si="70"/>
        <v>133</v>
      </c>
      <c r="N511" s="22">
        <v>45056</v>
      </c>
      <c r="O511" s="26">
        <f t="shared" ca="1" si="33"/>
        <v>0.84626765362664647</v>
      </c>
      <c r="P511" s="29">
        <f t="shared" ca="1" si="71"/>
        <v>245</v>
      </c>
      <c r="R511" s="22">
        <v>45056</v>
      </c>
      <c r="S511" s="26">
        <f t="shared" ca="1" si="34"/>
        <v>0.34464131097434114</v>
      </c>
      <c r="T511" s="29">
        <f t="shared" ca="1" si="72"/>
        <v>136</v>
      </c>
      <c r="V511" s="22">
        <v>45056</v>
      </c>
      <c r="W511" s="26">
        <f t="shared" ca="1" si="35"/>
        <v>9.5978268447302617E-2</v>
      </c>
      <c r="X511" s="29">
        <f t="shared" ca="1" si="73"/>
        <v>206</v>
      </c>
      <c r="Z511" s="22">
        <v>45056</v>
      </c>
      <c r="AA511" s="26">
        <f t="shared" ca="1" si="36"/>
        <v>0.11842098456599626</v>
      </c>
      <c r="AB511" s="29">
        <f t="shared" ca="1" si="74"/>
        <v>249</v>
      </c>
      <c r="AC511"/>
      <c r="AD511" s="25"/>
      <c r="AF511" s="22">
        <v>45056</v>
      </c>
      <c r="AG511" s="26">
        <f t="shared" ca="1" si="37"/>
        <v>0.81581779489608708</v>
      </c>
      <c r="AH511" s="29">
        <f t="shared" ca="1" si="75"/>
        <v>406</v>
      </c>
      <c r="AJ511" s="22">
        <v>45056</v>
      </c>
      <c r="AK511" s="26">
        <f t="shared" ca="1" si="38"/>
        <v>0.158306405511495</v>
      </c>
      <c r="AL511" s="29">
        <f t="shared" ca="1" si="76"/>
        <v>132</v>
      </c>
      <c r="AN511" s="22">
        <v>45056</v>
      </c>
      <c r="AO511" s="26">
        <f t="shared" ca="1" si="39"/>
        <v>0.33334318097341853</v>
      </c>
      <c r="AP511" s="29">
        <f t="shared" ca="1" si="78"/>
        <v>131</v>
      </c>
      <c r="AR511" s="22">
        <v>45056</v>
      </c>
      <c r="AS511" s="26">
        <f t="shared" ca="1" si="40"/>
        <v>0.81902139540721208</v>
      </c>
      <c r="AT511" s="29">
        <v>0</v>
      </c>
      <c r="AV511" s="22">
        <v>45056</v>
      </c>
      <c r="AW511" s="26">
        <f t="shared" ca="1" si="41"/>
        <v>0.93808752380659477</v>
      </c>
      <c r="AX511" s="29">
        <v>0</v>
      </c>
      <c r="AZ511" s="22">
        <v>45056</v>
      </c>
      <c r="BA511" s="26">
        <f t="shared" ca="1" si="42"/>
        <v>0.48023266022587152</v>
      </c>
      <c r="BB511" s="29">
        <v>0</v>
      </c>
      <c r="BC511"/>
      <c r="BD511" s="25"/>
      <c r="BF511" s="22">
        <v>45056</v>
      </c>
      <c r="BG511" s="26">
        <f t="shared" ca="1" si="43"/>
        <v>0.55572985050086898</v>
      </c>
      <c r="BH511" s="29">
        <v>0</v>
      </c>
      <c r="BJ511" s="22">
        <v>45056</v>
      </c>
      <c r="BK511" s="26">
        <f t="shared" ca="1" si="44"/>
        <v>0.81038663510626263</v>
      </c>
      <c r="BL511" s="29">
        <v>0</v>
      </c>
      <c r="BN511" s="22">
        <v>45056</v>
      </c>
      <c r="BO511" s="26">
        <f t="shared" ca="1" si="45"/>
        <v>0.18847262964516986</v>
      </c>
      <c r="BP511" s="29">
        <v>0</v>
      </c>
      <c r="BR511" s="22">
        <v>45056</v>
      </c>
      <c r="BS511" s="26">
        <f t="shared" ca="1" si="46"/>
        <v>0.49303562452625282</v>
      </c>
      <c r="BT511" s="29">
        <v>0</v>
      </c>
      <c r="BV511" s="22">
        <v>45056</v>
      </c>
      <c r="BW511" s="26">
        <f t="shared" ca="1" si="47"/>
        <v>0.82448310453967699</v>
      </c>
      <c r="BX511" s="29">
        <v>0</v>
      </c>
    </row>
    <row r="512" spans="2:77" ht="12.75" x14ac:dyDescent="0.2">
      <c r="B512" s="22">
        <v>45057</v>
      </c>
      <c r="C512" s="26">
        <f t="shared" ca="1" si="68"/>
        <v>0.86761817040641076</v>
      </c>
      <c r="D512" s="29">
        <f t="shared" ca="1" si="77"/>
        <v>98</v>
      </c>
      <c r="F512" s="22">
        <v>45057</v>
      </c>
      <c r="G512" s="26">
        <f t="shared" ca="1" si="31"/>
        <v>7.2262860010979479E-2</v>
      </c>
      <c r="H512" s="29">
        <f t="shared" ca="1" si="69"/>
        <v>195</v>
      </c>
      <c r="J512" s="22">
        <v>45057</v>
      </c>
      <c r="K512" s="26">
        <f t="shared" ca="1" si="32"/>
        <v>0.7289186197273243</v>
      </c>
      <c r="L512" s="29">
        <f t="shared" ca="1" si="70"/>
        <v>157</v>
      </c>
      <c r="N512" s="22">
        <v>45057</v>
      </c>
      <c r="O512" s="26">
        <f t="shared" ca="1" si="33"/>
        <v>0.79397294391188722</v>
      </c>
      <c r="P512" s="29">
        <f t="shared" ca="1" si="71"/>
        <v>242</v>
      </c>
      <c r="R512" s="22">
        <v>45057</v>
      </c>
      <c r="S512" s="26">
        <f t="shared" ca="1" si="34"/>
        <v>0.53221072158219584</v>
      </c>
      <c r="T512" s="29">
        <f t="shared" ca="1" si="72"/>
        <v>140</v>
      </c>
      <c r="V512" s="22">
        <v>45057</v>
      </c>
      <c r="W512" s="26">
        <f t="shared" ca="1" si="35"/>
        <v>0.82382145645872507</v>
      </c>
      <c r="X512" s="29">
        <f t="shared" ca="1" si="73"/>
        <v>239</v>
      </c>
      <c r="Z512" s="22">
        <v>45057</v>
      </c>
      <c r="AA512" s="26">
        <f t="shared" ca="1" si="36"/>
        <v>0.11441943061381132</v>
      </c>
      <c r="AB512" s="29">
        <f t="shared" ca="1" si="74"/>
        <v>249</v>
      </c>
      <c r="AC512"/>
      <c r="AD512" s="25"/>
      <c r="AF512" s="22">
        <v>45057</v>
      </c>
      <c r="AG512" s="26">
        <f t="shared" ca="1" si="37"/>
        <v>0.49519334477018995</v>
      </c>
      <c r="AH512" s="29">
        <f t="shared" ca="1" si="75"/>
        <v>326</v>
      </c>
      <c r="AJ512" s="22">
        <v>45057</v>
      </c>
      <c r="AK512" s="26">
        <f t="shared" ca="1" si="38"/>
        <v>0.97730918327119587</v>
      </c>
      <c r="AL512" s="29">
        <f t="shared" ca="1" si="76"/>
        <v>276</v>
      </c>
      <c r="AN512" s="22">
        <v>45057</v>
      </c>
      <c r="AO512" s="26">
        <f t="shared" ca="1" si="39"/>
        <v>0.24156922030965067</v>
      </c>
      <c r="AP512" s="29">
        <f t="shared" ca="1" si="78"/>
        <v>120</v>
      </c>
      <c r="AR512" s="22">
        <v>45057</v>
      </c>
      <c r="AS512" s="26">
        <f t="shared" ca="1" si="40"/>
        <v>0.53937906352002796</v>
      </c>
      <c r="AT512" s="29">
        <v>0</v>
      </c>
      <c r="AV512" s="22">
        <v>45057</v>
      </c>
      <c r="AW512" s="26">
        <f t="shared" ca="1" si="41"/>
        <v>0.39568915481063371</v>
      </c>
      <c r="AX512" s="29">
        <v>0</v>
      </c>
      <c r="AZ512" s="22">
        <v>45057</v>
      </c>
      <c r="BA512" s="26">
        <f t="shared" ca="1" si="42"/>
        <v>0.14155140225017149</v>
      </c>
      <c r="BB512" s="29">
        <v>0</v>
      </c>
      <c r="BC512"/>
      <c r="BD512" s="25"/>
      <c r="BF512" s="22">
        <v>45057</v>
      </c>
      <c r="BG512" s="26">
        <f t="shared" ca="1" si="43"/>
        <v>0.52307900432741838</v>
      </c>
      <c r="BH512" s="29">
        <v>0</v>
      </c>
      <c r="BJ512" s="22">
        <v>45057</v>
      </c>
      <c r="BK512" s="26">
        <f t="shared" ca="1" si="44"/>
        <v>0.25109791955051608</v>
      </c>
      <c r="BL512" s="29">
        <v>0</v>
      </c>
      <c r="BN512" s="22">
        <v>45057</v>
      </c>
      <c r="BO512" s="26">
        <f t="shared" ca="1" si="45"/>
        <v>0.82277346031613219</v>
      </c>
      <c r="BP512" s="29">
        <v>0</v>
      </c>
      <c r="BR512" s="22">
        <v>45057</v>
      </c>
      <c r="BS512" s="26">
        <f t="shared" ca="1" si="46"/>
        <v>0.35888128843153178</v>
      </c>
      <c r="BT512" s="29">
        <v>0</v>
      </c>
      <c r="BV512" s="22">
        <v>45057</v>
      </c>
      <c r="BW512" s="26">
        <f t="shared" ca="1" si="47"/>
        <v>0.14753573025839384</v>
      </c>
      <c r="BX512" s="29">
        <v>0</v>
      </c>
    </row>
    <row r="513" spans="2:76" ht="12.75" x14ac:dyDescent="0.2">
      <c r="B513" s="22">
        <v>45058</v>
      </c>
      <c r="C513" s="26">
        <f t="shared" ca="1" si="68"/>
        <v>0.88435163482489887</v>
      </c>
      <c r="D513" s="29">
        <f t="shared" ca="1" si="77"/>
        <v>99</v>
      </c>
      <c r="F513" s="22">
        <v>45058</v>
      </c>
      <c r="G513" s="26">
        <f t="shared" ca="1" si="31"/>
        <v>0.38309694049904175</v>
      </c>
      <c r="H513" s="29">
        <f t="shared" ca="1" si="69"/>
        <v>212</v>
      </c>
      <c r="J513" s="22">
        <v>45058</v>
      </c>
      <c r="K513" s="26">
        <f t="shared" ca="1" si="32"/>
        <v>0.58885824220335714</v>
      </c>
      <c r="L513" s="29">
        <f t="shared" ca="1" si="70"/>
        <v>153</v>
      </c>
      <c r="N513" s="22">
        <v>45058</v>
      </c>
      <c r="O513" s="26">
        <f t="shared" ca="1" si="33"/>
        <v>0.26207328771632166</v>
      </c>
      <c r="P513" s="29">
        <f t="shared" ca="1" si="71"/>
        <v>220</v>
      </c>
      <c r="R513" s="22">
        <v>45058</v>
      </c>
      <c r="S513" s="26">
        <f t="shared" ca="1" si="34"/>
        <v>0.60133215511548521</v>
      </c>
      <c r="T513" s="29">
        <f t="shared" ca="1" si="72"/>
        <v>142</v>
      </c>
      <c r="V513" s="22">
        <v>45058</v>
      </c>
      <c r="W513" s="26">
        <f t="shared" ca="1" si="35"/>
        <v>0.31120794527276308</v>
      </c>
      <c r="X513" s="29">
        <f t="shared" ca="1" si="73"/>
        <v>218</v>
      </c>
      <c r="Z513" s="22">
        <v>45058</v>
      </c>
      <c r="AA513" s="26">
        <f t="shared" ca="1" si="36"/>
        <v>0.37634661950427495</v>
      </c>
      <c r="AB513" s="29">
        <f t="shared" ca="1" si="74"/>
        <v>265</v>
      </c>
      <c r="AC513"/>
      <c r="AD513" s="25"/>
      <c r="AF513" s="22">
        <v>45058</v>
      </c>
      <c r="AG513" s="26">
        <f t="shared" ca="1" si="37"/>
        <v>0.79385854620851959</v>
      </c>
      <c r="AH513" s="29">
        <f t="shared" ca="1" si="75"/>
        <v>399</v>
      </c>
      <c r="AJ513" s="22">
        <v>45058</v>
      </c>
      <c r="AK513" s="26">
        <f t="shared" ca="1" si="38"/>
        <v>0.13242669743779623</v>
      </c>
      <c r="AL513" s="29">
        <f t="shared" ca="1" si="76"/>
        <v>127</v>
      </c>
      <c r="AN513" s="22">
        <v>45058</v>
      </c>
      <c r="AO513" s="26">
        <f t="shared" ca="1" si="39"/>
        <v>0.10277361649279348</v>
      </c>
      <c r="AP513" s="29">
        <f t="shared" ca="1" si="78"/>
        <v>98</v>
      </c>
      <c r="AR513" s="22">
        <v>45058</v>
      </c>
      <c r="AS513" s="26">
        <f t="shared" ca="1" si="40"/>
        <v>0.11624946470317221</v>
      </c>
      <c r="AT513" s="29">
        <v>0</v>
      </c>
      <c r="AV513" s="22">
        <v>45058</v>
      </c>
      <c r="AW513" s="26">
        <f t="shared" ca="1" si="41"/>
        <v>0.14585140786302642</v>
      </c>
      <c r="AX513" s="29">
        <v>0</v>
      </c>
      <c r="AZ513" s="22">
        <v>45058</v>
      </c>
      <c r="BA513" s="26">
        <f t="shared" ca="1" si="42"/>
        <v>0.70132391425620233</v>
      </c>
      <c r="BB513" s="29">
        <v>0</v>
      </c>
      <c r="BC513"/>
      <c r="BD513" s="25"/>
      <c r="BF513" s="22">
        <v>45058</v>
      </c>
      <c r="BG513" s="26">
        <f t="shared" ca="1" si="43"/>
        <v>0.50751152316656567</v>
      </c>
      <c r="BH513" s="29">
        <v>0</v>
      </c>
      <c r="BJ513" s="22">
        <v>45058</v>
      </c>
      <c r="BK513" s="26">
        <f t="shared" ca="1" si="44"/>
        <v>8.5499385458684518E-2</v>
      </c>
      <c r="BL513" s="29">
        <v>0</v>
      </c>
      <c r="BN513" s="22">
        <v>45058</v>
      </c>
      <c r="BO513" s="26">
        <f t="shared" ca="1" si="45"/>
        <v>0.78430440217644604</v>
      </c>
      <c r="BP513" s="29">
        <v>0</v>
      </c>
      <c r="BR513" s="22">
        <v>45058</v>
      </c>
      <c r="BS513" s="26">
        <f t="shared" ca="1" si="46"/>
        <v>0.66531421440819172</v>
      </c>
      <c r="BT513" s="29">
        <v>0</v>
      </c>
      <c r="BV513" s="22">
        <v>45058</v>
      </c>
      <c r="BW513" s="26">
        <f t="shared" ca="1" si="47"/>
        <v>0.22811183879444785</v>
      </c>
      <c r="BX513" s="29">
        <v>0</v>
      </c>
    </row>
    <row r="514" spans="2:76" ht="12.75" x14ac:dyDescent="0.2">
      <c r="B514" s="22">
        <v>45059</v>
      </c>
      <c r="C514" s="26">
        <f t="shared" ca="1" si="68"/>
        <v>0.68468489249622444</v>
      </c>
      <c r="D514" s="29">
        <f t="shared" ca="1" si="77"/>
        <v>85</v>
      </c>
      <c r="F514" s="22">
        <v>45059</v>
      </c>
      <c r="G514" s="26">
        <f t="shared" ca="1" si="31"/>
        <v>0.28019861911369137</v>
      </c>
      <c r="H514" s="29">
        <f t="shared" ca="1" si="69"/>
        <v>208</v>
      </c>
      <c r="J514" s="22">
        <v>45059</v>
      </c>
      <c r="K514" s="26">
        <f t="shared" ca="1" si="32"/>
        <v>0.413286799874647</v>
      </c>
      <c r="L514" s="29">
        <f t="shared" ca="1" si="70"/>
        <v>148</v>
      </c>
      <c r="N514" s="22">
        <v>45059</v>
      </c>
      <c r="O514" s="26">
        <f t="shared" ca="1" si="33"/>
        <v>0.5923430420296909</v>
      </c>
      <c r="P514" s="29">
        <f t="shared" ca="1" si="71"/>
        <v>233</v>
      </c>
      <c r="R514" s="22">
        <v>45059</v>
      </c>
      <c r="S514" s="26">
        <f t="shared" ca="1" si="34"/>
        <v>0.6126359230423547</v>
      </c>
      <c r="T514" s="29">
        <f t="shared" ca="1" si="72"/>
        <v>142</v>
      </c>
      <c r="V514" s="22">
        <v>45059</v>
      </c>
      <c r="W514" s="26">
        <f t="shared" ca="1" si="35"/>
        <v>6.1295690333501796E-2</v>
      </c>
      <c r="X514" s="29">
        <f t="shared" ca="1" si="73"/>
        <v>202</v>
      </c>
      <c r="Z514" s="22">
        <v>45059</v>
      </c>
      <c r="AA514" s="26">
        <f t="shared" ca="1" si="36"/>
        <v>0.79185996905528888</v>
      </c>
      <c r="AB514" s="29">
        <f t="shared" ca="1" si="74"/>
        <v>285</v>
      </c>
      <c r="AC514"/>
      <c r="AD514" s="25"/>
      <c r="AF514" s="22">
        <v>45059</v>
      </c>
      <c r="AG514" s="26">
        <f t="shared" ca="1" si="37"/>
        <v>0.17300351761062827</v>
      </c>
      <c r="AH514" s="29">
        <f t="shared" ca="1" si="75"/>
        <v>245</v>
      </c>
      <c r="AJ514" s="22">
        <v>45059</v>
      </c>
      <c r="AK514" s="26">
        <f t="shared" ca="1" si="38"/>
        <v>0.21137592986738585</v>
      </c>
      <c r="AL514" s="29">
        <f t="shared" ca="1" si="76"/>
        <v>142</v>
      </c>
      <c r="AN514" s="22">
        <v>45059</v>
      </c>
      <c r="AO514" s="26">
        <f t="shared" ca="1" si="39"/>
        <v>0.45217359557802894</v>
      </c>
      <c r="AP514" s="29">
        <f t="shared" ca="1" si="78"/>
        <v>143</v>
      </c>
      <c r="AR514" s="22">
        <v>45059</v>
      </c>
      <c r="AS514" s="26">
        <f t="shared" ca="1" si="40"/>
        <v>0.54074475116644249</v>
      </c>
      <c r="AT514" s="29">
        <v>0</v>
      </c>
      <c r="AV514" s="22">
        <v>45059</v>
      </c>
      <c r="AW514" s="26">
        <f t="shared" ca="1" si="41"/>
        <v>0.8828883488120135</v>
      </c>
      <c r="AX514" s="29">
        <v>0</v>
      </c>
      <c r="AZ514" s="22">
        <v>45059</v>
      </c>
      <c r="BA514" s="26">
        <f t="shared" ca="1" si="42"/>
        <v>0.54484897660253229</v>
      </c>
      <c r="BB514" s="29">
        <v>0</v>
      </c>
      <c r="BC514"/>
      <c r="BD514" s="25"/>
      <c r="BF514" s="22">
        <v>45059</v>
      </c>
      <c r="BG514" s="26">
        <f t="shared" ca="1" si="43"/>
        <v>0.29667839657128525</v>
      </c>
      <c r="BH514" s="29">
        <v>0</v>
      </c>
      <c r="BJ514" s="22">
        <v>45059</v>
      </c>
      <c r="BK514" s="26">
        <f t="shared" ca="1" si="44"/>
        <v>0.98653256528781685</v>
      </c>
      <c r="BL514" s="29">
        <v>0</v>
      </c>
      <c r="BN514" s="22">
        <v>45059</v>
      </c>
      <c r="BO514" s="26">
        <f t="shared" ca="1" si="45"/>
        <v>0.55661402258427539</v>
      </c>
      <c r="BP514" s="29">
        <v>0</v>
      </c>
      <c r="BR514" s="22">
        <v>45059</v>
      </c>
      <c r="BS514" s="26">
        <f t="shared" ca="1" si="46"/>
        <v>0.58209613989539077</v>
      </c>
      <c r="BT514" s="29">
        <v>0</v>
      </c>
      <c r="BV514" s="22">
        <v>45059</v>
      </c>
      <c r="BW514" s="26">
        <f t="shared" ca="1" si="47"/>
        <v>0.49923497668939865</v>
      </c>
      <c r="BX514" s="29">
        <v>0</v>
      </c>
    </row>
    <row r="515" spans="2:76" ht="12.75" x14ac:dyDescent="0.2">
      <c r="B515" s="22">
        <v>45060</v>
      </c>
      <c r="C515" s="26">
        <f t="shared" ca="1" si="68"/>
        <v>0.2914596868706103</v>
      </c>
      <c r="D515" s="29">
        <f t="shared" ca="1" si="77"/>
        <v>65</v>
      </c>
      <c r="F515" s="22">
        <v>45060</v>
      </c>
      <c r="G515" s="26">
        <f t="shared" ca="1" si="31"/>
        <v>0.18591635408529994</v>
      </c>
      <c r="H515" s="29">
        <f t="shared" ca="1" si="69"/>
        <v>203</v>
      </c>
      <c r="J515" s="22">
        <v>45060</v>
      </c>
      <c r="K515" s="26">
        <f t="shared" ca="1" si="32"/>
        <v>0.21984472810500266</v>
      </c>
      <c r="L515" s="29">
        <f t="shared" ca="1" si="70"/>
        <v>143</v>
      </c>
      <c r="N515" s="22">
        <v>45060</v>
      </c>
      <c r="O515" s="26">
        <f t="shared" ca="1" si="33"/>
        <v>0.44529052972911809</v>
      </c>
      <c r="P515" s="29">
        <f t="shared" ca="1" si="71"/>
        <v>228</v>
      </c>
      <c r="R515" s="22">
        <v>45060</v>
      </c>
      <c r="S515" s="26">
        <f t="shared" ca="1" si="34"/>
        <v>0.98705476629233391</v>
      </c>
      <c r="T515" s="29">
        <f t="shared" ca="1" si="72"/>
        <v>160</v>
      </c>
      <c r="V515" s="22">
        <v>45060</v>
      </c>
      <c r="W515" s="26">
        <f t="shared" ca="1" si="35"/>
        <v>0.78019991695913593</v>
      </c>
      <c r="X515" s="29">
        <f t="shared" ca="1" si="73"/>
        <v>237</v>
      </c>
      <c r="Z515" s="22">
        <v>45060</v>
      </c>
      <c r="AA515" s="26">
        <f t="shared" ca="1" si="36"/>
        <v>9.6772277244995264E-2</v>
      </c>
      <c r="AB515" s="29">
        <f t="shared" ca="1" si="74"/>
        <v>247</v>
      </c>
      <c r="AC515"/>
      <c r="AD515" s="25"/>
      <c r="AF515" s="22">
        <v>45060</v>
      </c>
      <c r="AG515" s="26">
        <f t="shared" ca="1" si="37"/>
        <v>0.15909203300837216</v>
      </c>
      <c r="AH515" s="29">
        <f t="shared" ca="1" si="75"/>
        <v>240</v>
      </c>
      <c r="AJ515" s="22">
        <v>45060</v>
      </c>
      <c r="AK515" s="26">
        <f t="shared" ca="1" si="38"/>
        <v>0.44552330110726091</v>
      </c>
      <c r="AL515" s="29">
        <f t="shared" ca="1" si="76"/>
        <v>174</v>
      </c>
      <c r="AN515" s="22">
        <v>45060</v>
      </c>
      <c r="AO515" s="26">
        <f t="shared" ca="1" si="39"/>
        <v>0.14190852086976657</v>
      </c>
      <c r="AP515" s="29">
        <f t="shared" ca="1" si="78"/>
        <v>106</v>
      </c>
      <c r="AR515" s="22">
        <v>45060</v>
      </c>
      <c r="AS515" s="26">
        <f t="shared" ca="1" si="40"/>
        <v>0.6165593492863487</v>
      </c>
      <c r="AT515" s="29">
        <v>0</v>
      </c>
      <c r="AV515" s="22">
        <v>45060</v>
      </c>
      <c r="AW515" s="26">
        <f t="shared" ca="1" si="41"/>
        <v>0.56429455460971134</v>
      </c>
      <c r="AX515" s="29">
        <v>0</v>
      </c>
      <c r="AZ515" s="22">
        <v>45060</v>
      </c>
      <c r="BA515" s="26">
        <f t="shared" ca="1" si="42"/>
        <v>0.38968666357588599</v>
      </c>
      <c r="BB515" s="29">
        <v>0</v>
      </c>
      <c r="BC515"/>
      <c r="BD515" s="25"/>
      <c r="BF515" s="22">
        <v>45060</v>
      </c>
      <c r="BG515" s="26">
        <f t="shared" ca="1" si="43"/>
        <v>0.94019278875602108</v>
      </c>
      <c r="BH515" s="29">
        <v>0</v>
      </c>
      <c r="BJ515" s="22">
        <v>45060</v>
      </c>
      <c r="BK515" s="26">
        <f t="shared" ca="1" si="44"/>
        <v>0.67299171627824828</v>
      </c>
      <c r="BL515" s="29">
        <v>0</v>
      </c>
      <c r="BN515" s="22">
        <v>45060</v>
      </c>
      <c r="BO515" s="26">
        <f t="shared" ca="1" si="45"/>
        <v>6.8628173568158535E-2</v>
      </c>
      <c r="BP515" s="29">
        <v>0</v>
      </c>
      <c r="BR515" s="22">
        <v>45060</v>
      </c>
      <c r="BS515" s="26">
        <f t="shared" ca="1" si="46"/>
        <v>0.59868900302186745</v>
      </c>
      <c r="BT515" s="29">
        <v>0</v>
      </c>
      <c r="BV515" s="22">
        <v>45060</v>
      </c>
      <c r="BW515" s="26">
        <f t="shared" ca="1" si="47"/>
        <v>0.81818552292232838</v>
      </c>
      <c r="BX515" s="29">
        <v>0</v>
      </c>
    </row>
    <row r="516" spans="2:76" ht="12.75" x14ac:dyDescent="0.2">
      <c r="B516" s="22">
        <v>45061</v>
      </c>
      <c r="C516" s="26">
        <f t="shared" ca="1" si="68"/>
        <v>0.3592262607600174</v>
      </c>
      <c r="D516" s="29">
        <f t="shared" ca="1" si="77"/>
        <v>68</v>
      </c>
      <c r="F516" s="22">
        <v>45061</v>
      </c>
      <c r="G516" s="26">
        <f t="shared" ca="1" si="31"/>
        <v>0.15423386803343242</v>
      </c>
      <c r="H516" s="29">
        <f t="shared" ref="H516:H568" ca="1" si="79">ROUNDUP(_xlfn.NORM.INV(G516,G$10,G$12),0)</f>
        <v>201</v>
      </c>
      <c r="J516" s="22">
        <v>45061</v>
      </c>
      <c r="K516" s="26">
        <f t="shared" ca="1" si="32"/>
        <v>0.49380380293415926</v>
      </c>
      <c r="L516" s="29">
        <f t="shared" ref="L516:L568" ca="1" si="80">ROUNDUP(_xlfn.NORM.INV(K516,K$10,K$12),0)</f>
        <v>150</v>
      </c>
      <c r="N516" s="22">
        <v>45061</v>
      </c>
      <c r="O516" s="26">
        <f t="shared" ca="1" si="33"/>
        <v>0.70369888413029857</v>
      </c>
      <c r="P516" s="29">
        <f t="shared" ref="P516:P568" ca="1" si="81">ROUNDUP(_xlfn.NORM.INV(O516,O$10,O$12),0)</f>
        <v>238</v>
      </c>
      <c r="R516" s="22">
        <v>45061</v>
      </c>
      <c r="S516" s="26">
        <f t="shared" ca="1" si="34"/>
        <v>0.17703606942187866</v>
      </c>
      <c r="T516" s="29">
        <f t="shared" ref="T516:T568" ca="1" si="82">ROUNDUP(_xlfn.NORM.INV(S516,S$10,S$12),0)</f>
        <v>131</v>
      </c>
      <c r="V516" s="22">
        <v>45061</v>
      </c>
      <c r="W516" s="26">
        <f t="shared" ca="1" si="35"/>
        <v>0.45366273721414774</v>
      </c>
      <c r="X516" s="29">
        <f t="shared" ref="X516:X568" ca="1" si="83">ROUNDUP(_xlfn.NORM.INV(W516,W$10,W$12),0)</f>
        <v>224</v>
      </c>
      <c r="Z516" s="22">
        <v>45061</v>
      </c>
      <c r="AA516" s="26">
        <f t="shared" ca="1" si="36"/>
        <v>0.52256566840892427</v>
      </c>
      <c r="AB516" s="29">
        <f t="shared" ref="AB516:AB568" ca="1" si="84">ROUNDUP(_xlfn.NORM.INV(AA516,AA$10,AA$12),0)</f>
        <v>272</v>
      </c>
      <c r="AC516"/>
      <c r="AD516" s="25"/>
      <c r="AF516" s="22">
        <v>45061</v>
      </c>
      <c r="AG516" s="26">
        <f t="shared" ca="1" si="37"/>
        <v>0.46768082794313781</v>
      </c>
      <c r="AH516" s="29">
        <f t="shared" ref="AH516:AH568" ca="1" si="85">ROUNDUP(_xlfn.NORM.INV(AG516,AG$10,AG$12),0)</f>
        <v>320</v>
      </c>
      <c r="AJ516" s="22">
        <v>45061</v>
      </c>
      <c r="AK516" s="26">
        <f t="shared" ca="1" si="38"/>
        <v>0.14037745379716737</v>
      </c>
      <c r="AL516" s="29">
        <f t="shared" ref="AL516:AL568" ca="1" si="86">ROUNDUP(_xlfn.NORM.INV(AK516,AK$10,AK$12),0)</f>
        <v>129</v>
      </c>
      <c r="AN516" s="22">
        <v>45061</v>
      </c>
      <c r="AO516" s="26">
        <f t="shared" ca="1" si="39"/>
        <v>0.74582358928356307</v>
      </c>
      <c r="AP516" s="29">
        <f t="shared" ref="AP516:AP568" ca="1" si="87">ROUNDUP(_xlfn.NORM.INV(AO516,AO$10,AO$12),0)</f>
        <v>174</v>
      </c>
      <c r="AR516" s="22">
        <v>45061</v>
      </c>
      <c r="AS516" s="26">
        <f t="shared" ca="1" si="40"/>
        <v>0.58680340800536901</v>
      </c>
      <c r="AT516" s="29">
        <v>0</v>
      </c>
      <c r="AV516" s="22">
        <v>45061</v>
      </c>
      <c r="AW516" s="26">
        <f t="shared" ca="1" si="41"/>
        <v>0.58190793123388374</v>
      </c>
      <c r="AX516" s="29">
        <v>0</v>
      </c>
      <c r="AZ516" s="22">
        <v>45061</v>
      </c>
      <c r="BA516" s="26">
        <f t="shared" ca="1" si="42"/>
        <v>4.1896252862927974E-2</v>
      </c>
      <c r="BB516" s="29">
        <v>0</v>
      </c>
      <c r="BC516"/>
      <c r="BD516" s="25"/>
      <c r="BF516" s="22">
        <v>45061</v>
      </c>
      <c r="BG516" s="26">
        <f t="shared" ca="1" si="43"/>
        <v>0.50229459698713219</v>
      </c>
      <c r="BH516" s="29">
        <v>0</v>
      </c>
      <c r="BJ516" s="22">
        <v>45061</v>
      </c>
      <c r="BK516" s="26">
        <f t="shared" ca="1" si="44"/>
        <v>0.42592492397519244</v>
      </c>
      <c r="BL516" s="29">
        <v>0</v>
      </c>
      <c r="BN516" s="22">
        <v>45061</v>
      </c>
      <c r="BO516" s="26">
        <f t="shared" ca="1" si="45"/>
        <v>0.67615861433046076</v>
      </c>
      <c r="BP516" s="29">
        <v>0</v>
      </c>
      <c r="BR516" s="22">
        <v>45061</v>
      </c>
      <c r="BS516" s="26">
        <f t="shared" ca="1" si="46"/>
        <v>0.18958251968772599</v>
      </c>
      <c r="BT516" s="29">
        <v>0</v>
      </c>
      <c r="BV516" s="22">
        <v>45061</v>
      </c>
      <c r="BW516" s="26">
        <f t="shared" ca="1" si="47"/>
        <v>0.22569680523277746</v>
      </c>
      <c r="BX516" s="29">
        <v>0</v>
      </c>
    </row>
    <row r="517" spans="2:76" ht="12.75" x14ac:dyDescent="0.2">
      <c r="B517" s="22">
        <v>45062</v>
      </c>
      <c r="C517" s="26">
        <f t="shared" ca="1" si="68"/>
        <v>0.58922901989462251</v>
      </c>
      <c r="D517" s="29">
        <f t="shared" ca="1" si="77"/>
        <v>80</v>
      </c>
      <c r="F517" s="22">
        <v>45062</v>
      </c>
      <c r="G517" s="26">
        <f t="shared" ca="1" si="31"/>
        <v>0.56421653961742235</v>
      </c>
      <c r="H517" s="29">
        <f t="shared" ca="1" si="79"/>
        <v>218</v>
      </c>
      <c r="J517" s="22">
        <v>45062</v>
      </c>
      <c r="K517" s="26">
        <f t="shared" ca="1" si="32"/>
        <v>0.37101118678172673</v>
      </c>
      <c r="L517" s="29">
        <f t="shared" ca="1" si="80"/>
        <v>147</v>
      </c>
      <c r="N517" s="22">
        <v>45062</v>
      </c>
      <c r="O517" s="26">
        <f t="shared" ca="1" si="33"/>
        <v>0.2261472847538446</v>
      </c>
      <c r="P517" s="29">
        <f t="shared" ca="1" si="81"/>
        <v>218</v>
      </c>
      <c r="R517" s="22">
        <v>45062</v>
      </c>
      <c r="S517" s="26">
        <f t="shared" ca="1" si="34"/>
        <v>0.16172658699166931</v>
      </c>
      <c r="T517" s="29">
        <f t="shared" ca="1" si="82"/>
        <v>130</v>
      </c>
      <c r="V517" s="22">
        <v>45062</v>
      </c>
      <c r="W517" s="26">
        <f t="shared" ca="1" si="35"/>
        <v>0.81648696997550196</v>
      </c>
      <c r="X517" s="29">
        <f t="shared" ca="1" si="83"/>
        <v>239</v>
      </c>
      <c r="Z517" s="22">
        <v>45062</v>
      </c>
      <c r="AA517" s="26">
        <f t="shared" ca="1" si="36"/>
        <v>0.12233615469051906</v>
      </c>
      <c r="AB517" s="29">
        <f t="shared" ca="1" si="84"/>
        <v>250</v>
      </c>
      <c r="AC517"/>
      <c r="AD517" s="25"/>
      <c r="AF517" s="22">
        <v>45062</v>
      </c>
      <c r="AG517" s="26">
        <f t="shared" ca="1" si="37"/>
        <v>0.5920292957440213</v>
      </c>
      <c r="AH517" s="29">
        <f t="shared" ca="1" si="85"/>
        <v>348</v>
      </c>
      <c r="AJ517" s="22">
        <v>45062</v>
      </c>
      <c r="AK517" s="26">
        <f t="shared" ca="1" si="38"/>
        <v>0.23450679554581688</v>
      </c>
      <c r="AL517" s="29">
        <f t="shared" ca="1" si="86"/>
        <v>146</v>
      </c>
      <c r="AN517" s="22">
        <v>45062</v>
      </c>
      <c r="AO517" s="26">
        <f t="shared" ca="1" si="39"/>
        <v>3.9454474992774546E-2</v>
      </c>
      <c r="AP517" s="29">
        <f t="shared" ca="1" si="87"/>
        <v>79</v>
      </c>
      <c r="AR517" s="22">
        <v>45062</v>
      </c>
      <c r="AS517" s="26">
        <f t="shared" ca="1" si="40"/>
        <v>0.25976595238238576</v>
      </c>
      <c r="AT517" s="29">
        <v>0</v>
      </c>
      <c r="AV517" s="22">
        <v>45062</v>
      </c>
      <c r="AW517" s="26">
        <f t="shared" ca="1" si="41"/>
        <v>0.31869306666807429</v>
      </c>
      <c r="AX517" s="29">
        <v>0</v>
      </c>
      <c r="AZ517" s="22">
        <v>45062</v>
      </c>
      <c r="BA517" s="26">
        <f t="shared" ca="1" si="42"/>
        <v>0.53224804950869564</v>
      </c>
      <c r="BB517" s="29">
        <v>0</v>
      </c>
      <c r="BC517"/>
      <c r="BD517" s="25"/>
      <c r="BF517" s="22">
        <v>45062</v>
      </c>
      <c r="BG517" s="26">
        <f t="shared" ca="1" si="43"/>
        <v>5.5304715327512244E-2</v>
      </c>
      <c r="BH517" s="29">
        <v>0</v>
      </c>
      <c r="BJ517" s="22">
        <v>45062</v>
      </c>
      <c r="BK517" s="26">
        <f t="shared" ca="1" si="44"/>
        <v>0.55629570114310523</v>
      </c>
      <c r="BL517" s="29">
        <v>0</v>
      </c>
      <c r="BN517" s="22">
        <v>45062</v>
      </c>
      <c r="BO517" s="26">
        <f t="shared" ca="1" si="45"/>
        <v>0.15050662796699188</v>
      </c>
      <c r="BP517" s="29">
        <v>0</v>
      </c>
      <c r="BR517" s="22">
        <v>45062</v>
      </c>
      <c r="BS517" s="26">
        <f t="shared" ca="1" si="46"/>
        <v>0.76096450914626013</v>
      </c>
      <c r="BT517" s="29">
        <v>0</v>
      </c>
      <c r="BV517" s="22">
        <v>45062</v>
      </c>
      <c r="BW517" s="26">
        <f t="shared" ca="1" si="47"/>
        <v>0.56455743615157095</v>
      </c>
      <c r="BX517" s="29">
        <v>0</v>
      </c>
    </row>
    <row r="518" spans="2:76" ht="12.75" x14ac:dyDescent="0.2">
      <c r="B518" s="22">
        <v>45063</v>
      </c>
      <c r="C518" s="26">
        <f t="shared" ca="1" si="68"/>
        <v>0.26028093112020767</v>
      </c>
      <c r="D518" s="29">
        <f t="shared" ca="1" si="77"/>
        <v>63</v>
      </c>
      <c r="F518" s="22">
        <v>45063</v>
      </c>
      <c r="G518" s="26">
        <f t="shared" ca="1" si="31"/>
        <v>0.24831526715287267</v>
      </c>
      <c r="H518" s="29">
        <f t="shared" ca="1" si="79"/>
        <v>206</v>
      </c>
      <c r="J518" s="22">
        <v>45063</v>
      </c>
      <c r="K518" s="26">
        <f t="shared" ca="1" si="32"/>
        <v>0.12593570439107737</v>
      </c>
      <c r="L518" s="29">
        <f t="shared" ca="1" si="80"/>
        <v>139</v>
      </c>
      <c r="N518" s="22">
        <v>45063</v>
      </c>
      <c r="O518" s="26">
        <f t="shared" ca="1" si="33"/>
        <v>0.85630624553774037</v>
      </c>
      <c r="P518" s="29">
        <f t="shared" ca="1" si="81"/>
        <v>246</v>
      </c>
      <c r="R518" s="22">
        <v>45063</v>
      </c>
      <c r="S518" s="26">
        <f t="shared" ca="1" si="34"/>
        <v>0.41436235131104349</v>
      </c>
      <c r="T518" s="29">
        <f t="shared" ca="1" si="82"/>
        <v>137</v>
      </c>
      <c r="V518" s="22">
        <v>45063</v>
      </c>
      <c r="W518" s="26">
        <f t="shared" ca="1" si="35"/>
        <v>5.5563586446881752E-3</v>
      </c>
      <c r="X518" s="29">
        <f t="shared" ca="1" si="83"/>
        <v>187</v>
      </c>
      <c r="Z518" s="22">
        <v>45063</v>
      </c>
      <c r="AA518" s="26">
        <f t="shared" ca="1" si="36"/>
        <v>0.71955185763125673</v>
      </c>
      <c r="AB518" s="29">
        <f t="shared" ca="1" si="84"/>
        <v>281</v>
      </c>
      <c r="AC518"/>
      <c r="AD518" s="25"/>
      <c r="AF518" s="22">
        <v>45063</v>
      </c>
      <c r="AG518" s="26">
        <f t="shared" ca="1" si="37"/>
        <v>0.41007587982587124</v>
      </c>
      <c r="AH518" s="29">
        <f t="shared" ca="1" si="85"/>
        <v>308</v>
      </c>
      <c r="AJ518" s="22">
        <v>45063</v>
      </c>
      <c r="AK518" s="26">
        <f t="shared" ca="1" si="38"/>
        <v>0.37294091744871583</v>
      </c>
      <c r="AL518" s="29">
        <f t="shared" ca="1" si="86"/>
        <v>165</v>
      </c>
      <c r="AN518" s="22">
        <v>45063</v>
      </c>
      <c r="AO518" s="26">
        <f t="shared" ca="1" si="39"/>
        <v>0.37352489224716245</v>
      </c>
      <c r="AP518" s="29">
        <f t="shared" ca="1" si="87"/>
        <v>135</v>
      </c>
      <c r="AR518" s="22">
        <v>45063</v>
      </c>
      <c r="AS518" s="26">
        <f t="shared" ca="1" si="40"/>
        <v>1.880675754204697E-3</v>
      </c>
      <c r="AT518" s="29">
        <v>0</v>
      </c>
      <c r="AV518" s="22">
        <v>45063</v>
      </c>
      <c r="AW518" s="26">
        <f t="shared" ca="1" si="41"/>
        <v>0.56523674461824969</v>
      </c>
      <c r="AX518" s="29">
        <v>0</v>
      </c>
      <c r="AZ518" s="22">
        <v>45063</v>
      </c>
      <c r="BA518" s="26">
        <f t="shared" ca="1" si="42"/>
        <v>0.68791509301204901</v>
      </c>
      <c r="BB518" s="29">
        <v>0</v>
      </c>
      <c r="BC518"/>
      <c r="BD518" s="25"/>
      <c r="BF518" s="22">
        <v>45063</v>
      </c>
      <c r="BG518" s="26">
        <f t="shared" ca="1" si="43"/>
        <v>0.42641708613419071</v>
      </c>
      <c r="BH518" s="29">
        <v>0</v>
      </c>
      <c r="BJ518" s="22">
        <v>45063</v>
      </c>
      <c r="BK518" s="26">
        <f t="shared" ca="1" si="44"/>
        <v>1.9265639360463993E-3</v>
      </c>
      <c r="BL518" s="29">
        <v>0</v>
      </c>
      <c r="BN518" s="22">
        <v>45063</v>
      </c>
      <c r="BO518" s="26">
        <f t="shared" ca="1" si="45"/>
        <v>0.59846532318379719</v>
      </c>
      <c r="BP518" s="29">
        <v>0</v>
      </c>
      <c r="BR518" s="22">
        <v>45063</v>
      </c>
      <c r="BS518" s="26">
        <f t="shared" ca="1" si="46"/>
        <v>3.7480324472910054E-2</v>
      </c>
      <c r="BT518" s="29">
        <v>0</v>
      </c>
      <c r="BV518" s="22">
        <v>45063</v>
      </c>
      <c r="BW518" s="26">
        <f t="shared" ca="1" si="47"/>
        <v>0.99638406095568466</v>
      </c>
      <c r="BX518" s="29">
        <v>0</v>
      </c>
    </row>
    <row r="519" spans="2:76" ht="12.75" x14ac:dyDescent="0.2">
      <c r="B519" s="22">
        <v>45064</v>
      </c>
      <c r="C519" s="26">
        <f t="shared" ca="1" si="68"/>
        <v>0.49919602099953331</v>
      </c>
      <c r="D519" s="29">
        <f t="shared" ca="1" si="77"/>
        <v>75</v>
      </c>
      <c r="F519" s="22">
        <v>45064</v>
      </c>
      <c r="G519" s="26">
        <f t="shared" ca="1" si="31"/>
        <v>0.61811669304032912</v>
      </c>
      <c r="H519" s="29">
        <f t="shared" ca="1" si="79"/>
        <v>220</v>
      </c>
      <c r="J519" s="22">
        <v>45064</v>
      </c>
      <c r="K519" s="26">
        <f t="shared" ca="1" si="32"/>
        <v>0.22526390102289651</v>
      </c>
      <c r="L519" s="29">
        <f t="shared" ca="1" si="80"/>
        <v>143</v>
      </c>
      <c r="N519" s="22">
        <v>45064</v>
      </c>
      <c r="O519" s="26">
        <f t="shared" ca="1" si="33"/>
        <v>0.48788691641314264</v>
      </c>
      <c r="P519" s="29">
        <f t="shared" ca="1" si="81"/>
        <v>229</v>
      </c>
      <c r="R519" s="22">
        <v>45064</v>
      </c>
      <c r="S519" s="26">
        <f t="shared" ca="1" si="34"/>
        <v>0.91640237384370937</v>
      </c>
      <c r="T519" s="29">
        <f t="shared" ca="1" si="82"/>
        <v>152</v>
      </c>
      <c r="V519" s="22">
        <v>45064</v>
      </c>
      <c r="W519" s="26">
        <f t="shared" ca="1" si="35"/>
        <v>0.35396818658491991</v>
      </c>
      <c r="X519" s="29">
        <f t="shared" ca="1" si="83"/>
        <v>220</v>
      </c>
      <c r="Z519" s="22">
        <v>45064</v>
      </c>
      <c r="AA519" s="26">
        <f t="shared" ca="1" si="36"/>
        <v>0.16473381404710463</v>
      </c>
      <c r="AB519" s="29">
        <f t="shared" ca="1" si="84"/>
        <v>253</v>
      </c>
      <c r="AC519"/>
      <c r="AD519" s="25"/>
      <c r="AF519" s="22">
        <v>45064</v>
      </c>
      <c r="AG519" s="26">
        <f t="shared" ca="1" si="37"/>
        <v>0.98705673431508223</v>
      </c>
      <c r="AH519" s="29">
        <f t="shared" ca="1" si="85"/>
        <v>522</v>
      </c>
      <c r="AJ519" s="22">
        <v>45064</v>
      </c>
      <c r="AK519" s="26">
        <f t="shared" ca="1" si="38"/>
        <v>0.27311456521151267</v>
      </c>
      <c r="AL519" s="29">
        <f t="shared" ca="1" si="86"/>
        <v>151</v>
      </c>
      <c r="AN519" s="22">
        <v>45064</v>
      </c>
      <c r="AO519" s="26">
        <f t="shared" ca="1" si="39"/>
        <v>0.38589773888152146</v>
      </c>
      <c r="AP519" s="29">
        <f t="shared" ca="1" si="87"/>
        <v>136</v>
      </c>
      <c r="AR519" s="22">
        <v>45064</v>
      </c>
      <c r="AS519" s="26">
        <f t="shared" ca="1" si="40"/>
        <v>7.9202573507605178E-2</v>
      </c>
      <c r="AT519" s="29">
        <v>0</v>
      </c>
      <c r="AV519" s="22">
        <v>45064</v>
      </c>
      <c r="AW519" s="26">
        <f t="shared" ca="1" si="41"/>
        <v>0.47477720296808046</v>
      </c>
      <c r="AX519" s="29">
        <v>0</v>
      </c>
      <c r="AZ519" s="22">
        <v>45064</v>
      </c>
      <c r="BA519" s="26">
        <f t="shared" ca="1" si="42"/>
        <v>0.77424991924310571</v>
      </c>
      <c r="BB519" s="29">
        <v>0</v>
      </c>
      <c r="BC519"/>
      <c r="BD519" s="25"/>
      <c r="BF519" s="22">
        <v>45064</v>
      </c>
      <c r="BG519" s="26">
        <f t="shared" ca="1" si="43"/>
        <v>0.24996874327129404</v>
      </c>
      <c r="BH519" s="29">
        <v>0</v>
      </c>
      <c r="BJ519" s="22">
        <v>45064</v>
      </c>
      <c r="BK519" s="26">
        <f t="shared" ca="1" si="44"/>
        <v>0.40033000261137197</v>
      </c>
      <c r="BL519" s="29">
        <v>0</v>
      </c>
      <c r="BN519" s="22">
        <v>45064</v>
      </c>
      <c r="BO519" s="26">
        <f t="shared" ca="1" si="45"/>
        <v>0.37679260927999181</v>
      </c>
      <c r="BP519" s="29">
        <v>0</v>
      </c>
      <c r="BR519" s="22">
        <v>45064</v>
      </c>
      <c r="BS519" s="26">
        <f t="shared" ca="1" si="46"/>
        <v>0.50468235368426295</v>
      </c>
      <c r="BT519" s="29">
        <v>0</v>
      </c>
      <c r="BV519" s="22">
        <v>45064</v>
      </c>
      <c r="BW519" s="26">
        <f t="shared" ca="1" si="47"/>
        <v>0.48232806092776404</v>
      </c>
      <c r="BX519" s="29">
        <v>0</v>
      </c>
    </row>
    <row r="520" spans="2:76" ht="12.75" x14ac:dyDescent="0.2">
      <c r="B520" s="22">
        <v>45065</v>
      </c>
      <c r="C520" s="26">
        <f t="shared" ca="1" si="68"/>
        <v>0.57840486255503776</v>
      </c>
      <c r="D520" s="29">
        <f t="shared" ca="1" si="77"/>
        <v>79</v>
      </c>
      <c r="F520" s="22">
        <v>45065</v>
      </c>
      <c r="G520" s="26">
        <f t="shared" ca="1" si="31"/>
        <v>0.31092141453877009</v>
      </c>
      <c r="H520" s="29">
        <f t="shared" ca="1" si="79"/>
        <v>209</v>
      </c>
      <c r="J520" s="22">
        <v>45065</v>
      </c>
      <c r="K520" s="26">
        <f t="shared" ca="1" si="32"/>
        <v>0.69195596073028431</v>
      </c>
      <c r="L520" s="29">
        <f t="shared" ca="1" si="80"/>
        <v>156</v>
      </c>
      <c r="N520" s="22">
        <v>45065</v>
      </c>
      <c r="O520" s="26">
        <f t="shared" ca="1" si="33"/>
        <v>0.2450334915391319</v>
      </c>
      <c r="P520" s="29">
        <f t="shared" ca="1" si="81"/>
        <v>219</v>
      </c>
      <c r="R520" s="22">
        <v>45065</v>
      </c>
      <c r="S520" s="26">
        <f t="shared" ca="1" si="34"/>
        <v>0.28839368770450535</v>
      </c>
      <c r="T520" s="29">
        <f t="shared" ca="1" si="82"/>
        <v>134</v>
      </c>
      <c r="V520" s="22">
        <v>45065</v>
      </c>
      <c r="W520" s="26">
        <f t="shared" ca="1" si="35"/>
        <v>0.52009580095476771</v>
      </c>
      <c r="X520" s="29">
        <f t="shared" ca="1" si="83"/>
        <v>226</v>
      </c>
      <c r="Z520" s="22">
        <v>45065</v>
      </c>
      <c r="AA520" s="26">
        <f t="shared" ca="1" si="36"/>
        <v>0.65917226719227662</v>
      </c>
      <c r="AB520" s="29">
        <f t="shared" ca="1" si="84"/>
        <v>278</v>
      </c>
      <c r="AC520"/>
      <c r="AD520" s="25"/>
      <c r="AF520" s="22">
        <v>45065</v>
      </c>
      <c r="AG520" s="26">
        <f t="shared" ca="1" si="37"/>
        <v>0.73256724741288592</v>
      </c>
      <c r="AH520" s="29">
        <f t="shared" ca="1" si="85"/>
        <v>382</v>
      </c>
      <c r="AJ520" s="22">
        <v>45065</v>
      </c>
      <c r="AK520" s="26">
        <f t="shared" ca="1" si="38"/>
        <v>0.6291535006968747</v>
      </c>
      <c r="AL520" s="29">
        <f t="shared" ca="1" si="86"/>
        <v>196</v>
      </c>
      <c r="AN520" s="22">
        <v>45065</v>
      </c>
      <c r="AO520" s="26">
        <f t="shared" ca="1" si="39"/>
        <v>0.33476527348806417</v>
      </c>
      <c r="AP520" s="29">
        <f t="shared" ca="1" si="87"/>
        <v>131</v>
      </c>
      <c r="AR520" s="22">
        <v>45065</v>
      </c>
      <c r="AS520" s="26">
        <f t="shared" ca="1" si="40"/>
        <v>8.7749525017993379E-2</v>
      </c>
      <c r="AT520" s="29">
        <v>0</v>
      </c>
      <c r="AV520" s="22">
        <v>45065</v>
      </c>
      <c r="AW520" s="26">
        <f t="shared" ca="1" si="41"/>
        <v>0.44710196486387643</v>
      </c>
      <c r="AX520" s="29">
        <v>0</v>
      </c>
      <c r="AZ520" s="22">
        <v>45065</v>
      </c>
      <c r="BA520" s="26">
        <f t="shared" ca="1" si="42"/>
        <v>0.72366758822290067</v>
      </c>
      <c r="BB520" s="29">
        <v>0</v>
      </c>
      <c r="BC520"/>
      <c r="BD520" s="25"/>
      <c r="BF520" s="22">
        <v>45065</v>
      </c>
      <c r="BG520" s="26">
        <f t="shared" ca="1" si="43"/>
        <v>0.1953928331040139</v>
      </c>
      <c r="BH520" s="29">
        <v>0</v>
      </c>
      <c r="BJ520" s="22">
        <v>45065</v>
      </c>
      <c r="BK520" s="26">
        <f t="shared" ca="1" si="44"/>
        <v>0.16157018370365561</v>
      </c>
      <c r="BL520" s="29">
        <v>0</v>
      </c>
      <c r="BN520" s="22">
        <v>45065</v>
      </c>
      <c r="BO520" s="26">
        <f t="shared" ca="1" si="45"/>
        <v>0.91644023384070694</v>
      </c>
      <c r="BP520" s="29">
        <v>0</v>
      </c>
      <c r="BR520" s="22">
        <v>45065</v>
      </c>
      <c r="BS520" s="26">
        <f t="shared" ca="1" si="46"/>
        <v>0.59304668024535778</v>
      </c>
      <c r="BT520" s="29">
        <v>0</v>
      </c>
      <c r="BV520" s="22">
        <v>45065</v>
      </c>
      <c r="BW520" s="26">
        <f t="shared" ca="1" si="47"/>
        <v>0.77202770728183678</v>
      </c>
      <c r="BX520" s="29">
        <v>0</v>
      </c>
    </row>
    <row r="521" spans="2:76" ht="12.75" x14ac:dyDescent="0.2">
      <c r="B521" s="22">
        <v>45066</v>
      </c>
      <c r="C521" s="26">
        <f t="shared" ca="1" si="68"/>
        <v>0.31430728531916119</v>
      </c>
      <c r="D521" s="29">
        <f t="shared" ca="1" si="77"/>
        <v>66</v>
      </c>
      <c r="F521" s="22">
        <v>45066</v>
      </c>
      <c r="G521" s="26">
        <f t="shared" ca="1" si="31"/>
        <v>0.81854765023198717</v>
      </c>
      <c r="H521" s="29">
        <f t="shared" ca="1" si="79"/>
        <v>229</v>
      </c>
      <c r="J521" s="22">
        <v>45066</v>
      </c>
      <c r="K521" s="26">
        <f t="shared" ca="1" si="32"/>
        <v>0.99960928915397307</v>
      </c>
      <c r="L521" s="29">
        <f t="shared" ca="1" si="80"/>
        <v>184</v>
      </c>
      <c r="N521" s="22">
        <v>45066</v>
      </c>
      <c r="O521" s="26">
        <f t="shared" ca="1" si="33"/>
        <v>0.34321389957037751</v>
      </c>
      <c r="P521" s="29">
        <f t="shared" ca="1" si="81"/>
        <v>224</v>
      </c>
      <c r="R521" s="22">
        <v>45066</v>
      </c>
      <c r="S521" s="26">
        <f t="shared" ca="1" si="34"/>
        <v>5.6300359579128822E-2</v>
      </c>
      <c r="T521" s="29">
        <f t="shared" ca="1" si="82"/>
        <v>125</v>
      </c>
      <c r="V521" s="22">
        <v>45066</v>
      </c>
      <c r="W521" s="26">
        <f t="shared" ca="1" si="35"/>
        <v>0.18654346412454159</v>
      </c>
      <c r="X521" s="29">
        <f t="shared" ca="1" si="83"/>
        <v>212</v>
      </c>
      <c r="Z521" s="22">
        <v>45066</v>
      </c>
      <c r="AA521" s="26">
        <f t="shared" ca="1" si="36"/>
        <v>5.6145506621715358E-3</v>
      </c>
      <c r="AB521" s="29">
        <f t="shared" ca="1" si="84"/>
        <v>225</v>
      </c>
      <c r="AC521"/>
      <c r="AD521" s="25"/>
      <c r="AF521" s="22">
        <v>45066</v>
      </c>
      <c r="AG521" s="26">
        <f t="shared" ca="1" si="37"/>
        <v>0.80402856352786067</v>
      </c>
      <c r="AH521" s="29">
        <f t="shared" ca="1" si="85"/>
        <v>402</v>
      </c>
      <c r="AJ521" s="22">
        <v>45066</v>
      </c>
      <c r="AK521" s="26">
        <f t="shared" ca="1" si="38"/>
        <v>9.3803524629020196E-2</v>
      </c>
      <c r="AL521" s="29">
        <f t="shared" ca="1" si="86"/>
        <v>117</v>
      </c>
      <c r="AN521" s="22">
        <v>45066</v>
      </c>
      <c r="AO521" s="26">
        <f t="shared" ca="1" si="39"/>
        <v>0.21054818298118572</v>
      </c>
      <c r="AP521" s="29">
        <f t="shared" ca="1" si="87"/>
        <v>116</v>
      </c>
      <c r="AR521" s="22">
        <v>45066</v>
      </c>
      <c r="AS521" s="26">
        <f t="shared" ca="1" si="40"/>
        <v>0.24919163020035306</v>
      </c>
      <c r="AT521" s="29">
        <v>0</v>
      </c>
      <c r="AV521" s="22">
        <v>45066</v>
      </c>
      <c r="AW521" s="26">
        <f t="shared" ca="1" si="41"/>
        <v>0.44033233297470775</v>
      </c>
      <c r="AX521" s="29">
        <v>0</v>
      </c>
      <c r="AZ521" s="22">
        <v>45066</v>
      </c>
      <c r="BA521" s="26">
        <f t="shared" ca="1" si="42"/>
        <v>0.85587559071761143</v>
      </c>
      <c r="BB521" s="29">
        <v>0</v>
      </c>
      <c r="BC521"/>
      <c r="BD521" s="25"/>
      <c r="BF521" s="22">
        <v>45066</v>
      </c>
      <c r="BG521" s="26">
        <f t="shared" ca="1" si="43"/>
        <v>0.68074405682705008</v>
      </c>
      <c r="BH521" s="29">
        <v>0</v>
      </c>
      <c r="BJ521" s="22">
        <v>45066</v>
      </c>
      <c r="BK521" s="26">
        <f t="shared" ca="1" si="44"/>
        <v>0.94602739906697098</v>
      </c>
      <c r="BL521" s="29">
        <v>0</v>
      </c>
      <c r="BN521" s="22">
        <v>45066</v>
      </c>
      <c r="BO521" s="26">
        <f t="shared" ca="1" si="45"/>
        <v>0.74585628134945803</v>
      </c>
      <c r="BP521" s="29">
        <v>0</v>
      </c>
      <c r="BR521" s="22">
        <v>45066</v>
      </c>
      <c r="BS521" s="26">
        <f t="shared" ca="1" si="46"/>
        <v>3.4508912075381648E-3</v>
      </c>
      <c r="BT521" s="29">
        <v>0</v>
      </c>
      <c r="BV521" s="22">
        <v>45066</v>
      </c>
      <c r="BW521" s="26">
        <f t="shared" ca="1" si="47"/>
        <v>0.68116797211072355</v>
      </c>
      <c r="BX521" s="29">
        <v>0</v>
      </c>
    </row>
    <row r="522" spans="2:76" ht="12.75" x14ac:dyDescent="0.2">
      <c r="B522" s="22">
        <v>45067</v>
      </c>
      <c r="C522" s="26">
        <f t="shared" ca="1" si="68"/>
        <v>0.6235878948584358</v>
      </c>
      <c r="D522" s="29">
        <f t="shared" ca="1" si="77"/>
        <v>82</v>
      </c>
      <c r="F522" s="22">
        <v>45067</v>
      </c>
      <c r="G522" s="26">
        <f t="shared" ca="1" si="31"/>
        <v>0.20734547442881512</v>
      </c>
      <c r="H522" s="29">
        <f t="shared" ca="1" si="79"/>
        <v>204</v>
      </c>
      <c r="J522" s="22">
        <v>45067</v>
      </c>
      <c r="K522" s="26">
        <f t="shared" ca="1" si="32"/>
        <v>0.18586362547835633</v>
      </c>
      <c r="L522" s="29">
        <f t="shared" ca="1" si="80"/>
        <v>142</v>
      </c>
      <c r="N522" s="22">
        <v>45067</v>
      </c>
      <c r="O522" s="26">
        <f t="shared" ca="1" si="33"/>
        <v>0.88567809278390841</v>
      </c>
      <c r="P522" s="29">
        <f t="shared" ca="1" si="81"/>
        <v>248</v>
      </c>
      <c r="R522" s="22">
        <v>45067</v>
      </c>
      <c r="S522" s="26">
        <f t="shared" ca="1" si="34"/>
        <v>4.7350398265069038E-2</v>
      </c>
      <c r="T522" s="29">
        <f t="shared" ca="1" si="82"/>
        <v>124</v>
      </c>
      <c r="V522" s="22">
        <v>45067</v>
      </c>
      <c r="W522" s="26">
        <f t="shared" ca="1" si="35"/>
        <v>0.51791054708889495</v>
      </c>
      <c r="X522" s="29">
        <f t="shared" ca="1" si="83"/>
        <v>226</v>
      </c>
      <c r="Z522" s="22">
        <v>45067</v>
      </c>
      <c r="AA522" s="26">
        <f t="shared" ca="1" si="36"/>
        <v>0.23225822512318772</v>
      </c>
      <c r="AB522" s="29">
        <f t="shared" ca="1" si="84"/>
        <v>257</v>
      </c>
      <c r="AC522"/>
      <c r="AD522" s="25"/>
      <c r="AF522" s="22">
        <v>45067</v>
      </c>
      <c r="AG522" s="26">
        <f t="shared" ca="1" si="37"/>
        <v>0.89906967445441066</v>
      </c>
      <c r="AH522" s="29">
        <f t="shared" ca="1" si="85"/>
        <v>439</v>
      </c>
      <c r="AJ522" s="22">
        <v>45067</v>
      </c>
      <c r="AK522" s="26">
        <f t="shared" ca="1" si="38"/>
        <v>0.4884310203207618</v>
      </c>
      <c r="AL522" s="29">
        <f t="shared" ca="1" si="86"/>
        <v>179</v>
      </c>
      <c r="AN522" s="22">
        <v>45067</v>
      </c>
      <c r="AO522" s="26">
        <f t="shared" ca="1" si="39"/>
        <v>0.20001636686143465</v>
      </c>
      <c r="AP522" s="29">
        <f t="shared" ca="1" si="87"/>
        <v>115</v>
      </c>
      <c r="AR522" s="22">
        <v>45067</v>
      </c>
      <c r="AS522" s="26">
        <f t="shared" ca="1" si="40"/>
        <v>0.2361001420455302</v>
      </c>
      <c r="AT522" s="29">
        <v>0</v>
      </c>
      <c r="AV522" s="22">
        <v>45067</v>
      </c>
      <c r="AW522" s="26">
        <f t="shared" ca="1" si="41"/>
        <v>0.30716659434440075</v>
      </c>
      <c r="AX522" s="29">
        <v>0</v>
      </c>
      <c r="AZ522" s="22">
        <v>45067</v>
      </c>
      <c r="BA522" s="26">
        <f t="shared" ca="1" si="42"/>
        <v>0.6340882345972505</v>
      </c>
      <c r="BB522" s="29">
        <v>0</v>
      </c>
      <c r="BC522"/>
      <c r="BD522" s="25"/>
      <c r="BF522" s="22">
        <v>45067</v>
      </c>
      <c r="BG522" s="26">
        <f t="shared" ca="1" si="43"/>
        <v>0.33833954009038703</v>
      </c>
      <c r="BH522" s="29">
        <v>0</v>
      </c>
      <c r="BJ522" s="22">
        <v>45067</v>
      </c>
      <c r="BK522" s="26">
        <f t="shared" ca="1" si="44"/>
        <v>0.24165786318996219</v>
      </c>
      <c r="BL522" s="29">
        <v>0</v>
      </c>
      <c r="BN522" s="22">
        <v>45067</v>
      </c>
      <c r="BO522" s="26">
        <f t="shared" ca="1" si="45"/>
        <v>0.86386264050131867</v>
      </c>
      <c r="BP522" s="29">
        <v>0</v>
      </c>
      <c r="BR522" s="22">
        <v>45067</v>
      </c>
      <c r="BS522" s="26">
        <f t="shared" ca="1" si="46"/>
        <v>0.92073703520750572</v>
      </c>
      <c r="BT522" s="29">
        <v>0</v>
      </c>
      <c r="BV522" s="22">
        <v>45067</v>
      </c>
      <c r="BW522" s="26">
        <f t="shared" ca="1" si="47"/>
        <v>0.89047500081460029</v>
      </c>
      <c r="BX522" s="29">
        <v>0</v>
      </c>
    </row>
    <row r="523" spans="2:76" ht="12.75" x14ac:dyDescent="0.2">
      <c r="B523" s="22">
        <v>45068</v>
      </c>
      <c r="C523" s="26">
        <f t="shared" ca="1" si="68"/>
        <v>0.27151756642687086</v>
      </c>
      <c r="D523" s="29">
        <f t="shared" ca="1" si="77"/>
        <v>63</v>
      </c>
      <c r="F523" s="22">
        <v>45068</v>
      </c>
      <c r="G523" s="26">
        <f t="shared" ca="1" si="31"/>
        <v>0.49299092681055079</v>
      </c>
      <c r="H523" s="29">
        <f t="shared" ca="1" si="79"/>
        <v>216</v>
      </c>
      <c r="J523" s="22">
        <v>45068</v>
      </c>
      <c r="K523" s="26">
        <f t="shared" ca="1" si="32"/>
        <v>0.85642764967939278</v>
      </c>
      <c r="L523" s="29">
        <f t="shared" ca="1" si="80"/>
        <v>161</v>
      </c>
      <c r="N523" s="22">
        <v>45068</v>
      </c>
      <c r="O523" s="26">
        <f t="shared" ca="1" si="33"/>
        <v>0.20823521380305443</v>
      </c>
      <c r="P523" s="29">
        <f t="shared" ca="1" si="81"/>
        <v>217</v>
      </c>
      <c r="R523" s="22">
        <v>45068</v>
      </c>
      <c r="S523" s="26">
        <f t="shared" ca="1" si="34"/>
        <v>0.15222034748170399</v>
      </c>
      <c r="T523" s="29">
        <f t="shared" ca="1" si="82"/>
        <v>130</v>
      </c>
      <c r="V523" s="22">
        <v>45068</v>
      </c>
      <c r="W523" s="26">
        <f t="shared" ca="1" si="35"/>
        <v>0.56505601505610747</v>
      </c>
      <c r="X523" s="29">
        <f t="shared" ca="1" si="83"/>
        <v>228</v>
      </c>
      <c r="Z523" s="22">
        <v>45068</v>
      </c>
      <c r="AA523" s="26">
        <f t="shared" ca="1" si="36"/>
        <v>0.79158529747215944</v>
      </c>
      <c r="AB523" s="29">
        <f t="shared" ca="1" si="84"/>
        <v>285</v>
      </c>
      <c r="AC523"/>
      <c r="AD523" s="25"/>
      <c r="AF523" s="22">
        <v>45068</v>
      </c>
      <c r="AG523" s="26">
        <f t="shared" ca="1" si="37"/>
        <v>0.84719230059730044</v>
      </c>
      <c r="AH523" s="29">
        <f t="shared" ca="1" si="85"/>
        <v>417</v>
      </c>
      <c r="AJ523" s="22">
        <v>45068</v>
      </c>
      <c r="AK523" s="26">
        <f t="shared" ca="1" si="38"/>
        <v>0.77784201303669354</v>
      </c>
      <c r="AL523" s="29">
        <f t="shared" ca="1" si="86"/>
        <v>217</v>
      </c>
      <c r="AN523" s="22">
        <v>45068</v>
      </c>
      <c r="AO523" s="26">
        <f t="shared" ca="1" si="39"/>
        <v>0.98124515270630186</v>
      </c>
      <c r="AP523" s="29">
        <f t="shared" ca="1" si="87"/>
        <v>229</v>
      </c>
      <c r="AR523" s="22">
        <v>45068</v>
      </c>
      <c r="AS523" s="26">
        <f t="shared" ca="1" si="40"/>
        <v>0.72906120487850434</v>
      </c>
      <c r="AT523" s="29">
        <v>0</v>
      </c>
      <c r="AV523" s="22">
        <v>45068</v>
      </c>
      <c r="AW523" s="26">
        <f t="shared" ca="1" si="41"/>
        <v>0.31368697457454364</v>
      </c>
      <c r="AX523" s="29">
        <v>0</v>
      </c>
      <c r="AZ523" s="22">
        <v>45068</v>
      </c>
      <c r="BA523" s="26">
        <f t="shared" ca="1" si="42"/>
        <v>0.11846929407351647</v>
      </c>
      <c r="BB523" s="29">
        <v>0</v>
      </c>
      <c r="BC523"/>
      <c r="BD523" s="25"/>
      <c r="BF523" s="22">
        <v>45068</v>
      </c>
      <c r="BG523" s="26">
        <f t="shared" ca="1" si="43"/>
        <v>8.8339514926789597E-3</v>
      </c>
      <c r="BH523" s="29">
        <v>0</v>
      </c>
      <c r="BJ523" s="22">
        <v>45068</v>
      </c>
      <c r="BK523" s="26">
        <f t="shared" ca="1" si="44"/>
        <v>0.87667594686357864</v>
      </c>
      <c r="BL523" s="29">
        <v>0</v>
      </c>
      <c r="BN523" s="22">
        <v>45068</v>
      </c>
      <c r="BO523" s="26">
        <f t="shared" ca="1" si="45"/>
        <v>0.27667990251417884</v>
      </c>
      <c r="BP523" s="29">
        <v>0</v>
      </c>
      <c r="BR523" s="22">
        <v>45068</v>
      </c>
      <c r="BS523" s="26">
        <f t="shared" ca="1" si="46"/>
        <v>0.49306594638482737</v>
      </c>
      <c r="BT523" s="29">
        <v>0</v>
      </c>
      <c r="BV523" s="22">
        <v>45068</v>
      </c>
      <c r="BW523" s="26">
        <f t="shared" ca="1" si="47"/>
        <v>0.83018356357476664</v>
      </c>
      <c r="BX523" s="29">
        <v>0</v>
      </c>
    </row>
    <row r="524" spans="2:76" ht="12.75" x14ac:dyDescent="0.2">
      <c r="B524" s="22">
        <v>45069</v>
      </c>
      <c r="C524" s="26">
        <f t="shared" ca="1" si="68"/>
        <v>0.101146195400306</v>
      </c>
      <c r="D524" s="29">
        <f t="shared" ca="1" si="77"/>
        <v>50</v>
      </c>
      <c r="F524" s="22">
        <v>45069</v>
      </c>
      <c r="G524" s="26">
        <f t="shared" ca="1" si="31"/>
        <v>0.19811103710658062</v>
      </c>
      <c r="H524" s="29">
        <f t="shared" ca="1" si="79"/>
        <v>204</v>
      </c>
      <c r="J524" s="22">
        <v>45069</v>
      </c>
      <c r="K524" s="26">
        <f t="shared" ca="1" si="32"/>
        <v>0.41051036454502055</v>
      </c>
      <c r="L524" s="29">
        <f t="shared" ca="1" si="80"/>
        <v>148</v>
      </c>
      <c r="N524" s="22">
        <v>45069</v>
      </c>
      <c r="O524" s="26">
        <f t="shared" ca="1" si="33"/>
        <v>0.35848753124984312</v>
      </c>
      <c r="P524" s="29">
        <f t="shared" ca="1" si="81"/>
        <v>224</v>
      </c>
      <c r="R524" s="22">
        <v>45069</v>
      </c>
      <c r="S524" s="26">
        <f t="shared" ca="1" si="34"/>
        <v>0.10392557009590242</v>
      </c>
      <c r="T524" s="29">
        <f t="shared" ca="1" si="82"/>
        <v>128</v>
      </c>
      <c r="V524" s="22">
        <v>45069</v>
      </c>
      <c r="W524" s="26">
        <f t="shared" ca="1" si="35"/>
        <v>0.1516166315303098</v>
      </c>
      <c r="X524" s="29">
        <f t="shared" ca="1" si="83"/>
        <v>210</v>
      </c>
      <c r="Z524" s="22">
        <v>45069</v>
      </c>
      <c r="AA524" s="26">
        <f t="shared" ca="1" si="36"/>
        <v>0.49087296114949786</v>
      </c>
      <c r="AB524" s="29">
        <f t="shared" ca="1" si="84"/>
        <v>270</v>
      </c>
      <c r="AC524"/>
      <c r="AD524" s="25"/>
      <c r="AF524" s="22">
        <v>45069</v>
      </c>
      <c r="AG524" s="26">
        <f t="shared" ca="1" si="37"/>
        <v>0.88890403981113819</v>
      </c>
      <c r="AH524" s="29">
        <f t="shared" ca="1" si="85"/>
        <v>434</v>
      </c>
      <c r="AJ524" s="22">
        <v>45069</v>
      </c>
      <c r="AK524" s="26">
        <f t="shared" ca="1" si="38"/>
        <v>0.31158088223507219</v>
      </c>
      <c r="AL524" s="29">
        <f t="shared" ca="1" si="86"/>
        <v>157</v>
      </c>
      <c r="AN524" s="22">
        <v>45069</v>
      </c>
      <c r="AO524" s="26">
        <f t="shared" ca="1" si="39"/>
        <v>0.63872828411743587</v>
      </c>
      <c r="AP524" s="29">
        <f t="shared" ca="1" si="87"/>
        <v>162</v>
      </c>
      <c r="AR524" s="22">
        <v>45069</v>
      </c>
      <c r="AS524" s="26">
        <f t="shared" ca="1" si="40"/>
        <v>0.90802597783802341</v>
      </c>
      <c r="AT524" s="29">
        <v>0</v>
      </c>
      <c r="AV524" s="22">
        <v>45069</v>
      </c>
      <c r="AW524" s="26">
        <f t="shared" ca="1" si="41"/>
        <v>0.68724035586875398</v>
      </c>
      <c r="AX524" s="29">
        <v>0</v>
      </c>
      <c r="AZ524" s="22">
        <v>45069</v>
      </c>
      <c r="BA524" s="26">
        <f t="shared" ca="1" si="42"/>
        <v>0.32668441747355781</v>
      </c>
      <c r="BB524" s="29">
        <v>0</v>
      </c>
      <c r="BC524"/>
      <c r="BD524" s="25"/>
      <c r="BF524" s="22">
        <v>45069</v>
      </c>
      <c r="BG524" s="26">
        <f t="shared" ca="1" si="43"/>
        <v>0.80808792827187204</v>
      </c>
      <c r="BH524" s="29">
        <v>0</v>
      </c>
      <c r="BJ524" s="22">
        <v>45069</v>
      </c>
      <c r="BK524" s="26">
        <f t="shared" ca="1" si="44"/>
        <v>0.67740401618657708</v>
      </c>
      <c r="BL524" s="29">
        <v>0</v>
      </c>
      <c r="BN524" s="22">
        <v>45069</v>
      </c>
      <c r="BO524" s="26">
        <f t="shared" ca="1" si="45"/>
        <v>0.15263850405830637</v>
      </c>
      <c r="BP524" s="29">
        <v>0</v>
      </c>
      <c r="BR524" s="22">
        <v>45069</v>
      </c>
      <c r="BS524" s="26">
        <f t="shared" ca="1" si="46"/>
        <v>0.9245900154586727</v>
      </c>
      <c r="BT524" s="29">
        <v>0</v>
      </c>
      <c r="BV524" s="22">
        <v>45069</v>
      </c>
      <c r="BW524" s="26">
        <f t="shared" ca="1" si="47"/>
        <v>0.88178432913257221</v>
      </c>
      <c r="BX524" s="29">
        <v>0</v>
      </c>
    </row>
    <row r="525" spans="2:76" ht="12.75" x14ac:dyDescent="0.2">
      <c r="B525" s="22">
        <v>45070</v>
      </c>
      <c r="C525" s="26">
        <f t="shared" ca="1" si="68"/>
        <v>0.2475208950338742</v>
      </c>
      <c r="D525" s="29">
        <f t="shared" ca="1" si="77"/>
        <v>62</v>
      </c>
      <c r="F525" s="22">
        <v>45070</v>
      </c>
      <c r="G525" s="26">
        <f t="shared" ca="1" si="31"/>
        <v>0.37576488110554429</v>
      </c>
      <c r="H525" s="29">
        <f t="shared" ca="1" si="79"/>
        <v>211</v>
      </c>
      <c r="J525" s="22">
        <v>45070</v>
      </c>
      <c r="K525" s="26">
        <f t="shared" ca="1" si="32"/>
        <v>0.36685955585785268</v>
      </c>
      <c r="L525" s="29">
        <f t="shared" ca="1" si="80"/>
        <v>147</v>
      </c>
      <c r="N525" s="22">
        <v>45070</v>
      </c>
      <c r="O525" s="26">
        <f t="shared" ca="1" si="33"/>
        <v>0.21120872470719254</v>
      </c>
      <c r="P525" s="29">
        <f t="shared" ca="1" si="81"/>
        <v>218</v>
      </c>
      <c r="R525" s="22">
        <v>45070</v>
      </c>
      <c r="S525" s="26">
        <f t="shared" ca="1" si="34"/>
        <v>0.89963212725627295</v>
      </c>
      <c r="T525" s="29">
        <f t="shared" ca="1" si="82"/>
        <v>151</v>
      </c>
      <c r="V525" s="22">
        <v>45070</v>
      </c>
      <c r="W525" s="26">
        <f t="shared" ca="1" si="35"/>
        <v>0.1200445678487696</v>
      </c>
      <c r="X525" s="29">
        <f t="shared" ca="1" si="83"/>
        <v>208</v>
      </c>
      <c r="Z525" s="22">
        <v>45070</v>
      </c>
      <c r="AA525" s="26">
        <f t="shared" ca="1" si="36"/>
        <v>0.58006952312890647</v>
      </c>
      <c r="AB525" s="29">
        <f t="shared" ca="1" si="84"/>
        <v>274</v>
      </c>
      <c r="AC525"/>
      <c r="AD525" s="25"/>
      <c r="AF525" s="22">
        <v>45070</v>
      </c>
      <c r="AG525" s="26">
        <f t="shared" ca="1" si="37"/>
        <v>0.98983246543810521</v>
      </c>
      <c r="AH525" s="29">
        <f t="shared" ca="1" si="85"/>
        <v>530</v>
      </c>
      <c r="AJ525" s="22">
        <v>45070</v>
      </c>
      <c r="AK525" s="26">
        <f t="shared" ca="1" si="38"/>
        <v>0.4785593455260172</v>
      </c>
      <c r="AL525" s="29">
        <f t="shared" ca="1" si="86"/>
        <v>178</v>
      </c>
      <c r="AN525" s="22">
        <v>45070</v>
      </c>
      <c r="AO525" s="26">
        <f t="shared" ca="1" si="39"/>
        <v>0.20396828880134221</v>
      </c>
      <c r="AP525" s="29">
        <f t="shared" ca="1" si="87"/>
        <v>115</v>
      </c>
      <c r="AR525" s="22">
        <v>45070</v>
      </c>
      <c r="AS525" s="26">
        <f t="shared" ca="1" si="40"/>
        <v>0.45792697936404347</v>
      </c>
      <c r="AT525" s="29">
        <v>0</v>
      </c>
      <c r="AV525" s="22">
        <v>45070</v>
      </c>
      <c r="AW525" s="26">
        <f t="shared" ca="1" si="41"/>
        <v>0.19481333539640699</v>
      </c>
      <c r="AX525" s="29">
        <v>0</v>
      </c>
      <c r="AZ525" s="22">
        <v>45070</v>
      </c>
      <c r="BA525" s="26">
        <f t="shared" ca="1" si="42"/>
        <v>0.14871944472917953</v>
      </c>
      <c r="BB525" s="29">
        <v>0</v>
      </c>
      <c r="BC525"/>
      <c r="BD525" s="25"/>
      <c r="BF525" s="22">
        <v>45070</v>
      </c>
      <c r="BG525" s="26">
        <f t="shared" ca="1" si="43"/>
        <v>0.30500205214379972</v>
      </c>
      <c r="BH525" s="29">
        <v>0</v>
      </c>
      <c r="BJ525" s="22">
        <v>45070</v>
      </c>
      <c r="BK525" s="26">
        <f t="shared" ca="1" si="44"/>
        <v>0.71100824095939341</v>
      </c>
      <c r="BL525" s="29">
        <v>0</v>
      </c>
      <c r="BN525" s="22">
        <v>45070</v>
      </c>
      <c r="BO525" s="26">
        <f t="shared" ca="1" si="45"/>
        <v>0.70800124938382936</v>
      </c>
      <c r="BP525" s="29">
        <v>0</v>
      </c>
      <c r="BR525" s="22">
        <v>45070</v>
      </c>
      <c r="BS525" s="26">
        <f t="shared" ca="1" si="46"/>
        <v>0.39014232545388627</v>
      </c>
      <c r="BT525" s="29">
        <v>0</v>
      </c>
      <c r="BV525" s="22">
        <v>45070</v>
      </c>
      <c r="BW525" s="26">
        <f t="shared" ca="1" si="47"/>
        <v>0.30950130585105406</v>
      </c>
      <c r="BX525" s="29">
        <v>0</v>
      </c>
    </row>
    <row r="526" spans="2:76" ht="12.75" x14ac:dyDescent="0.2">
      <c r="B526" s="22">
        <v>45071</v>
      </c>
      <c r="C526" s="26">
        <f t="shared" ca="1" si="68"/>
        <v>0.45200726320543205</v>
      </c>
      <c r="D526" s="29">
        <f t="shared" ca="1" si="77"/>
        <v>73</v>
      </c>
      <c r="F526" s="22">
        <v>45071</v>
      </c>
      <c r="G526" s="26">
        <f t="shared" ca="1" si="31"/>
        <v>0.51530855346898974</v>
      </c>
      <c r="H526" s="29">
        <f t="shared" ca="1" si="79"/>
        <v>216</v>
      </c>
      <c r="J526" s="22">
        <v>45071</v>
      </c>
      <c r="K526" s="26">
        <f t="shared" ca="1" si="32"/>
        <v>0.45428563407116618</v>
      </c>
      <c r="L526" s="29">
        <f t="shared" ca="1" si="80"/>
        <v>149</v>
      </c>
      <c r="N526" s="22">
        <v>45071</v>
      </c>
      <c r="O526" s="26">
        <f t="shared" ca="1" si="33"/>
        <v>0.42995844593223242</v>
      </c>
      <c r="P526" s="29">
        <f t="shared" ca="1" si="81"/>
        <v>227</v>
      </c>
      <c r="R526" s="22">
        <v>45071</v>
      </c>
      <c r="S526" s="26">
        <f t="shared" ca="1" si="34"/>
        <v>0.61627030342355282</v>
      </c>
      <c r="T526" s="29">
        <f t="shared" ca="1" si="82"/>
        <v>142</v>
      </c>
      <c r="V526" s="22">
        <v>45071</v>
      </c>
      <c r="W526" s="26">
        <f t="shared" ca="1" si="35"/>
        <v>0.52879001082710075</v>
      </c>
      <c r="X526" s="29">
        <f t="shared" ca="1" si="83"/>
        <v>227</v>
      </c>
      <c r="Z526" s="22">
        <v>45071</v>
      </c>
      <c r="AA526" s="26">
        <f t="shared" ca="1" si="36"/>
        <v>0.46915446465572308</v>
      </c>
      <c r="AB526" s="29">
        <f t="shared" ca="1" si="84"/>
        <v>269</v>
      </c>
      <c r="AC526"/>
      <c r="AD526" s="25"/>
      <c r="AF526" s="22">
        <v>45071</v>
      </c>
      <c r="AG526" s="26">
        <f t="shared" ca="1" si="37"/>
        <v>0.96651382055944368</v>
      </c>
      <c r="AH526" s="29">
        <f t="shared" ca="1" si="85"/>
        <v>487</v>
      </c>
      <c r="AJ526" s="22">
        <v>45071</v>
      </c>
      <c r="AK526" s="26">
        <f t="shared" ca="1" si="38"/>
        <v>0.50886062403904775</v>
      </c>
      <c r="AL526" s="29">
        <f t="shared" ca="1" si="86"/>
        <v>181</v>
      </c>
      <c r="AN526" s="22">
        <v>45071</v>
      </c>
      <c r="AO526" s="26">
        <f t="shared" ca="1" si="39"/>
        <v>0.81786421463569137</v>
      </c>
      <c r="AP526" s="29">
        <f t="shared" ca="1" si="87"/>
        <v>183</v>
      </c>
      <c r="AR526" s="22">
        <v>45071</v>
      </c>
      <c r="AS526" s="26">
        <f t="shared" ca="1" si="40"/>
        <v>0.39750438536560995</v>
      </c>
      <c r="AT526" s="29">
        <v>0</v>
      </c>
      <c r="AV526" s="22">
        <v>45071</v>
      </c>
      <c r="AW526" s="26">
        <f t="shared" ca="1" si="41"/>
        <v>0.9888718218835103</v>
      </c>
      <c r="AX526" s="29">
        <v>0</v>
      </c>
      <c r="AZ526" s="22">
        <v>45071</v>
      </c>
      <c r="BA526" s="26">
        <f t="shared" ca="1" si="42"/>
        <v>0.69360613073536626</v>
      </c>
      <c r="BB526" s="29">
        <v>0</v>
      </c>
      <c r="BC526"/>
      <c r="BD526" s="25"/>
      <c r="BF526" s="22">
        <v>45071</v>
      </c>
      <c r="BG526" s="26">
        <f t="shared" ca="1" si="43"/>
        <v>0.57902847914222688</v>
      </c>
      <c r="BH526" s="29">
        <v>0</v>
      </c>
      <c r="BJ526" s="22">
        <v>45071</v>
      </c>
      <c r="BK526" s="26">
        <f t="shared" ca="1" si="44"/>
        <v>0.22809011181399153</v>
      </c>
      <c r="BL526" s="29">
        <v>0</v>
      </c>
      <c r="BN526" s="22">
        <v>45071</v>
      </c>
      <c r="BO526" s="26">
        <f t="shared" ca="1" si="45"/>
        <v>0.53862713201333745</v>
      </c>
      <c r="BP526" s="29">
        <v>0</v>
      </c>
      <c r="BR526" s="22">
        <v>45071</v>
      </c>
      <c r="BS526" s="26">
        <f t="shared" ca="1" si="46"/>
        <v>0.31912164737879434</v>
      </c>
      <c r="BT526" s="29">
        <v>0</v>
      </c>
      <c r="BV526" s="22">
        <v>45071</v>
      </c>
      <c r="BW526" s="26">
        <f t="shared" ca="1" si="47"/>
        <v>0.91475970975217624</v>
      </c>
      <c r="BX526" s="29">
        <v>0</v>
      </c>
    </row>
    <row r="527" spans="2:76" ht="12.75" x14ac:dyDescent="0.2">
      <c r="B527" s="22">
        <v>45072</v>
      </c>
      <c r="C527" s="26">
        <f t="shared" ca="1" si="68"/>
        <v>0.5618683507323271</v>
      </c>
      <c r="D527" s="29">
        <f t="shared" ca="1" si="77"/>
        <v>79</v>
      </c>
      <c r="F527" s="22">
        <v>45072</v>
      </c>
      <c r="G527" s="26">
        <f t="shared" ref="G527:G737" ca="1" si="88">RAND()</f>
        <v>0.55889492683796571</v>
      </c>
      <c r="H527" s="29">
        <f t="shared" ca="1" si="79"/>
        <v>218</v>
      </c>
      <c r="J527" s="22">
        <v>45072</v>
      </c>
      <c r="K527" s="26">
        <f t="shared" ref="K527:K737" ca="1" si="89">RAND()</f>
        <v>0.51635143350774226</v>
      </c>
      <c r="L527" s="29">
        <f t="shared" ca="1" si="80"/>
        <v>151</v>
      </c>
      <c r="N527" s="22">
        <v>45072</v>
      </c>
      <c r="O527" s="26">
        <f t="shared" ref="O527:O737" ca="1" si="90">RAND()</f>
        <v>4.4091635435470788E-2</v>
      </c>
      <c r="P527" s="29">
        <f t="shared" ca="1" si="81"/>
        <v>204</v>
      </c>
      <c r="R527" s="22">
        <v>45072</v>
      </c>
      <c r="S527" s="26">
        <f t="shared" ref="S527:S737" ca="1" si="91">RAND()</f>
        <v>0.37668713393141984</v>
      </c>
      <c r="T527" s="29">
        <f t="shared" ca="1" si="82"/>
        <v>136</v>
      </c>
      <c r="V527" s="22">
        <v>45072</v>
      </c>
      <c r="W527" s="26">
        <f t="shared" ref="W527:W737" ca="1" si="92">RAND()</f>
        <v>0.19446269824197615</v>
      </c>
      <c r="X527" s="29">
        <f t="shared" ca="1" si="83"/>
        <v>213</v>
      </c>
      <c r="Z527" s="22">
        <v>45072</v>
      </c>
      <c r="AA527" s="26">
        <f t="shared" ref="AA527:AA737" ca="1" si="93">RAND()</f>
        <v>0.44594421608269186</v>
      </c>
      <c r="AB527" s="29">
        <f t="shared" ca="1" si="84"/>
        <v>268</v>
      </c>
      <c r="AC527"/>
      <c r="AD527" s="25"/>
      <c r="AF527" s="22">
        <v>45072</v>
      </c>
      <c r="AG527" s="26">
        <f t="shared" ref="AG527:AG737" ca="1" si="94">RAND()</f>
        <v>0.65019729707225937</v>
      </c>
      <c r="AH527" s="29">
        <f t="shared" ca="1" si="85"/>
        <v>361</v>
      </c>
      <c r="AJ527" s="22">
        <v>45072</v>
      </c>
      <c r="AK527" s="26">
        <f t="shared" ref="AK527:AK737" ca="1" si="95">RAND()</f>
        <v>0.13866958925408446</v>
      </c>
      <c r="AL527" s="29">
        <f t="shared" ca="1" si="86"/>
        <v>128</v>
      </c>
      <c r="AN527" s="22">
        <v>45072</v>
      </c>
      <c r="AO527" s="26">
        <f t="shared" ref="AO527:AO737" ca="1" si="96">RAND()</f>
        <v>0.46261122025136758</v>
      </c>
      <c r="AP527" s="29">
        <f t="shared" ca="1" si="87"/>
        <v>144</v>
      </c>
      <c r="AR527" s="22">
        <v>45072</v>
      </c>
      <c r="AS527" s="26">
        <f t="shared" ref="AS527:AS737" ca="1" si="97">RAND()</f>
        <v>0.25570317142576815</v>
      </c>
      <c r="AT527" s="29">
        <v>0</v>
      </c>
      <c r="AV527" s="22">
        <v>45072</v>
      </c>
      <c r="AW527" s="26">
        <f t="shared" ref="AW527:AW737" ca="1" si="98">RAND()</f>
        <v>0.27078475210792996</v>
      </c>
      <c r="AX527" s="29">
        <v>0</v>
      </c>
      <c r="AZ527" s="22">
        <v>45072</v>
      </c>
      <c r="BA527" s="26">
        <f t="shared" ref="BA527:BA737" ca="1" si="99">RAND()</f>
        <v>0.29177105594279951</v>
      </c>
      <c r="BB527" s="29">
        <v>0</v>
      </c>
      <c r="BC527"/>
      <c r="BD527" s="25"/>
      <c r="BF527" s="22">
        <v>45072</v>
      </c>
      <c r="BG527" s="26">
        <f t="shared" ref="BG527:BG737" ca="1" si="100">RAND()</f>
        <v>1.6290272289495755E-2</v>
      </c>
      <c r="BH527" s="29">
        <v>0</v>
      </c>
      <c r="BJ527" s="22">
        <v>45072</v>
      </c>
      <c r="BK527" s="26">
        <f t="shared" ref="BK527:BK737" ca="1" si="101">RAND()</f>
        <v>0.56519904271286725</v>
      </c>
      <c r="BL527" s="29">
        <v>0</v>
      </c>
      <c r="BN527" s="22">
        <v>45072</v>
      </c>
      <c r="BO527" s="26">
        <f t="shared" ref="BO527:BO737" ca="1" si="102">RAND()</f>
        <v>0.4621836954812869</v>
      </c>
      <c r="BP527" s="29">
        <v>0</v>
      </c>
      <c r="BR527" s="22">
        <v>45072</v>
      </c>
      <c r="BS527" s="26">
        <f t="shared" ref="BS527:BS737" ca="1" si="103">RAND()</f>
        <v>3.4727750520536005E-2</v>
      </c>
      <c r="BT527" s="29">
        <v>0</v>
      </c>
      <c r="BV527" s="22">
        <v>45072</v>
      </c>
      <c r="BW527" s="26">
        <f t="shared" ref="BW527:BW737" ca="1" si="104">RAND()</f>
        <v>0.3736960258538139</v>
      </c>
      <c r="BX527" s="29">
        <v>0</v>
      </c>
    </row>
    <row r="528" spans="2:76" ht="12.75" x14ac:dyDescent="0.2">
      <c r="B528" s="22">
        <v>45073</v>
      </c>
      <c r="C528" s="26">
        <f t="shared" ca="1" si="68"/>
        <v>0.28155649204483602</v>
      </c>
      <c r="D528" s="29">
        <f t="shared" ca="1" si="77"/>
        <v>64</v>
      </c>
      <c r="F528" s="22">
        <v>45073</v>
      </c>
      <c r="G528" s="26">
        <f t="shared" ca="1" si="88"/>
        <v>0.72357797855899419</v>
      </c>
      <c r="H528" s="29">
        <f t="shared" ca="1" si="79"/>
        <v>224</v>
      </c>
      <c r="J528" s="22">
        <v>45073</v>
      </c>
      <c r="K528" s="26">
        <f t="shared" ca="1" si="89"/>
        <v>0.27917685596434116</v>
      </c>
      <c r="L528" s="29">
        <f t="shared" ca="1" si="80"/>
        <v>145</v>
      </c>
      <c r="N528" s="22">
        <v>45073</v>
      </c>
      <c r="O528" s="26">
        <f t="shared" ca="1" si="90"/>
        <v>0.62031544260061555</v>
      </c>
      <c r="P528" s="29">
        <f t="shared" ca="1" si="81"/>
        <v>235</v>
      </c>
      <c r="R528" s="22">
        <v>45073</v>
      </c>
      <c r="S528" s="26">
        <f t="shared" ca="1" si="91"/>
        <v>0.29585785508997497</v>
      </c>
      <c r="T528" s="29">
        <f t="shared" ca="1" si="82"/>
        <v>134</v>
      </c>
      <c r="V528" s="22">
        <v>45073</v>
      </c>
      <c r="W528" s="26">
        <f t="shared" ca="1" si="92"/>
        <v>0.27205154317488323</v>
      </c>
      <c r="X528" s="29">
        <f t="shared" ca="1" si="83"/>
        <v>216</v>
      </c>
      <c r="Z528" s="22">
        <v>45073</v>
      </c>
      <c r="AA528" s="26">
        <f t="shared" ca="1" si="93"/>
        <v>0.58673467089487807</v>
      </c>
      <c r="AB528" s="29">
        <f t="shared" ca="1" si="84"/>
        <v>274</v>
      </c>
      <c r="AC528"/>
      <c r="AD528" s="25"/>
      <c r="AF528" s="22">
        <v>45073</v>
      </c>
      <c r="AG528" s="26">
        <f t="shared" ca="1" si="94"/>
        <v>0.16168314025718755</v>
      </c>
      <c r="AH528" s="29">
        <f t="shared" ca="1" si="85"/>
        <v>241</v>
      </c>
      <c r="AJ528" s="22">
        <v>45073</v>
      </c>
      <c r="AK528" s="26">
        <f t="shared" ca="1" si="95"/>
        <v>0.40710348635392757</v>
      </c>
      <c r="AL528" s="29">
        <f t="shared" ca="1" si="86"/>
        <v>169</v>
      </c>
      <c r="AN528" s="22">
        <v>45073</v>
      </c>
      <c r="AO528" s="26">
        <f t="shared" ca="1" si="96"/>
        <v>0.67432964829884201</v>
      </c>
      <c r="AP528" s="29">
        <f t="shared" ca="1" si="87"/>
        <v>165</v>
      </c>
      <c r="AR528" s="22">
        <v>45073</v>
      </c>
      <c r="AS528" s="26">
        <f t="shared" ca="1" si="97"/>
        <v>0.19494766844804934</v>
      </c>
      <c r="AT528" s="29">
        <v>0</v>
      </c>
      <c r="AV528" s="22">
        <v>45073</v>
      </c>
      <c r="AW528" s="26">
        <f t="shared" ca="1" si="98"/>
        <v>0.24697103746613225</v>
      </c>
      <c r="AX528" s="29">
        <v>0</v>
      </c>
      <c r="AZ528" s="22">
        <v>45073</v>
      </c>
      <c r="BA528" s="26">
        <f t="shared" ca="1" si="99"/>
        <v>3.9518819650736448E-2</v>
      </c>
      <c r="BB528" s="29">
        <v>0</v>
      </c>
      <c r="BC528"/>
      <c r="BD528" s="25"/>
      <c r="BF528" s="22">
        <v>45073</v>
      </c>
      <c r="BG528" s="26">
        <f t="shared" ca="1" si="100"/>
        <v>0.63188600059431965</v>
      </c>
      <c r="BH528" s="29">
        <v>0</v>
      </c>
      <c r="BJ528" s="22">
        <v>45073</v>
      </c>
      <c r="BK528" s="26">
        <f t="shared" ca="1" si="101"/>
        <v>0.97643631029248734</v>
      </c>
      <c r="BL528" s="29">
        <v>0</v>
      </c>
      <c r="BN528" s="22">
        <v>45073</v>
      </c>
      <c r="BO528" s="26">
        <f t="shared" ca="1" si="102"/>
        <v>4.2236753117829151E-2</v>
      </c>
      <c r="BP528" s="29">
        <v>0</v>
      </c>
      <c r="BR528" s="22">
        <v>45073</v>
      </c>
      <c r="BS528" s="26">
        <f t="shared" ca="1" si="103"/>
        <v>0.47129553666997615</v>
      </c>
      <c r="BT528" s="29">
        <v>0</v>
      </c>
      <c r="BV528" s="22">
        <v>45073</v>
      </c>
      <c r="BW528" s="26">
        <f t="shared" ca="1" si="104"/>
        <v>0.16110186287204997</v>
      </c>
      <c r="BX528" s="29">
        <v>0</v>
      </c>
    </row>
    <row r="529" spans="2:77" ht="12.75" x14ac:dyDescent="0.2">
      <c r="B529" s="22">
        <v>45074</v>
      </c>
      <c r="C529" s="26">
        <f t="shared" ca="1" si="68"/>
        <v>9.7513970161996255E-2</v>
      </c>
      <c r="D529" s="29">
        <f t="shared" ca="1" si="77"/>
        <v>50</v>
      </c>
      <c r="F529" s="22">
        <v>45074</v>
      </c>
      <c r="G529" s="26">
        <f t="shared" ca="1" si="88"/>
        <v>0.2324290832736603</v>
      </c>
      <c r="H529" s="29">
        <f t="shared" ca="1" si="79"/>
        <v>205</v>
      </c>
      <c r="J529" s="22">
        <v>45074</v>
      </c>
      <c r="K529" s="26">
        <f t="shared" ca="1" si="89"/>
        <v>0.85182411615634035</v>
      </c>
      <c r="L529" s="29">
        <f t="shared" ca="1" si="80"/>
        <v>161</v>
      </c>
      <c r="N529" s="22">
        <v>45074</v>
      </c>
      <c r="O529" s="26">
        <f t="shared" ca="1" si="90"/>
        <v>0.82751776927208687</v>
      </c>
      <c r="P529" s="29">
        <f t="shared" ca="1" si="81"/>
        <v>244</v>
      </c>
      <c r="R529" s="22">
        <v>45074</v>
      </c>
      <c r="S529" s="26">
        <f t="shared" ca="1" si="91"/>
        <v>0.95162731189060945</v>
      </c>
      <c r="T529" s="29">
        <f t="shared" ca="1" si="82"/>
        <v>155</v>
      </c>
      <c r="V529" s="22">
        <v>45074</v>
      </c>
      <c r="W529" s="26">
        <f t="shared" ca="1" si="92"/>
        <v>0.89113003985724504</v>
      </c>
      <c r="X529" s="29">
        <f t="shared" ca="1" si="83"/>
        <v>244</v>
      </c>
      <c r="Z529" s="22">
        <v>45074</v>
      </c>
      <c r="AA529" s="26">
        <f t="shared" ca="1" si="93"/>
        <v>0.22978051930674692</v>
      </c>
      <c r="AB529" s="29">
        <f t="shared" ca="1" si="84"/>
        <v>257</v>
      </c>
      <c r="AC529"/>
      <c r="AD529" s="25"/>
      <c r="AF529" s="22">
        <v>45074</v>
      </c>
      <c r="AG529" s="26">
        <f t="shared" ca="1" si="94"/>
        <v>0.74442921697795494</v>
      </c>
      <c r="AH529" s="29">
        <f t="shared" ca="1" si="85"/>
        <v>385</v>
      </c>
      <c r="AJ529" s="22">
        <v>45074</v>
      </c>
      <c r="AK529" s="26">
        <f t="shared" ca="1" si="95"/>
        <v>0.84148568190255191</v>
      </c>
      <c r="AL529" s="29">
        <f t="shared" ca="1" si="86"/>
        <v>228</v>
      </c>
      <c r="AN529" s="22">
        <v>45074</v>
      </c>
      <c r="AO529" s="26">
        <f t="shared" ca="1" si="96"/>
        <v>0.97756362659735196</v>
      </c>
      <c r="AP529" s="29">
        <f t="shared" ca="1" si="87"/>
        <v>226</v>
      </c>
      <c r="AR529" s="22">
        <v>45074</v>
      </c>
      <c r="AS529" s="26">
        <f t="shared" ca="1" si="97"/>
        <v>0.84366845774969668</v>
      </c>
      <c r="AT529" s="29">
        <v>0</v>
      </c>
      <c r="AV529" s="22">
        <v>45074</v>
      </c>
      <c r="AW529" s="26">
        <f t="shared" ca="1" si="98"/>
        <v>0.86719939160908144</v>
      </c>
      <c r="AX529" s="29">
        <v>0</v>
      </c>
      <c r="AZ529" s="22">
        <v>45074</v>
      </c>
      <c r="BA529" s="26">
        <f t="shared" ca="1" si="99"/>
        <v>7.77057953792335E-2</v>
      </c>
      <c r="BB529" s="29">
        <v>0</v>
      </c>
      <c r="BC529"/>
      <c r="BD529" s="25"/>
      <c r="BF529" s="22">
        <v>45074</v>
      </c>
      <c r="BG529" s="26">
        <f t="shared" ca="1" si="100"/>
        <v>0.53552204064649078</v>
      </c>
      <c r="BH529" s="29">
        <v>0</v>
      </c>
      <c r="BJ529" s="22">
        <v>45074</v>
      </c>
      <c r="BK529" s="26">
        <f t="shared" ca="1" si="101"/>
        <v>0.66695575408957708</v>
      </c>
      <c r="BL529" s="29">
        <v>0</v>
      </c>
      <c r="BN529" s="22">
        <v>45074</v>
      </c>
      <c r="BO529" s="26">
        <f t="shared" ca="1" si="102"/>
        <v>0.17658194765414814</v>
      </c>
      <c r="BP529" s="29">
        <v>0</v>
      </c>
      <c r="BR529" s="22">
        <v>45074</v>
      </c>
      <c r="BS529" s="26">
        <f t="shared" ca="1" si="103"/>
        <v>0.60079665778660285</v>
      </c>
      <c r="BT529" s="29">
        <v>0</v>
      </c>
      <c r="BV529" s="22">
        <v>45074</v>
      </c>
      <c r="BW529" s="26">
        <f t="shared" ca="1" si="104"/>
        <v>0.29298402580024563</v>
      </c>
      <c r="BX529" s="29">
        <v>0</v>
      </c>
    </row>
    <row r="530" spans="2:77" ht="12.75" x14ac:dyDescent="0.2">
      <c r="B530" s="22">
        <v>45075</v>
      </c>
      <c r="C530" s="26">
        <f t="shared" ca="1" si="68"/>
        <v>0.43778704147118153</v>
      </c>
      <c r="D530" s="29">
        <f t="shared" ref="D530:D568" ca="1" si="105">ROUNDUP(_xlfn.NORM.INV(C530,C$10,C$12),0)</f>
        <v>72</v>
      </c>
      <c r="F530" s="22">
        <v>45075</v>
      </c>
      <c r="G530" s="26">
        <f t="shared" ca="1" si="88"/>
        <v>0.56829301692821899</v>
      </c>
      <c r="H530" s="29">
        <f t="shared" ca="1" si="79"/>
        <v>218</v>
      </c>
      <c r="J530" s="22">
        <v>45075</v>
      </c>
      <c r="K530" s="26">
        <f t="shared" ca="1" si="89"/>
        <v>0.81222728185906357</v>
      </c>
      <c r="L530" s="29">
        <f t="shared" ca="1" si="80"/>
        <v>159</v>
      </c>
      <c r="N530" s="22">
        <v>45075</v>
      </c>
      <c r="O530" s="26">
        <f t="shared" ca="1" si="90"/>
        <v>0.38604103559649838</v>
      </c>
      <c r="P530" s="29">
        <f t="shared" ca="1" si="81"/>
        <v>225</v>
      </c>
      <c r="R530" s="22">
        <v>45075</v>
      </c>
      <c r="S530" s="26">
        <f t="shared" ca="1" si="91"/>
        <v>0.11412211824543272</v>
      </c>
      <c r="T530" s="29">
        <f t="shared" ca="1" si="82"/>
        <v>128</v>
      </c>
      <c r="V530" s="22">
        <v>45075</v>
      </c>
      <c r="W530" s="26">
        <f t="shared" ca="1" si="92"/>
        <v>0.76884310228788866</v>
      </c>
      <c r="X530" s="29">
        <f t="shared" ca="1" si="83"/>
        <v>237</v>
      </c>
      <c r="Z530" s="22">
        <v>45075</v>
      </c>
      <c r="AA530" s="26">
        <f t="shared" ca="1" si="93"/>
        <v>0.67786559132544499</v>
      </c>
      <c r="AB530" s="29">
        <f t="shared" ca="1" si="84"/>
        <v>279</v>
      </c>
      <c r="AC530"/>
      <c r="AD530" s="25"/>
      <c r="AF530" s="22">
        <v>45075</v>
      </c>
      <c r="AG530" s="26">
        <f t="shared" ca="1" si="94"/>
        <v>0.89557486362850236</v>
      </c>
      <c r="AH530" s="29">
        <f t="shared" ca="1" si="85"/>
        <v>437</v>
      </c>
      <c r="AJ530" s="22">
        <v>45075</v>
      </c>
      <c r="AK530" s="26">
        <f t="shared" ca="1" si="95"/>
        <v>0.64499488686851969</v>
      </c>
      <c r="AL530" s="29">
        <f t="shared" ca="1" si="86"/>
        <v>198</v>
      </c>
      <c r="AN530" s="22">
        <v>45075</v>
      </c>
      <c r="AO530" s="26">
        <f t="shared" ca="1" si="96"/>
        <v>0.16667272361975316</v>
      </c>
      <c r="AP530" s="29">
        <f t="shared" ca="1" si="87"/>
        <v>110</v>
      </c>
      <c r="AR530" s="22">
        <v>45075</v>
      </c>
      <c r="AS530" s="26">
        <f t="shared" ca="1" si="97"/>
        <v>0.54805200096945716</v>
      </c>
      <c r="AT530" s="29">
        <v>0</v>
      </c>
      <c r="AV530" s="22">
        <v>45075</v>
      </c>
      <c r="AW530" s="26">
        <f t="shared" ca="1" si="98"/>
        <v>0.22953799403301245</v>
      </c>
      <c r="AX530" s="29">
        <v>0</v>
      </c>
      <c r="AZ530" s="22">
        <v>45075</v>
      </c>
      <c r="BA530" s="26">
        <f t="shared" ca="1" si="99"/>
        <v>0.73917717062732158</v>
      </c>
      <c r="BB530" s="29">
        <v>0</v>
      </c>
      <c r="BC530"/>
      <c r="BD530" s="25"/>
      <c r="BF530" s="22">
        <v>45075</v>
      </c>
      <c r="BG530" s="26">
        <f t="shared" ca="1" si="100"/>
        <v>0.92705177454360466</v>
      </c>
      <c r="BH530" s="29">
        <v>0</v>
      </c>
      <c r="BJ530" s="22">
        <v>45075</v>
      </c>
      <c r="BK530" s="26">
        <f t="shared" ca="1" si="101"/>
        <v>0.1800407303796987</v>
      </c>
      <c r="BL530" s="29">
        <v>0</v>
      </c>
      <c r="BN530" s="22">
        <v>45075</v>
      </c>
      <c r="BO530" s="26">
        <f t="shared" ca="1" si="102"/>
        <v>0.6984259242569969</v>
      </c>
      <c r="BP530" s="29">
        <v>0</v>
      </c>
      <c r="BR530" s="22">
        <v>45075</v>
      </c>
      <c r="BS530" s="26">
        <f t="shared" ca="1" si="103"/>
        <v>0.80458059345376787</v>
      </c>
      <c r="BT530" s="29">
        <v>0</v>
      </c>
      <c r="BV530" s="22">
        <v>45075</v>
      </c>
      <c r="BW530" s="26">
        <f t="shared" ca="1" si="104"/>
        <v>6.159946988578513E-2</v>
      </c>
      <c r="BX530" s="29">
        <v>0</v>
      </c>
    </row>
    <row r="531" spans="2:77" ht="12.75" x14ac:dyDescent="0.2">
      <c r="B531" s="22">
        <v>45076</v>
      </c>
      <c r="C531" s="26">
        <f t="shared" ca="1" si="68"/>
        <v>0.32916714048831108</v>
      </c>
      <c r="D531" s="29">
        <f t="shared" ca="1" si="105"/>
        <v>67</v>
      </c>
      <c r="F531" s="22">
        <v>45076</v>
      </c>
      <c r="G531" s="26">
        <f t="shared" ca="1" si="88"/>
        <v>6.5312730396513974E-2</v>
      </c>
      <c r="H531" s="29">
        <f t="shared" ca="1" si="79"/>
        <v>194</v>
      </c>
      <c r="J531" s="22">
        <v>45076</v>
      </c>
      <c r="K531" s="26">
        <f t="shared" ca="1" si="89"/>
        <v>0.11049210797617537</v>
      </c>
      <c r="L531" s="29">
        <f t="shared" ca="1" si="80"/>
        <v>138</v>
      </c>
      <c r="N531" s="22">
        <v>45076</v>
      </c>
      <c r="O531" s="26">
        <f t="shared" ca="1" si="90"/>
        <v>0.23205048448842336</v>
      </c>
      <c r="P531" s="29">
        <f t="shared" ca="1" si="81"/>
        <v>219</v>
      </c>
      <c r="R531" s="22">
        <v>45076</v>
      </c>
      <c r="S531" s="26">
        <f t="shared" ca="1" si="91"/>
        <v>0.53418400013980316</v>
      </c>
      <c r="T531" s="29">
        <f t="shared" ca="1" si="82"/>
        <v>140</v>
      </c>
      <c r="V531" s="22">
        <v>45076</v>
      </c>
      <c r="W531" s="26">
        <f t="shared" ca="1" si="92"/>
        <v>1.366697856238408E-2</v>
      </c>
      <c r="X531" s="29">
        <f t="shared" ca="1" si="83"/>
        <v>192</v>
      </c>
      <c r="Z531" s="22">
        <v>45076</v>
      </c>
      <c r="AA531" s="26">
        <f t="shared" ca="1" si="93"/>
        <v>0.33486006376981881</v>
      </c>
      <c r="AB531" s="29">
        <f t="shared" ca="1" si="84"/>
        <v>263</v>
      </c>
      <c r="AC531"/>
      <c r="AD531" s="25"/>
      <c r="AF531" s="22">
        <v>45076</v>
      </c>
      <c r="AG531" s="26">
        <f t="shared" ca="1" si="94"/>
        <v>3.9975997083379955E-2</v>
      </c>
      <c r="AH531" s="29">
        <f t="shared" ca="1" si="85"/>
        <v>175</v>
      </c>
      <c r="AJ531" s="22">
        <v>45076</v>
      </c>
      <c r="AK531" s="26">
        <f t="shared" ca="1" si="95"/>
        <v>0.76058637439902765</v>
      </c>
      <c r="AL531" s="29">
        <f t="shared" ca="1" si="86"/>
        <v>214</v>
      </c>
      <c r="AN531" s="22">
        <v>45076</v>
      </c>
      <c r="AO531" s="26">
        <f t="shared" ca="1" si="96"/>
        <v>0.10051117010862243</v>
      </c>
      <c r="AP531" s="29">
        <f t="shared" ca="1" si="87"/>
        <v>97</v>
      </c>
      <c r="AR531" s="22">
        <v>45076</v>
      </c>
      <c r="AS531" s="26">
        <f t="shared" ca="1" si="97"/>
        <v>0.8243426845856836</v>
      </c>
      <c r="AT531" s="29">
        <v>0</v>
      </c>
      <c r="AV531" s="22">
        <v>45076</v>
      </c>
      <c r="AW531" s="26">
        <f t="shared" ca="1" si="98"/>
        <v>0.89698605725272507</v>
      </c>
      <c r="AX531" s="29">
        <v>0</v>
      </c>
      <c r="AZ531" s="22">
        <v>45076</v>
      </c>
      <c r="BA531" s="26">
        <f t="shared" ca="1" si="99"/>
        <v>0.35785876724695975</v>
      </c>
      <c r="BB531" s="29">
        <v>0</v>
      </c>
      <c r="BC531"/>
      <c r="BD531" s="25"/>
      <c r="BF531" s="22">
        <v>45076</v>
      </c>
      <c r="BG531" s="26">
        <f t="shared" ca="1" si="100"/>
        <v>0.41941285367697889</v>
      </c>
      <c r="BH531" s="29">
        <v>0</v>
      </c>
      <c r="BJ531" s="22">
        <v>45076</v>
      </c>
      <c r="BK531" s="26">
        <f t="shared" ca="1" si="101"/>
        <v>0.61788022107323082</v>
      </c>
      <c r="BL531" s="29">
        <v>0</v>
      </c>
      <c r="BN531" s="22">
        <v>45076</v>
      </c>
      <c r="BO531" s="26">
        <f t="shared" ca="1" si="102"/>
        <v>0.22646712865870411</v>
      </c>
      <c r="BP531" s="29">
        <v>0</v>
      </c>
      <c r="BR531" s="22">
        <v>45076</v>
      </c>
      <c r="BS531" s="26">
        <f t="shared" ca="1" si="103"/>
        <v>0.11267347905539415</v>
      </c>
      <c r="BT531" s="29">
        <v>0</v>
      </c>
      <c r="BV531" s="22">
        <v>45076</v>
      </c>
      <c r="BW531" s="26">
        <f t="shared" ca="1" si="104"/>
        <v>0.6531947835530898</v>
      </c>
      <c r="BX531" s="29">
        <v>0</v>
      </c>
    </row>
    <row r="532" spans="2:77" ht="12.75" x14ac:dyDescent="0.2">
      <c r="B532" s="22">
        <v>45077</v>
      </c>
      <c r="C532" s="26">
        <f t="shared" ca="1" si="68"/>
        <v>0.72426223929936828</v>
      </c>
      <c r="D532" s="29">
        <f t="shared" ca="1" si="105"/>
        <v>87</v>
      </c>
      <c r="E532">
        <v>2262</v>
      </c>
      <c r="F532" s="22">
        <v>45077</v>
      </c>
      <c r="G532" s="26">
        <f t="shared" ca="1" si="88"/>
        <v>0.12523236158666684</v>
      </c>
      <c r="H532" s="29">
        <f t="shared" ca="1" si="79"/>
        <v>199</v>
      </c>
      <c r="I532">
        <v>6684</v>
      </c>
      <c r="J532" s="22">
        <v>45077</v>
      </c>
      <c r="K532" s="26">
        <f t="shared" ca="1" si="89"/>
        <v>0.25473799368150218</v>
      </c>
      <c r="L532" s="29">
        <f t="shared" ca="1" si="80"/>
        <v>144</v>
      </c>
      <c r="M532">
        <v>4705</v>
      </c>
      <c r="N532" s="22">
        <v>45077</v>
      </c>
      <c r="O532" s="26">
        <f t="shared" ca="1" si="90"/>
        <v>0.34998826669550642</v>
      </c>
      <c r="P532" s="29">
        <f t="shared" ca="1" si="81"/>
        <v>224</v>
      </c>
      <c r="Q532">
        <v>7121</v>
      </c>
      <c r="R532" s="22">
        <v>45077</v>
      </c>
      <c r="S532" s="26">
        <f t="shared" ca="1" si="91"/>
        <v>0.19172251912580252</v>
      </c>
      <c r="T532" s="29">
        <f t="shared" ca="1" si="82"/>
        <v>131</v>
      </c>
      <c r="U532">
        <v>4341</v>
      </c>
      <c r="V532" s="22">
        <v>45077</v>
      </c>
      <c r="W532" s="26">
        <f t="shared" ca="1" si="92"/>
        <v>0.83769402449375985</v>
      </c>
      <c r="X532" s="29">
        <f t="shared" ca="1" si="83"/>
        <v>240</v>
      </c>
      <c r="Y532">
        <v>7145</v>
      </c>
      <c r="Z532" s="22">
        <v>45077</v>
      </c>
      <c r="AA532" s="26">
        <f t="shared" ca="1" si="93"/>
        <v>0.29248326234114486</v>
      </c>
      <c r="AB532" s="29">
        <f t="shared" ca="1" si="84"/>
        <v>261</v>
      </c>
      <c r="AC532">
        <v>8303</v>
      </c>
      <c r="AD532" s="25"/>
      <c r="AF532" s="22">
        <v>45077</v>
      </c>
      <c r="AG532" s="26">
        <f t="shared" ca="1" si="94"/>
        <v>0.10511626890357872</v>
      </c>
      <c r="AH532" s="29">
        <f t="shared" ca="1" si="85"/>
        <v>218</v>
      </c>
      <c r="AI532">
        <v>10012</v>
      </c>
      <c r="AJ532" s="22">
        <v>45077</v>
      </c>
      <c r="AK532" s="26">
        <f t="shared" ca="1" si="95"/>
        <v>0.30956910683705663</v>
      </c>
      <c r="AL532" s="29">
        <f t="shared" ca="1" si="86"/>
        <v>157</v>
      </c>
      <c r="AM532">
        <v>5487</v>
      </c>
      <c r="AN532" s="22">
        <v>45077</v>
      </c>
      <c r="AO532" s="26">
        <f t="shared" ca="1" si="96"/>
        <v>0.95183522438773138</v>
      </c>
      <c r="AP532" s="29">
        <f t="shared" ca="1" si="87"/>
        <v>213</v>
      </c>
      <c r="AQ532">
        <v>4221</v>
      </c>
      <c r="AR532" s="22">
        <v>45077</v>
      </c>
      <c r="AS532" s="26">
        <f t="shared" ca="1" si="97"/>
        <v>0.39493848580136937</v>
      </c>
      <c r="AT532" s="29">
        <v>0</v>
      </c>
      <c r="AU532">
        <v>0</v>
      </c>
      <c r="AV532" s="22">
        <v>45077</v>
      </c>
      <c r="AW532" s="26">
        <f t="shared" ca="1" si="98"/>
        <v>0.2376918612520178</v>
      </c>
      <c r="AX532" s="29">
        <v>0</v>
      </c>
      <c r="AY532">
        <v>0</v>
      </c>
      <c r="AZ532" s="22">
        <v>45077</v>
      </c>
      <c r="BA532" s="26">
        <f t="shared" ca="1" si="99"/>
        <v>1.6337224582207988E-4</v>
      </c>
      <c r="BB532" s="29">
        <v>0</v>
      </c>
      <c r="BC532">
        <v>0</v>
      </c>
      <c r="BD532" s="25"/>
      <c r="BF532" s="22">
        <v>45077</v>
      </c>
      <c r="BG532" s="26">
        <f t="shared" ca="1" si="100"/>
        <v>0.78832492838819523</v>
      </c>
      <c r="BH532" s="29">
        <v>0</v>
      </c>
      <c r="BI532">
        <v>0</v>
      </c>
      <c r="BJ532" s="22">
        <v>45077</v>
      </c>
      <c r="BK532" s="26">
        <f t="shared" ca="1" si="101"/>
        <v>0.44913346883895067</v>
      </c>
      <c r="BL532" s="29">
        <v>0</v>
      </c>
      <c r="BM532">
        <v>0</v>
      </c>
      <c r="BN532" s="22">
        <v>45077</v>
      </c>
      <c r="BO532" s="26">
        <f t="shared" ca="1" si="102"/>
        <v>0.48155425856656897</v>
      </c>
      <c r="BP532" s="29">
        <v>0</v>
      </c>
      <c r="BQ532">
        <v>0</v>
      </c>
      <c r="BR532" s="22">
        <v>45077</v>
      </c>
      <c r="BS532" s="26">
        <f t="shared" ca="1" si="103"/>
        <v>0.12657351015873297</v>
      </c>
      <c r="BT532" s="29">
        <v>0</v>
      </c>
      <c r="BU532">
        <v>0</v>
      </c>
      <c r="BV532" s="22">
        <v>45077</v>
      </c>
      <c r="BW532" s="26">
        <f t="shared" ca="1" si="104"/>
        <v>0.45954148635268022</v>
      </c>
      <c r="BX532" s="29">
        <v>0</v>
      </c>
      <c r="BY532">
        <v>0</v>
      </c>
    </row>
    <row r="533" spans="2:77" ht="12.75" x14ac:dyDescent="0.2">
      <c r="B533" s="22">
        <v>45078</v>
      </c>
      <c r="C533" s="26">
        <f t="shared" ca="1" si="68"/>
        <v>0.76592730393054975</v>
      </c>
      <c r="D533" s="29">
        <f ca="1">ROUNDUP(_xlfn.NORM.INV(C532,C$10,C$12),0)</f>
        <v>87</v>
      </c>
      <c r="F533" s="22">
        <v>45078</v>
      </c>
      <c r="G533" s="26">
        <f t="shared" ca="1" si="88"/>
        <v>0.1722464964299607</v>
      </c>
      <c r="H533" s="29">
        <f ca="1">ROUNDUP(_xlfn.NORM.INV(G532,G$10,G$12),0)</f>
        <v>199</v>
      </c>
      <c r="J533" s="22">
        <v>45078</v>
      </c>
      <c r="K533" s="26">
        <f t="shared" ca="1" si="89"/>
        <v>0.50457733956087292</v>
      </c>
      <c r="L533" s="29">
        <f ca="1">ROUNDUP(_xlfn.NORM.INV(K532,K$10,K$12),0)</f>
        <v>144</v>
      </c>
      <c r="N533" s="22">
        <v>45078</v>
      </c>
      <c r="O533" s="26">
        <f t="shared" ca="1" si="90"/>
        <v>0.56438317620661249</v>
      </c>
      <c r="P533" s="29">
        <f ca="1">ROUNDUP(_xlfn.NORM.INV(O532,O$10,O$12),0)</f>
        <v>224</v>
      </c>
      <c r="R533" s="22">
        <v>45078</v>
      </c>
      <c r="S533" s="26">
        <f t="shared" ca="1" si="91"/>
        <v>0.95235669102614606</v>
      </c>
      <c r="T533" s="29">
        <f ca="1">ROUNDUP(_xlfn.NORM.INV(S532,S$10,S$12),0)</f>
        <v>131</v>
      </c>
      <c r="V533" s="22">
        <v>45078</v>
      </c>
      <c r="W533" s="26">
        <f t="shared" ca="1" si="92"/>
        <v>0.42489138028050022</v>
      </c>
      <c r="X533" s="29">
        <f ca="1">ROUNDUP(_xlfn.NORM.INV(W532,W$10,W$12),0)</f>
        <v>240</v>
      </c>
      <c r="Z533" s="22">
        <v>45078</v>
      </c>
      <c r="AA533" s="26">
        <f t="shared" ca="1" si="93"/>
        <v>0.89899991584795169</v>
      </c>
      <c r="AB533" s="29">
        <f ca="1">ROUNDUP(_xlfn.NORM.INV(AA532,AA$10,AA$12),0)</f>
        <v>261</v>
      </c>
      <c r="AC533"/>
      <c r="AD533" s="25"/>
      <c r="AF533" s="22">
        <v>45078</v>
      </c>
      <c r="AG533" s="26">
        <f t="shared" ca="1" si="94"/>
        <v>0.21959459991841335</v>
      </c>
      <c r="AH533" s="29">
        <f ca="1">ROUNDUP(_xlfn.NORM.INV(AG532,AG$10,AG$12),0)</f>
        <v>218</v>
      </c>
      <c r="AJ533" s="22">
        <v>45078</v>
      </c>
      <c r="AK533" s="26">
        <f t="shared" ca="1" si="95"/>
        <v>0.89093533390333624</v>
      </c>
      <c r="AL533" s="29">
        <f ca="1">ROUNDUP(_xlfn.NORM.INV(AK532,AK$10,AK$12),0)</f>
        <v>157</v>
      </c>
      <c r="AN533" s="22">
        <v>45078</v>
      </c>
      <c r="AO533" s="26">
        <f t="shared" ca="1" si="96"/>
        <v>0.32272858597733078</v>
      </c>
      <c r="AP533" s="29">
        <f ca="1">ROUNDUP(_xlfn.NORM.INV(AO532,AO$10,AO$12),0)</f>
        <v>213</v>
      </c>
      <c r="AR533" s="22">
        <v>45078</v>
      </c>
      <c r="AS533" s="26">
        <f t="shared" ca="1" si="97"/>
        <v>0.6705114868390526</v>
      </c>
      <c r="AT533" s="29">
        <v>0</v>
      </c>
      <c r="AV533" s="22">
        <v>45078</v>
      </c>
      <c r="AW533" s="26">
        <f t="shared" ca="1" si="98"/>
        <v>0.6119658254716217</v>
      </c>
      <c r="AX533" s="29">
        <v>0</v>
      </c>
      <c r="AZ533" s="22">
        <v>45078</v>
      </c>
      <c r="BA533" s="26">
        <f t="shared" ca="1" si="99"/>
        <v>0.98899164838031217</v>
      </c>
      <c r="BB533" s="29">
        <v>0</v>
      </c>
      <c r="BC533"/>
      <c r="BD533" s="25"/>
      <c r="BF533" s="22">
        <v>45078</v>
      </c>
      <c r="BG533" s="26">
        <f t="shared" ca="1" si="100"/>
        <v>0.4085698099716184</v>
      </c>
      <c r="BH533" s="29">
        <v>0</v>
      </c>
      <c r="BJ533" s="22">
        <v>45078</v>
      </c>
      <c r="BK533" s="26">
        <f t="shared" ca="1" si="101"/>
        <v>0.39207413045782402</v>
      </c>
      <c r="BL533" s="29">
        <v>0</v>
      </c>
      <c r="BN533" s="22">
        <v>45078</v>
      </c>
      <c r="BO533" s="26">
        <f t="shared" ca="1" si="102"/>
        <v>0.94606391960964187</v>
      </c>
      <c r="BP533" s="29">
        <v>0</v>
      </c>
      <c r="BR533" s="22">
        <v>45078</v>
      </c>
      <c r="BS533" s="26">
        <f t="shared" ca="1" si="103"/>
        <v>0.54527349568506367</v>
      </c>
      <c r="BT533" s="29">
        <v>0</v>
      </c>
      <c r="BV533" s="22">
        <v>45078</v>
      </c>
      <c r="BW533" s="26">
        <f t="shared" ca="1" si="104"/>
        <v>0.5764614757358717</v>
      </c>
      <c r="BX533" s="29">
        <v>0</v>
      </c>
    </row>
    <row r="534" spans="2:77" ht="12.75" x14ac:dyDescent="0.2">
      <c r="B534" s="22">
        <v>45079</v>
      </c>
      <c r="C534" s="26">
        <f t="shared" ca="1" si="68"/>
        <v>0.52965576106330003</v>
      </c>
      <c r="D534" s="29">
        <f t="shared" ca="1" si="105"/>
        <v>77</v>
      </c>
      <c r="F534" s="22">
        <v>45079</v>
      </c>
      <c r="G534" s="26">
        <f t="shared" ca="1" si="88"/>
        <v>1.6339435131735192E-2</v>
      </c>
      <c r="H534" s="29">
        <f t="shared" ca="1" si="79"/>
        <v>185</v>
      </c>
      <c r="J534" s="22">
        <v>45079</v>
      </c>
      <c r="K534" s="26">
        <f t="shared" ca="1" si="89"/>
        <v>0.67376894260189479</v>
      </c>
      <c r="L534" s="29">
        <f t="shared" ca="1" si="80"/>
        <v>155</v>
      </c>
      <c r="N534" s="22">
        <v>45079</v>
      </c>
      <c r="O534" s="26">
        <f t="shared" ca="1" si="90"/>
        <v>0.30225149111138239</v>
      </c>
      <c r="P534" s="29">
        <f t="shared" ca="1" si="81"/>
        <v>222</v>
      </c>
      <c r="R534" s="22">
        <v>45079</v>
      </c>
      <c r="S534" s="26">
        <f t="shared" ca="1" si="91"/>
        <v>8.728010044486989E-2</v>
      </c>
      <c r="T534" s="29">
        <f t="shared" ca="1" si="82"/>
        <v>127</v>
      </c>
      <c r="V534" s="22">
        <v>45079</v>
      </c>
      <c r="W534" s="26">
        <f t="shared" ca="1" si="92"/>
        <v>0.31546640364842649</v>
      </c>
      <c r="X534" s="29">
        <f t="shared" ca="1" si="83"/>
        <v>218</v>
      </c>
      <c r="Z534" s="22">
        <v>45079</v>
      </c>
      <c r="AA534" s="26">
        <f t="shared" ca="1" si="93"/>
        <v>0.20992369181640125</v>
      </c>
      <c r="AB534" s="29">
        <f t="shared" ca="1" si="84"/>
        <v>256</v>
      </c>
      <c r="AC534"/>
      <c r="AD534" s="25"/>
      <c r="AF534" s="22">
        <v>45079</v>
      </c>
      <c r="AG534" s="26">
        <f t="shared" ca="1" si="94"/>
        <v>0.98236414307828945</v>
      </c>
      <c r="AH534" s="29">
        <f t="shared" ca="1" si="85"/>
        <v>511</v>
      </c>
      <c r="AJ534" s="22">
        <v>45079</v>
      </c>
      <c r="AK534" s="26">
        <f t="shared" ca="1" si="95"/>
        <v>0.81005904411582919</v>
      </c>
      <c r="AL534" s="29">
        <f t="shared" ca="1" si="86"/>
        <v>222</v>
      </c>
      <c r="AN534" s="22">
        <v>45079</v>
      </c>
      <c r="AO534" s="26">
        <f t="shared" ca="1" si="96"/>
        <v>3.4766127885042297E-2</v>
      </c>
      <c r="AP534" s="29">
        <f t="shared" ca="1" si="87"/>
        <v>76</v>
      </c>
      <c r="AR534" s="22">
        <v>45079</v>
      </c>
      <c r="AS534" s="26">
        <f t="shared" ca="1" si="97"/>
        <v>0.39994564037206315</v>
      </c>
      <c r="AT534" s="29">
        <v>0</v>
      </c>
      <c r="AV534" s="22">
        <v>45079</v>
      </c>
      <c r="AW534" s="26">
        <f t="shared" ca="1" si="98"/>
        <v>0.65020815481625027</v>
      </c>
      <c r="AX534" s="29">
        <v>0</v>
      </c>
      <c r="AZ534" s="22">
        <v>45079</v>
      </c>
      <c r="BA534" s="26">
        <f t="shared" ca="1" si="99"/>
        <v>1.6503685529400181E-2</v>
      </c>
      <c r="BB534" s="29">
        <v>0</v>
      </c>
      <c r="BC534"/>
      <c r="BD534" s="25"/>
      <c r="BF534" s="22">
        <v>45079</v>
      </c>
      <c r="BG534" s="26">
        <f t="shared" ca="1" si="100"/>
        <v>2.9234471533402862E-2</v>
      </c>
      <c r="BH534" s="29">
        <v>0</v>
      </c>
      <c r="BJ534" s="22">
        <v>45079</v>
      </c>
      <c r="BK534" s="26">
        <f t="shared" ca="1" si="101"/>
        <v>0.8998667534282212</v>
      </c>
      <c r="BL534" s="29">
        <v>0</v>
      </c>
      <c r="BN534" s="22">
        <v>45079</v>
      </c>
      <c r="BO534" s="26">
        <f t="shared" ca="1" si="102"/>
        <v>0.15883059666807509</v>
      </c>
      <c r="BP534" s="29">
        <v>0</v>
      </c>
      <c r="BR534" s="22">
        <v>45079</v>
      </c>
      <c r="BS534" s="26">
        <f t="shared" ca="1" si="103"/>
        <v>0.69230194420433311</v>
      </c>
      <c r="BT534" s="29">
        <v>0</v>
      </c>
      <c r="BV534" s="22">
        <v>45079</v>
      </c>
      <c r="BW534" s="26">
        <f t="shared" ca="1" si="104"/>
        <v>0.79132387806582383</v>
      </c>
      <c r="BX534" s="29">
        <v>0</v>
      </c>
    </row>
    <row r="535" spans="2:77" ht="12.75" x14ac:dyDescent="0.2">
      <c r="B535" s="22">
        <v>45080</v>
      </c>
      <c r="C535" s="26">
        <f t="shared" ca="1" si="68"/>
        <v>0.78814158991785965</v>
      </c>
      <c r="D535" s="29">
        <f t="shared" ca="1" si="105"/>
        <v>91</v>
      </c>
      <c r="F535" s="22">
        <v>45080</v>
      </c>
      <c r="G535" s="26">
        <f t="shared" ca="1" si="88"/>
        <v>0.16553069672550413</v>
      </c>
      <c r="H535" s="29">
        <f t="shared" ca="1" si="79"/>
        <v>202</v>
      </c>
      <c r="J535" s="22">
        <v>45080</v>
      </c>
      <c r="K535" s="26">
        <f t="shared" ca="1" si="89"/>
        <v>0.79789825284094418</v>
      </c>
      <c r="L535" s="29">
        <f t="shared" ca="1" si="80"/>
        <v>159</v>
      </c>
      <c r="N535" s="22">
        <v>45080</v>
      </c>
      <c r="O535" s="26">
        <f t="shared" ca="1" si="90"/>
        <v>0.47777834976042655</v>
      </c>
      <c r="P535" s="29">
        <f t="shared" ca="1" si="81"/>
        <v>229</v>
      </c>
      <c r="R535" s="22">
        <v>45080</v>
      </c>
      <c r="S535" s="26">
        <f t="shared" ca="1" si="91"/>
        <v>0.686446792871934</v>
      </c>
      <c r="T535" s="29">
        <f t="shared" ca="1" si="82"/>
        <v>144</v>
      </c>
      <c r="V535" s="22">
        <v>45080</v>
      </c>
      <c r="W535" s="26">
        <f t="shared" ca="1" si="92"/>
        <v>0.64249997098161094</v>
      </c>
      <c r="X535" s="29">
        <f t="shared" ca="1" si="83"/>
        <v>231</v>
      </c>
      <c r="Z535" s="22">
        <v>45080</v>
      </c>
      <c r="AA535" s="26">
        <f t="shared" ca="1" si="93"/>
        <v>0.40862861277618145</v>
      </c>
      <c r="AB535" s="29">
        <f t="shared" ca="1" si="84"/>
        <v>266</v>
      </c>
      <c r="AC535"/>
      <c r="AD535" s="25"/>
      <c r="AF535" s="22">
        <v>45080</v>
      </c>
      <c r="AG535" s="26">
        <f t="shared" ca="1" si="94"/>
        <v>0.69771861596030926</v>
      </c>
      <c r="AH535" s="29">
        <f t="shared" ca="1" si="85"/>
        <v>373</v>
      </c>
      <c r="AJ535" s="22">
        <v>45080</v>
      </c>
      <c r="AK535" s="26">
        <f t="shared" ca="1" si="95"/>
        <v>0.3179370381187242</v>
      </c>
      <c r="AL535" s="29">
        <f t="shared" ca="1" si="86"/>
        <v>158</v>
      </c>
      <c r="AN535" s="22">
        <v>45080</v>
      </c>
      <c r="AO535" s="26">
        <f t="shared" ca="1" si="96"/>
        <v>0.10867479924783785</v>
      </c>
      <c r="AP535" s="29">
        <f t="shared" ca="1" si="87"/>
        <v>99</v>
      </c>
      <c r="AR535" s="22">
        <v>45080</v>
      </c>
      <c r="AS535" s="26">
        <f t="shared" ca="1" si="97"/>
        <v>0.39533857357925395</v>
      </c>
      <c r="AT535" s="29">
        <v>0</v>
      </c>
      <c r="AV535" s="22">
        <v>45080</v>
      </c>
      <c r="AW535" s="26">
        <f t="shared" ca="1" si="98"/>
        <v>0.60142369920587702</v>
      </c>
      <c r="AX535" s="29">
        <v>0</v>
      </c>
      <c r="AZ535" s="22">
        <v>45080</v>
      </c>
      <c r="BA535" s="26">
        <f t="shared" ca="1" si="99"/>
        <v>0.56041822375877992</v>
      </c>
      <c r="BB535" s="29">
        <v>0</v>
      </c>
      <c r="BC535"/>
      <c r="BD535" s="25"/>
      <c r="BF535" s="22">
        <v>45080</v>
      </c>
      <c r="BG535" s="26">
        <f t="shared" ca="1" si="100"/>
        <v>0.12416172651448865</v>
      </c>
      <c r="BH535" s="29">
        <v>0</v>
      </c>
      <c r="BJ535" s="22">
        <v>45080</v>
      </c>
      <c r="BK535" s="26">
        <f t="shared" ca="1" si="101"/>
        <v>4.2090766932926904E-2</v>
      </c>
      <c r="BL535" s="29">
        <v>0</v>
      </c>
      <c r="BN535" s="22">
        <v>45080</v>
      </c>
      <c r="BO535" s="26">
        <f t="shared" ca="1" si="102"/>
        <v>0.26779433359587812</v>
      </c>
      <c r="BP535" s="29">
        <v>0</v>
      </c>
      <c r="BR535" s="22">
        <v>45080</v>
      </c>
      <c r="BS535" s="26">
        <f t="shared" ca="1" si="103"/>
        <v>0.90667300693954034</v>
      </c>
      <c r="BT535" s="29">
        <v>0</v>
      </c>
      <c r="BV535" s="22">
        <v>45080</v>
      </c>
      <c r="BW535" s="26">
        <f t="shared" ca="1" si="104"/>
        <v>0.5693046430251506</v>
      </c>
      <c r="BX535" s="29">
        <v>0</v>
      </c>
    </row>
    <row r="536" spans="2:77" ht="12.75" x14ac:dyDescent="0.2">
      <c r="B536" s="22">
        <v>45081</v>
      </c>
      <c r="C536" s="26">
        <f t="shared" ca="1" si="68"/>
        <v>4.6310879710240727E-3</v>
      </c>
      <c r="D536" s="29">
        <f t="shared" ca="1" si="105"/>
        <v>23</v>
      </c>
      <c r="F536" s="22">
        <v>45081</v>
      </c>
      <c r="G536" s="26">
        <f t="shared" ca="1" si="88"/>
        <v>0.21610352685532597</v>
      </c>
      <c r="H536" s="29">
        <f t="shared" ca="1" si="79"/>
        <v>205</v>
      </c>
      <c r="J536" s="22">
        <v>45081</v>
      </c>
      <c r="K536" s="26">
        <f t="shared" ca="1" si="89"/>
        <v>0.1380910305142018</v>
      </c>
      <c r="L536" s="29">
        <f t="shared" ca="1" si="80"/>
        <v>140</v>
      </c>
      <c r="N536" s="22">
        <v>45081</v>
      </c>
      <c r="O536" s="26">
        <f t="shared" ca="1" si="90"/>
        <v>0.57684986160303808</v>
      </c>
      <c r="P536" s="29">
        <f t="shared" ca="1" si="81"/>
        <v>233</v>
      </c>
      <c r="R536" s="22">
        <v>45081</v>
      </c>
      <c r="S536" s="26">
        <f t="shared" ca="1" si="91"/>
        <v>0.71108926588328647</v>
      </c>
      <c r="T536" s="29">
        <f t="shared" ca="1" si="82"/>
        <v>144</v>
      </c>
      <c r="V536" s="22">
        <v>45081</v>
      </c>
      <c r="W536" s="26">
        <f t="shared" ca="1" si="92"/>
        <v>0.95165648058555086</v>
      </c>
      <c r="X536" s="29">
        <f t="shared" ca="1" si="83"/>
        <v>250</v>
      </c>
      <c r="Z536" s="22">
        <v>45081</v>
      </c>
      <c r="AA536" s="26">
        <f t="shared" ca="1" si="93"/>
        <v>0.36967307067522726</v>
      </c>
      <c r="AB536" s="29">
        <f t="shared" ca="1" si="84"/>
        <v>265</v>
      </c>
      <c r="AC536"/>
      <c r="AD536" s="25"/>
      <c r="AF536" s="22">
        <v>45081</v>
      </c>
      <c r="AG536" s="26">
        <f t="shared" ca="1" si="94"/>
        <v>0.75683839917339046</v>
      </c>
      <c r="AH536" s="29">
        <f t="shared" ca="1" si="85"/>
        <v>388</v>
      </c>
      <c r="AJ536" s="22">
        <v>45081</v>
      </c>
      <c r="AK536" s="26">
        <f t="shared" ca="1" si="95"/>
        <v>0.69241703931029286</v>
      </c>
      <c r="AL536" s="29">
        <f t="shared" ca="1" si="86"/>
        <v>204</v>
      </c>
      <c r="AN536" s="22">
        <v>45081</v>
      </c>
      <c r="AO536" s="26">
        <f t="shared" ca="1" si="96"/>
        <v>0.24617176275926334</v>
      </c>
      <c r="AP536" s="29">
        <f t="shared" ca="1" si="87"/>
        <v>121</v>
      </c>
      <c r="AR536" s="22">
        <v>45081</v>
      </c>
      <c r="AS536" s="26">
        <f t="shared" ca="1" si="97"/>
        <v>0.41545468102554461</v>
      </c>
      <c r="AT536" s="29">
        <v>0</v>
      </c>
      <c r="AV536" s="22">
        <v>45081</v>
      </c>
      <c r="AW536" s="26">
        <f t="shared" ca="1" si="98"/>
        <v>0.78755717648353585</v>
      </c>
      <c r="AX536" s="29">
        <v>0</v>
      </c>
      <c r="AZ536" s="22">
        <v>45081</v>
      </c>
      <c r="BA536" s="26">
        <f t="shared" ca="1" si="99"/>
        <v>1.6406946477414919E-2</v>
      </c>
      <c r="BB536" s="29">
        <v>0</v>
      </c>
      <c r="BC536"/>
      <c r="BD536" s="25"/>
      <c r="BF536" s="22">
        <v>45081</v>
      </c>
      <c r="BG536" s="26">
        <f t="shared" ca="1" si="100"/>
        <v>0.34214933636674805</v>
      </c>
      <c r="BH536" s="29">
        <v>0</v>
      </c>
      <c r="BJ536" s="22">
        <v>45081</v>
      </c>
      <c r="BK536" s="26">
        <f t="shared" ca="1" si="101"/>
        <v>0.13577175701770294</v>
      </c>
      <c r="BL536" s="29">
        <v>0</v>
      </c>
      <c r="BN536" s="22">
        <v>45081</v>
      </c>
      <c r="BO536" s="26">
        <f t="shared" ca="1" si="102"/>
        <v>0.60957003877802352</v>
      </c>
      <c r="BP536" s="29">
        <v>0</v>
      </c>
      <c r="BR536" s="22">
        <v>45081</v>
      </c>
      <c r="BS536" s="26">
        <f t="shared" ca="1" si="103"/>
        <v>0.34401419749982431</v>
      </c>
      <c r="BT536" s="29">
        <v>0</v>
      </c>
      <c r="BV536" s="22">
        <v>45081</v>
      </c>
      <c r="BW536" s="26">
        <f t="shared" ca="1" si="104"/>
        <v>0.54694457948592878</v>
      </c>
      <c r="BX536" s="29">
        <v>0</v>
      </c>
    </row>
    <row r="537" spans="2:77" ht="12.75" x14ac:dyDescent="0.2">
      <c r="B537" s="22">
        <v>45082</v>
      </c>
      <c r="C537" s="26">
        <f t="shared" ca="1" si="68"/>
        <v>0.16801448694896837</v>
      </c>
      <c r="D537" s="29">
        <f t="shared" ca="1" si="105"/>
        <v>56</v>
      </c>
      <c r="F537" s="22">
        <v>45082</v>
      </c>
      <c r="G537" s="26">
        <f t="shared" ca="1" si="88"/>
        <v>0.4815298468675665</v>
      </c>
      <c r="H537" s="29">
        <f t="shared" ca="1" si="79"/>
        <v>215</v>
      </c>
      <c r="J537" s="22">
        <v>45082</v>
      </c>
      <c r="K537" s="26">
        <f t="shared" ca="1" si="89"/>
        <v>0.35844804458588675</v>
      </c>
      <c r="L537" s="29">
        <f t="shared" ca="1" si="80"/>
        <v>147</v>
      </c>
      <c r="N537" s="22">
        <v>45082</v>
      </c>
      <c r="O537" s="26">
        <f t="shared" ca="1" si="90"/>
        <v>0.35498263021443344</v>
      </c>
      <c r="P537" s="29">
        <f t="shared" ca="1" si="81"/>
        <v>224</v>
      </c>
      <c r="R537" s="22">
        <v>45082</v>
      </c>
      <c r="S537" s="26">
        <f t="shared" ca="1" si="91"/>
        <v>0.90272916031910255</v>
      </c>
      <c r="T537" s="29">
        <f t="shared" ca="1" si="82"/>
        <v>151</v>
      </c>
      <c r="V537" s="22">
        <v>45082</v>
      </c>
      <c r="W537" s="26">
        <f t="shared" ca="1" si="92"/>
        <v>0.77184030085507827</v>
      </c>
      <c r="X537" s="29">
        <f t="shared" ca="1" si="83"/>
        <v>237</v>
      </c>
      <c r="Z537" s="22">
        <v>45082</v>
      </c>
      <c r="AA537" s="26">
        <f t="shared" ca="1" si="93"/>
        <v>0.30400199207555612</v>
      </c>
      <c r="AB537" s="29">
        <f t="shared" ca="1" si="84"/>
        <v>261</v>
      </c>
      <c r="AC537"/>
      <c r="AD537" s="25"/>
      <c r="AF537" s="22">
        <v>45082</v>
      </c>
      <c r="AG537" s="26">
        <f t="shared" ca="1" si="94"/>
        <v>0.78244403529910911</v>
      </c>
      <c r="AH537" s="29">
        <f t="shared" ca="1" si="85"/>
        <v>396</v>
      </c>
      <c r="AJ537" s="22">
        <v>45082</v>
      </c>
      <c r="AK537" s="26">
        <f t="shared" ca="1" si="95"/>
        <v>0.76941705117199766</v>
      </c>
      <c r="AL537" s="29">
        <f t="shared" ca="1" si="86"/>
        <v>216</v>
      </c>
      <c r="AN537" s="22">
        <v>45082</v>
      </c>
      <c r="AO537" s="26">
        <f t="shared" ca="1" si="96"/>
        <v>0.49057293160218118</v>
      </c>
      <c r="AP537" s="29">
        <f t="shared" ca="1" si="87"/>
        <v>147</v>
      </c>
      <c r="AR537" s="22">
        <v>45082</v>
      </c>
      <c r="AS537" s="26">
        <f t="shared" ca="1" si="97"/>
        <v>0.51128806074194921</v>
      </c>
      <c r="AT537" s="29">
        <v>0</v>
      </c>
      <c r="AV537" s="22">
        <v>45082</v>
      </c>
      <c r="AW537" s="26">
        <f t="shared" ca="1" si="98"/>
        <v>0.80338113773365172</v>
      </c>
      <c r="AX537" s="29">
        <v>0</v>
      </c>
      <c r="AZ537" s="22">
        <v>45082</v>
      </c>
      <c r="BA537" s="26">
        <f t="shared" ca="1" si="99"/>
        <v>0.36969732253480347</v>
      </c>
      <c r="BB537" s="29">
        <v>0</v>
      </c>
      <c r="BC537"/>
      <c r="BD537" s="25"/>
      <c r="BF537" s="22">
        <v>45082</v>
      </c>
      <c r="BG537" s="26">
        <f t="shared" ca="1" si="100"/>
        <v>0.35840275300024482</v>
      </c>
      <c r="BH537" s="29">
        <v>0</v>
      </c>
      <c r="BJ537" s="22">
        <v>45082</v>
      </c>
      <c r="BK537" s="26">
        <f t="shared" ca="1" si="101"/>
        <v>0.27689787721327641</v>
      </c>
      <c r="BL537" s="29">
        <v>0</v>
      </c>
      <c r="BN537" s="22">
        <v>45082</v>
      </c>
      <c r="BO537" s="26">
        <f t="shared" ca="1" si="102"/>
        <v>0.98693987746066447</v>
      </c>
      <c r="BP537" s="29">
        <v>0</v>
      </c>
      <c r="BR537" s="22">
        <v>45082</v>
      </c>
      <c r="BS537" s="26">
        <f t="shared" ca="1" si="103"/>
        <v>0.42140366785063199</v>
      </c>
      <c r="BT537" s="29">
        <v>0</v>
      </c>
      <c r="BV537" s="22">
        <v>45082</v>
      </c>
      <c r="BW537" s="26">
        <f t="shared" ca="1" si="104"/>
        <v>0.86674255134635236</v>
      </c>
      <c r="BX537" s="29">
        <v>0</v>
      </c>
    </row>
    <row r="538" spans="2:77" ht="12.75" x14ac:dyDescent="0.2">
      <c r="B538" s="22">
        <v>45083</v>
      </c>
      <c r="C538" s="26">
        <f t="shared" ca="1" si="68"/>
        <v>0.78809747593997292</v>
      </c>
      <c r="D538" s="29">
        <f t="shared" ca="1" si="105"/>
        <v>91</v>
      </c>
      <c r="F538" s="22">
        <v>45083</v>
      </c>
      <c r="G538" s="26">
        <f t="shared" ca="1" si="88"/>
        <v>0.17910069103401016</v>
      </c>
      <c r="H538" s="29">
        <f t="shared" ca="1" si="79"/>
        <v>203</v>
      </c>
      <c r="J538" s="22">
        <v>45083</v>
      </c>
      <c r="K538" s="26">
        <f t="shared" ca="1" si="89"/>
        <v>5.0995949143571861E-2</v>
      </c>
      <c r="L538" s="29">
        <f t="shared" ca="1" si="80"/>
        <v>134</v>
      </c>
      <c r="N538" s="22">
        <v>45083</v>
      </c>
      <c r="O538" s="26">
        <f t="shared" ca="1" si="90"/>
        <v>3.1107491359270267E-2</v>
      </c>
      <c r="P538" s="29">
        <f t="shared" ca="1" si="81"/>
        <v>201</v>
      </c>
      <c r="R538" s="22">
        <v>45083</v>
      </c>
      <c r="S538" s="26">
        <f t="shared" ca="1" si="91"/>
        <v>2.9376271387155373E-2</v>
      </c>
      <c r="T538" s="29">
        <f t="shared" ca="1" si="82"/>
        <v>122</v>
      </c>
      <c r="V538" s="22">
        <v>45083</v>
      </c>
      <c r="W538" s="26">
        <f t="shared" ca="1" si="92"/>
        <v>0.8890039235248095</v>
      </c>
      <c r="X538" s="29">
        <f t="shared" ca="1" si="83"/>
        <v>244</v>
      </c>
      <c r="Z538" s="22">
        <v>45083</v>
      </c>
      <c r="AA538" s="26">
        <f t="shared" ca="1" si="93"/>
        <v>0.1155005929833528</v>
      </c>
      <c r="AB538" s="29">
        <f t="shared" ca="1" si="84"/>
        <v>249</v>
      </c>
      <c r="AC538"/>
      <c r="AD538" s="25"/>
      <c r="AF538" s="22">
        <v>45083</v>
      </c>
      <c r="AG538" s="26">
        <f t="shared" ca="1" si="94"/>
        <v>0.6609290103632528</v>
      </c>
      <c r="AH538" s="29">
        <f t="shared" ca="1" si="85"/>
        <v>364</v>
      </c>
      <c r="AJ538" s="22">
        <v>45083</v>
      </c>
      <c r="AK538" s="26">
        <f t="shared" ca="1" si="95"/>
        <v>0.15614169711115689</v>
      </c>
      <c r="AL538" s="29">
        <f t="shared" ca="1" si="86"/>
        <v>132</v>
      </c>
      <c r="AN538" s="22">
        <v>45083</v>
      </c>
      <c r="AO538" s="26">
        <f t="shared" ca="1" si="96"/>
        <v>0.74200357533024552</v>
      </c>
      <c r="AP538" s="29">
        <f t="shared" ca="1" si="87"/>
        <v>173</v>
      </c>
      <c r="AR538" s="22">
        <v>45083</v>
      </c>
      <c r="AS538" s="26">
        <f t="shared" ca="1" si="97"/>
        <v>0.58611196936126519</v>
      </c>
      <c r="AT538" s="29">
        <v>0</v>
      </c>
      <c r="AV538" s="22">
        <v>45083</v>
      </c>
      <c r="AW538" s="26">
        <f t="shared" ca="1" si="98"/>
        <v>0.21819309203466686</v>
      </c>
      <c r="AX538" s="29">
        <v>0</v>
      </c>
      <c r="AZ538" s="22">
        <v>45083</v>
      </c>
      <c r="BA538" s="26">
        <f t="shared" ca="1" si="99"/>
        <v>0.47528588381968195</v>
      </c>
      <c r="BB538" s="29">
        <v>0</v>
      </c>
      <c r="BC538"/>
      <c r="BD538" s="25"/>
      <c r="BF538" s="22">
        <v>45083</v>
      </c>
      <c r="BG538" s="26">
        <f t="shared" ca="1" si="100"/>
        <v>0.91373753017527393</v>
      </c>
      <c r="BH538" s="29">
        <v>0</v>
      </c>
      <c r="BJ538" s="22">
        <v>45083</v>
      </c>
      <c r="BK538" s="26">
        <f t="shared" ca="1" si="101"/>
        <v>0.55285273327636431</v>
      </c>
      <c r="BL538" s="29">
        <v>0</v>
      </c>
      <c r="BN538" s="22">
        <v>45083</v>
      </c>
      <c r="BO538" s="26">
        <f t="shared" ca="1" si="102"/>
        <v>0.56616443750989431</v>
      </c>
      <c r="BP538" s="29">
        <v>0</v>
      </c>
      <c r="BR538" s="22">
        <v>45083</v>
      </c>
      <c r="BS538" s="26">
        <f t="shared" ca="1" si="103"/>
        <v>0.14555769772011073</v>
      </c>
      <c r="BT538" s="29">
        <v>0</v>
      </c>
      <c r="BV538" s="22">
        <v>45083</v>
      </c>
      <c r="BW538" s="26">
        <f t="shared" ca="1" si="104"/>
        <v>0.30336506904862426</v>
      </c>
      <c r="BX538" s="29">
        <v>0</v>
      </c>
    </row>
    <row r="539" spans="2:77" ht="12.75" x14ac:dyDescent="0.2">
      <c r="B539" s="22">
        <v>45084</v>
      </c>
      <c r="C539" s="26">
        <f t="shared" ca="1" si="68"/>
        <v>0.89732139421745161</v>
      </c>
      <c r="D539" s="29">
        <f t="shared" ca="1" si="105"/>
        <v>101</v>
      </c>
      <c r="F539" s="22">
        <v>45084</v>
      </c>
      <c r="G539" s="26">
        <f t="shared" ca="1" si="88"/>
        <v>0.71657178231656349</v>
      </c>
      <c r="H539" s="29">
        <f t="shared" ca="1" si="79"/>
        <v>224</v>
      </c>
      <c r="J539" s="22">
        <v>45084</v>
      </c>
      <c r="K539" s="26">
        <f t="shared" ca="1" si="89"/>
        <v>0.83489003843882426</v>
      </c>
      <c r="L539" s="29">
        <f t="shared" ca="1" si="80"/>
        <v>160</v>
      </c>
      <c r="N539" s="22">
        <v>45084</v>
      </c>
      <c r="O539" s="26">
        <f t="shared" ca="1" si="90"/>
        <v>0.45134474950438963</v>
      </c>
      <c r="P539" s="29">
        <f t="shared" ca="1" si="81"/>
        <v>228</v>
      </c>
      <c r="R539" s="22">
        <v>45084</v>
      </c>
      <c r="S539" s="26">
        <f t="shared" ca="1" si="91"/>
        <v>0.91213919165837243</v>
      </c>
      <c r="T539" s="29">
        <f t="shared" ca="1" si="82"/>
        <v>152</v>
      </c>
      <c r="V539" s="22">
        <v>45084</v>
      </c>
      <c r="W539" s="26">
        <f t="shared" ca="1" si="92"/>
        <v>0.24828139719071729</v>
      </c>
      <c r="X539" s="29">
        <f t="shared" ca="1" si="83"/>
        <v>215</v>
      </c>
      <c r="Z539" s="22">
        <v>45084</v>
      </c>
      <c r="AA539" s="26">
        <f t="shared" ca="1" si="93"/>
        <v>0.87763265523391432</v>
      </c>
      <c r="AB539" s="29">
        <f t="shared" ca="1" si="84"/>
        <v>291</v>
      </c>
      <c r="AC539"/>
      <c r="AD539" s="25"/>
      <c r="AF539" s="22">
        <v>45084</v>
      </c>
      <c r="AG539" s="26">
        <f t="shared" ca="1" si="94"/>
        <v>0.81195295824683467</v>
      </c>
      <c r="AH539" s="29">
        <f t="shared" ca="1" si="85"/>
        <v>405</v>
      </c>
      <c r="AJ539" s="22">
        <v>45084</v>
      </c>
      <c r="AK539" s="26">
        <f t="shared" ca="1" si="95"/>
        <v>0.70310311254097602</v>
      </c>
      <c r="AL539" s="29">
        <f t="shared" ca="1" si="86"/>
        <v>206</v>
      </c>
      <c r="AN539" s="22">
        <v>45084</v>
      </c>
      <c r="AO539" s="26">
        <f t="shared" ca="1" si="96"/>
        <v>0.66793798121150605</v>
      </c>
      <c r="AP539" s="29">
        <f t="shared" ca="1" si="87"/>
        <v>165</v>
      </c>
      <c r="AR539" s="22">
        <v>45084</v>
      </c>
      <c r="AS539" s="26">
        <f t="shared" ca="1" si="97"/>
        <v>0.50265861003116274</v>
      </c>
      <c r="AT539" s="29">
        <v>0</v>
      </c>
      <c r="AV539" s="22">
        <v>45084</v>
      </c>
      <c r="AW539" s="26">
        <f t="shared" ca="1" si="98"/>
        <v>0.40816577417385236</v>
      </c>
      <c r="AX539" s="29">
        <v>0</v>
      </c>
      <c r="AZ539" s="22">
        <v>45084</v>
      </c>
      <c r="BA539" s="26">
        <f t="shared" ca="1" si="99"/>
        <v>0.99673403301181673</v>
      </c>
      <c r="BB539" s="29">
        <v>0</v>
      </c>
      <c r="BC539"/>
      <c r="BD539" s="25"/>
      <c r="BF539" s="22">
        <v>45084</v>
      </c>
      <c r="BG539" s="26">
        <f t="shared" ca="1" si="100"/>
        <v>0.46372623119726331</v>
      </c>
      <c r="BH539" s="29">
        <v>0</v>
      </c>
      <c r="BJ539" s="22">
        <v>45084</v>
      </c>
      <c r="BK539" s="26">
        <f t="shared" ca="1" si="101"/>
        <v>0.41928581128814968</v>
      </c>
      <c r="BL539" s="29">
        <v>0</v>
      </c>
      <c r="BN539" s="22">
        <v>45084</v>
      </c>
      <c r="BO539" s="26">
        <f t="shared" ca="1" si="102"/>
        <v>0.83032442776408666</v>
      </c>
      <c r="BP539" s="29">
        <v>0</v>
      </c>
      <c r="BR539" s="22">
        <v>45084</v>
      </c>
      <c r="BS539" s="26">
        <f t="shared" ca="1" si="103"/>
        <v>0.99922989715942767</v>
      </c>
      <c r="BT539" s="29">
        <v>0</v>
      </c>
      <c r="BV539" s="22">
        <v>45084</v>
      </c>
      <c r="BW539" s="26">
        <f t="shared" ca="1" si="104"/>
        <v>0.37098772925199297</v>
      </c>
      <c r="BX539" s="29">
        <v>0</v>
      </c>
    </row>
    <row r="540" spans="2:77" ht="12.75" x14ac:dyDescent="0.2">
      <c r="B540" s="22">
        <v>45085</v>
      </c>
      <c r="C540" s="26">
        <f t="shared" ca="1" si="68"/>
        <v>0.4747959178179495</v>
      </c>
      <c r="D540" s="29">
        <f t="shared" ca="1" si="105"/>
        <v>74</v>
      </c>
      <c r="F540" s="22">
        <v>45085</v>
      </c>
      <c r="G540" s="26">
        <f t="shared" ca="1" si="88"/>
        <v>0.49013599852101475</v>
      </c>
      <c r="H540" s="29">
        <f t="shared" ca="1" si="79"/>
        <v>216</v>
      </c>
      <c r="J540" s="22">
        <v>45085</v>
      </c>
      <c r="K540" s="26">
        <f t="shared" ca="1" si="89"/>
        <v>0.57452433230533362</v>
      </c>
      <c r="L540" s="29">
        <f t="shared" ca="1" si="80"/>
        <v>152</v>
      </c>
      <c r="N540" s="22">
        <v>45085</v>
      </c>
      <c r="O540" s="26">
        <f t="shared" ca="1" si="90"/>
        <v>8.8665060965322784E-2</v>
      </c>
      <c r="P540" s="29">
        <f t="shared" ca="1" si="81"/>
        <v>209</v>
      </c>
      <c r="R540" s="22">
        <v>45085</v>
      </c>
      <c r="S540" s="26">
        <f t="shared" ca="1" si="91"/>
        <v>0.59887976968330414</v>
      </c>
      <c r="T540" s="29">
        <f t="shared" ca="1" si="82"/>
        <v>142</v>
      </c>
      <c r="V540" s="22">
        <v>45085</v>
      </c>
      <c r="W540" s="26">
        <f t="shared" ca="1" si="92"/>
        <v>0.1546849660860834</v>
      </c>
      <c r="X540" s="29">
        <f t="shared" ca="1" si="83"/>
        <v>210</v>
      </c>
      <c r="Z540" s="22">
        <v>45085</v>
      </c>
      <c r="AA540" s="26">
        <f t="shared" ca="1" si="93"/>
        <v>0.99750988094773052</v>
      </c>
      <c r="AB540" s="29">
        <f t="shared" ca="1" si="84"/>
        <v>321</v>
      </c>
      <c r="AC540"/>
      <c r="AD540" s="25"/>
      <c r="AF540" s="22">
        <v>45085</v>
      </c>
      <c r="AG540" s="26">
        <f t="shared" ca="1" si="94"/>
        <v>0.33396161899965837</v>
      </c>
      <c r="AH540" s="29">
        <f t="shared" ca="1" si="85"/>
        <v>290</v>
      </c>
      <c r="AJ540" s="22">
        <v>45085</v>
      </c>
      <c r="AK540" s="26">
        <f t="shared" ca="1" si="95"/>
        <v>0.81714922711130811</v>
      </c>
      <c r="AL540" s="29">
        <f t="shared" ca="1" si="86"/>
        <v>224</v>
      </c>
      <c r="AN540" s="22">
        <v>45085</v>
      </c>
      <c r="AO540" s="26">
        <f t="shared" ca="1" si="96"/>
        <v>0.95710878819532219</v>
      </c>
      <c r="AP540" s="29">
        <f t="shared" ca="1" si="87"/>
        <v>215</v>
      </c>
      <c r="AR540" s="22">
        <v>45085</v>
      </c>
      <c r="AS540" s="26">
        <f t="shared" ca="1" si="97"/>
        <v>0.22482812624613568</v>
      </c>
      <c r="AT540" s="29">
        <v>0</v>
      </c>
      <c r="AV540" s="22">
        <v>45085</v>
      </c>
      <c r="AW540" s="26">
        <f t="shared" ca="1" si="98"/>
        <v>6.3475383260805374E-2</v>
      </c>
      <c r="AX540" s="29">
        <v>0</v>
      </c>
      <c r="AZ540" s="22">
        <v>45085</v>
      </c>
      <c r="BA540" s="26">
        <f t="shared" ca="1" si="99"/>
        <v>0.30725598129143816</v>
      </c>
      <c r="BB540" s="29">
        <v>0</v>
      </c>
      <c r="BC540"/>
      <c r="BD540" s="25"/>
      <c r="BF540" s="22">
        <v>45085</v>
      </c>
      <c r="BG540" s="26">
        <f t="shared" ca="1" si="100"/>
        <v>0.52569619909509724</v>
      </c>
      <c r="BH540" s="29">
        <v>0</v>
      </c>
      <c r="BJ540" s="22">
        <v>45085</v>
      </c>
      <c r="BK540" s="26">
        <f t="shared" ca="1" si="101"/>
        <v>0.21612296275455001</v>
      </c>
      <c r="BL540" s="29">
        <v>0</v>
      </c>
      <c r="BN540" s="22">
        <v>45085</v>
      </c>
      <c r="BO540" s="26">
        <f t="shared" ca="1" si="102"/>
        <v>0.49138391890183208</v>
      </c>
      <c r="BP540" s="29">
        <v>0</v>
      </c>
      <c r="BR540" s="22">
        <v>45085</v>
      </c>
      <c r="BS540" s="26">
        <f t="shared" ca="1" si="103"/>
        <v>0.4200846040098799</v>
      </c>
      <c r="BT540" s="29">
        <v>0</v>
      </c>
      <c r="BV540" s="22">
        <v>45085</v>
      </c>
      <c r="BW540" s="26">
        <f t="shared" ca="1" si="104"/>
        <v>6.0915312923363607E-2</v>
      </c>
      <c r="BX540" s="29">
        <v>0</v>
      </c>
    </row>
    <row r="541" spans="2:77" ht="12.75" x14ac:dyDescent="0.2">
      <c r="B541" s="22">
        <v>45086</v>
      </c>
      <c r="C541" s="26">
        <f t="shared" ca="1" si="68"/>
        <v>0.27986310785750179</v>
      </c>
      <c r="D541" s="29">
        <f t="shared" ca="1" si="105"/>
        <v>64</v>
      </c>
      <c r="F541" s="22">
        <v>45086</v>
      </c>
      <c r="G541" s="26">
        <f t="shared" ca="1" si="88"/>
        <v>0.36691751764597158</v>
      </c>
      <c r="H541" s="29">
        <f t="shared" ca="1" si="79"/>
        <v>211</v>
      </c>
      <c r="J541" s="22">
        <v>45086</v>
      </c>
      <c r="K541" s="26">
        <f t="shared" ca="1" si="89"/>
        <v>0.4790235508817644</v>
      </c>
      <c r="L541" s="29">
        <f t="shared" ca="1" si="80"/>
        <v>150</v>
      </c>
      <c r="N541" s="22">
        <v>45086</v>
      </c>
      <c r="O541" s="26">
        <f t="shared" ca="1" si="90"/>
        <v>0.94273410581660733</v>
      </c>
      <c r="P541" s="29">
        <f t="shared" ca="1" si="81"/>
        <v>254</v>
      </c>
      <c r="R541" s="22">
        <v>45086</v>
      </c>
      <c r="S541" s="26">
        <f t="shared" ca="1" si="91"/>
        <v>0.27084681893313389</v>
      </c>
      <c r="T541" s="29">
        <f t="shared" ca="1" si="82"/>
        <v>134</v>
      </c>
      <c r="V541" s="22">
        <v>45086</v>
      </c>
      <c r="W541" s="26">
        <f t="shared" ca="1" si="92"/>
        <v>0.40308689086418292</v>
      </c>
      <c r="X541" s="29">
        <f t="shared" ca="1" si="83"/>
        <v>222</v>
      </c>
      <c r="Z541" s="22">
        <v>45086</v>
      </c>
      <c r="AA541" s="26">
        <f t="shared" ca="1" si="93"/>
        <v>0.91798481627434059</v>
      </c>
      <c r="AB541" s="29">
        <f t="shared" ca="1" si="84"/>
        <v>296</v>
      </c>
      <c r="AC541"/>
      <c r="AD541" s="25"/>
      <c r="AF541" s="22">
        <v>45086</v>
      </c>
      <c r="AG541" s="26">
        <f t="shared" ca="1" si="94"/>
        <v>0.25873741181028242</v>
      </c>
      <c r="AH541" s="29">
        <f t="shared" ca="1" si="85"/>
        <v>271</v>
      </c>
      <c r="AJ541" s="22">
        <v>45086</v>
      </c>
      <c r="AK541" s="26">
        <f t="shared" ca="1" si="95"/>
        <v>0.25348540146113141</v>
      </c>
      <c r="AL541" s="29">
        <f t="shared" ca="1" si="86"/>
        <v>149</v>
      </c>
      <c r="AN541" s="22">
        <v>45086</v>
      </c>
      <c r="AO541" s="26">
        <f t="shared" ca="1" si="96"/>
        <v>0.15668001093503059</v>
      </c>
      <c r="AP541" s="29">
        <f t="shared" ca="1" si="87"/>
        <v>108</v>
      </c>
      <c r="AR541" s="22">
        <v>45086</v>
      </c>
      <c r="AS541" s="26">
        <f t="shared" ca="1" si="97"/>
        <v>0.29523451597718597</v>
      </c>
      <c r="AT541" s="29">
        <v>0</v>
      </c>
      <c r="AV541" s="22">
        <v>45086</v>
      </c>
      <c r="AW541" s="26">
        <f t="shared" ca="1" si="98"/>
        <v>0.89319229391399513</v>
      </c>
      <c r="AX541" s="29">
        <v>0</v>
      </c>
      <c r="AZ541" s="22">
        <v>45086</v>
      </c>
      <c r="BA541" s="26">
        <f t="shared" ca="1" si="99"/>
        <v>0.9048996670093763</v>
      </c>
      <c r="BB541" s="29">
        <v>0</v>
      </c>
      <c r="BC541"/>
      <c r="BD541" s="25"/>
      <c r="BF541" s="22">
        <v>45086</v>
      </c>
      <c r="BG541" s="26">
        <f t="shared" ca="1" si="100"/>
        <v>0.63314906366002555</v>
      </c>
      <c r="BH541" s="29">
        <v>0</v>
      </c>
      <c r="BJ541" s="22">
        <v>45086</v>
      </c>
      <c r="BK541" s="26">
        <f t="shared" ca="1" si="101"/>
        <v>0.67123897617328709</v>
      </c>
      <c r="BL541" s="29">
        <v>0</v>
      </c>
      <c r="BN541" s="22">
        <v>45086</v>
      </c>
      <c r="BO541" s="26">
        <f t="shared" ca="1" si="102"/>
        <v>0.29737401700274047</v>
      </c>
      <c r="BP541" s="29">
        <v>0</v>
      </c>
      <c r="BR541" s="22">
        <v>45086</v>
      </c>
      <c r="BS541" s="26">
        <f t="shared" ca="1" si="103"/>
        <v>0.39772226343834149</v>
      </c>
      <c r="BT541" s="29">
        <v>0</v>
      </c>
      <c r="BV541" s="22">
        <v>45086</v>
      </c>
      <c r="BW541" s="26">
        <f t="shared" ca="1" si="104"/>
        <v>0.51480349376477108</v>
      </c>
      <c r="BX541" s="29">
        <v>0</v>
      </c>
    </row>
    <row r="542" spans="2:77" ht="12.75" x14ac:dyDescent="0.2">
      <c r="B542" s="22">
        <v>45087</v>
      </c>
      <c r="C542" s="26">
        <f t="shared" ca="1" si="68"/>
        <v>0.19551825931133926</v>
      </c>
      <c r="D542" s="29">
        <f t="shared" ca="1" si="105"/>
        <v>58</v>
      </c>
      <c r="F542" s="22">
        <v>45087</v>
      </c>
      <c r="G542" s="26">
        <f t="shared" ca="1" si="88"/>
        <v>0.92368114952144253</v>
      </c>
      <c r="H542" s="29">
        <f t="shared" ca="1" si="79"/>
        <v>236</v>
      </c>
      <c r="J542" s="22">
        <v>45087</v>
      </c>
      <c r="K542" s="26">
        <f t="shared" ca="1" si="89"/>
        <v>0.63165925885013574</v>
      </c>
      <c r="L542" s="29">
        <f t="shared" ca="1" si="80"/>
        <v>154</v>
      </c>
      <c r="N542" s="22">
        <v>45087</v>
      </c>
      <c r="O542" s="26">
        <f t="shared" ca="1" si="90"/>
        <v>8.9675988484751112E-2</v>
      </c>
      <c r="P542" s="29">
        <f t="shared" ca="1" si="81"/>
        <v>209</v>
      </c>
      <c r="R542" s="22">
        <v>45087</v>
      </c>
      <c r="S542" s="26">
        <f t="shared" ca="1" si="91"/>
        <v>0.53978941669269398</v>
      </c>
      <c r="T542" s="29">
        <f t="shared" ca="1" si="82"/>
        <v>140</v>
      </c>
      <c r="V542" s="22">
        <v>45087</v>
      </c>
      <c r="W542" s="26">
        <f t="shared" ca="1" si="92"/>
        <v>1.1494172024888227E-2</v>
      </c>
      <c r="X542" s="29">
        <f t="shared" ca="1" si="83"/>
        <v>191</v>
      </c>
      <c r="Z542" s="22">
        <v>45087</v>
      </c>
      <c r="AA542" s="26">
        <f t="shared" ca="1" si="93"/>
        <v>0.85873162538593273</v>
      </c>
      <c r="AB542" s="29">
        <f t="shared" ca="1" si="84"/>
        <v>290</v>
      </c>
      <c r="AC542"/>
      <c r="AD542" s="25"/>
      <c r="AF542" s="22">
        <v>45087</v>
      </c>
      <c r="AG542" s="26">
        <f t="shared" ca="1" si="94"/>
        <v>0.14529374953035668</v>
      </c>
      <c r="AH542" s="29">
        <f t="shared" ca="1" si="85"/>
        <v>235</v>
      </c>
      <c r="AJ542" s="22">
        <v>45087</v>
      </c>
      <c r="AK542" s="26">
        <f t="shared" ca="1" si="95"/>
        <v>0.90111926701969447</v>
      </c>
      <c r="AL542" s="29">
        <f t="shared" ca="1" si="86"/>
        <v>242</v>
      </c>
      <c r="AN542" s="22">
        <v>45087</v>
      </c>
      <c r="AO542" s="26">
        <f t="shared" ca="1" si="96"/>
        <v>0.90436625197157683</v>
      </c>
      <c r="AP542" s="29">
        <f t="shared" ca="1" si="87"/>
        <v>199</v>
      </c>
      <c r="AR542" s="22">
        <v>45087</v>
      </c>
      <c r="AS542" s="26">
        <f t="shared" ca="1" si="97"/>
        <v>0.91759014525520954</v>
      </c>
      <c r="AT542" s="29">
        <v>0</v>
      </c>
      <c r="AV542" s="22">
        <v>45087</v>
      </c>
      <c r="AW542" s="26">
        <f t="shared" ca="1" si="98"/>
        <v>0.92311190191175874</v>
      </c>
      <c r="AX542" s="29">
        <v>0</v>
      </c>
      <c r="AZ542" s="22">
        <v>45087</v>
      </c>
      <c r="BA542" s="26">
        <f t="shared" ca="1" si="99"/>
        <v>0.39689075838360255</v>
      </c>
      <c r="BB542" s="29">
        <v>0</v>
      </c>
      <c r="BC542"/>
      <c r="BD542" s="25"/>
      <c r="BF542" s="22">
        <v>45087</v>
      </c>
      <c r="BG542" s="26">
        <f t="shared" ca="1" si="100"/>
        <v>0.80485327549539221</v>
      </c>
      <c r="BH542" s="29">
        <v>0</v>
      </c>
      <c r="BJ542" s="22">
        <v>45087</v>
      </c>
      <c r="BK542" s="26">
        <f t="shared" ca="1" si="101"/>
        <v>0.21299629038414236</v>
      </c>
      <c r="BL542" s="29">
        <v>0</v>
      </c>
      <c r="BN542" s="22">
        <v>45087</v>
      </c>
      <c r="BO542" s="26">
        <f t="shared" ca="1" si="102"/>
        <v>2.1577105214162562E-2</v>
      </c>
      <c r="BP542" s="29">
        <v>0</v>
      </c>
      <c r="BR542" s="22">
        <v>45087</v>
      </c>
      <c r="BS542" s="26">
        <f t="shared" ca="1" si="103"/>
        <v>0.26208873937729982</v>
      </c>
      <c r="BT542" s="29">
        <v>0</v>
      </c>
      <c r="BV542" s="22">
        <v>45087</v>
      </c>
      <c r="BW542" s="26">
        <f t="shared" ca="1" si="104"/>
        <v>0.84531252823796754</v>
      </c>
      <c r="BX542" s="29">
        <v>0</v>
      </c>
    </row>
    <row r="543" spans="2:77" ht="12.75" x14ac:dyDescent="0.2">
      <c r="B543" s="22">
        <v>45088</v>
      </c>
      <c r="C543" s="26">
        <f t="shared" ca="1" si="68"/>
        <v>0.78178230136248295</v>
      </c>
      <c r="D543" s="29">
        <f t="shared" ca="1" si="105"/>
        <v>91</v>
      </c>
      <c r="F543" s="22">
        <v>45088</v>
      </c>
      <c r="G543" s="26">
        <f t="shared" ca="1" si="88"/>
        <v>0.36831982948828879</v>
      </c>
      <c r="H543" s="29">
        <f t="shared" ca="1" si="79"/>
        <v>211</v>
      </c>
      <c r="J543" s="22">
        <v>45088</v>
      </c>
      <c r="K543" s="26">
        <f t="shared" ca="1" si="89"/>
        <v>0.45263287779219141</v>
      </c>
      <c r="L543" s="29">
        <f t="shared" ca="1" si="80"/>
        <v>149</v>
      </c>
      <c r="N543" s="22">
        <v>45088</v>
      </c>
      <c r="O543" s="26">
        <f t="shared" ca="1" si="90"/>
        <v>0.88172836285961587</v>
      </c>
      <c r="P543" s="29">
        <f t="shared" ca="1" si="81"/>
        <v>248</v>
      </c>
      <c r="R543" s="22">
        <v>45088</v>
      </c>
      <c r="S543" s="26">
        <f t="shared" ca="1" si="91"/>
        <v>0.81598126365099355</v>
      </c>
      <c r="T543" s="29">
        <f t="shared" ca="1" si="82"/>
        <v>148</v>
      </c>
      <c r="V543" s="22">
        <v>45088</v>
      </c>
      <c r="W543" s="26">
        <f t="shared" ca="1" si="92"/>
        <v>0.82765200134732997</v>
      </c>
      <c r="X543" s="29">
        <f t="shared" ca="1" si="83"/>
        <v>240</v>
      </c>
      <c r="Z543" s="22">
        <v>45088</v>
      </c>
      <c r="AA543" s="26">
        <f t="shared" ca="1" si="93"/>
        <v>0.45397978888929624</v>
      </c>
      <c r="AB543" s="29">
        <f t="shared" ca="1" si="84"/>
        <v>268</v>
      </c>
      <c r="AC543"/>
      <c r="AD543" s="25"/>
      <c r="AF543" s="22">
        <v>45088</v>
      </c>
      <c r="AG543" s="26">
        <f t="shared" ca="1" si="94"/>
        <v>0.88365423203562576</v>
      </c>
      <c r="AH543" s="29">
        <f t="shared" ca="1" si="85"/>
        <v>432</v>
      </c>
      <c r="AJ543" s="22">
        <v>45088</v>
      </c>
      <c r="AK543" s="26">
        <f t="shared" ca="1" si="95"/>
        <v>0.9805307840593469</v>
      </c>
      <c r="AL543" s="29">
        <f t="shared" ca="1" si="86"/>
        <v>279</v>
      </c>
      <c r="AN543" s="22">
        <v>45088</v>
      </c>
      <c r="AO543" s="26">
        <f t="shared" ca="1" si="96"/>
        <v>0.50489095461475453</v>
      </c>
      <c r="AP543" s="29">
        <f t="shared" ca="1" si="87"/>
        <v>148</v>
      </c>
      <c r="AR543" s="22">
        <v>45088</v>
      </c>
      <c r="AS543" s="26">
        <f t="shared" ca="1" si="97"/>
        <v>0.27192570926170079</v>
      </c>
      <c r="AT543" s="29">
        <v>0</v>
      </c>
      <c r="AV543" s="22">
        <v>45088</v>
      </c>
      <c r="AW543" s="26">
        <f t="shared" ca="1" si="98"/>
        <v>0.22421573462699484</v>
      </c>
      <c r="AX543" s="29">
        <v>0</v>
      </c>
      <c r="AZ543" s="22">
        <v>45088</v>
      </c>
      <c r="BA543" s="26">
        <f t="shared" ca="1" si="99"/>
        <v>0.22946246725050767</v>
      </c>
      <c r="BB543" s="29">
        <v>0</v>
      </c>
      <c r="BC543"/>
      <c r="BD543" s="25"/>
      <c r="BF543" s="22">
        <v>45088</v>
      </c>
      <c r="BG543" s="26">
        <f t="shared" ca="1" si="100"/>
        <v>0.82382224547175709</v>
      </c>
      <c r="BH543" s="29">
        <v>0</v>
      </c>
      <c r="BJ543" s="22">
        <v>45088</v>
      </c>
      <c r="BK543" s="26">
        <f t="shared" ca="1" si="101"/>
        <v>0.88878493755051058</v>
      </c>
      <c r="BL543" s="29">
        <v>0</v>
      </c>
      <c r="BN543" s="22">
        <v>45088</v>
      </c>
      <c r="BO543" s="26">
        <f t="shared" ca="1" si="102"/>
        <v>0.55948196638605852</v>
      </c>
      <c r="BP543" s="29">
        <v>0</v>
      </c>
      <c r="BR543" s="22">
        <v>45088</v>
      </c>
      <c r="BS543" s="26">
        <f t="shared" ca="1" si="103"/>
        <v>0.89264805563110072</v>
      </c>
      <c r="BT543" s="29">
        <v>0</v>
      </c>
      <c r="BV543" s="22">
        <v>45088</v>
      </c>
      <c r="BW543" s="26">
        <f t="shared" ca="1" si="104"/>
        <v>0.13611195861308412</v>
      </c>
      <c r="BX543" s="29">
        <v>0</v>
      </c>
    </row>
    <row r="544" spans="2:77" ht="12.75" x14ac:dyDescent="0.2">
      <c r="B544" s="22">
        <v>45089</v>
      </c>
      <c r="C544" s="26">
        <f t="shared" ca="1" si="68"/>
        <v>0.367623621007236</v>
      </c>
      <c r="D544" s="29">
        <f t="shared" ca="1" si="105"/>
        <v>69</v>
      </c>
      <c r="F544" s="22">
        <v>45089</v>
      </c>
      <c r="G544" s="26">
        <f t="shared" ca="1" si="88"/>
        <v>0.87886062307991064</v>
      </c>
      <c r="H544" s="29">
        <f t="shared" ca="1" si="79"/>
        <v>233</v>
      </c>
      <c r="J544" s="22">
        <v>45089</v>
      </c>
      <c r="K544" s="26">
        <f t="shared" ca="1" si="89"/>
        <v>0.72470970888652608</v>
      </c>
      <c r="L544" s="29">
        <f t="shared" ca="1" si="80"/>
        <v>156</v>
      </c>
      <c r="N544" s="22">
        <v>45089</v>
      </c>
      <c r="O544" s="26">
        <f t="shared" ca="1" si="90"/>
        <v>0.95941371217100435</v>
      </c>
      <c r="P544" s="29">
        <f t="shared" ca="1" si="81"/>
        <v>257</v>
      </c>
      <c r="R544" s="22">
        <v>45089</v>
      </c>
      <c r="S544" s="26">
        <f t="shared" ca="1" si="91"/>
        <v>3.4320897565120578E-2</v>
      </c>
      <c r="T544" s="29">
        <f t="shared" ca="1" si="82"/>
        <v>122</v>
      </c>
      <c r="V544" s="22">
        <v>45089</v>
      </c>
      <c r="W544" s="26">
        <f t="shared" ca="1" si="92"/>
        <v>0.62362154427824168</v>
      </c>
      <c r="X544" s="29">
        <f t="shared" ca="1" si="83"/>
        <v>230</v>
      </c>
      <c r="Z544" s="22">
        <v>45089</v>
      </c>
      <c r="AA544" s="26">
        <f t="shared" ca="1" si="93"/>
        <v>0.56387051416566458</v>
      </c>
      <c r="AB544" s="29">
        <f t="shared" ca="1" si="84"/>
        <v>273</v>
      </c>
      <c r="AC544"/>
      <c r="AD544" s="25"/>
      <c r="AF544" s="22">
        <v>45089</v>
      </c>
      <c r="AG544" s="26">
        <f t="shared" ca="1" si="94"/>
        <v>0.57313236496519804</v>
      </c>
      <c r="AH544" s="29">
        <f t="shared" ca="1" si="85"/>
        <v>344</v>
      </c>
      <c r="AJ544" s="22">
        <v>45089</v>
      </c>
      <c r="AK544" s="26">
        <f t="shared" ca="1" si="95"/>
        <v>0.82295519456153365</v>
      </c>
      <c r="AL544" s="29">
        <f t="shared" ca="1" si="86"/>
        <v>225</v>
      </c>
      <c r="AN544" s="22">
        <v>45089</v>
      </c>
      <c r="AO544" s="26">
        <f t="shared" ca="1" si="96"/>
        <v>0.56295958872726881</v>
      </c>
      <c r="AP544" s="29">
        <f t="shared" ca="1" si="87"/>
        <v>154</v>
      </c>
      <c r="AR544" s="22">
        <v>45089</v>
      </c>
      <c r="AS544" s="26">
        <f t="shared" ca="1" si="97"/>
        <v>0.30845935334334929</v>
      </c>
      <c r="AT544" s="29">
        <v>0</v>
      </c>
      <c r="AV544" s="22">
        <v>45089</v>
      </c>
      <c r="AW544" s="26">
        <f t="shared" ca="1" si="98"/>
        <v>0.11018698181779052</v>
      </c>
      <c r="AX544" s="29">
        <v>0</v>
      </c>
      <c r="AZ544" s="22">
        <v>45089</v>
      </c>
      <c r="BA544" s="26">
        <f t="shared" ca="1" si="99"/>
        <v>0.64039923046323621</v>
      </c>
      <c r="BB544" s="29">
        <v>0</v>
      </c>
      <c r="BC544"/>
      <c r="BD544" s="25"/>
      <c r="BF544" s="22">
        <v>45089</v>
      </c>
      <c r="BG544" s="26">
        <f t="shared" ca="1" si="100"/>
        <v>0.69990722670777084</v>
      </c>
      <c r="BH544" s="29">
        <v>0</v>
      </c>
      <c r="BJ544" s="22">
        <v>45089</v>
      </c>
      <c r="BK544" s="26">
        <f t="shared" ca="1" si="101"/>
        <v>0.44458216801137884</v>
      </c>
      <c r="BL544" s="29">
        <v>0</v>
      </c>
      <c r="BN544" s="22">
        <v>45089</v>
      </c>
      <c r="BO544" s="26">
        <f t="shared" ca="1" si="102"/>
        <v>0.2868145033045123</v>
      </c>
      <c r="BP544" s="29">
        <v>0</v>
      </c>
      <c r="BR544" s="22">
        <v>45089</v>
      </c>
      <c r="BS544" s="26">
        <f t="shared" ca="1" si="103"/>
        <v>0.26227210051619754</v>
      </c>
      <c r="BT544" s="29">
        <v>0</v>
      </c>
      <c r="BV544" s="22">
        <v>45089</v>
      </c>
      <c r="BW544" s="26">
        <f t="shared" ca="1" si="104"/>
        <v>0.43044342680407688</v>
      </c>
      <c r="BX544" s="29">
        <v>0</v>
      </c>
    </row>
    <row r="545" spans="2:76" ht="12.75" x14ac:dyDescent="0.2">
      <c r="B545" s="22">
        <v>45090</v>
      </c>
      <c r="C545" s="26">
        <f t="shared" ca="1" si="68"/>
        <v>0.21779547865930338</v>
      </c>
      <c r="D545" s="29">
        <f t="shared" ca="1" si="105"/>
        <v>60</v>
      </c>
      <c r="F545" s="22">
        <v>45090</v>
      </c>
      <c r="G545" s="26">
        <f t="shared" ca="1" si="88"/>
        <v>0.95115125971417547</v>
      </c>
      <c r="H545" s="29">
        <f t="shared" ca="1" si="79"/>
        <v>240</v>
      </c>
      <c r="J545" s="22">
        <v>45090</v>
      </c>
      <c r="K545" s="26">
        <f t="shared" ca="1" si="89"/>
        <v>0.3295002551106565</v>
      </c>
      <c r="L545" s="29">
        <f t="shared" ca="1" si="80"/>
        <v>146</v>
      </c>
      <c r="N545" s="22">
        <v>45090</v>
      </c>
      <c r="O545" s="26">
        <f t="shared" ca="1" si="90"/>
        <v>0.24007356373113153</v>
      </c>
      <c r="P545" s="29">
        <f t="shared" ca="1" si="81"/>
        <v>219</v>
      </c>
      <c r="R545" s="22">
        <v>45090</v>
      </c>
      <c r="S545" s="26">
        <f t="shared" ca="1" si="91"/>
        <v>0.38657816002289358</v>
      </c>
      <c r="T545" s="29">
        <f t="shared" ca="1" si="82"/>
        <v>137</v>
      </c>
      <c r="V545" s="22">
        <v>45090</v>
      </c>
      <c r="W545" s="26">
        <f t="shared" ca="1" si="92"/>
        <v>0.70605208211450532</v>
      </c>
      <c r="X545" s="29">
        <f t="shared" ca="1" si="83"/>
        <v>234</v>
      </c>
      <c r="Z545" s="22">
        <v>45090</v>
      </c>
      <c r="AA545" s="26">
        <f t="shared" ca="1" si="93"/>
        <v>0.18204143029987718</v>
      </c>
      <c r="AB545" s="29">
        <f t="shared" ca="1" si="84"/>
        <v>254</v>
      </c>
      <c r="AC545"/>
      <c r="AD545" s="25"/>
      <c r="AF545" s="22">
        <v>45090</v>
      </c>
      <c r="AG545" s="26">
        <f t="shared" ca="1" si="94"/>
        <v>0.59237202996787042</v>
      </c>
      <c r="AH545" s="29">
        <f t="shared" ca="1" si="85"/>
        <v>348</v>
      </c>
      <c r="AJ545" s="22">
        <v>45090</v>
      </c>
      <c r="AK545" s="26">
        <f t="shared" ca="1" si="95"/>
        <v>0.62637630510000752</v>
      </c>
      <c r="AL545" s="29">
        <f t="shared" ca="1" si="86"/>
        <v>196</v>
      </c>
      <c r="AN545" s="22">
        <v>45090</v>
      </c>
      <c r="AO545" s="26">
        <f t="shared" ca="1" si="96"/>
        <v>0.83194296202446527</v>
      </c>
      <c r="AP545" s="29">
        <f t="shared" ca="1" si="87"/>
        <v>185</v>
      </c>
      <c r="AR545" s="22">
        <v>45090</v>
      </c>
      <c r="AS545" s="26">
        <f t="shared" ca="1" si="97"/>
        <v>0.20058873721442605</v>
      </c>
      <c r="AT545" s="29">
        <v>0</v>
      </c>
      <c r="AV545" s="22">
        <v>45090</v>
      </c>
      <c r="AW545" s="26">
        <f t="shared" ca="1" si="98"/>
        <v>0.24735801574280902</v>
      </c>
      <c r="AX545" s="29">
        <v>0</v>
      </c>
      <c r="AZ545" s="22">
        <v>45090</v>
      </c>
      <c r="BA545" s="26">
        <f t="shared" ca="1" si="99"/>
        <v>0.38715711721646884</v>
      </c>
      <c r="BB545" s="29">
        <v>0</v>
      </c>
      <c r="BC545"/>
      <c r="BD545" s="25"/>
      <c r="BF545" s="22">
        <v>45090</v>
      </c>
      <c r="BG545" s="26">
        <f t="shared" ca="1" si="100"/>
        <v>0.79998416283331542</v>
      </c>
      <c r="BH545" s="29">
        <v>0</v>
      </c>
      <c r="BJ545" s="22">
        <v>45090</v>
      </c>
      <c r="BK545" s="26">
        <f t="shared" ca="1" si="101"/>
        <v>0.44646682444464802</v>
      </c>
      <c r="BL545" s="29">
        <v>0</v>
      </c>
      <c r="BN545" s="22">
        <v>45090</v>
      </c>
      <c r="BO545" s="26">
        <f t="shared" ca="1" si="102"/>
        <v>0.2535324254504393</v>
      </c>
      <c r="BP545" s="29">
        <v>0</v>
      </c>
      <c r="BR545" s="22">
        <v>45090</v>
      </c>
      <c r="BS545" s="26">
        <f t="shared" ca="1" si="103"/>
        <v>0.28222109802931405</v>
      </c>
      <c r="BT545" s="29">
        <v>0</v>
      </c>
      <c r="BV545" s="22">
        <v>45090</v>
      </c>
      <c r="BW545" s="26">
        <f t="shared" ca="1" si="104"/>
        <v>0.51412792199353619</v>
      </c>
      <c r="BX545" s="29">
        <v>0</v>
      </c>
    </row>
    <row r="546" spans="2:76" ht="12.75" x14ac:dyDescent="0.2">
      <c r="B546" s="22">
        <v>45091</v>
      </c>
      <c r="C546" s="26">
        <f t="shared" ca="1" si="68"/>
        <v>0.72486466667494209</v>
      </c>
      <c r="D546" s="29">
        <f t="shared" ca="1" si="105"/>
        <v>87</v>
      </c>
      <c r="F546" s="22">
        <v>45091</v>
      </c>
      <c r="G546" s="26">
        <f t="shared" ca="1" si="88"/>
        <v>0.3714768331895143</v>
      </c>
      <c r="H546" s="29">
        <f t="shared" ca="1" si="79"/>
        <v>211</v>
      </c>
      <c r="J546" s="22">
        <v>45091</v>
      </c>
      <c r="K546" s="26">
        <f t="shared" ca="1" si="89"/>
        <v>0.90681504473775809</v>
      </c>
      <c r="L546" s="29">
        <f t="shared" ca="1" si="80"/>
        <v>164</v>
      </c>
      <c r="N546" s="22">
        <v>45091</v>
      </c>
      <c r="O546" s="26">
        <f t="shared" ca="1" si="90"/>
        <v>8.3229701962540981E-2</v>
      </c>
      <c r="P546" s="29">
        <f t="shared" ca="1" si="81"/>
        <v>209</v>
      </c>
      <c r="R546" s="22">
        <v>45091</v>
      </c>
      <c r="S546" s="26">
        <f t="shared" ca="1" si="91"/>
        <v>0.49910634479568272</v>
      </c>
      <c r="T546" s="29">
        <f t="shared" ca="1" si="82"/>
        <v>139</v>
      </c>
      <c r="V546" s="22">
        <v>45091</v>
      </c>
      <c r="W546" s="26">
        <f t="shared" ca="1" si="92"/>
        <v>0.86327220237200719</v>
      </c>
      <c r="X546" s="29">
        <f t="shared" ca="1" si="83"/>
        <v>242</v>
      </c>
      <c r="Z546" s="22">
        <v>45091</v>
      </c>
      <c r="AA546" s="26">
        <f t="shared" ca="1" si="93"/>
        <v>0.5435840187409936</v>
      </c>
      <c r="AB546" s="29">
        <f t="shared" ca="1" si="84"/>
        <v>272</v>
      </c>
      <c r="AC546"/>
      <c r="AD546" s="25"/>
      <c r="AF546" s="22">
        <v>45091</v>
      </c>
      <c r="AG546" s="26">
        <f t="shared" ca="1" si="94"/>
        <v>0.29656423106003638</v>
      </c>
      <c r="AH546" s="29">
        <f t="shared" ca="1" si="85"/>
        <v>281</v>
      </c>
      <c r="AJ546" s="22">
        <v>45091</v>
      </c>
      <c r="AK546" s="26">
        <f t="shared" ca="1" si="95"/>
        <v>0.18342792237934302</v>
      </c>
      <c r="AL546" s="29">
        <f t="shared" ca="1" si="86"/>
        <v>137</v>
      </c>
      <c r="AN546" s="22">
        <v>45091</v>
      </c>
      <c r="AO546" s="26">
        <f t="shared" ca="1" si="96"/>
        <v>0.16021547864036678</v>
      </c>
      <c r="AP546" s="29">
        <f t="shared" ca="1" si="87"/>
        <v>109</v>
      </c>
      <c r="AR546" s="22">
        <v>45091</v>
      </c>
      <c r="AS546" s="26">
        <f t="shared" ca="1" si="97"/>
        <v>0.93035477982700954</v>
      </c>
      <c r="AT546" s="29">
        <v>0</v>
      </c>
      <c r="AV546" s="22">
        <v>45091</v>
      </c>
      <c r="AW546" s="26">
        <f t="shared" ca="1" si="98"/>
        <v>0.95992045989662167</v>
      </c>
      <c r="AX546" s="29">
        <v>0</v>
      </c>
      <c r="AZ546" s="22">
        <v>45091</v>
      </c>
      <c r="BA546" s="26">
        <f t="shared" ca="1" si="99"/>
        <v>0.98013469098968531</v>
      </c>
      <c r="BB546" s="29">
        <v>0</v>
      </c>
      <c r="BC546"/>
      <c r="BD546" s="25"/>
      <c r="BF546" s="22">
        <v>45091</v>
      </c>
      <c r="BG546" s="26">
        <f t="shared" ca="1" si="100"/>
        <v>9.4012844101518667E-2</v>
      </c>
      <c r="BH546" s="29">
        <v>0</v>
      </c>
      <c r="BJ546" s="22">
        <v>45091</v>
      </c>
      <c r="BK546" s="26">
        <f t="shared" ca="1" si="101"/>
        <v>0.73582268081144175</v>
      </c>
      <c r="BL546" s="29">
        <v>0</v>
      </c>
      <c r="BN546" s="22">
        <v>45091</v>
      </c>
      <c r="BO546" s="26">
        <f t="shared" ca="1" si="102"/>
        <v>0.10571071361722628</v>
      </c>
      <c r="BP546" s="29">
        <v>0</v>
      </c>
      <c r="BR546" s="22">
        <v>45091</v>
      </c>
      <c r="BS546" s="26">
        <f t="shared" ca="1" si="103"/>
        <v>0.29772208834800773</v>
      </c>
      <c r="BT546" s="29">
        <v>0</v>
      </c>
      <c r="BV546" s="22">
        <v>45091</v>
      </c>
      <c r="BW546" s="26">
        <f t="shared" ca="1" si="104"/>
        <v>0.69323551384126558</v>
      </c>
      <c r="BX546" s="29">
        <v>0</v>
      </c>
    </row>
    <row r="547" spans="2:76" ht="12.75" x14ac:dyDescent="0.2">
      <c r="B547" s="22">
        <v>45092</v>
      </c>
      <c r="C547" s="26">
        <f t="shared" ca="1" si="68"/>
        <v>0.16497724112576961</v>
      </c>
      <c r="D547" s="29">
        <f t="shared" ca="1" si="105"/>
        <v>56</v>
      </c>
      <c r="F547" s="22">
        <v>45092</v>
      </c>
      <c r="G547" s="26">
        <f t="shared" ca="1" si="88"/>
        <v>0.66990633815842604</v>
      </c>
      <c r="H547" s="29">
        <f t="shared" ca="1" si="79"/>
        <v>222</v>
      </c>
      <c r="J547" s="22">
        <v>45092</v>
      </c>
      <c r="K547" s="26">
        <f t="shared" ca="1" si="89"/>
        <v>0.54391758288390102</v>
      </c>
      <c r="L547" s="29">
        <f t="shared" ca="1" si="80"/>
        <v>152</v>
      </c>
      <c r="N547" s="22">
        <v>45092</v>
      </c>
      <c r="O547" s="26">
        <f t="shared" ca="1" si="90"/>
        <v>0.30636450968290796</v>
      </c>
      <c r="P547" s="29">
        <f t="shared" ca="1" si="81"/>
        <v>222</v>
      </c>
      <c r="R547" s="22">
        <v>45092</v>
      </c>
      <c r="S547" s="26">
        <f t="shared" ca="1" si="91"/>
        <v>0.7379379641592686</v>
      </c>
      <c r="T547" s="29">
        <f t="shared" ca="1" si="82"/>
        <v>145</v>
      </c>
      <c r="V547" s="22">
        <v>45092</v>
      </c>
      <c r="W547" s="26">
        <f t="shared" ca="1" si="92"/>
        <v>0.40617777838043245</v>
      </c>
      <c r="X547" s="29">
        <f t="shared" ca="1" si="83"/>
        <v>222</v>
      </c>
      <c r="Z547" s="22">
        <v>45092</v>
      </c>
      <c r="AA547" s="26">
        <f t="shared" ca="1" si="93"/>
        <v>0.52361620011556365</v>
      </c>
      <c r="AB547" s="29">
        <f t="shared" ca="1" si="84"/>
        <v>272</v>
      </c>
      <c r="AC547"/>
      <c r="AD547" s="25"/>
      <c r="AF547" s="22">
        <v>45092</v>
      </c>
      <c r="AG547" s="26">
        <f t="shared" ca="1" si="94"/>
        <v>0.88223852226145238</v>
      </c>
      <c r="AH547" s="29">
        <f t="shared" ca="1" si="85"/>
        <v>431</v>
      </c>
      <c r="AJ547" s="22">
        <v>45092</v>
      </c>
      <c r="AK547" s="26">
        <f t="shared" ca="1" si="95"/>
        <v>0.50609192001980208</v>
      </c>
      <c r="AL547" s="29">
        <f t="shared" ca="1" si="86"/>
        <v>181</v>
      </c>
      <c r="AN547" s="22">
        <v>45092</v>
      </c>
      <c r="AO547" s="26">
        <f t="shared" ca="1" si="96"/>
        <v>0.11991218824184957</v>
      </c>
      <c r="AP547" s="29">
        <f t="shared" ca="1" si="87"/>
        <v>102</v>
      </c>
      <c r="AR547" s="22">
        <v>45092</v>
      </c>
      <c r="AS547" s="26">
        <f t="shared" ca="1" si="97"/>
        <v>0.44811254559346769</v>
      </c>
      <c r="AT547" s="29">
        <v>0</v>
      </c>
      <c r="AV547" s="22">
        <v>45092</v>
      </c>
      <c r="AW547" s="26">
        <f t="shared" ca="1" si="98"/>
        <v>0.24518192456384491</v>
      </c>
      <c r="AX547" s="29">
        <v>0</v>
      </c>
      <c r="AZ547" s="22">
        <v>45092</v>
      </c>
      <c r="BA547" s="26">
        <f t="shared" ca="1" si="99"/>
        <v>0.73367262729043237</v>
      </c>
      <c r="BB547" s="29">
        <v>0</v>
      </c>
      <c r="BC547"/>
      <c r="BD547" s="25"/>
      <c r="BF547" s="22">
        <v>45092</v>
      </c>
      <c r="BG547" s="26">
        <f t="shared" ca="1" si="100"/>
        <v>5.6108994345874796E-3</v>
      </c>
      <c r="BH547" s="29">
        <v>0</v>
      </c>
      <c r="BJ547" s="22">
        <v>45092</v>
      </c>
      <c r="BK547" s="26">
        <f t="shared" ca="1" si="101"/>
        <v>7.8103918605240907E-2</v>
      </c>
      <c r="BL547" s="29">
        <v>0</v>
      </c>
      <c r="BN547" s="22">
        <v>45092</v>
      </c>
      <c r="BO547" s="26">
        <f t="shared" ca="1" si="102"/>
        <v>0.95353670030983595</v>
      </c>
      <c r="BP547" s="29">
        <v>0</v>
      </c>
      <c r="BR547" s="22">
        <v>45092</v>
      </c>
      <c r="BS547" s="26">
        <f t="shared" ca="1" si="103"/>
        <v>0.83933098963238739</v>
      </c>
      <c r="BT547" s="29">
        <v>0</v>
      </c>
      <c r="BV547" s="22">
        <v>45092</v>
      </c>
      <c r="BW547" s="26">
        <f t="shared" ca="1" si="104"/>
        <v>0.13934900779644788</v>
      </c>
      <c r="BX547" s="29">
        <v>0</v>
      </c>
    </row>
    <row r="548" spans="2:76" ht="12.75" x14ac:dyDescent="0.2">
      <c r="B548" s="22">
        <v>45093</v>
      </c>
      <c r="C548" s="26">
        <f t="shared" ca="1" si="68"/>
        <v>0.81784766584438506</v>
      </c>
      <c r="D548" s="29">
        <f t="shared" ca="1" si="105"/>
        <v>94</v>
      </c>
      <c r="F548" s="22">
        <v>45093</v>
      </c>
      <c r="G548" s="26">
        <f t="shared" ca="1" si="88"/>
        <v>0.41089638295941833</v>
      </c>
      <c r="H548" s="29">
        <f t="shared" ca="1" si="79"/>
        <v>213</v>
      </c>
      <c r="J548" s="22">
        <v>45093</v>
      </c>
      <c r="K548" s="26">
        <f t="shared" ca="1" si="89"/>
        <v>0.60598023155060265</v>
      </c>
      <c r="L548" s="29">
        <f t="shared" ca="1" si="80"/>
        <v>153</v>
      </c>
      <c r="N548" s="22">
        <v>45093</v>
      </c>
      <c r="O548" s="26">
        <f t="shared" ca="1" si="90"/>
        <v>0.49506182832891665</v>
      </c>
      <c r="P548" s="29">
        <f t="shared" ca="1" si="81"/>
        <v>230</v>
      </c>
      <c r="R548" s="22">
        <v>45093</v>
      </c>
      <c r="S548" s="26">
        <f t="shared" ca="1" si="91"/>
        <v>0.3987241412277106</v>
      </c>
      <c r="T548" s="29">
        <f t="shared" ca="1" si="82"/>
        <v>137</v>
      </c>
      <c r="V548" s="22">
        <v>45093</v>
      </c>
      <c r="W548" s="26">
        <f t="shared" ca="1" si="92"/>
        <v>0.57451822056284563</v>
      </c>
      <c r="X548" s="29">
        <f t="shared" ca="1" si="83"/>
        <v>228</v>
      </c>
      <c r="Z548" s="22">
        <v>45093</v>
      </c>
      <c r="AA548" s="26">
        <f t="shared" ca="1" si="93"/>
        <v>0.1646326549623025</v>
      </c>
      <c r="AB548" s="29">
        <f t="shared" ca="1" si="84"/>
        <v>253</v>
      </c>
      <c r="AC548"/>
      <c r="AD548" s="25"/>
      <c r="AF548" s="22">
        <v>45093</v>
      </c>
      <c r="AG548" s="26">
        <f t="shared" ca="1" si="94"/>
        <v>0.82778333934545756</v>
      </c>
      <c r="AH548" s="29">
        <f t="shared" ca="1" si="85"/>
        <v>410</v>
      </c>
      <c r="AJ548" s="22">
        <v>45093</v>
      </c>
      <c r="AK548" s="26">
        <f t="shared" ca="1" si="95"/>
        <v>3.5260598462775516E-2</v>
      </c>
      <c r="AL548" s="29">
        <f t="shared" ca="1" si="86"/>
        <v>94</v>
      </c>
      <c r="AN548" s="22">
        <v>45093</v>
      </c>
      <c r="AO548" s="26">
        <f t="shared" ca="1" si="96"/>
        <v>0.12769540393512946</v>
      </c>
      <c r="AP548" s="29">
        <f t="shared" ca="1" si="87"/>
        <v>103</v>
      </c>
      <c r="AR548" s="22">
        <v>45093</v>
      </c>
      <c r="AS548" s="26">
        <f t="shared" ca="1" si="97"/>
        <v>0.66503262019105347</v>
      </c>
      <c r="AT548" s="29">
        <v>0</v>
      </c>
      <c r="AV548" s="22">
        <v>45093</v>
      </c>
      <c r="AW548" s="26">
        <f t="shared" ca="1" si="98"/>
        <v>0.85356664712747399</v>
      </c>
      <c r="AX548" s="29">
        <v>0</v>
      </c>
      <c r="AZ548" s="22">
        <v>45093</v>
      </c>
      <c r="BA548" s="26">
        <f t="shared" ca="1" si="99"/>
        <v>4.1807376339106472E-2</v>
      </c>
      <c r="BB548" s="29">
        <v>0</v>
      </c>
      <c r="BC548"/>
      <c r="BD548" s="25"/>
      <c r="BF548" s="22">
        <v>45093</v>
      </c>
      <c r="BG548" s="26">
        <f t="shared" ca="1" si="100"/>
        <v>0.38710097409922228</v>
      </c>
      <c r="BH548" s="29">
        <v>0</v>
      </c>
      <c r="BJ548" s="22">
        <v>45093</v>
      </c>
      <c r="BK548" s="26">
        <f t="shared" ca="1" si="101"/>
        <v>0.97819217030306671</v>
      </c>
      <c r="BL548" s="29">
        <v>0</v>
      </c>
      <c r="BN548" s="22">
        <v>45093</v>
      </c>
      <c r="BO548" s="26">
        <f t="shared" ca="1" si="102"/>
        <v>0.51185856962171239</v>
      </c>
      <c r="BP548" s="29">
        <v>0</v>
      </c>
      <c r="BR548" s="22">
        <v>45093</v>
      </c>
      <c r="BS548" s="26">
        <f t="shared" ca="1" si="103"/>
        <v>9.9597912402589306E-2</v>
      </c>
      <c r="BT548" s="29">
        <v>0</v>
      </c>
      <c r="BV548" s="22">
        <v>45093</v>
      </c>
      <c r="BW548" s="26">
        <f t="shared" ca="1" si="104"/>
        <v>0.30680687282961283</v>
      </c>
      <c r="BX548" s="29">
        <v>0</v>
      </c>
    </row>
    <row r="549" spans="2:76" ht="12.75" x14ac:dyDescent="0.2">
      <c r="B549" s="22">
        <v>45094</v>
      </c>
      <c r="C549" s="26">
        <f t="shared" ca="1" si="68"/>
        <v>0.20751538335310526</v>
      </c>
      <c r="D549" s="29">
        <f t="shared" ca="1" si="105"/>
        <v>59</v>
      </c>
      <c r="F549" s="22">
        <v>45094</v>
      </c>
      <c r="G549" s="26">
        <f t="shared" ca="1" si="88"/>
        <v>0.37332733365577775</v>
      </c>
      <c r="H549" s="29">
        <f t="shared" ca="1" si="79"/>
        <v>211</v>
      </c>
      <c r="J549" s="22">
        <v>45094</v>
      </c>
      <c r="K549" s="26">
        <f t="shared" ca="1" si="89"/>
        <v>0.86084326126739752</v>
      </c>
      <c r="L549" s="29">
        <f t="shared" ca="1" si="80"/>
        <v>161</v>
      </c>
      <c r="N549" s="22">
        <v>45094</v>
      </c>
      <c r="O549" s="26">
        <f t="shared" ca="1" si="90"/>
        <v>0.30747055298761372</v>
      </c>
      <c r="P549" s="29">
        <f t="shared" ca="1" si="81"/>
        <v>222</v>
      </c>
      <c r="R549" s="22">
        <v>45094</v>
      </c>
      <c r="S549" s="26">
        <f t="shared" ca="1" si="91"/>
        <v>2.3386142667016774E-2</v>
      </c>
      <c r="T549" s="29">
        <f t="shared" ca="1" si="82"/>
        <v>121</v>
      </c>
      <c r="V549" s="22">
        <v>45094</v>
      </c>
      <c r="W549" s="26">
        <f t="shared" ca="1" si="92"/>
        <v>1.1788310505437272E-2</v>
      </c>
      <c r="X549" s="29">
        <f t="shared" ca="1" si="83"/>
        <v>192</v>
      </c>
      <c r="Z549" s="22">
        <v>45094</v>
      </c>
      <c r="AA549" s="26">
        <f t="shared" ca="1" si="93"/>
        <v>3.0928117648669984E-2</v>
      </c>
      <c r="AB549" s="29">
        <f t="shared" ca="1" si="84"/>
        <v>237</v>
      </c>
      <c r="AC549"/>
      <c r="AD549" s="25"/>
      <c r="AF549" s="22">
        <v>45094</v>
      </c>
      <c r="AG549" s="26">
        <f t="shared" ca="1" si="94"/>
        <v>0.79723133734186624</v>
      </c>
      <c r="AH549" s="29">
        <f t="shared" ca="1" si="85"/>
        <v>400</v>
      </c>
      <c r="AJ549" s="22">
        <v>45094</v>
      </c>
      <c r="AK549" s="26">
        <f t="shared" ca="1" si="95"/>
        <v>0.56707083672910441</v>
      </c>
      <c r="AL549" s="29">
        <f t="shared" ca="1" si="86"/>
        <v>188</v>
      </c>
      <c r="AN549" s="22">
        <v>45094</v>
      </c>
      <c r="AO549" s="26">
        <f t="shared" ca="1" si="96"/>
        <v>0.81664078125132278</v>
      </c>
      <c r="AP549" s="29">
        <f t="shared" ca="1" si="87"/>
        <v>183</v>
      </c>
      <c r="AR549" s="22">
        <v>45094</v>
      </c>
      <c r="AS549" s="26">
        <f t="shared" ca="1" si="97"/>
        <v>0.81672404404232146</v>
      </c>
      <c r="AT549" s="29">
        <v>0</v>
      </c>
      <c r="AV549" s="22">
        <v>45094</v>
      </c>
      <c r="AW549" s="26">
        <f t="shared" ca="1" si="98"/>
        <v>0.2737977146510665</v>
      </c>
      <c r="AX549" s="29">
        <v>0</v>
      </c>
      <c r="AZ549" s="22">
        <v>45094</v>
      </c>
      <c r="BA549" s="26">
        <f t="shared" ca="1" si="99"/>
        <v>0.62251077603298133</v>
      </c>
      <c r="BB549" s="29">
        <v>0</v>
      </c>
      <c r="BC549"/>
      <c r="BD549" s="25"/>
      <c r="BF549" s="22">
        <v>45094</v>
      </c>
      <c r="BG549" s="26">
        <f t="shared" ca="1" si="100"/>
        <v>1.9372161691646128E-2</v>
      </c>
      <c r="BH549" s="29">
        <v>0</v>
      </c>
      <c r="BJ549" s="22">
        <v>45094</v>
      </c>
      <c r="BK549" s="26">
        <f t="shared" ca="1" si="101"/>
        <v>9.4421422888454787E-2</v>
      </c>
      <c r="BL549" s="29">
        <v>0</v>
      </c>
      <c r="BN549" s="22">
        <v>45094</v>
      </c>
      <c r="BO549" s="26">
        <f t="shared" ca="1" si="102"/>
        <v>8.0170832732713748E-2</v>
      </c>
      <c r="BP549" s="29">
        <v>0</v>
      </c>
      <c r="BR549" s="22">
        <v>45094</v>
      </c>
      <c r="BS549" s="26">
        <f t="shared" ca="1" si="103"/>
        <v>0.54320940303228793</v>
      </c>
      <c r="BT549" s="29">
        <v>0</v>
      </c>
      <c r="BV549" s="22">
        <v>45094</v>
      </c>
      <c r="BW549" s="26">
        <f t="shared" ca="1" si="104"/>
        <v>0.96370380355215435</v>
      </c>
      <c r="BX549" s="29">
        <v>0</v>
      </c>
    </row>
    <row r="550" spans="2:76" ht="12.75" x14ac:dyDescent="0.2">
      <c r="B550" s="22">
        <v>45095</v>
      </c>
      <c r="C550" s="26">
        <f t="shared" ca="1" si="68"/>
        <v>0.73893706603401188</v>
      </c>
      <c r="D550" s="29">
        <f t="shared" ca="1" si="105"/>
        <v>88</v>
      </c>
      <c r="F550" s="22">
        <v>45095</v>
      </c>
      <c r="G550" s="26">
        <f t="shared" ca="1" si="88"/>
        <v>0.99516327767197299</v>
      </c>
      <c r="H550" s="29">
        <f t="shared" ca="1" si="79"/>
        <v>253</v>
      </c>
      <c r="J550" s="22">
        <v>45095</v>
      </c>
      <c r="K550" s="26">
        <f t="shared" ca="1" si="89"/>
        <v>0.20841888978237211</v>
      </c>
      <c r="L550" s="29">
        <f t="shared" ca="1" si="80"/>
        <v>142</v>
      </c>
      <c r="N550" s="22">
        <v>45095</v>
      </c>
      <c r="O550" s="26">
        <f t="shared" ca="1" si="90"/>
        <v>0.44931233318806241</v>
      </c>
      <c r="P550" s="29">
        <f t="shared" ca="1" si="81"/>
        <v>228</v>
      </c>
      <c r="R550" s="22">
        <v>45095</v>
      </c>
      <c r="S550" s="26">
        <f t="shared" ca="1" si="91"/>
        <v>0.14290461620274764</v>
      </c>
      <c r="T550" s="29">
        <f t="shared" ca="1" si="82"/>
        <v>129</v>
      </c>
      <c r="V550" s="22">
        <v>45095</v>
      </c>
      <c r="W550" s="26">
        <f t="shared" ca="1" si="92"/>
        <v>1.3172675527467592E-2</v>
      </c>
      <c r="X550" s="29">
        <f t="shared" ca="1" si="83"/>
        <v>192</v>
      </c>
      <c r="Z550" s="22">
        <v>45095</v>
      </c>
      <c r="AA550" s="26">
        <f t="shared" ca="1" si="93"/>
        <v>0.34721025209056211</v>
      </c>
      <c r="AB550" s="29">
        <f t="shared" ca="1" si="84"/>
        <v>263</v>
      </c>
      <c r="AC550"/>
      <c r="AD550" s="25"/>
      <c r="AF550" s="22">
        <v>45095</v>
      </c>
      <c r="AG550" s="26">
        <f t="shared" ca="1" si="94"/>
        <v>0.66681185711275959</v>
      </c>
      <c r="AH550" s="29">
        <f t="shared" ca="1" si="85"/>
        <v>365</v>
      </c>
      <c r="AJ550" s="22">
        <v>45095</v>
      </c>
      <c r="AK550" s="26">
        <f t="shared" ca="1" si="95"/>
        <v>0.47369719254462683</v>
      </c>
      <c r="AL550" s="29">
        <f t="shared" ca="1" si="86"/>
        <v>177</v>
      </c>
      <c r="AN550" s="22">
        <v>45095</v>
      </c>
      <c r="AO550" s="26">
        <f t="shared" ca="1" si="96"/>
        <v>0.12788017493305348</v>
      </c>
      <c r="AP550" s="29">
        <f t="shared" ca="1" si="87"/>
        <v>103</v>
      </c>
      <c r="AR550" s="22">
        <v>45095</v>
      </c>
      <c r="AS550" s="26">
        <f t="shared" ca="1" si="97"/>
        <v>0.1613210675461465</v>
      </c>
      <c r="AT550" s="29">
        <v>0</v>
      </c>
      <c r="AV550" s="22">
        <v>45095</v>
      </c>
      <c r="AW550" s="26">
        <f t="shared" ca="1" si="98"/>
        <v>0.53522927982417967</v>
      </c>
      <c r="AX550" s="29">
        <v>0</v>
      </c>
      <c r="AZ550" s="22">
        <v>45095</v>
      </c>
      <c r="BA550" s="26">
        <f t="shared" ca="1" si="99"/>
        <v>0.74204535229216195</v>
      </c>
      <c r="BB550" s="29">
        <v>0</v>
      </c>
      <c r="BC550"/>
      <c r="BD550" s="25"/>
      <c r="BF550" s="22">
        <v>45095</v>
      </c>
      <c r="BG550" s="26">
        <f t="shared" ca="1" si="100"/>
        <v>0.2104587597814116</v>
      </c>
      <c r="BH550" s="29">
        <v>0</v>
      </c>
      <c r="BJ550" s="22">
        <v>45095</v>
      </c>
      <c r="BK550" s="26">
        <f t="shared" ca="1" si="101"/>
        <v>0.85313906871732781</v>
      </c>
      <c r="BL550" s="29">
        <v>0</v>
      </c>
      <c r="BN550" s="22">
        <v>45095</v>
      </c>
      <c r="BO550" s="26">
        <f t="shared" ca="1" si="102"/>
        <v>0.79305445851440903</v>
      </c>
      <c r="BP550" s="29">
        <v>0</v>
      </c>
      <c r="BR550" s="22">
        <v>45095</v>
      </c>
      <c r="BS550" s="26">
        <f t="shared" ca="1" si="103"/>
        <v>0.88641280811905931</v>
      </c>
      <c r="BT550" s="29">
        <v>0</v>
      </c>
      <c r="BV550" s="22">
        <v>45095</v>
      </c>
      <c r="BW550" s="26">
        <f t="shared" ca="1" si="104"/>
        <v>0.84935716933279093</v>
      </c>
      <c r="BX550" s="29">
        <v>0</v>
      </c>
    </row>
    <row r="551" spans="2:76" ht="12.75" x14ac:dyDescent="0.2">
      <c r="B551" s="22">
        <v>45096</v>
      </c>
      <c r="C551" s="26">
        <f t="shared" ca="1" si="68"/>
        <v>0.42062131710334816</v>
      </c>
      <c r="D551" s="29">
        <f t="shared" ca="1" si="105"/>
        <v>71</v>
      </c>
      <c r="F551" s="22">
        <v>45096</v>
      </c>
      <c r="G551" s="26">
        <f t="shared" ca="1" si="88"/>
        <v>0.97927665960139199</v>
      </c>
      <c r="H551" s="29">
        <f t="shared" ca="1" si="79"/>
        <v>245</v>
      </c>
      <c r="J551" s="22">
        <v>45096</v>
      </c>
      <c r="K551" s="26">
        <f t="shared" ca="1" si="89"/>
        <v>0.52302310449274758</v>
      </c>
      <c r="L551" s="29">
        <f t="shared" ca="1" si="80"/>
        <v>151</v>
      </c>
      <c r="N551" s="22">
        <v>45096</v>
      </c>
      <c r="O551" s="26">
        <f t="shared" ca="1" si="90"/>
        <v>0.25489012085662011</v>
      </c>
      <c r="P551" s="29">
        <f t="shared" ca="1" si="81"/>
        <v>220</v>
      </c>
      <c r="R551" s="22">
        <v>45096</v>
      </c>
      <c r="S551" s="26">
        <f t="shared" ca="1" si="91"/>
        <v>0.64527312899796108</v>
      </c>
      <c r="T551" s="29">
        <f t="shared" ca="1" si="82"/>
        <v>143</v>
      </c>
      <c r="V551" s="22">
        <v>45096</v>
      </c>
      <c r="W551" s="26">
        <f t="shared" ca="1" si="92"/>
        <v>0.46630232983745301</v>
      </c>
      <c r="X551" s="29">
        <f t="shared" ca="1" si="83"/>
        <v>224</v>
      </c>
      <c r="Z551" s="22">
        <v>45096</v>
      </c>
      <c r="AA551" s="26">
        <f t="shared" ca="1" si="93"/>
        <v>0.64386326892436718</v>
      </c>
      <c r="AB551" s="29">
        <f t="shared" ca="1" si="84"/>
        <v>277</v>
      </c>
      <c r="AC551"/>
      <c r="AD551" s="25"/>
      <c r="AF551" s="22">
        <v>45096</v>
      </c>
      <c r="AG551" s="26">
        <f t="shared" ca="1" si="94"/>
        <v>0.41013142306354933</v>
      </c>
      <c r="AH551" s="29">
        <f t="shared" ca="1" si="85"/>
        <v>308</v>
      </c>
      <c r="AJ551" s="22">
        <v>45096</v>
      </c>
      <c r="AK551" s="26">
        <f t="shared" ca="1" si="95"/>
        <v>0.3403976257165563</v>
      </c>
      <c r="AL551" s="29">
        <f t="shared" ca="1" si="86"/>
        <v>161</v>
      </c>
      <c r="AN551" s="22">
        <v>45096</v>
      </c>
      <c r="AO551" s="26">
        <f t="shared" ca="1" si="96"/>
        <v>0.43703570313662476</v>
      </c>
      <c r="AP551" s="29">
        <f t="shared" ca="1" si="87"/>
        <v>141</v>
      </c>
      <c r="AR551" s="22">
        <v>45096</v>
      </c>
      <c r="AS551" s="26">
        <f t="shared" ca="1" si="97"/>
        <v>0.63085745637970514</v>
      </c>
      <c r="AT551" s="29">
        <v>0</v>
      </c>
      <c r="AV551" s="22">
        <v>45096</v>
      </c>
      <c r="AW551" s="26">
        <f t="shared" ca="1" si="98"/>
        <v>6.2338745656025374E-2</v>
      </c>
      <c r="AX551" s="29">
        <v>0</v>
      </c>
      <c r="AZ551" s="22">
        <v>45096</v>
      </c>
      <c r="BA551" s="26">
        <f t="shared" ca="1" si="99"/>
        <v>0.51317498055904431</v>
      </c>
      <c r="BB551" s="29">
        <v>0</v>
      </c>
      <c r="BC551"/>
      <c r="BD551" s="25"/>
      <c r="BF551" s="22">
        <v>45096</v>
      </c>
      <c r="BG551" s="26">
        <f t="shared" ca="1" si="100"/>
        <v>0.25531916454499815</v>
      </c>
      <c r="BH551" s="29">
        <v>0</v>
      </c>
      <c r="BJ551" s="22">
        <v>45096</v>
      </c>
      <c r="BK551" s="26">
        <f t="shared" ca="1" si="101"/>
        <v>0.59226508617906137</v>
      </c>
      <c r="BL551" s="29">
        <v>0</v>
      </c>
      <c r="BN551" s="22">
        <v>45096</v>
      </c>
      <c r="BO551" s="26">
        <f t="shared" ca="1" si="102"/>
        <v>0.54597741504470887</v>
      </c>
      <c r="BP551" s="29">
        <v>0</v>
      </c>
      <c r="BR551" s="22">
        <v>45096</v>
      </c>
      <c r="BS551" s="26">
        <f t="shared" ca="1" si="103"/>
        <v>0.2224168566863991</v>
      </c>
      <c r="BT551" s="29">
        <v>0</v>
      </c>
      <c r="BV551" s="22">
        <v>45096</v>
      </c>
      <c r="BW551" s="26">
        <f t="shared" ca="1" si="104"/>
        <v>0.7437307465103955</v>
      </c>
      <c r="BX551" s="29">
        <v>0</v>
      </c>
    </row>
    <row r="552" spans="2:76" ht="12.75" x14ac:dyDescent="0.2">
      <c r="B552" s="22">
        <v>45097</v>
      </c>
      <c r="C552" s="26">
        <f t="shared" ca="1" si="68"/>
        <v>0.75417289986456071</v>
      </c>
      <c r="D552" s="29">
        <f t="shared" ca="1" si="105"/>
        <v>89</v>
      </c>
      <c r="F552" s="22">
        <v>45097</v>
      </c>
      <c r="G552" s="26">
        <f t="shared" ca="1" si="88"/>
        <v>0.48625152319740361</v>
      </c>
      <c r="H552" s="29">
        <f t="shared" ca="1" si="79"/>
        <v>215</v>
      </c>
      <c r="J552" s="22">
        <v>45097</v>
      </c>
      <c r="K552" s="26">
        <f t="shared" ca="1" si="89"/>
        <v>0.66149244032860499</v>
      </c>
      <c r="L552" s="29">
        <f t="shared" ca="1" si="80"/>
        <v>155</v>
      </c>
      <c r="N552" s="22">
        <v>45097</v>
      </c>
      <c r="O552" s="26">
        <f t="shared" ca="1" si="90"/>
        <v>0.26684260978310093</v>
      </c>
      <c r="P552" s="29">
        <f t="shared" ca="1" si="81"/>
        <v>220</v>
      </c>
      <c r="R552" s="22">
        <v>45097</v>
      </c>
      <c r="S552" s="26">
        <f t="shared" ca="1" si="91"/>
        <v>0.61898347508390128</v>
      </c>
      <c r="T552" s="29">
        <f t="shared" ca="1" si="82"/>
        <v>142</v>
      </c>
      <c r="V552" s="22">
        <v>45097</v>
      </c>
      <c r="W552" s="26">
        <f t="shared" ca="1" si="92"/>
        <v>0.64346495018419847</v>
      </c>
      <c r="X552" s="29">
        <f t="shared" ca="1" si="83"/>
        <v>231</v>
      </c>
      <c r="Z552" s="22">
        <v>45097</v>
      </c>
      <c r="AA552" s="26">
        <f t="shared" ca="1" si="93"/>
        <v>0.33730868451180995</v>
      </c>
      <c r="AB552" s="29">
        <f t="shared" ca="1" si="84"/>
        <v>263</v>
      </c>
      <c r="AC552"/>
      <c r="AD552" s="25"/>
      <c r="AF552" s="22">
        <v>45097</v>
      </c>
      <c r="AG552" s="26">
        <f t="shared" ca="1" si="94"/>
        <v>0.18901179766727194</v>
      </c>
      <c r="AH552" s="29">
        <f t="shared" ca="1" si="85"/>
        <v>251</v>
      </c>
      <c r="AJ552" s="22">
        <v>45097</v>
      </c>
      <c r="AK552" s="26">
        <f t="shared" ca="1" si="95"/>
        <v>4.7812235920474566E-2</v>
      </c>
      <c r="AL552" s="29">
        <f t="shared" ca="1" si="86"/>
        <v>100</v>
      </c>
      <c r="AN552" s="22">
        <v>45097</v>
      </c>
      <c r="AO552" s="26">
        <f t="shared" ca="1" si="96"/>
        <v>0.744121749851544</v>
      </c>
      <c r="AP552" s="29">
        <f t="shared" ca="1" si="87"/>
        <v>173</v>
      </c>
      <c r="AR552" s="22">
        <v>45097</v>
      </c>
      <c r="AS552" s="26">
        <f t="shared" ca="1" si="97"/>
        <v>7.3644677707774275E-2</v>
      </c>
      <c r="AT552" s="29">
        <v>0</v>
      </c>
      <c r="AV552" s="22">
        <v>45097</v>
      </c>
      <c r="AW552" s="26">
        <f t="shared" ca="1" si="98"/>
        <v>0.30675233905747523</v>
      </c>
      <c r="AX552" s="29">
        <v>0</v>
      </c>
      <c r="AZ552" s="22">
        <v>45097</v>
      </c>
      <c r="BA552" s="26">
        <f t="shared" ca="1" si="99"/>
        <v>0.82670701872536001</v>
      </c>
      <c r="BB552" s="29">
        <v>0</v>
      </c>
      <c r="BC552"/>
      <c r="BD552" s="25"/>
      <c r="BF552" s="22">
        <v>45097</v>
      </c>
      <c r="BG552" s="26">
        <f t="shared" ca="1" si="100"/>
        <v>0.77227836420101437</v>
      </c>
      <c r="BH552" s="29">
        <v>0</v>
      </c>
      <c r="BJ552" s="22">
        <v>45097</v>
      </c>
      <c r="BK552" s="26">
        <f t="shared" ca="1" si="101"/>
        <v>5.8054850203005381E-3</v>
      </c>
      <c r="BL552" s="29">
        <v>0</v>
      </c>
      <c r="BN552" s="22">
        <v>45097</v>
      </c>
      <c r="BO552" s="26">
        <f t="shared" ca="1" si="102"/>
        <v>0.18540574792740383</v>
      </c>
      <c r="BP552" s="29">
        <v>0</v>
      </c>
      <c r="BR552" s="22">
        <v>45097</v>
      </c>
      <c r="BS552" s="26">
        <f t="shared" ca="1" si="103"/>
        <v>0.25201143482277433</v>
      </c>
      <c r="BT552" s="29">
        <v>0</v>
      </c>
      <c r="BV552" s="22">
        <v>45097</v>
      </c>
      <c r="BW552" s="26">
        <f t="shared" ca="1" si="104"/>
        <v>0.73179571260373566</v>
      </c>
      <c r="BX552" s="29">
        <v>0</v>
      </c>
    </row>
    <row r="553" spans="2:76" ht="12.75" x14ac:dyDescent="0.2">
      <c r="B553" s="22">
        <v>45098</v>
      </c>
      <c r="C553" s="26">
        <f t="shared" ca="1" si="68"/>
        <v>0.45048746936421113</v>
      </c>
      <c r="D553" s="29">
        <f t="shared" ca="1" si="105"/>
        <v>73</v>
      </c>
      <c r="F553" s="22">
        <v>45098</v>
      </c>
      <c r="G553" s="26">
        <f t="shared" ca="1" si="88"/>
        <v>0.75269651508379221</v>
      </c>
      <c r="H553" s="29">
        <f t="shared" ca="1" si="79"/>
        <v>226</v>
      </c>
      <c r="J553" s="22">
        <v>45098</v>
      </c>
      <c r="K553" s="26">
        <f t="shared" ca="1" si="89"/>
        <v>0.99908063955705828</v>
      </c>
      <c r="L553" s="29">
        <f t="shared" ca="1" si="80"/>
        <v>182</v>
      </c>
      <c r="N553" s="22">
        <v>45098</v>
      </c>
      <c r="O553" s="26">
        <f t="shared" ca="1" si="90"/>
        <v>0.39142883668171047</v>
      </c>
      <c r="P553" s="29">
        <f t="shared" ca="1" si="81"/>
        <v>226</v>
      </c>
      <c r="R553" s="22">
        <v>45098</v>
      </c>
      <c r="S553" s="26">
        <f t="shared" ca="1" si="91"/>
        <v>0.74361748136240957</v>
      </c>
      <c r="T553" s="29">
        <f t="shared" ca="1" si="82"/>
        <v>145</v>
      </c>
      <c r="V553" s="22">
        <v>45098</v>
      </c>
      <c r="W553" s="26">
        <f t="shared" ca="1" si="92"/>
        <v>0.69400778164457577</v>
      </c>
      <c r="X553" s="29">
        <f t="shared" ca="1" si="83"/>
        <v>233</v>
      </c>
      <c r="Z553" s="22">
        <v>45098</v>
      </c>
      <c r="AA553" s="26">
        <f t="shared" ca="1" si="93"/>
        <v>0.22087103389596563</v>
      </c>
      <c r="AB553" s="29">
        <f t="shared" ca="1" si="84"/>
        <v>257</v>
      </c>
      <c r="AC553"/>
      <c r="AD553" s="25"/>
      <c r="AF553" s="22">
        <v>45098</v>
      </c>
      <c r="AG553" s="26">
        <f t="shared" ca="1" si="94"/>
        <v>3.2437077008847903E-2</v>
      </c>
      <c r="AH553" s="29">
        <f t="shared" ca="1" si="85"/>
        <v>167</v>
      </c>
      <c r="AJ553" s="22">
        <v>45098</v>
      </c>
      <c r="AK553" s="26">
        <f t="shared" ca="1" si="95"/>
        <v>4.381781300879406E-2</v>
      </c>
      <c r="AL553" s="29">
        <f t="shared" ca="1" si="86"/>
        <v>98</v>
      </c>
      <c r="AN553" s="22">
        <v>45098</v>
      </c>
      <c r="AO553" s="26">
        <f t="shared" ca="1" si="96"/>
        <v>0.65118039773734171</v>
      </c>
      <c r="AP553" s="29">
        <f t="shared" ca="1" si="87"/>
        <v>163</v>
      </c>
      <c r="AR553" s="22">
        <v>45098</v>
      </c>
      <c r="AS553" s="26">
        <f t="shared" ca="1" si="97"/>
        <v>2.5651325866108077E-2</v>
      </c>
      <c r="AT553" s="29">
        <v>0</v>
      </c>
      <c r="AV553" s="22">
        <v>45098</v>
      </c>
      <c r="AW553" s="26">
        <f t="shared" ca="1" si="98"/>
        <v>0.64855409745458492</v>
      </c>
      <c r="AX553" s="29">
        <v>0</v>
      </c>
      <c r="AZ553" s="22">
        <v>45098</v>
      </c>
      <c r="BA553" s="26">
        <f t="shared" ca="1" si="99"/>
        <v>0.41190902247771721</v>
      </c>
      <c r="BB553" s="29">
        <v>0</v>
      </c>
      <c r="BC553"/>
      <c r="BD553" s="25"/>
      <c r="BF553" s="22">
        <v>45098</v>
      </c>
      <c r="BG553" s="26">
        <f t="shared" ca="1" si="100"/>
        <v>0.97488554450887444</v>
      </c>
      <c r="BH553" s="29">
        <v>0</v>
      </c>
      <c r="BJ553" s="22">
        <v>45098</v>
      </c>
      <c r="BK553" s="26">
        <f t="shared" ca="1" si="101"/>
        <v>0.42911259153485504</v>
      </c>
      <c r="BL553" s="29">
        <v>0</v>
      </c>
      <c r="BN553" s="22">
        <v>45098</v>
      </c>
      <c r="BO553" s="26">
        <f t="shared" ca="1" si="102"/>
        <v>0.46879974943770064</v>
      </c>
      <c r="BP553" s="29">
        <v>0</v>
      </c>
      <c r="BR553" s="22">
        <v>45098</v>
      </c>
      <c r="BS553" s="26">
        <f t="shared" ca="1" si="103"/>
        <v>0.72144098614766738</v>
      </c>
      <c r="BT553" s="29">
        <v>0</v>
      </c>
      <c r="BV553" s="22">
        <v>45098</v>
      </c>
      <c r="BW553" s="26">
        <f t="shared" ca="1" si="104"/>
        <v>0.15224903953997682</v>
      </c>
      <c r="BX553" s="29">
        <v>0</v>
      </c>
    </row>
    <row r="554" spans="2:76" ht="12.75" x14ac:dyDescent="0.2">
      <c r="B554" s="22">
        <v>45099</v>
      </c>
      <c r="C554" s="26">
        <f t="shared" ca="1" si="68"/>
        <v>0.62863288886242352</v>
      </c>
      <c r="D554" s="29">
        <f t="shared" ca="1" si="105"/>
        <v>82</v>
      </c>
      <c r="F554" s="22">
        <v>45099</v>
      </c>
      <c r="G554" s="26">
        <f t="shared" ca="1" si="88"/>
        <v>0.67955971601812537</v>
      </c>
      <c r="H554" s="29">
        <f t="shared" ca="1" si="79"/>
        <v>223</v>
      </c>
      <c r="J554" s="22">
        <v>45099</v>
      </c>
      <c r="K554" s="26">
        <f t="shared" ca="1" si="89"/>
        <v>0.66797310207344796</v>
      </c>
      <c r="L554" s="29">
        <f t="shared" ca="1" si="80"/>
        <v>155</v>
      </c>
      <c r="N554" s="22">
        <v>45099</v>
      </c>
      <c r="O554" s="26">
        <f t="shared" ca="1" si="90"/>
        <v>0.26603709476724768</v>
      </c>
      <c r="P554" s="29">
        <f t="shared" ca="1" si="81"/>
        <v>220</v>
      </c>
      <c r="R554" s="22">
        <v>45099</v>
      </c>
      <c r="S554" s="26">
        <f t="shared" ca="1" si="91"/>
        <v>0.18345877466091909</v>
      </c>
      <c r="T554" s="29">
        <f t="shared" ca="1" si="82"/>
        <v>131</v>
      </c>
      <c r="V554" s="22">
        <v>45099</v>
      </c>
      <c r="W554" s="26">
        <f t="shared" ca="1" si="92"/>
        <v>0.1376569668307942</v>
      </c>
      <c r="X554" s="29">
        <f t="shared" ca="1" si="83"/>
        <v>209</v>
      </c>
      <c r="Z554" s="22">
        <v>45099</v>
      </c>
      <c r="AA554" s="26">
        <f t="shared" ca="1" si="93"/>
        <v>0.29169517246838339</v>
      </c>
      <c r="AB554" s="29">
        <f t="shared" ca="1" si="84"/>
        <v>261</v>
      </c>
      <c r="AC554"/>
      <c r="AD554" s="25"/>
      <c r="AF554" s="22">
        <v>45099</v>
      </c>
      <c r="AG554" s="26">
        <f t="shared" ca="1" si="94"/>
        <v>0.70128947791751284</v>
      </c>
      <c r="AH554" s="29">
        <f t="shared" ca="1" si="85"/>
        <v>374</v>
      </c>
      <c r="AJ554" s="22">
        <v>45099</v>
      </c>
      <c r="AK554" s="26">
        <f t="shared" ca="1" si="95"/>
        <v>0.82372567626093096</v>
      </c>
      <c r="AL554" s="29">
        <f t="shared" ca="1" si="86"/>
        <v>225</v>
      </c>
      <c r="AN554" s="22">
        <v>45099</v>
      </c>
      <c r="AO554" s="26">
        <f t="shared" ca="1" si="96"/>
        <v>0.72851745658165812</v>
      </c>
      <c r="AP554" s="29">
        <f t="shared" ca="1" si="87"/>
        <v>172</v>
      </c>
      <c r="AR554" s="22">
        <v>45099</v>
      </c>
      <c r="AS554" s="26">
        <f t="shared" ca="1" si="97"/>
        <v>0.97612388161010044</v>
      </c>
      <c r="AT554" s="29">
        <v>0</v>
      </c>
      <c r="AV554" s="22">
        <v>45099</v>
      </c>
      <c r="AW554" s="26">
        <f t="shared" ca="1" si="98"/>
        <v>0.96480727853428705</v>
      </c>
      <c r="AX554" s="29">
        <v>0</v>
      </c>
      <c r="AZ554" s="22">
        <v>45099</v>
      </c>
      <c r="BA554" s="26">
        <f t="shared" ca="1" si="99"/>
        <v>0.83325286340107141</v>
      </c>
      <c r="BB554" s="29">
        <v>0</v>
      </c>
      <c r="BC554"/>
      <c r="BD554" s="25"/>
      <c r="BF554" s="22">
        <v>45099</v>
      </c>
      <c r="BG554" s="26">
        <f t="shared" ca="1" si="100"/>
        <v>0.2385047796283517</v>
      </c>
      <c r="BH554" s="29">
        <v>0</v>
      </c>
      <c r="BJ554" s="22">
        <v>45099</v>
      </c>
      <c r="BK554" s="26">
        <f t="shared" ca="1" si="101"/>
        <v>0.48687469688233709</v>
      </c>
      <c r="BL554" s="29">
        <v>0</v>
      </c>
      <c r="BN554" s="22">
        <v>45099</v>
      </c>
      <c r="BO554" s="26">
        <f t="shared" ca="1" si="102"/>
        <v>0.30915625109344369</v>
      </c>
      <c r="BP554" s="29">
        <v>0</v>
      </c>
      <c r="BR554" s="22">
        <v>45099</v>
      </c>
      <c r="BS554" s="26">
        <f t="shared" ca="1" si="103"/>
        <v>0.37680260267819599</v>
      </c>
      <c r="BT554" s="29">
        <v>0</v>
      </c>
      <c r="BV554" s="22">
        <v>45099</v>
      </c>
      <c r="BW554" s="26">
        <f t="shared" ca="1" si="104"/>
        <v>0.88462051127006569</v>
      </c>
      <c r="BX554" s="29">
        <v>0</v>
      </c>
    </row>
    <row r="555" spans="2:76" ht="12.75" x14ac:dyDescent="0.2">
      <c r="B555" s="22">
        <v>45100</v>
      </c>
      <c r="C555" s="26">
        <f t="shared" ca="1" si="68"/>
        <v>0.2483512068564141</v>
      </c>
      <c r="D555" s="29">
        <f t="shared" ca="1" si="105"/>
        <v>62</v>
      </c>
      <c r="F555" s="22">
        <v>45100</v>
      </c>
      <c r="G555" s="26">
        <f t="shared" ca="1" si="88"/>
        <v>0.34022715905508349</v>
      </c>
      <c r="H555" s="29">
        <f t="shared" ca="1" si="79"/>
        <v>210</v>
      </c>
      <c r="J555" s="22">
        <v>45100</v>
      </c>
      <c r="K555" s="26">
        <f t="shared" ca="1" si="89"/>
        <v>0.25711439158038063</v>
      </c>
      <c r="L555" s="29">
        <f t="shared" ca="1" si="80"/>
        <v>144</v>
      </c>
      <c r="N555" s="22">
        <v>45100</v>
      </c>
      <c r="O555" s="26">
        <f t="shared" ca="1" si="90"/>
        <v>0.91507234056745534</v>
      </c>
      <c r="P555" s="29">
        <f t="shared" ca="1" si="81"/>
        <v>251</v>
      </c>
      <c r="R555" s="22">
        <v>45100</v>
      </c>
      <c r="S555" s="26">
        <f t="shared" ca="1" si="91"/>
        <v>0.33026475155342871</v>
      </c>
      <c r="T555" s="29">
        <f t="shared" ca="1" si="82"/>
        <v>135</v>
      </c>
      <c r="V555" s="22">
        <v>45100</v>
      </c>
      <c r="W555" s="26">
        <f t="shared" ca="1" si="92"/>
        <v>0.18651631994998785</v>
      </c>
      <c r="X555" s="29">
        <f t="shared" ca="1" si="83"/>
        <v>212</v>
      </c>
      <c r="Z555" s="22">
        <v>45100</v>
      </c>
      <c r="AA555" s="26">
        <f t="shared" ca="1" si="93"/>
        <v>0.68430306745952807</v>
      </c>
      <c r="AB555" s="29">
        <f t="shared" ca="1" si="84"/>
        <v>279</v>
      </c>
      <c r="AC555"/>
      <c r="AD555" s="25"/>
      <c r="AF555" s="22">
        <v>45100</v>
      </c>
      <c r="AG555" s="26">
        <f t="shared" ca="1" si="94"/>
        <v>0.7879291873712938</v>
      </c>
      <c r="AH555" s="29">
        <f t="shared" ca="1" si="85"/>
        <v>397</v>
      </c>
      <c r="AJ555" s="22">
        <v>45100</v>
      </c>
      <c r="AK555" s="26">
        <f t="shared" ca="1" si="95"/>
        <v>0.48173563842006983</v>
      </c>
      <c r="AL555" s="29">
        <f t="shared" ca="1" si="86"/>
        <v>178</v>
      </c>
      <c r="AN555" s="22">
        <v>45100</v>
      </c>
      <c r="AO555" s="26">
        <f t="shared" ca="1" si="96"/>
        <v>0.31821337633346913</v>
      </c>
      <c r="AP555" s="29">
        <f t="shared" ca="1" si="87"/>
        <v>129</v>
      </c>
      <c r="AR555" s="22">
        <v>45100</v>
      </c>
      <c r="AS555" s="26">
        <f t="shared" ca="1" si="97"/>
        <v>0.33868312568036696</v>
      </c>
      <c r="AT555" s="29">
        <v>0</v>
      </c>
      <c r="AV555" s="22">
        <v>45100</v>
      </c>
      <c r="AW555" s="26">
        <f t="shared" ca="1" si="98"/>
        <v>0.85226593083603264</v>
      </c>
      <c r="AX555" s="29">
        <v>0</v>
      </c>
      <c r="AZ555" s="22">
        <v>45100</v>
      </c>
      <c r="BA555" s="26">
        <f t="shared" ca="1" si="99"/>
        <v>0.15294323965015999</v>
      </c>
      <c r="BB555" s="29">
        <v>0</v>
      </c>
      <c r="BC555"/>
      <c r="BD555" s="25"/>
      <c r="BF555" s="22">
        <v>45100</v>
      </c>
      <c r="BG555" s="26">
        <f t="shared" ca="1" si="100"/>
        <v>0.39114730109262819</v>
      </c>
      <c r="BH555" s="29">
        <v>0</v>
      </c>
      <c r="BJ555" s="22">
        <v>45100</v>
      </c>
      <c r="BK555" s="26">
        <f t="shared" ca="1" si="101"/>
        <v>0.17068306032912894</v>
      </c>
      <c r="BL555" s="29">
        <v>0</v>
      </c>
      <c r="BN555" s="22">
        <v>45100</v>
      </c>
      <c r="BO555" s="26">
        <f t="shared" ca="1" si="102"/>
        <v>0.66709608534121023</v>
      </c>
      <c r="BP555" s="29">
        <v>0</v>
      </c>
      <c r="BR555" s="22">
        <v>45100</v>
      </c>
      <c r="BS555" s="26">
        <f t="shared" ca="1" si="103"/>
        <v>0.34679954202011087</v>
      </c>
      <c r="BT555" s="29">
        <v>0</v>
      </c>
      <c r="BV555" s="22">
        <v>45100</v>
      </c>
      <c r="BW555" s="26">
        <f t="shared" ca="1" si="104"/>
        <v>0.65152160931342396</v>
      </c>
      <c r="BX555" s="29">
        <v>0</v>
      </c>
    </row>
    <row r="556" spans="2:76" ht="12.75" x14ac:dyDescent="0.2">
      <c r="B556" s="22">
        <v>45101</v>
      </c>
      <c r="C556" s="26">
        <f t="shared" ca="1" si="68"/>
        <v>0.37143507252253372</v>
      </c>
      <c r="D556" s="29">
        <f t="shared" ca="1" si="105"/>
        <v>69</v>
      </c>
      <c r="F556" s="22">
        <v>45101</v>
      </c>
      <c r="G556" s="26">
        <f t="shared" ca="1" si="88"/>
        <v>0.20509487096299417</v>
      </c>
      <c r="H556" s="29">
        <f t="shared" ca="1" si="79"/>
        <v>204</v>
      </c>
      <c r="J556" s="22">
        <v>45101</v>
      </c>
      <c r="K556" s="26">
        <f t="shared" ca="1" si="89"/>
        <v>0.5287927009297122</v>
      </c>
      <c r="L556" s="29">
        <f t="shared" ca="1" si="80"/>
        <v>151</v>
      </c>
      <c r="N556" s="22">
        <v>45101</v>
      </c>
      <c r="O556" s="26">
        <f t="shared" ca="1" si="90"/>
        <v>0.88331216036487836</v>
      </c>
      <c r="P556" s="29">
        <f t="shared" ca="1" si="81"/>
        <v>248</v>
      </c>
      <c r="R556" s="22">
        <v>45101</v>
      </c>
      <c r="S556" s="26">
        <f t="shared" ca="1" si="91"/>
        <v>0.59220932238996649</v>
      </c>
      <c r="T556" s="29">
        <f t="shared" ca="1" si="82"/>
        <v>141</v>
      </c>
      <c r="V556" s="22">
        <v>45101</v>
      </c>
      <c r="W556" s="26">
        <f t="shared" ca="1" si="92"/>
        <v>4.5361983139964313E-2</v>
      </c>
      <c r="X556" s="29">
        <f t="shared" ca="1" si="83"/>
        <v>200</v>
      </c>
      <c r="Z556" s="22">
        <v>45101</v>
      </c>
      <c r="AA556" s="26">
        <f t="shared" ca="1" si="93"/>
        <v>0.25948833898860713</v>
      </c>
      <c r="AB556" s="29">
        <f t="shared" ca="1" si="84"/>
        <v>259</v>
      </c>
      <c r="AC556"/>
      <c r="AD556" s="25"/>
      <c r="AF556" s="22">
        <v>45101</v>
      </c>
      <c r="AG556" s="26">
        <f t="shared" ca="1" si="94"/>
        <v>0.15364516879502166</v>
      </c>
      <c r="AH556" s="29">
        <f t="shared" ca="1" si="85"/>
        <v>238</v>
      </c>
      <c r="AJ556" s="22">
        <v>45101</v>
      </c>
      <c r="AK556" s="26">
        <f t="shared" ca="1" si="95"/>
        <v>0.2989278771505075</v>
      </c>
      <c r="AL556" s="29">
        <f t="shared" ca="1" si="86"/>
        <v>155</v>
      </c>
      <c r="AN556" s="22">
        <v>45101</v>
      </c>
      <c r="AO556" s="26">
        <f t="shared" ca="1" si="96"/>
        <v>0.31588418834854282</v>
      </c>
      <c r="AP556" s="29">
        <f t="shared" ca="1" si="87"/>
        <v>129</v>
      </c>
      <c r="AR556" s="22">
        <v>45101</v>
      </c>
      <c r="AS556" s="26">
        <f t="shared" ca="1" si="97"/>
        <v>0.48950921709522199</v>
      </c>
      <c r="AT556" s="29">
        <v>0</v>
      </c>
      <c r="AV556" s="22">
        <v>45101</v>
      </c>
      <c r="AW556" s="26">
        <f t="shared" ca="1" si="98"/>
        <v>0.81200031014015062</v>
      </c>
      <c r="AX556" s="29">
        <v>0</v>
      </c>
      <c r="AZ556" s="22">
        <v>45101</v>
      </c>
      <c r="BA556" s="26">
        <f t="shared" ca="1" si="99"/>
        <v>0.48418464824925023</v>
      </c>
      <c r="BB556" s="29">
        <v>0</v>
      </c>
      <c r="BC556"/>
      <c r="BD556" s="25"/>
      <c r="BF556" s="22">
        <v>45101</v>
      </c>
      <c r="BG556" s="26">
        <f t="shared" ca="1" si="100"/>
        <v>0.85071581272797459</v>
      </c>
      <c r="BH556" s="29">
        <v>0</v>
      </c>
      <c r="BJ556" s="22">
        <v>45101</v>
      </c>
      <c r="BK556" s="26">
        <f t="shared" ca="1" si="101"/>
        <v>0.12392763289713293</v>
      </c>
      <c r="BL556" s="29">
        <v>0</v>
      </c>
      <c r="BN556" s="22">
        <v>45101</v>
      </c>
      <c r="BO556" s="26">
        <f t="shared" ca="1" si="102"/>
        <v>0.30489596518685047</v>
      </c>
      <c r="BP556" s="29">
        <v>0</v>
      </c>
      <c r="BR556" s="22">
        <v>45101</v>
      </c>
      <c r="BS556" s="26">
        <f t="shared" ca="1" si="103"/>
        <v>0.15138382327629374</v>
      </c>
      <c r="BT556" s="29">
        <v>0</v>
      </c>
      <c r="BV556" s="22">
        <v>45101</v>
      </c>
      <c r="BW556" s="26">
        <f t="shared" ca="1" si="104"/>
        <v>0.5695136392124166</v>
      </c>
      <c r="BX556" s="29">
        <v>0</v>
      </c>
    </row>
    <row r="557" spans="2:76" ht="12.75" x14ac:dyDescent="0.2">
      <c r="B557" s="22">
        <v>45102</v>
      </c>
      <c r="C557" s="26">
        <f t="shared" ca="1" si="68"/>
        <v>0.76120221259612697</v>
      </c>
      <c r="D557" s="29">
        <f t="shared" ca="1" si="105"/>
        <v>90</v>
      </c>
      <c r="F557" s="22">
        <v>45102</v>
      </c>
      <c r="G557" s="26">
        <f t="shared" ca="1" si="88"/>
        <v>0.69334378976121092</v>
      </c>
      <c r="H557" s="29">
        <f t="shared" ca="1" si="79"/>
        <v>223</v>
      </c>
      <c r="J557" s="22">
        <v>45102</v>
      </c>
      <c r="K557" s="26">
        <f t="shared" ca="1" si="89"/>
        <v>0.54786246414173734</v>
      </c>
      <c r="L557" s="29">
        <f t="shared" ca="1" si="80"/>
        <v>152</v>
      </c>
      <c r="N557" s="22">
        <v>45102</v>
      </c>
      <c r="O557" s="26">
        <f t="shared" ca="1" si="90"/>
        <v>0.16865375242044289</v>
      </c>
      <c r="P557" s="29">
        <f t="shared" ca="1" si="81"/>
        <v>215</v>
      </c>
      <c r="R557" s="22">
        <v>45102</v>
      </c>
      <c r="S557" s="26">
        <f t="shared" ca="1" si="91"/>
        <v>4.6092748883157508E-2</v>
      </c>
      <c r="T557" s="29">
        <f t="shared" ca="1" si="82"/>
        <v>124</v>
      </c>
      <c r="V557" s="22">
        <v>45102</v>
      </c>
      <c r="W557" s="26">
        <f t="shared" ca="1" si="92"/>
        <v>0.42276408769620255</v>
      </c>
      <c r="X557" s="29">
        <f t="shared" ca="1" si="83"/>
        <v>223</v>
      </c>
      <c r="Z557" s="22">
        <v>45102</v>
      </c>
      <c r="AA557" s="26">
        <f t="shared" ca="1" si="93"/>
        <v>0.31161841654449807</v>
      </c>
      <c r="AB557" s="29">
        <f t="shared" ca="1" si="84"/>
        <v>262</v>
      </c>
      <c r="AC557"/>
      <c r="AD557" s="25"/>
      <c r="AF557" s="22">
        <v>45102</v>
      </c>
      <c r="AG557" s="26">
        <f t="shared" ca="1" si="94"/>
        <v>0.86087946203557408</v>
      </c>
      <c r="AH557" s="29">
        <f t="shared" ca="1" si="85"/>
        <v>422</v>
      </c>
      <c r="AJ557" s="22">
        <v>45102</v>
      </c>
      <c r="AK557" s="26">
        <f t="shared" ca="1" si="95"/>
        <v>0.90235265304824908</v>
      </c>
      <c r="AL557" s="29">
        <f t="shared" ca="1" si="86"/>
        <v>242</v>
      </c>
      <c r="AN557" s="22">
        <v>45102</v>
      </c>
      <c r="AO557" s="26">
        <f t="shared" ca="1" si="96"/>
        <v>5.8559467672407162E-2</v>
      </c>
      <c r="AP557" s="29">
        <f t="shared" ca="1" si="87"/>
        <v>86</v>
      </c>
      <c r="AR557" s="22">
        <v>45102</v>
      </c>
      <c r="AS557" s="26">
        <f t="shared" ca="1" si="97"/>
        <v>0.74197451653557767</v>
      </c>
      <c r="AT557" s="29">
        <v>0</v>
      </c>
      <c r="AV557" s="22">
        <v>45102</v>
      </c>
      <c r="AW557" s="26">
        <f t="shared" ca="1" si="98"/>
        <v>0.19713945186929194</v>
      </c>
      <c r="AX557" s="29">
        <v>0</v>
      </c>
      <c r="AZ557" s="22">
        <v>45102</v>
      </c>
      <c r="BA557" s="26">
        <f t="shared" ca="1" si="99"/>
        <v>0.4018737477829224</v>
      </c>
      <c r="BB557" s="29">
        <v>0</v>
      </c>
      <c r="BC557"/>
      <c r="BD557" s="25"/>
      <c r="BF557" s="22">
        <v>45102</v>
      </c>
      <c r="BG557" s="26">
        <f t="shared" ca="1" si="100"/>
        <v>0.49824007594479469</v>
      </c>
      <c r="BH557" s="29">
        <v>0</v>
      </c>
      <c r="BJ557" s="22">
        <v>45102</v>
      </c>
      <c r="BK557" s="26">
        <f t="shared" ca="1" si="101"/>
        <v>0.19899296453436155</v>
      </c>
      <c r="BL557" s="29">
        <v>0</v>
      </c>
      <c r="BN557" s="22">
        <v>45102</v>
      </c>
      <c r="BO557" s="26">
        <f t="shared" ca="1" si="102"/>
        <v>0.24018317453244442</v>
      </c>
      <c r="BP557" s="29">
        <v>0</v>
      </c>
      <c r="BR557" s="22">
        <v>45102</v>
      </c>
      <c r="BS557" s="26">
        <f t="shared" ca="1" si="103"/>
        <v>0.17070705525327645</v>
      </c>
      <c r="BT557" s="29">
        <v>0</v>
      </c>
      <c r="BV557" s="22">
        <v>45102</v>
      </c>
      <c r="BW557" s="26">
        <f t="shared" ca="1" si="104"/>
        <v>0.57800504874309</v>
      </c>
      <c r="BX557" s="29">
        <v>0</v>
      </c>
    </row>
    <row r="558" spans="2:76" ht="12.75" x14ac:dyDescent="0.2">
      <c r="B558" s="22">
        <v>45103</v>
      </c>
      <c r="C558" s="26">
        <f t="shared" ca="1" si="68"/>
        <v>0.54960440463244653</v>
      </c>
      <c r="D558" s="29">
        <f t="shared" ca="1" si="105"/>
        <v>78</v>
      </c>
      <c r="F558" s="22">
        <v>45103</v>
      </c>
      <c r="G558" s="26">
        <f t="shared" ca="1" si="88"/>
        <v>1.2445973052861548E-2</v>
      </c>
      <c r="H558" s="29">
        <f t="shared" ca="1" si="79"/>
        <v>184</v>
      </c>
      <c r="J558" s="22">
        <v>45103</v>
      </c>
      <c r="K558" s="26">
        <f t="shared" ca="1" si="89"/>
        <v>0.18202837586119014</v>
      </c>
      <c r="L558" s="29">
        <f t="shared" ca="1" si="80"/>
        <v>141</v>
      </c>
      <c r="N558" s="22">
        <v>45103</v>
      </c>
      <c r="O558" s="26">
        <f t="shared" ca="1" si="90"/>
        <v>0.23353834746260405</v>
      </c>
      <c r="P558" s="29">
        <f t="shared" ca="1" si="81"/>
        <v>219</v>
      </c>
      <c r="R558" s="22">
        <v>45103</v>
      </c>
      <c r="S558" s="26">
        <f t="shared" ca="1" si="91"/>
        <v>0.42011130895401005</v>
      </c>
      <c r="T558" s="29">
        <f t="shared" ca="1" si="82"/>
        <v>137</v>
      </c>
      <c r="V558" s="22">
        <v>45103</v>
      </c>
      <c r="W558" s="26">
        <f t="shared" ca="1" si="92"/>
        <v>0.20716750051682609</v>
      </c>
      <c r="X558" s="29">
        <f t="shared" ca="1" si="83"/>
        <v>213</v>
      </c>
      <c r="Z558" s="22">
        <v>45103</v>
      </c>
      <c r="AA558" s="26">
        <f t="shared" ca="1" si="93"/>
        <v>0.81806547400771845</v>
      </c>
      <c r="AB558" s="29">
        <f t="shared" ca="1" si="84"/>
        <v>287</v>
      </c>
      <c r="AC558"/>
      <c r="AD558" s="25"/>
      <c r="AF558" s="22">
        <v>45103</v>
      </c>
      <c r="AG558" s="26">
        <f t="shared" ca="1" si="94"/>
        <v>0.56125896115460205</v>
      </c>
      <c r="AH558" s="29">
        <f t="shared" ca="1" si="85"/>
        <v>341</v>
      </c>
      <c r="AJ558" s="22">
        <v>45103</v>
      </c>
      <c r="AK558" s="26">
        <f t="shared" ca="1" si="95"/>
        <v>0.1971958582738681</v>
      </c>
      <c r="AL558" s="29">
        <f t="shared" ca="1" si="86"/>
        <v>140</v>
      </c>
      <c r="AN558" s="22">
        <v>45103</v>
      </c>
      <c r="AO558" s="26">
        <f t="shared" ca="1" si="96"/>
        <v>6.9444439919971401E-2</v>
      </c>
      <c r="AP558" s="29">
        <f t="shared" ca="1" si="87"/>
        <v>90</v>
      </c>
      <c r="AR558" s="22">
        <v>45103</v>
      </c>
      <c r="AS558" s="26">
        <f t="shared" ca="1" si="97"/>
        <v>0.81404430156702046</v>
      </c>
      <c r="AT558" s="29">
        <v>0</v>
      </c>
      <c r="AV558" s="22">
        <v>45103</v>
      </c>
      <c r="AW558" s="26">
        <f t="shared" ca="1" si="98"/>
        <v>0.61604950848160123</v>
      </c>
      <c r="AX558" s="29">
        <v>0</v>
      </c>
      <c r="AZ558" s="22">
        <v>45103</v>
      </c>
      <c r="BA558" s="26">
        <f t="shared" ca="1" si="99"/>
        <v>0.61554402741634517</v>
      </c>
      <c r="BB558" s="29">
        <v>0</v>
      </c>
      <c r="BC558"/>
      <c r="BD558" s="25"/>
      <c r="BF558" s="22">
        <v>45103</v>
      </c>
      <c r="BG558" s="26">
        <f t="shared" ca="1" si="100"/>
        <v>0.90509312852286183</v>
      </c>
      <c r="BH558" s="29">
        <v>0</v>
      </c>
      <c r="BJ558" s="22">
        <v>45103</v>
      </c>
      <c r="BK558" s="26">
        <f t="shared" ca="1" si="101"/>
        <v>0.10140293513806253</v>
      </c>
      <c r="BL558" s="29">
        <v>0</v>
      </c>
      <c r="BN558" s="22">
        <v>45103</v>
      </c>
      <c r="BO558" s="26">
        <f t="shared" ca="1" si="102"/>
        <v>0.58317269905307256</v>
      </c>
      <c r="BP558" s="29">
        <v>0</v>
      </c>
      <c r="BR558" s="22">
        <v>45103</v>
      </c>
      <c r="BS558" s="26">
        <f t="shared" ca="1" si="103"/>
        <v>0.74700537696117941</v>
      </c>
      <c r="BT558" s="29">
        <v>0</v>
      </c>
      <c r="BV558" s="22">
        <v>45103</v>
      </c>
      <c r="BW558" s="26">
        <f t="shared" ca="1" si="104"/>
        <v>0.82353757802174243</v>
      </c>
      <c r="BX558" s="29">
        <v>0</v>
      </c>
    </row>
    <row r="559" spans="2:76" ht="12.75" x14ac:dyDescent="0.2">
      <c r="B559" s="22">
        <v>45104</v>
      </c>
      <c r="C559" s="26">
        <f t="shared" ca="1" si="68"/>
        <v>0.79415512405993438</v>
      </c>
      <c r="D559" s="29">
        <f t="shared" ca="1" si="105"/>
        <v>92</v>
      </c>
      <c r="F559" s="22">
        <v>45104</v>
      </c>
      <c r="G559" s="26">
        <f t="shared" ca="1" si="88"/>
        <v>0.47291750127690246</v>
      </c>
      <c r="H559" s="29">
        <f t="shared" ca="1" si="79"/>
        <v>215</v>
      </c>
      <c r="J559" s="22">
        <v>45104</v>
      </c>
      <c r="K559" s="26">
        <f t="shared" ca="1" si="89"/>
        <v>0.10243082429756967</v>
      </c>
      <c r="L559" s="29">
        <f t="shared" ca="1" si="80"/>
        <v>138</v>
      </c>
      <c r="N559" s="22">
        <v>45104</v>
      </c>
      <c r="O559" s="26">
        <f t="shared" ca="1" si="90"/>
        <v>0.15028921236354953</v>
      </c>
      <c r="P559" s="29">
        <f t="shared" ca="1" si="81"/>
        <v>214</v>
      </c>
      <c r="R559" s="22">
        <v>45104</v>
      </c>
      <c r="S559" s="26">
        <f t="shared" ca="1" si="91"/>
        <v>0.70821290796187186</v>
      </c>
      <c r="T559" s="29">
        <f t="shared" ca="1" si="82"/>
        <v>144</v>
      </c>
      <c r="V559" s="22">
        <v>45104</v>
      </c>
      <c r="W559" s="26">
        <f t="shared" ca="1" si="92"/>
        <v>0.94449229963993364</v>
      </c>
      <c r="X559" s="29">
        <f t="shared" ca="1" si="83"/>
        <v>249</v>
      </c>
      <c r="Z559" s="22">
        <v>45104</v>
      </c>
      <c r="AA559" s="26">
        <f t="shared" ca="1" si="93"/>
        <v>0.96957443877279292</v>
      </c>
      <c r="AB559" s="29">
        <f t="shared" ca="1" si="84"/>
        <v>304</v>
      </c>
      <c r="AC559"/>
      <c r="AD559" s="25"/>
      <c r="AF559" s="22">
        <v>45104</v>
      </c>
      <c r="AG559" s="26">
        <f t="shared" ca="1" si="94"/>
        <v>9.8703293341917409E-3</v>
      </c>
      <c r="AH559" s="29">
        <f t="shared" ca="1" si="85"/>
        <v>124</v>
      </c>
      <c r="AJ559" s="22">
        <v>45104</v>
      </c>
      <c r="AK559" s="26">
        <f t="shared" ca="1" si="95"/>
        <v>0.21227803977231952</v>
      </c>
      <c r="AL559" s="29">
        <f t="shared" ca="1" si="86"/>
        <v>142</v>
      </c>
      <c r="AN559" s="22">
        <v>45104</v>
      </c>
      <c r="AO559" s="26">
        <f t="shared" ca="1" si="96"/>
        <v>0.39872236197726918</v>
      </c>
      <c r="AP559" s="29">
        <f t="shared" ca="1" si="87"/>
        <v>138</v>
      </c>
      <c r="AR559" s="22">
        <v>45104</v>
      </c>
      <c r="AS559" s="26">
        <f t="shared" ca="1" si="97"/>
        <v>0.52519266160827438</v>
      </c>
      <c r="AT559" s="29">
        <v>0</v>
      </c>
      <c r="AV559" s="22">
        <v>45104</v>
      </c>
      <c r="AW559" s="26">
        <f t="shared" ca="1" si="98"/>
        <v>0.24650370306938163</v>
      </c>
      <c r="AX559" s="29">
        <v>0</v>
      </c>
      <c r="AZ559" s="22">
        <v>45104</v>
      </c>
      <c r="BA559" s="26">
        <f t="shared" ca="1" si="99"/>
        <v>9.4127412348651185E-2</v>
      </c>
      <c r="BB559" s="29">
        <v>0</v>
      </c>
      <c r="BC559"/>
      <c r="BD559" s="25"/>
      <c r="BF559" s="22">
        <v>45104</v>
      </c>
      <c r="BG559" s="26">
        <f t="shared" ca="1" si="100"/>
        <v>0.49874315878366782</v>
      </c>
      <c r="BH559" s="29">
        <v>0</v>
      </c>
      <c r="BJ559" s="22">
        <v>45104</v>
      </c>
      <c r="BK559" s="26">
        <f t="shared" ca="1" si="101"/>
        <v>0.31711530782171915</v>
      </c>
      <c r="BL559" s="29">
        <v>0</v>
      </c>
      <c r="BN559" s="22">
        <v>45104</v>
      </c>
      <c r="BO559" s="26">
        <f t="shared" ca="1" si="102"/>
        <v>0.87967847148945899</v>
      </c>
      <c r="BP559" s="29">
        <v>0</v>
      </c>
      <c r="BR559" s="22">
        <v>45104</v>
      </c>
      <c r="BS559" s="26">
        <f t="shared" ca="1" si="103"/>
        <v>0.30762041129004913</v>
      </c>
      <c r="BT559" s="29">
        <v>0</v>
      </c>
      <c r="BV559" s="22">
        <v>45104</v>
      </c>
      <c r="BW559" s="26">
        <f t="shared" ca="1" si="104"/>
        <v>0.42132352945527229</v>
      </c>
      <c r="BX559" s="29">
        <v>0</v>
      </c>
    </row>
    <row r="560" spans="2:76" ht="12.75" x14ac:dyDescent="0.2">
      <c r="B560" s="22">
        <v>45105</v>
      </c>
      <c r="C560" s="26">
        <f t="shared" ca="1" si="68"/>
        <v>0.64373848646593179</v>
      </c>
      <c r="D560" s="29">
        <f t="shared" ca="1" si="105"/>
        <v>83</v>
      </c>
      <c r="F560" s="22">
        <v>45105</v>
      </c>
      <c r="G560" s="26">
        <f t="shared" ca="1" si="88"/>
        <v>0.634022154354136</v>
      </c>
      <c r="H560" s="29">
        <f t="shared" ca="1" si="79"/>
        <v>221</v>
      </c>
      <c r="J560" s="22">
        <v>45105</v>
      </c>
      <c r="K560" s="26">
        <f t="shared" ca="1" si="89"/>
        <v>0.11327593441771333</v>
      </c>
      <c r="L560" s="29">
        <f t="shared" ca="1" si="80"/>
        <v>138</v>
      </c>
      <c r="N560" s="22">
        <v>45105</v>
      </c>
      <c r="O560" s="26">
        <f t="shared" ca="1" si="90"/>
        <v>0.97427273565105965</v>
      </c>
      <c r="P560" s="29">
        <f t="shared" ca="1" si="81"/>
        <v>260</v>
      </c>
      <c r="R560" s="22">
        <v>45105</v>
      </c>
      <c r="S560" s="26">
        <f t="shared" ca="1" si="91"/>
        <v>0.97501698457620556</v>
      </c>
      <c r="T560" s="29">
        <f t="shared" ca="1" si="82"/>
        <v>157</v>
      </c>
      <c r="V560" s="22">
        <v>45105</v>
      </c>
      <c r="W560" s="26">
        <f t="shared" ca="1" si="92"/>
        <v>0.92227871469686762</v>
      </c>
      <c r="X560" s="29">
        <f t="shared" ca="1" si="83"/>
        <v>247</v>
      </c>
      <c r="Z560" s="22">
        <v>45105</v>
      </c>
      <c r="AA560" s="26">
        <f t="shared" ca="1" si="93"/>
        <v>0.51688253224493241</v>
      </c>
      <c r="AB560" s="29">
        <f t="shared" ca="1" si="84"/>
        <v>271</v>
      </c>
      <c r="AC560"/>
      <c r="AD560" s="25"/>
      <c r="AF560" s="22">
        <v>45105</v>
      </c>
      <c r="AG560" s="26">
        <f t="shared" ca="1" si="94"/>
        <v>0.94430063080510207</v>
      </c>
      <c r="AH560" s="29">
        <f t="shared" ca="1" si="85"/>
        <v>466</v>
      </c>
      <c r="AJ560" s="22">
        <v>45105</v>
      </c>
      <c r="AK560" s="26">
        <f t="shared" ca="1" si="95"/>
        <v>0.83444200208707342</v>
      </c>
      <c r="AL560" s="29">
        <f t="shared" ca="1" si="86"/>
        <v>227</v>
      </c>
      <c r="AN560" s="22">
        <v>45105</v>
      </c>
      <c r="AO560" s="26">
        <f t="shared" ca="1" si="96"/>
        <v>0.11922333554263176</v>
      </c>
      <c r="AP560" s="29">
        <f t="shared" ca="1" si="87"/>
        <v>101</v>
      </c>
      <c r="AR560" s="22">
        <v>45105</v>
      </c>
      <c r="AS560" s="26">
        <f t="shared" ca="1" si="97"/>
        <v>0.39958958257195054</v>
      </c>
      <c r="AT560" s="29">
        <v>0</v>
      </c>
      <c r="AV560" s="22">
        <v>45105</v>
      </c>
      <c r="AW560" s="26">
        <f t="shared" ca="1" si="98"/>
        <v>4.9548075066544905E-2</v>
      </c>
      <c r="AX560" s="29">
        <v>0</v>
      </c>
      <c r="AZ560" s="22">
        <v>45105</v>
      </c>
      <c r="BA560" s="26">
        <f t="shared" ca="1" si="99"/>
        <v>0.99698887042679296</v>
      </c>
      <c r="BB560" s="29">
        <v>0</v>
      </c>
      <c r="BC560"/>
      <c r="BD560" s="25"/>
      <c r="BF560" s="22">
        <v>45105</v>
      </c>
      <c r="BG560" s="26">
        <f t="shared" ca="1" si="100"/>
        <v>0.26409031422211038</v>
      </c>
      <c r="BH560" s="29">
        <v>0</v>
      </c>
      <c r="BJ560" s="22">
        <v>45105</v>
      </c>
      <c r="BK560" s="26">
        <f t="shared" ca="1" si="101"/>
        <v>0.65601552544074671</v>
      </c>
      <c r="BL560" s="29">
        <v>0</v>
      </c>
      <c r="BN560" s="22">
        <v>45105</v>
      </c>
      <c r="BO560" s="26">
        <f t="shared" ca="1" si="102"/>
        <v>0.44010929262541432</v>
      </c>
      <c r="BP560" s="29">
        <v>0</v>
      </c>
      <c r="BR560" s="22">
        <v>45105</v>
      </c>
      <c r="BS560" s="26">
        <f t="shared" ca="1" si="103"/>
        <v>0.63530172565459131</v>
      </c>
      <c r="BT560" s="29">
        <v>0</v>
      </c>
      <c r="BV560" s="22">
        <v>45105</v>
      </c>
      <c r="BW560" s="26">
        <f t="shared" ca="1" si="104"/>
        <v>0.36677120687145093</v>
      </c>
      <c r="BX560" s="29">
        <v>0</v>
      </c>
    </row>
    <row r="561" spans="2:77" ht="12.75" x14ac:dyDescent="0.2">
      <c r="B561" s="22">
        <v>45106</v>
      </c>
      <c r="C561" s="26">
        <f t="shared" ca="1" si="68"/>
        <v>0.30197570437126253</v>
      </c>
      <c r="D561" s="29">
        <f t="shared" ca="1" si="105"/>
        <v>65</v>
      </c>
      <c r="F561" s="22">
        <v>45106</v>
      </c>
      <c r="G561" s="26">
        <f t="shared" ca="1" si="88"/>
        <v>0.28459781739040435</v>
      </c>
      <c r="H561" s="29">
        <f t="shared" ca="1" si="79"/>
        <v>208</v>
      </c>
      <c r="J561" s="22">
        <v>45106</v>
      </c>
      <c r="K561" s="26">
        <f t="shared" ca="1" si="89"/>
        <v>0.59220701320184588</v>
      </c>
      <c r="L561" s="29">
        <f t="shared" ca="1" si="80"/>
        <v>153</v>
      </c>
      <c r="N561" s="22">
        <v>45106</v>
      </c>
      <c r="O561" s="26">
        <f t="shared" ca="1" si="90"/>
        <v>0.53696927079844547</v>
      </c>
      <c r="P561" s="29">
        <f t="shared" ca="1" si="81"/>
        <v>231</v>
      </c>
      <c r="R561" s="22">
        <v>45106</v>
      </c>
      <c r="S561" s="26">
        <f t="shared" ca="1" si="91"/>
        <v>0.23677637799201945</v>
      </c>
      <c r="T561" s="29">
        <f t="shared" ca="1" si="82"/>
        <v>133</v>
      </c>
      <c r="V561" s="22">
        <v>45106</v>
      </c>
      <c r="W561" s="26">
        <f t="shared" ca="1" si="92"/>
        <v>0.93216762509324902</v>
      </c>
      <c r="X561" s="29">
        <f t="shared" ca="1" si="83"/>
        <v>248</v>
      </c>
      <c r="Z561" s="22">
        <v>45106</v>
      </c>
      <c r="AA561" s="26">
        <f t="shared" ca="1" si="93"/>
        <v>0.20243367614279872</v>
      </c>
      <c r="AB561" s="29">
        <f t="shared" ca="1" si="84"/>
        <v>256</v>
      </c>
      <c r="AC561"/>
      <c r="AD561" s="25"/>
      <c r="AF561" s="22">
        <v>45106</v>
      </c>
      <c r="AG561" s="26">
        <f t="shared" ca="1" si="94"/>
        <v>0.69271211421236756</v>
      </c>
      <c r="AH561" s="29">
        <f t="shared" ca="1" si="85"/>
        <v>371</v>
      </c>
      <c r="AJ561" s="22">
        <v>45106</v>
      </c>
      <c r="AK561" s="26">
        <f t="shared" ca="1" si="95"/>
        <v>0.79571424613091202</v>
      </c>
      <c r="AL561" s="29">
        <f t="shared" ca="1" si="86"/>
        <v>220</v>
      </c>
      <c r="AN561" s="22">
        <v>45106</v>
      </c>
      <c r="AO561" s="26">
        <f t="shared" ca="1" si="96"/>
        <v>0.89401949955182725</v>
      </c>
      <c r="AP561" s="29">
        <f t="shared" ca="1" si="87"/>
        <v>197</v>
      </c>
      <c r="AR561" s="22">
        <v>45106</v>
      </c>
      <c r="AS561" s="26">
        <f t="shared" ca="1" si="97"/>
        <v>0.55191348067835977</v>
      </c>
      <c r="AT561" s="29">
        <v>0</v>
      </c>
      <c r="AV561" s="22">
        <v>45106</v>
      </c>
      <c r="AW561" s="26">
        <f t="shared" ca="1" si="98"/>
        <v>0.1003687207699151</v>
      </c>
      <c r="AX561" s="29">
        <v>0</v>
      </c>
      <c r="AZ561" s="22">
        <v>45106</v>
      </c>
      <c r="BA561" s="26">
        <f t="shared" ca="1" si="99"/>
        <v>0.26610864618178565</v>
      </c>
      <c r="BB561" s="29">
        <v>0</v>
      </c>
      <c r="BC561"/>
      <c r="BD561" s="25"/>
      <c r="BF561" s="22">
        <v>45106</v>
      </c>
      <c r="BG561" s="26">
        <f t="shared" ca="1" si="100"/>
        <v>3.6990198706349342E-2</v>
      </c>
      <c r="BH561" s="29">
        <v>0</v>
      </c>
      <c r="BJ561" s="22">
        <v>45106</v>
      </c>
      <c r="BK561" s="26">
        <f t="shared" ca="1" si="101"/>
        <v>0.37888246570703865</v>
      </c>
      <c r="BL561" s="29">
        <v>0</v>
      </c>
      <c r="BN561" s="22">
        <v>45106</v>
      </c>
      <c r="BO561" s="26">
        <f t="shared" ca="1" si="102"/>
        <v>0.53490463336502325</v>
      </c>
      <c r="BP561" s="29">
        <v>0</v>
      </c>
      <c r="BR561" s="22">
        <v>45106</v>
      </c>
      <c r="BS561" s="26">
        <f t="shared" ca="1" si="103"/>
        <v>0.23501293164833026</v>
      </c>
      <c r="BT561" s="29">
        <v>0</v>
      </c>
      <c r="BV561" s="22">
        <v>45106</v>
      </c>
      <c r="BW561" s="26">
        <f t="shared" ca="1" si="104"/>
        <v>0.15798542118154024</v>
      </c>
      <c r="BX561" s="29">
        <v>0</v>
      </c>
    </row>
    <row r="562" spans="2:77" ht="12.75" x14ac:dyDescent="0.2">
      <c r="B562" s="22">
        <v>45107</v>
      </c>
      <c r="C562" s="26">
        <f t="shared" ca="1" si="68"/>
        <v>0.75950830083463772</v>
      </c>
      <c r="D562" s="29">
        <f t="shared" ca="1" si="105"/>
        <v>90</v>
      </c>
      <c r="E562">
        <v>2213</v>
      </c>
      <c r="F562" s="22">
        <v>45107</v>
      </c>
      <c r="G562" s="26">
        <f t="shared" ca="1" si="88"/>
        <v>0.15527317541485075</v>
      </c>
      <c r="H562" s="29">
        <f t="shared" ca="1" si="79"/>
        <v>201</v>
      </c>
      <c r="I562">
        <v>6496</v>
      </c>
      <c r="J562" s="22">
        <v>45107</v>
      </c>
      <c r="K562" s="26">
        <f t="shared" ca="1" si="89"/>
        <v>0.75959325287667012</v>
      </c>
      <c r="L562" s="29">
        <f t="shared" ca="1" si="80"/>
        <v>158</v>
      </c>
      <c r="M562">
        <v>4527</v>
      </c>
      <c r="N562" s="22">
        <v>45107</v>
      </c>
      <c r="O562" s="26">
        <f t="shared" ca="1" si="90"/>
        <v>0.43464591054839907</v>
      </c>
      <c r="P562" s="29">
        <f t="shared" ca="1" si="81"/>
        <v>227</v>
      </c>
      <c r="Q562">
        <v>6846</v>
      </c>
      <c r="R562" s="22">
        <v>45107</v>
      </c>
      <c r="S562" s="26">
        <f t="shared" ca="1" si="91"/>
        <v>8.5157995739015613E-2</v>
      </c>
      <c r="T562" s="29">
        <f t="shared" ca="1" si="82"/>
        <v>127</v>
      </c>
      <c r="U562">
        <v>4161</v>
      </c>
      <c r="V562" s="22">
        <v>45107</v>
      </c>
      <c r="W562" s="26">
        <f t="shared" ca="1" si="92"/>
        <v>0.86485035111023389</v>
      </c>
      <c r="X562" s="29">
        <f t="shared" ca="1" si="83"/>
        <v>242</v>
      </c>
      <c r="Y562">
        <v>6784</v>
      </c>
      <c r="Z562" s="22">
        <v>45107</v>
      </c>
      <c r="AA562" s="26">
        <f t="shared" ca="1" si="93"/>
        <v>0.11093560460952145</v>
      </c>
      <c r="AB562" s="29">
        <f t="shared" ca="1" si="84"/>
        <v>249</v>
      </c>
      <c r="AC562">
        <v>7978</v>
      </c>
      <c r="AD562" s="25"/>
      <c r="AF562" s="22">
        <v>45107</v>
      </c>
      <c r="AG562" s="26">
        <f t="shared" ca="1" si="94"/>
        <v>0.64972047781684938</v>
      </c>
      <c r="AH562" s="29">
        <f t="shared" ca="1" si="85"/>
        <v>361</v>
      </c>
      <c r="AI562">
        <v>10079</v>
      </c>
      <c r="AJ562" s="22">
        <v>45107</v>
      </c>
      <c r="AK562" s="26">
        <f t="shared" ca="1" si="95"/>
        <v>0.7011248719543115</v>
      </c>
      <c r="AL562" s="29">
        <f t="shared" ca="1" si="86"/>
        <v>206</v>
      </c>
      <c r="AM562">
        <v>5553</v>
      </c>
      <c r="AN562" s="22">
        <v>45107</v>
      </c>
      <c r="AO562" s="26">
        <f t="shared" ca="1" si="96"/>
        <v>0.7749408091811999</v>
      </c>
      <c r="AP562" s="29">
        <f t="shared" ca="1" si="87"/>
        <v>177</v>
      </c>
      <c r="AQ562">
        <v>4424</v>
      </c>
      <c r="AR562" s="22">
        <v>45107</v>
      </c>
      <c r="AS562" s="26">
        <f t="shared" ca="1" si="97"/>
        <v>0.19223580955902508</v>
      </c>
      <c r="AT562" s="29">
        <v>0</v>
      </c>
      <c r="AU562">
        <v>0</v>
      </c>
      <c r="AV562" s="22">
        <v>45107</v>
      </c>
      <c r="AW562" s="26">
        <f t="shared" ca="1" si="98"/>
        <v>4.8176336773057882E-2</v>
      </c>
      <c r="AX562" s="29">
        <v>0</v>
      </c>
      <c r="AY562">
        <v>0</v>
      </c>
      <c r="AZ562" s="22">
        <v>45107</v>
      </c>
      <c r="BA562" s="26">
        <f t="shared" ca="1" si="99"/>
        <v>0.91564523643255624</v>
      </c>
      <c r="BB562" s="29">
        <v>0</v>
      </c>
      <c r="BC562">
        <v>0</v>
      </c>
      <c r="BD562" s="25"/>
      <c r="BF562" s="22">
        <v>45107</v>
      </c>
      <c r="BG562" s="26">
        <f t="shared" ca="1" si="100"/>
        <v>0.57479553922298965</v>
      </c>
      <c r="BH562" s="29">
        <v>0</v>
      </c>
      <c r="BI562">
        <v>0</v>
      </c>
      <c r="BJ562" s="22">
        <v>45107</v>
      </c>
      <c r="BK562" s="26">
        <f t="shared" ca="1" si="101"/>
        <v>0.63871716084995955</v>
      </c>
      <c r="BL562" s="29">
        <v>0</v>
      </c>
      <c r="BM562">
        <v>0</v>
      </c>
      <c r="BN562" s="22">
        <v>45107</v>
      </c>
      <c r="BO562" s="26">
        <f t="shared" ca="1" si="102"/>
        <v>0.94381074161050638</v>
      </c>
      <c r="BP562" s="29">
        <v>0</v>
      </c>
      <c r="BQ562">
        <v>0</v>
      </c>
      <c r="BR562" s="22">
        <v>45107</v>
      </c>
      <c r="BS562" s="26">
        <f t="shared" ca="1" si="103"/>
        <v>0.18865238067907908</v>
      </c>
      <c r="BT562" s="29">
        <v>0</v>
      </c>
      <c r="BU562">
        <v>0</v>
      </c>
      <c r="BV562" s="22">
        <v>45107</v>
      </c>
      <c r="BW562" s="26">
        <f t="shared" ca="1" si="104"/>
        <v>0.11723752358360318</v>
      </c>
      <c r="BX562" s="29">
        <v>0</v>
      </c>
      <c r="BY562">
        <v>0</v>
      </c>
    </row>
    <row r="563" spans="2:77" ht="12.75" x14ac:dyDescent="0.2">
      <c r="B563" s="22">
        <v>45108</v>
      </c>
      <c r="C563" s="26">
        <f t="shared" ca="1" si="68"/>
        <v>0.96313905295492375</v>
      </c>
      <c r="D563" s="29">
        <f ca="1">ROUNDUP(_xlfn.NORM.INV(C562,C$10,C$12),0)</f>
        <v>90</v>
      </c>
      <c r="F563" s="22">
        <v>45108</v>
      </c>
      <c r="G563" s="26">
        <f t="shared" ca="1" si="88"/>
        <v>0.89821258507899593</v>
      </c>
      <c r="H563" s="29">
        <f ca="1">ROUNDUP(_xlfn.NORM.INV(G562,G$10,G$12),0)</f>
        <v>201</v>
      </c>
      <c r="J563" s="22">
        <v>45108</v>
      </c>
      <c r="K563" s="26">
        <f t="shared" ca="1" si="89"/>
        <v>9.7214875684391577E-2</v>
      </c>
      <c r="L563" s="29">
        <f ca="1">ROUNDUP(_xlfn.NORM.INV(K562,K$10,K$12),0)</f>
        <v>158</v>
      </c>
      <c r="N563" s="22">
        <v>45108</v>
      </c>
      <c r="O563" s="26">
        <f t="shared" ca="1" si="90"/>
        <v>0.12697013335849527</v>
      </c>
      <c r="P563" s="29">
        <f ca="1">ROUNDUP(_xlfn.NORM.INV(O562,O$10,O$12),0)</f>
        <v>227</v>
      </c>
      <c r="R563" s="22">
        <v>45108</v>
      </c>
      <c r="S563" s="26">
        <f t="shared" ca="1" si="91"/>
        <v>0.73113116139386414</v>
      </c>
      <c r="T563" s="29">
        <f ca="1">ROUNDUP(_xlfn.NORM.INV(S562,S$10,S$12),0)</f>
        <v>127</v>
      </c>
      <c r="V563" s="22">
        <v>45108</v>
      </c>
      <c r="W563" s="26">
        <f t="shared" ca="1" si="92"/>
        <v>0.82257478397310224</v>
      </c>
      <c r="X563" s="29">
        <f ca="1">ROUNDUP(_xlfn.NORM.INV(W562,W$10,W$12),0)</f>
        <v>242</v>
      </c>
      <c r="Z563" s="22">
        <v>45108</v>
      </c>
      <c r="AA563" s="26">
        <f t="shared" ca="1" si="93"/>
        <v>0.61418029295210386</v>
      </c>
      <c r="AB563" s="29">
        <f ca="1">ROUNDUP(_xlfn.NORM.INV(AA562,AA$10,AA$12),0)</f>
        <v>249</v>
      </c>
      <c r="AC563"/>
      <c r="AD563" s="25"/>
      <c r="AF563" s="22">
        <v>45108</v>
      </c>
      <c r="AG563" s="26">
        <f t="shared" ca="1" si="94"/>
        <v>0.9134674758702358</v>
      </c>
      <c r="AH563" s="29">
        <f ca="1">ROUNDUP(_xlfn.NORM.INV(AG562,AG$10,AG$12),0)</f>
        <v>361</v>
      </c>
      <c r="AJ563" s="22">
        <v>45108</v>
      </c>
      <c r="AK563" s="26">
        <f t="shared" ca="1" si="95"/>
        <v>9.5690463594194308E-2</v>
      </c>
      <c r="AL563" s="29">
        <f ca="1">ROUNDUP(_xlfn.NORM.INV(AK562,AK$10,AK$12),0)</f>
        <v>206</v>
      </c>
      <c r="AN563" s="22">
        <v>45108</v>
      </c>
      <c r="AO563" s="26">
        <f t="shared" ca="1" si="96"/>
        <v>0.44021228588604988</v>
      </c>
      <c r="AP563" s="29">
        <f ca="1">ROUNDUP(_xlfn.NORM.INV(AO562,AO$10,AO$12),0)</f>
        <v>177</v>
      </c>
      <c r="AR563" s="22">
        <v>45108</v>
      </c>
      <c r="AS563" s="26">
        <f t="shared" ca="1" si="97"/>
        <v>4.8805761047661989E-2</v>
      </c>
      <c r="AT563" s="29">
        <v>0</v>
      </c>
      <c r="AV563" s="22">
        <v>45108</v>
      </c>
      <c r="AW563" s="26">
        <f t="shared" ca="1" si="98"/>
        <v>0.7756697520917637</v>
      </c>
      <c r="AX563" s="29">
        <v>0</v>
      </c>
      <c r="AZ563" s="22">
        <v>45108</v>
      </c>
      <c r="BA563" s="26">
        <f t="shared" ca="1" si="99"/>
        <v>0.51346393895564202</v>
      </c>
      <c r="BB563" s="29">
        <v>0</v>
      </c>
      <c r="BC563"/>
      <c r="BD563" s="25"/>
      <c r="BF563" s="22">
        <v>45108</v>
      </c>
      <c r="BG563" s="26">
        <f t="shared" ca="1" si="100"/>
        <v>0.75634503186133539</v>
      </c>
      <c r="BH563" s="29">
        <v>0</v>
      </c>
      <c r="BJ563" s="22">
        <v>45108</v>
      </c>
      <c r="BK563" s="26">
        <f t="shared" ca="1" si="101"/>
        <v>0.24344769383840348</v>
      </c>
      <c r="BL563" s="29">
        <v>0</v>
      </c>
      <c r="BN563" s="22">
        <v>45108</v>
      </c>
      <c r="BO563" s="26">
        <f t="shared" ca="1" si="102"/>
        <v>0.34780086442210922</v>
      </c>
      <c r="BP563" s="29">
        <v>0</v>
      </c>
      <c r="BR563" s="22">
        <v>45108</v>
      </c>
      <c r="BS563" s="26">
        <f t="shared" ca="1" si="103"/>
        <v>0.58529863646126634</v>
      </c>
      <c r="BT563" s="29">
        <v>0</v>
      </c>
      <c r="BV563" s="22">
        <v>45108</v>
      </c>
      <c r="BW563" s="26">
        <f t="shared" ca="1" si="104"/>
        <v>0.5334113004228197</v>
      </c>
      <c r="BX563" s="29">
        <v>0</v>
      </c>
    </row>
    <row r="564" spans="2:77" ht="12.75" x14ac:dyDescent="0.2">
      <c r="B564" s="22">
        <v>45109</v>
      </c>
      <c r="C564" s="26">
        <f t="shared" ca="1" si="68"/>
        <v>0.75241567453486369</v>
      </c>
      <c r="D564" s="29">
        <f t="shared" ca="1" si="105"/>
        <v>89</v>
      </c>
      <c r="F564" s="22">
        <v>45109</v>
      </c>
      <c r="G564" s="26">
        <f t="shared" ca="1" si="88"/>
        <v>0.94752915837935492</v>
      </c>
      <c r="H564" s="29">
        <f t="shared" ca="1" si="79"/>
        <v>239</v>
      </c>
      <c r="J564" s="22">
        <v>45109</v>
      </c>
      <c r="K564" s="26">
        <f t="shared" ca="1" si="89"/>
        <v>0.60998433749623437</v>
      </c>
      <c r="L564" s="29">
        <f t="shared" ca="1" si="80"/>
        <v>153</v>
      </c>
      <c r="N564" s="22">
        <v>45109</v>
      </c>
      <c r="O564" s="26">
        <f t="shared" ca="1" si="90"/>
        <v>0.55418971814313134</v>
      </c>
      <c r="P564" s="29">
        <f t="shared" ca="1" si="81"/>
        <v>232</v>
      </c>
      <c r="R564" s="22">
        <v>45109</v>
      </c>
      <c r="S564" s="26">
        <f t="shared" ca="1" si="91"/>
        <v>0.15208810564596797</v>
      </c>
      <c r="T564" s="29">
        <f t="shared" ca="1" si="82"/>
        <v>130</v>
      </c>
      <c r="V564" s="22">
        <v>45109</v>
      </c>
      <c r="W564" s="26">
        <f t="shared" ca="1" si="92"/>
        <v>0.80433771238717122</v>
      </c>
      <c r="X564" s="29">
        <f t="shared" ca="1" si="83"/>
        <v>238</v>
      </c>
      <c r="Z564" s="22">
        <v>45109</v>
      </c>
      <c r="AA564" s="26">
        <f t="shared" ca="1" si="93"/>
        <v>0.82991884231514412</v>
      </c>
      <c r="AB564" s="29">
        <f t="shared" ca="1" si="84"/>
        <v>288</v>
      </c>
      <c r="AC564"/>
      <c r="AD564" s="25"/>
      <c r="AF564" s="22">
        <v>45109</v>
      </c>
      <c r="AG564" s="26">
        <f t="shared" ca="1" si="94"/>
        <v>0.78990533923926576</v>
      </c>
      <c r="AH564" s="29">
        <f t="shared" ca="1" si="85"/>
        <v>398</v>
      </c>
      <c r="AJ564" s="22">
        <v>45109</v>
      </c>
      <c r="AK564" s="26">
        <f t="shared" ca="1" si="95"/>
        <v>0.24552218402669779</v>
      </c>
      <c r="AL564" s="29">
        <f t="shared" ca="1" si="86"/>
        <v>147</v>
      </c>
      <c r="AN564" s="22">
        <v>45109</v>
      </c>
      <c r="AO564" s="26">
        <f t="shared" ca="1" si="96"/>
        <v>0.5770544385560149</v>
      </c>
      <c r="AP564" s="29">
        <f t="shared" ca="1" si="87"/>
        <v>155</v>
      </c>
      <c r="AR564" s="22">
        <v>45109</v>
      </c>
      <c r="AS564" s="26">
        <f t="shared" ca="1" si="97"/>
        <v>0.26837902596974372</v>
      </c>
      <c r="AT564" s="29">
        <v>0</v>
      </c>
      <c r="AV564" s="22">
        <v>45109</v>
      </c>
      <c r="AW564" s="26">
        <f t="shared" ca="1" si="98"/>
        <v>0.6809985903654534</v>
      </c>
      <c r="AX564" s="29">
        <v>0</v>
      </c>
      <c r="AZ564" s="22">
        <v>45109</v>
      </c>
      <c r="BA564" s="26">
        <f t="shared" ca="1" si="99"/>
        <v>0.84740748901418395</v>
      </c>
      <c r="BB564" s="29">
        <v>0</v>
      </c>
      <c r="BC564"/>
      <c r="BD564" s="25"/>
      <c r="BF564" s="22">
        <v>45109</v>
      </c>
      <c r="BG564" s="26">
        <f t="shared" ca="1" si="100"/>
        <v>0.93333475888879558</v>
      </c>
      <c r="BH564" s="29">
        <v>0</v>
      </c>
      <c r="BJ564" s="22">
        <v>45109</v>
      </c>
      <c r="BK564" s="26">
        <f t="shared" ca="1" si="101"/>
        <v>0.88486068474332147</v>
      </c>
      <c r="BL564" s="29">
        <v>0</v>
      </c>
      <c r="BN564" s="22">
        <v>45109</v>
      </c>
      <c r="BO564" s="26">
        <f t="shared" ca="1" si="102"/>
        <v>0.79260998382531189</v>
      </c>
      <c r="BP564" s="29">
        <v>0</v>
      </c>
      <c r="BR564" s="22">
        <v>45109</v>
      </c>
      <c r="BS564" s="26">
        <f t="shared" ca="1" si="103"/>
        <v>0.135573627939367</v>
      </c>
      <c r="BT564" s="29">
        <v>0</v>
      </c>
      <c r="BV564" s="22">
        <v>45109</v>
      </c>
      <c r="BW564" s="26">
        <f t="shared" ca="1" si="104"/>
        <v>0.40709178948295754</v>
      </c>
      <c r="BX564" s="29">
        <v>0</v>
      </c>
    </row>
    <row r="565" spans="2:77" ht="12.75" x14ac:dyDescent="0.2">
      <c r="B565" s="22">
        <v>45110</v>
      </c>
      <c r="C565" s="26">
        <f t="shared" ca="1" si="68"/>
        <v>0.60564951993510174</v>
      </c>
      <c r="D565" s="29">
        <f t="shared" ca="1" si="105"/>
        <v>81</v>
      </c>
      <c r="F565" s="22">
        <v>45110</v>
      </c>
      <c r="G565" s="26">
        <f t="shared" ca="1" si="88"/>
        <v>0.62735278157911345</v>
      </c>
      <c r="H565" s="29">
        <f t="shared" ca="1" si="79"/>
        <v>221</v>
      </c>
      <c r="J565" s="22">
        <v>45110</v>
      </c>
      <c r="K565" s="26">
        <f t="shared" ca="1" si="89"/>
        <v>0.5190726521963378</v>
      </c>
      <c r="L565" s="29">
        <f t="shared" ca="1" si="80"/>
        <v>151</v>
      </c>
      <c r="N565" s="22">
        <v>45110</v>
      </c>
      <c r="O565" s="26">
        <f t="shared" ca="1" si="90"/>
        <v>0.67583420451537357</v>
      </c>
      <c r="P565" s="29">
        <f t="shared" ca="1" si="81"/>
        <v>237</v>
      </c>
      <c r="R565" s="22">
        <v>45110</v>
      </c>
      <c r="S565" s="26">
        <f t="shared" ca="1" si="91"/>
        <v>0.36221472656999687</v>
      </c>
      <c r="T565" s="29">
        <f t="shared" ca="1" si="82"/>
        <v>136</v>
      </c>
      <c r="V565" s="22">
        <v>45110</v>
      </c>
      <c r="W565" s="26">
        <f t="shared" ca="1" si="92"/>
        <v>0.58978997762266916</v>
      </c>
      <c r="X565" s="29">
        <f t="shared" ca="1" si="83"/>
        <v>229</v>
      </c>
      <c r="Z565" s="22">
        <v>45110</v>
      </c>
      <c r="AA565" s="26">
        <f t="shared" ca="1" si="93"/>
        <v>0.94479048490139117</v>
      </c>
      <c r="AB565" s="29">
        <f t="shared" ca="1" si="84"/>
        <v>299</v>
      </c>
      <c r="AC565"/>
      <c r="AD565" s="25"/>
      <c r="AF565" s="22">
        <v>45110</v>
      </c>
      <c r="AG565" s="26">
        <f t="shared" ca="1" si="94"/>
        <v>5.1193715995481837E-2</v>
      </c>
      <c r="AH565" s="29">
        <f t="shared" ca="1" si="85"/>
        <v>185</v>
      </c>
      <c r="AJ565" s="22">
        <v>45110</v>
      </c>
      <c r="AK565" s="26">
        <f t="shared" ca="1" si="95"/>
        <v>0.88010936246621485</v>
      </c>
      <c r="AL565" s="29">
        <f t="shared" ca="1" si="86"/>
        <v>237</v>
      </c>
      <c r="AN565" s="22">
        <v>45110</v>
      </c>
      <c r="AO565" s="26">
        <f t="shared" ca="1" si="96"/>
        <v>0.87129956237169603</v>
      </c>
      <c r="AP565" s="29">
        <f t="shared" ca="1" si="87"/>
        <v>192</v>
      </c>
      <c r="AR565" s="22">
        <v>45110</v>
      </c>
      <c r="AS565" s="26">
        <f t="shared" ca="1" si="97"/>
        <v>0.86986203910844417</v>
      </c>
      <c r="AT565" s="29">
        <v>0</v>
      </c>
      <c r="AV565" s="22">
        <v>45110</v>
      </c>
      <c r="AW565" s="26">
        <f t="shared" ca="1" si="98"/>
        <v>0.59335253264815024</v>
      </c>
      <c r="AX565" s="29">
        <v>0</v>
      </c>
      <c r="AZ565" s="22">
        <v>45110</v>
      </c>
      <c r="BA565" s="26">
        <f t="shared" ca="1" si="99"/>
        <v>0.75015133249323762</v>
      </c>
      <c r="BB565" s="29">
        <v>0</v>
      </c>
      <c r="BC565"/>
      <c r="BD565" s="25"/>
      <c r="BF565" s="22">
        <v>45110</v>
      </c>
      <c r="BG565" s="26">
        <f t="shared" ca="1" si="100"/>
        <v>0.37308494696211236</v>
      </c>
      <c r="BH565" s="29">
        <v>0</v>
      </c>
      <c r="BJ565" s="22">
        <v>45110</v>
      </c>
      <c r="BK565" s="26">
        <f t="shared" ca="1" si="101"/>
        <v>0.41337544488784284</v>
      </c>
      <c r="BL565" s="29">
        <v>0</v>
      </c>
      <c r="BN565" s="22">
        <v>45110</v>
      </c>
      <c r="BO565" s="26">
        <f t="shared" ca="1" si="102"/>
        <v>0.13010738666781829</v>
      </c>
      <c r="BP565" s="29">
        <v>0</v>
      </c>
      <c r="BR565" s="22">
        <v>45110</v>
      </c>
      <c r="BS565" s="26">
        <f t="shared" ca="1" si="103"/>
        <v>0.9918472067788876</v>
      </c>
      <c r="BT565" s="29">
        <v>0</v>
      </c>
      <c r="BV565" s="22">
        <v>45110</v>
      </c>
      <c r="BW565" s="26">
        <f t="shared" ca="1" si="104"/>
        <v>0.53085733377958744</v>
      </c>
      <c r="BX565" s="29">
        <v>0</v>
      </c>
    </row>
    <row r="566" spans="2:77" ht="12.75" x14ac:dyDescent="0.2">
      <c r="B566" s="22">
        <v>45111</v>
      </c>
      <c r="C566" s="26">
        <f t="shared" ca="1" si="68"/>
        <v>0.16815835827316994</v>
      </c>
      <c r="D566" s="29">
        <f t="shared" ca="1" si="105"/>
        <v>56</v>
      </c>
      <c r="F566" s="22">
        <v>45111</v>
      </c>
      <c r="G566" s="26">
        <f t="shared" ca="1" si="88"/>
        <v>1.0976190384717976E-2</v>
      </c>
      <c r="H566" s="29">
        <f t="shared" ca="1" si="79"/>
        <v>183</v>
      </c>
      <c r="J566" s="22">
        <v>45111</v>
      </c>
      <c r="K566" s="26">
        <f t="shared" ca="1" si="89"/>
        <v>0.35383483565801233</v>
      </c>
      <c r="L566" s="29">
        <f t="shared" ca="1" si="80"/>
        <v>147</v>
      </c>
      <c r="N566" s="22">
        <v>45111</v>
      </c>
      <c r="O566" s="26">
        <f t="shared" ca="1" si="90"/>
        <v>6.7774676091806541E-2</v>
      </c>
      <c r="P566" s="29">
        <f t="shared" ca="1" si="81"/>
        <v>207</v>
      </c>
      <c r="R566" s="22">
        <v>45111</v>
      </c>
      <c r="S566" s="26">
        <f t="shared" ca="1" si="91"/>
        <v>0.68779562981695352</v>
      </c>
      <c r="T566" s="29">
        <f t="shared" ca="1" si="82"/>
        <v>144</v>
      </c>
      <c r="V566" s="22">
        <v>45111</v>
      </c>
      <c r="W566" s="26">
        <f t="shared" ca="1" si="92"/>
        <v>0.36772165914725186</v>
      </c>
      <c r="X566" s="29">
        <f t="shared" ca="1" si="83"/>
        <v>220</v>
      </c>
      <c r="Z566" s="22">
        <v>45111</v>
      </c>
      <c r="AA566" s="26">
        <f t="shared" ca="1" si="93"/>
        <v>0.97914752089868951</v>
      </c>
      <c r="AB566" s="29">
        <f t="shared" ca="1" si="84"/>
        <v>307</v>
      </c>
      <c r="AC566"/>
      <c r="AD566" s="25"/>
      <c r="AF566" s="22">
        <v>45111</v>
      </c>
      <c r="AG566" s="26">
        <f t="shared" ca="1" si="94"/>
        <v>0.61996710742828387</v>
      </c>
      <c r="AH566" s="29">
        <f t="shared" ca="1" si="85"/>
        <v>354</v>
      </c>
      <c r="AJ566" s="22">
        <v>45111</v>
      </c>
      <c r="AK566" s="26">
        <f t="shared" ca="1" si="95"/>
        <v>0.25119181304443472</v>
      </c>
      <c r="AL566" s="29">
        <f t="shared" ca="1" si="86"/>
        <v>148</v>
      </c>
      <c r="AN566" s="22">
        <v>45111</v>
      </c>
      <c r="AO566" s="26">
        <f t="shared" ca="1" si="96"/>
        <v>0.88360564418737231</v>
      </c>
      <c r="AP566" s="29">
        <f t="shared" ca="1" si="87"/>
        <v>194</v>
      </c>
      <c r="AR566" s="22">
        <v>45111</v>
      </c>
      <c r="AS566" s="26">
        <f t="shared" ca="1" si="97"/>
        <v>0.3388324078162166</v>
      </c>
      <c r="AT566" s="29">
        <v>0</v>
      </c>
      <c r="AV566" s="22">
        <v>45111</v>
      </c>
      <c r="AW566" s="26">
        <f t="shared" ca="1" si="98"/>
        <v>0.49335351355859203</v>
      </c>
      <c r="AX566" s="29">
        <v>0</v>
      </c>
      <c r="AZ566" s="22">
        <v>45111</v>
      </c>
      <c r="BA566" s="26">
        <f t="shared" ca="1" si="99"/>
        <v>0.94776421262268884</v>
      </c>
      <c r="BB566" s="29">
        <v>0</v>
      </c>
      <c r="BC566"/>
      <c r="BD566" s="25"/>
      <c r="BF566" s="22">
        <v>45111</v>
      </c>
      <c r="BG566" s="26">
        <f t="shared" ca="1" si="100"/>
        <v>6.3564159393937114E-2</v>
      </c>
      <c r="BH566" s="29">
        <v>0</v>
      </c>
      <c r="BJ566" s="22">
        <v>45111</v>
      </c>
      <c r="BK566" s="26">
        <f t="shared" ca="1" si="101"/>
        <v>0.84314266876002431</v>
      </c>
      <c r="BL566" s="29">
        <v>0</v>
      </c>
      <c r="BN566" s="22">
        <v>45111</v>
      </c>
      <c r="BO566" s="26">
        <f t="shared" ca="1" si="102"/>
        <v>0.69165433129436782</v>
      </c>
      <c r="BP566" s="29">
        <v>0</v>
      </c>
      <c r="BR566" s="22">
        <v>45111</v>
      </c>
      <c r="BS566" s="26">
        <f t="shared" ca="1" si="103"/>
        <v>0.31979750599613321</v>
      </c>
      <c r="BT566" s="29">
        <v>0</v>
      </c>
      <c r="BV566" s="22">
        <v>45111</v>
      </c>
      <c r="BW566" s="26">
        <f t="shared" ca="1" si="104"/>
        <v>2.2977942130778639E-2</v>
      </c>
      <c r="BX566" s="29">
        <v>0</v>
      </c>
    </row>
    <row r="567" spans="2:77" ht="12.75" x14ac:dyDescent="0.2">
      <c r="B567" s="22">
        <v>45112</v>
      </c>
      <c r="C567" s="26">
        <f t="shared" ca="1" si="68"/>
        <v>0.45008820948461181</v>
      </c>
      <c r="D567" s="29">
        <f t="shared" ca="1" si="105"/>
        <v>73</v>
      </c>
      <c r="F567" s="22">
        <v>45112</v>
      </c>
      <c r="G567" s="26">
        <f t="shared" ca="1" si="88"/>
        <v>0.38877432202524287</v>
      </c>
      <c r="H567" s="29">
        <f t="shared" ca="1" si="79"/>
        <v>212</v>
      </c>
      <c r="J567" s="22">
        <v>45112</v>
      </c>
      <c r="K567" s="26">
        <f t="shared" ca="1" si="89"/>
        <v>0.21196038017538965</v>
      </c>
      <c r="L567" s="29">
        <f t="shared" ca="1" si="80"/>
        <v>143</v>
      </c>
      <c r="N567" s="22">
        <v>45112</v>
      </c>
      <c r="O567" s="26">
        <f t="shared" ca="1" si="90"/>
        <v>0.81729424661854955</v>
      </c>
      <c r="P567" s="29">
        <f t="shared" ca="1" si="81"/>
        <v>244</v>
      </c>
      <c r="R567" s="22">
        <v>45112</v>
      </c>
      <c r="S567" s="26">
        <f t="shared" ca="1" si="91"/>
        <v>0.54310620765534312</v>
      </c>
      <c r="T567" s="29">
        <f t="shared" ca="1" si="82"/>
        <v>140</v>
      </c>
      <c r="V567" s="22">
        <v>45112</v>
      </c>
      <c r="W567" s="26">
        <f t="shared" ca="1" si="92"/>
        <v>0.65754245610314532</v>
      </c>
      <c r="X567" s="29">
        <f t="shared" ca="1" si="83"/>
        <v>232</v>
      </c>
      <c r="Z567" s="22">
        <v>45112</v>
      </c>
      <c r="AA567" s="26">
        <f t="shared" ca="1" si="93"/>
        <v>9.7877063073449899E-2</v>
      </c>
      <c r="AB567" s="29">
        <f t="shared" ca="1" si="84"/>
        <v>247</v>
      </c>
      <c r="AC567"/>
      <c r="AD567" s="25"/>
      <c r="AF567" s="22">
        <v>45112</v>
      </c>
      <c r="AG567" s="26">
        <f t="shared" ca="1" si="94"/>
        <v>0.4091027194001815</v>
      </c>
      <c r="AH567" s="29">
        <f t="shared" ca="1" si="85"/>
        <v>307</v>
      </c>
      <c r="AJ567" s="22">
        <v>45112</v>
      </c>
      <c r="AK567" s="26">
        <f t="shared" ca="1" si="95"/>
        <v>0.33561347584743095</v>
      </c>
      <c r="AL567" s="29">
        <f t="shared" ca="1" si="86"/>
        <v>160</v>
      </c>
      <c r="AN567" s="22">
        <v>45112</v>
      </c>
      <c r="AO567" s="26">
        <f t="shared" ca="1" si="96"/>
        <v>2.870918371568032E-2</v>
      </c>
      <c r="AP567" s="29">
        <f t="shared" ca="1" si="87"/>
        <v>73</v>
      </c>
      <c r="AR567" s="22">
        <v>45112</v>
      </c>
      <c r="AS567" s="26">
        <f t="shared" ca="1" si="97"/>
        <v>0.44013769889450161</v>
      </c>
      <c r="AT567" s="29">
        <v>0</v>
      </c>
      <c r="AV567" s="22">
        <v>45112</v>
      </c>
      <c r="AW567" s="26">
        <f t="shared" ca="1" si="98"/>
        <v>0.65603992782533305</v>
      </c>
      <c r="AX567" s="29">
        <v>0</v>
      </c>
      <c r="AZ567" s="22">
        <v>45112</v>
      </c>
      <c r="BA567" s="26">
        <f t="shared" ca="1" si="99"/>
        <v>0.63530155250810394</v>
      </c>
      <c r="BB567" s="29">
        <v>0</v>
      </c>
      <c r="BC567"/>
      <c r="BD567" s="25"/>
      <c r="BF567" s="22">
        <v>45112</v>
      </c>
      <c r="BG567" s="26">
        <f t="shared" ca="1" si="100"/>
        <v>0.58364008879058138</v>
      </c>
      <c r="BH567" s="29">
        <v>0</v>
      </c>
      <c r="BJ567" s="22">
        <v>45112</v>
      </c>
      <c r="BK567" s="26">
        <f t="shared" ca="1" si="101"/>
        <v>0.88102590414075321</v>
      </c>
      <c r="BL567" s="29">
        <v>0</v>
      </c>
      <c r="BN567" s="22">
        <v>45112</v>
      </c>
      <c r="BO567" s="26">
        <f t="shared" ca="1" si="102"/>
        <v>0.9793218097814288</v>
      </c>
      <c r="BP567" s="29">
        <v>0</v>
      </c>
      <c r="BR567" s="22">
        <v>45112</v>
      </c>
      <c r="BS567" s="26">
        <f t="shared" ca="1" si="103"/>
        <v>0.8458970708529866</v>
      </c>
      <c r="BT567" s="29">
        <v>0</v>
      </c>
      <c r="BV567" s="22">
        <v>45112</v>
      </c>
      <c r="BW567" s="26">
        <f t="shared" ca="1" si="104"/>
        <v>0.1683088474686949</v>
      </c>
      <c r="BX567" s="29">
        <v>0</v>
      </c>
    </row>
    <row r="568" spans="2:77" ht="12.75" x14ac:dyDescent="0.2">
      <c r="B568" s="22">
        <v>45113</v>
      </c>
      <c r="C568" s="26">
        <f t="shared" ca="1" si="68"/>
        <v>0.56139348400567723</v>
      </c>
      <c r="D568" s="29">
        <f t="shared" ca="1" si="105"/>
        <v>79</v>
      </c>
      <c r="F568" s="22">
        <v>45113</v>
      </c>
      <c r="G568" s="26">
        <f t="shared" ca="1" si="88"/>
        <v>0.77722309624881991</v>
      </c>
      <c r="H568" s="29">
        <f t="shared" ca="1" si="79"/>
        <v>227</v>
      </c>
      <c r="J568" s="22">
        <v>45113</v>
      </c>
      <c r="K568" s="26">
        <f t="shared" ca="1" si="89"/>
        <v>0.65070178356371422</v>
      </c>
      <c r="L568" s="29">
        <f t="shared" ca="1" si="80"/>
        <v>154</v>
      </c>
      <c r="N568" s="22">
        <v>45113</v>
      </c>
      <c r="O568" s="26">
        <f t="shared" ca="1" si="90"/>
        <v>0.86078426309275535</v>
      </c>
      <c r="P568" s="29">
        <f t="shared" ca="1" si="81"/>
        <v>246</v>
      </c>
      <c r="R568" s="22">
        <v>45113</v>
      </c>
      <c r="S568" s="26">
        <f t="shared" ca="1" si="91"/>
        <v>0.93122703891788428</v>
      </c>
      <c r="T568" s="29">
        <f t="shared" ca="1" si="82"/>
        <v>153</v>
      </c>
      <c r="V568" s="22">
        <v>45113</v>
      </c>
      <c r="W568" s="26">
        <f t="shared" ca="1" si="92"/>
        <v>0.77091700618249459</v>
      </c>
      <c r="X568" s="29">
        <f t="shared" ca="1" si="83"/>
        <v>237</v>
      </c>
      <c r="Z568" s="22">
        <v>45113</v>
      </c>
      <c r="AA568" s="26">
        <f t="shared" ca="1" si="93"/>
        <v>0.60099147619958515</v>
      </c>
      <c r="AB568" s="29">
        <f t="shared" ca="1" si="84"/>
        <v>275</v>
      </c>
      <c r="AC568"/>
      <c r="AD568" s="25"/>
      <c r="AF568" s="22">
        <v>45113</v>
      </c>
      <c r="AG568" s="26">
        <f t="shared" ca="1" si="94"/>
        <v>0.71068882221683916</v>
      </c>
      <c r="AH568" s="29">
        <f t="shared" ca="1" si="85"/>
        <v>376</v>
      </c>
      <c r="AJ568" s="22">
        <v>45113</v>
      </c>
      <c r="AK568" s="26">
        <f t="shared" ca="1" si="95"/>
        <v>6.5749770229930671E-2</v>
      </c>
      <c r="AL568" s="29">
        <f t="shared" ca="1" si="86"/>
        <v>108</v>
      </c>
      <c r="AN568" s="22">
        <v>45113</v>
      </c>
      <c r="AO568" s="26">
        <f t="shared" ca="1" si="96"/>
        <v>0.37327020855950066</v>
      </c>
      <c r="AP568" s="29">
        <f t="shared" ca="1" si="87"/>
        <v>135</v>
      </c>
      <c r="AR568" s="22">
        <v>45113</v>
      </c>
      <c r="AS568" s="26">
        <f t="shared" ca="1" si="97"/>
        <v>0.24826226187637446</v>
      </c>
      <c r="AT568" s="29">
        <v>0</v>
      </c>
      <c r="AV568" s="22">
        <v>45113</v>
      </c>
      <c r="AW568" s="26">
        <f t="shared" ca="1" si="98"/>
        <v>0.78030850793451201</v>
      </c>
      <c r="AX568" s="29">
        <v>0</v>
      </c>
      <c r="AZ568" s="22">
        <v>45113</v>
      </c>
      <c r="BA568" s="26">
        <f t="shared" ca="1" si="99"/>
        <v>0.12057075999884892</v>
      </c>
      <c r="BB568" s="29">
        <v>0</v>
      </c>
      <c r="BC568"/>
      <c r="BD568" s="25"/>
      <c r="BF568" s="22">
        <v>45113</v>
      </c>
      <c r="BG568" s="26">
        <f t="shared" ca="1" si="100"/>
        <v>0.94603204282025144</v>
      </c>
      <c r="BH568" s="29">
        <v>0</v>
      </c>
      <c r="BJ568" s="22">
        <v>45113</v>
      </c>
      <c r="BK568" s="26">
        <f t="shared" ca="1" si="101"/>
        <v>0.93915112372680454</v>
      </c>
      <c r="BL568" s="29">
        <v>0</v>
      </c>
      <c r="BN568" s="22">
        <v>45113</v>
      </c>
      <c r="BO568" s="26">
        <f t="shared" ca="1" si="102"/>
        <v>0.36455628052904931</v>
      </c>
      <c r="BP568" s="29">
        <v>0</v>
      </c>
      <c r="BR568" s="22">
        <v>45113</v>
      </c>
      <c r="BS568" s="26">
        <f t="shared" ca="1" si="103"/>
        <v>0.50920619044589577</v>
      </c>
      <c r="BT568" s="29">
        <v>0</v>
      </c>
      <c r="BV568" s="22">
        <v>45113</v>
      </c>
      <c r="BW568" s="26">
        <f t="shared" ca="1" si="104"/>
        <v>0.2150524882217959</v>
      </c>
      <c r="BX568" s="29">
        <v>0</v>
      </c>
    </row>
    <row r="569" spans="2:77" ht="12.75" x14ac:dyDescent="0.2">
      <c r="B569" s="22">
        <v>45114</v>
      </c>
      <c r="C569" s="26">
        <f t="shared" ca="1" si="68"/>
        <v>0.56255440477811836</v>
      </c>
      <c r="D569" s="29">
        <v>0</v>
      </c>
      <c r="F569" s="22">
        <v>45114</v>
      </c>
      <c r="G569" s="26">
        <f t="shared" ca="1" si="88"/>
        <v>0.51487262087470653</v>
      </c>
      <c r="H569" s="29">
        <v>0</v>
      </c>
      <c r="J569" s="22">
        <v>45114</v>
      </c>
      <c r="K569" s="26">
        <f t="shared" ca="1" si="89"/>
        <v>0.75417989552801956</v>
      </c>
      <c r="L569" s="29">
        <v>0</v>
      </c>
      <c r="N569" s="22">
        <v>45114</v>
      </c>
      <c r="O569" s="26">
        <f t="shared" ca="1" si="90"/>
        <v>0.49303680573033215</v>
      </c>
      <c r="P569" s="29">
        <v>0</v>
      </c>
      <c r="R569" s="22">
        <v>45114</v>
      </c>
      <c r="S569" s="26">
        <f t="shared" ca="1" si="91"/>
        <v>0.58324345453670212</v>
      </c>
      <c r="T569" s="29">
        <v>0</v>
      </c>
      <c r="V569" s="22">
        <v>45114</v>
      </c>
      <c r="W569" s="26">
        <f t="shared" ca="1" si="92"/>
        <v>0.42926290123892552</v>
      </c>
      <c r="X569" s="29">
        <v>0</v>
      </c>
      <c r="Z569" s="22">
        <v>45114</v>
      </c>
      <c r="AA569" s="26">
        <f t="shared" ca="1" si="93"/>
        <v>0.42106109065640607</v>
      </c>
      <c r="AB569" s="29">
        <v>0</v>
      </c>
      <c r="AC569"/>
      <c r="AD569" s="25"/>
      <c r="AF569" s="22">
        <v>45114</v>
      </c>
      <c r="AG569" s="26">
        <f t="shared" ca="1" si="94"/>
        <v>0.29009113159311883</v>
      </c>
      <c r="AH569" s="29">
        <v>0</v>
      </c>
      <c r="AJ569" s="22">
        <v>45114</v>
      </c>
      <c r="AK569" s="26">
        <f t="shared" ca="1" si="95"/>
        <v>0.15593918015537112</v>
      </c>
      <c r="AL569" s="29">
        <v>0</v>
      </c>
      <c r="AN569" s="22">
        <v>45114</v>
      </c>
      <c r="AO569" s="26">
        <f t="shared" ca="1" si="96"/>
        <v>0.50633151243859265</v>
      </c>
      <c r="AP569" s="29">
        <v>0</v>
      </c>
      <c r="AR569" s="22">
        <v>45114</v>
      </c>
      <c r="AS569" s="26">
        <f t="shared" ca="1" si="97"/>
        <v>0.74023773152428696</v>
      </c>
      <c r="AT569" s="29">
        <v>0</v>
      </c>
      <c r="AV569" s="22">
        <v>45114</v>
      </c>
      <c r="AW569" s="26">
        <f t="shared" ca="1" si="98"/>
        <v>0.94871634238422786</v>
      </c>
      <c r="AX569" s="29">
        <v>0</v>
      </c>
      <c r="AZ569" s="22">
        <v>45114</v>
      </c>
      <c r="BA569" s="26">
        <f t="shared" ca="1" si="99"/>
        <v>0.88927269114715279</v>
      </c>
      <c r="BB569" s="29">
        <v>0</v>
      </c>
      <c r="BC569"/>
      <c r="BD569" s="25"/>
      <c r="BF569" s="22">
        <v>45114</v>
      </c>
      <c r="BG569" s="26">
        <f t="shared" ca="1" si="100"/>
        <v>1.2700491496875133E-2</v>
      </c>
      <c r="BH569" s="29">
        <v>0</v>
      </c>
      <c r="BJ569" s="22">
        <v>45114</v>
      </c>
      <c r="BK569" s="26">
        <f t="shared" ca="1" si="101"/>
        <v>0.41540977441172111</v>
      </c>
      <c r="BL569" s="29">
        <v>0</v>
      </c>
      <c r="BN569" s="22">
        <v>45114</v>
      </c>
      <c r="BO569" s="26">
        <f t="shared" ca="1" si="102"/>
        <v>0.59054079566777351</v>
      </c>
      <c r="BP569" s="29">
        <v>0</v>
      </c>
      <c r="BR569" s="22">
        <v>45114</v>
      </c>
      <c r="BS569" s="26">
        <f t="shared" ca="1" si="103"/>
        <v>0.43749087824295441</v>
      </c>
      <c r="BT569" s="29">
        <v>0</v>
      </c>
      <c r="BV569" s="22">
        <v>45114</v>
      </c>
      <c r="BW569" s="26">
        <f t="shared" ca="1" si="104"/>
        <v>0.91335232578344216</v>
      </c>
      <c r="BX569" s="29">
        <v>0</v>
      </c>
    </row>
    <row r="570" spans="2:77" ht="12.75" x14ac:dyDescent="0.2">
      <c r="B570" s="22">
        <v>45115</v>
      </c>
      <c r="C570" s="26">
        <f t="shared" ca="1" si="68"/>
        <v>0.97321777077944782</v>
      </c>
      <c r="D570" s="29">
        <v>0</v>
      </c>
      <c r="F570" s="22">
        <v>45115</v>
      </c>
      <c r="G570" s="26">
        <f t="shared" ca="1" si="88"/>
        <v>0.57933799498206873</v>
      </c>
      <c r="H570" s="29">
        <v>0</v>
      </c>
      <c r="J570" s="22">
        <v>45115</v>
      </c>
      <c r="K570" s="26">
        <f t="shared" ca="1" si="89"/>
        <v>0.95927860609192883</v>
      </c>
      <c r="L570" s="29">
        <v>0</v>
      </c>
      <c r="N570" s="22">
        <v>45115</v>
      </c>
      <c r="O570" s="26">
        <f t="shared" ca="1" si="90"/>
        <v>0.61446244877458744</v>
      </c>
      <c r="P570" s="29">
        <v>0</v>
      </c>
      <c r="R570" s="22">
        <v>45115</v>
      </c>
      <c r="S570" s="26">
        <f t="shared" ca="1" si="91"/>
        <v>0.5886412240685438</v>
      </c>
      <c r="T570" s="29">
        <v>0</v>
      </c>
      <c r="V570" s="22">
        <v>45115</v>
      </c>
      <c r="W570" s="26">
        <f t="shared" ca="1" si="92"/>
        <v>0.26103708189709085</v>
      </c>
      <c r="X570" s="29">
        <v>0</v>
      </c>
      <c r="Z570" s="22">
        <v>45115</v>
      </c>
      <c r="AA570" s="26">
        <f t="shared" ca="1" si="93"/>
        <v>0.76628183301081654</v>
      </c>
      <c r="AB570" s="29">
        <v>0</v>
      </c>
      <c r="AC570"/>
      <c r="AD570" s="25"/>
      <c r="AF570" s="22">
        <v>45115</v>
      </c>
      <c r="AG570" s="26">
        <f t="shared" ca="1" si="94"/>
        <v>0.91503797276109211</v>
      </c>
      <c r="AH570" s="29">
        <v>0</v>
      </c>
      <c r="AJ570" s="22">
        <v>45115</v>
      </c>
      <c r="AK570" s="26">
        <f t="shared" ca="1" si="95"/>
        <v>0.98534408901387782</v>
      </c>
      <c r="AL570" s="29">
        <v>0</v>
      </c>
      <c r="AN570" s="22">
        <v>45115</v>
      </c>
      <c r="AO570" s="26">
        <f t="shared" ca="1" si="96"/>
        <v>0.29231106319730049</v>
      </c>
      <c r="AP570" s="29">
        <v>0</v>
      </c>
      <c r="AR570" s="22">
        <v>45115</v>
      </c>
      <c r="AS570" s="26">
        <f t="shared" ca="1" si="97"/>
        <v>0.95409897302590196</v>
      </c>
      <c r="AT570" s="29">
        <v>0</v>
      </c>
      <c r="AV570" s="22">
        <v>45115</v>
      </c>
      <c r="AW570" s="26">
        <f t="shared" ca="1" si="98"/>
        <v>0.3561024484309534</v>
      </c>
      <c r="AX570" s="29">
        <v>0</v>
      </c>
      <c r="AZ570" s="22">
        <v>45115</v>
      </c>
      <c r="BA570" s="26">
        <f t="shared" ca="1" si="99"/>
        <v>1.5491165159575382E-2</v>
      </c>
      <c r="BB570" s="29">
        <v>0</v>
      </c>
      <c r="BC570"/>
      <c r="BD570" s="25"/>
      <c r="BF570" s="22">
        <v>45115</v>
      </c>
      <c r="BG570" s="26">
        <f t="shared" ca="1" si="100"/>
        <v>0.88864598539637774</v>
      </c>
      <c r="BH570" s="29">
        <v>0</v>
      </c>
      <c r="BJ570" s="22">
        <v>45115</v>
      </c>
      <c r="BK570" s="26">
        <f t="shared" ca="1" si="101"/>
        <v>0.17679362492036255</v>
      </c>
      <c r="BL570" s="29">
        <v>0</v>
      </c>
      <c r="BN570" s="22">
        <v>45115</v>
      </c>
      <c r="BO570" s="26">
        <f t="shared" ca="1" si="102"/>
        <v>0.38107947778529783</v>
      </c>
      <c r="BP570" s="29">
        <v>0</v>
      </c>
      <c r="BR570" s="22">
        <v>45115</v>
      </c>
      <c r="BS570" s="26">
        <f t="shared" ca="1" si="103"/>
        <v>0.97380983103188301</v>
      </c>
      <c r="BT570" s="29">
        <v>0</v>
      </c>
      <c r="BV570" s="22">
        <v>45115</v>
      </c>
      <c r="BW570" s="26">
        <f t="shared" ca="1" si="104"/>
        <v>0.63697658243126254</v>
      </c>
      <c r="BX570" s="29">
        <v>0</v>
      </c>
    </row>
    <row r="571" spans="2:77" ht="12.75" x14ac:dyDescent="0.2">
      <c r="B571" s="22">
        <v>45116</v>
      </c>
      <c r="C571" s="26">
        <f t="shared" ca="1" si="68"/>
        <v>0.4289128774174803</v>
      </c>
      <c r="D571" s="29">
        <v>0</v>
      </c>
      <c r="F571" s="22">
        <v>45116</v>
      </c>
      <c r="G571" s="26">
        <f t="shared" ca="1" si="88"/>
        <v>0.13361255939214056</v>
      </c>
      <c r="H571" s="29">
        <v>0</v>
      </c>
      <c r="J571" s="22">
        <v>45116</v>
      </c>
      <c r="K571" s="26">
        <f t="shared" ca="1" si="89"/>
        <v>0.30465813578639755</v>
      </c>
      <c r="L571" s="29">
        <v>0</v>
      </c>
      <c r="N571" s="22">
        <v>45116</v>
      </c>
      <c r="O571" s="26">
        <f t="shared" ca="1" si="90"/>
        <v>0.17289460581953953</v>
      </c>
      <c r="P571" s="29">
        <v>0</v>
      </c>
      <c r="R571" s="22">
        <v>45116</v>
      </c>
      <c r="S571" s="26">
        <f t="shared" ca="1" si="91"/>
        <v>0.7778859971365214</v>
      </c>
      <c r="T571" s="29">
        <v>0</v>
      </c>
      <c r="V571" s="22">
        <v>45116</v>
      </c>
      <c r="W571" s="26">
        <f t="shared" ca="1" si="92"/>
        <v>0.82082334832336279</v>
      </c>
      <c r="X571" s="29">
        <v>0</v>
      </c>
      <c r="Z571" s="22">
        <v>45116</v>
      </c>
      <c r="AA571" s="26">
        <f t="shared" ca="1" si="93"/>
        <v>0.86733197232449988</v>
      </c>
      <c r="AB571" s="29">
        <v>0</v>
      </c>
      <c r="AC571"/>
      <c r="AD571" s="25"/>
      <c r="AF571" s="22">
        <v>45116</v>
      </c>
      <c r="AG571" s="26">
        <f t="shared" ca="1" si="94"/>
        <v>9.887530553319912E-2</v>
      </c>
      <c r="AH571" s="29">
        <v>0</v>
      </c>
      <c r="AJ571" s="22">
        <v>45116</v>
      </c>
      <c r="AK571" s="26">
        <f t="shared" ca="1" si="95"/>
        <v>0.53763397536365787</v>
      </c>
      <c r="AL571" s="29">
        <v>0</v>
      </c>
      <c r="AN571" s="22">
        <v>45116</v>
      </c>
      <c r="AO571" s="26">
        <f t="shared" ca="1" si="96"/>
        <v>0.20137988472731827</v>
      </c>
      <c r="AP571" s="29">
        <v>0</v>
      </c>
      <c r="AR571" s="22">
        <v>45116</v>
      </c>
      <c r="AS571" s="26">
        <f t="shared" ca="1" si="97"/>
        <v>0.37465923226113251</v>
      </c>
      <c r="AT571" s="29">
        <v>0</v>
      </c>
      <c r="AV571" s="22">
        <v>45116</v>
      </c>
      <c r="AW571" s="26">
        <f t="shared" ca="1" si="98"/>
        <v>0.70739081463506825</v>
      </c>
      <c r="AX571" s="29">
        <v>0</v>
      </c>
      <c r="AZ571" s="22">
        <v>45116</v>
      </c>
      <c r="BA571" s="26">
        <f t="shared" ca="1" si="99"/>
        <v>0.69847194713090643</v>
      </c>
      <c r="BB571" s="29">
        <v>0</v>
      </c>
      <c r="BC571"/>
      <c r="BD571" s="25"/>
      <c r="BF571" s="22">
        <v>45116</v>
      </c>
      <c r="BG571" s="26">
        <f t="shared" ca="1" si="100"/>
        <v>0.71633007357317224</v>
      </c>
      <c r="BH571" s="29">
        <v>0</v>
      </c>
      <c r="BJ571" s="22">
        <v>45116</v>
      </c>
      <c r="BK571" s="26">
        <f t="shared" ca="1" si="101"/>
        <v>0.34074772972707912</v>
      </c>
      <c r="BL571" s="29">
        <v>0</v>
      </c>
      <c r="BN571" s="22">
        <v>45116</v>
      </c>
      <c r="BO571" s="26">
        <f t="shared" ca="1" si="102"/>
        <v>0.16837367928221758</v>
      </c>
      <c r="BP571" s="29">
        <v>0</v>
      </c>
      <c r="BR571" s="22">
        <v>45116</v>
      </c>
      <c r="BS571" s="26">
        <f t="shared" ca="1" si="103"/>
        <v>4.5774394418394149E-3</v>
      </c>
      <c r="BT571" s="29">
        <v>0</v>
      </c>
      <c r="BV571" s="22">
        <v>45116</v>
      </c>
      <c r="BW571" s="26">
        <f t="shared" ca="1" si="104"/>
        <v>0.7211612119793831</v>
      </c>
      <c r="BX571" s="29">
        <v>0</v>
      </c>
    </row>
    <row r="572" spans="2:77" ht="12.75" x14ac:dyDescent="0.2">
      <c r="B572" s="22">
        <v>45117</v>
      </c>
      <c r="C572" s="26">
        <f t="shared" ca="1" si="68"/>
        <v>0.92738406270796003</v>
      </c>
      <c r="D572" s="29">
        <v>0</v>
      </c>
      <c r="F572" s="22">
        <v>45117</v>
      </c>
      <c r="G572" s="26">
        <f t="shared" ca="1" si="88"/>
        <v>0.6541977124327919</v>
      </c>
      <c r="H572" s="29">
        <v>0</v>
      </c>
      <c r="J572" s="22">
        <v>45117</v>
      </c>
      <c r="K572" s="26">
        <f t="shared" ca="1" si="89"/>
        <v>0.96093595461389802</v>
      </c>
      <c r="L572" s="29">
        <v>0</v>
      </c>
      <c r="N572" s="22">
        <v>45117</v>
      </c>
      <c r="O572" s="26">
        <f t="shared" ca="1" si="90"/>
        <v>0.82239144755124749</v>
      </c>
      <c r="P572" s="29">
        <v>0</v>
      </c>
      <c r="R572" s="22">
        <v>45117</v>
      </c>
      <c r="S572" s="26">
        <f t="shared" ca="1" si="91"/>
        <v>6.6119711769519585E-2</v>
      </c>
      <c r="T572" s="29">
        <v>0</v>
      </c>
      <c r="V572" s="22">
        <v>45117</v>
      </c>
      <c r="W572" s="26">
        <f t="shared" ca="1" si="92"/>
        <v>0.81768647312192499</v>
      </c>
      <c r="X572" s="29">
        <v>0</v>
      </c>
      <c r="Z572" s="22">
        <v>45117</v>
      </c>
      <c r="AA572" s="26">
        <f t="shared" ca="1" si="93"/>
        <v>0.82189537049146777</v>
      </c>
      <c r="AB572" s="29">
        <v>0</v>
      </c>
      <c r="AC572"/>
      <c r="AD572" s="25"/>
      <c r="AF572" s="22">
        <v>45117</v>
      </c>
      <c r="AG572" s="26">
        <f t="shared" ca="1" si="94"/>
        <v>0.94236916890974742</v>
      </c>
      <c r="AH572" s="29">
        <v>0</v>
      </c>
      <c r="AJ572" s="22">
        <v>45117</v>
      </c>
      <c r="AK572" s="26">
        <f t="shared" ca="1" si="95"/>
        <v>0.17924331539424954</v>
      </c>
      <c r="AL572" s="29">
        <v>0</v>
      </c>
      <c r="AN572" s="22">
        <v>45117</v>
      </c>
      <c r="AO572" s="26">
        <f t="shared" ca="1" si="96"/>
        <v>0.49845245277223948</v>
      </c>
      <c r="AP572" s="29">
        <v>0</v>
      </c>
      <c r="AR572" s="22">
        <v>45117</v>
      </c>
      <c r="AS572" s="26">
        <f t="shared" ca="1" si="97"/>
        <v>0.72352712732554314</v>
      </c>
      <c r="AT572" s="29">
        <v>0</v>
      </c>
      <c r="AV572" s="22">
        <v>45117</v>
      </c>
      <c r="AW572" s="26">
        <f t="shared" ca="1" si="98"/>
        <v>0.28369375084541537</v>
      </c>
      <c r="AX572" s="29">
        <v>0</v>
      </c>
      <c r="AZ572" s="22">
        <v>45117</v>
      </c>
      <c r="BA572" s="26">
        <f t="shared" ca="1" si="99"/>
        <v>0.65155686594088391</v>
      </c>
      <c r="BB572" s="29">
        <v>0</v>
      </c>
      <c r="BC572"/>
      <c r="BD572" s="25"/>
      <c r="BF572" s="22">
        <v>45117</v>
      </c>
      <c r="BG572" s="26">
        <f t="shared" ca="1" si="100"/>
        <v>0.43933988114701228</v>
      </c>
      <c r="BH572" s="29">
        <v>0</v>
      </c>
      <c r="BJ572" s="22">
        <v>45117</v>
      </c>
      <c r="BK572" s="26">
        <f t="shared" ca="1" si="101"/>
        <v>3.3318003275578212E-2</v>
      </c>
      <c r="BL572" s="29">
        <v>0</v>
      </c>
      <c r="BN572" s="22">
        <v>45117</v>
      </c>
      <c r="BO572" s="26">
        <f t="shared" ca="1" si="102"/>
        <v>0.17117531668836605</v>
      </c>
      <c r="BP572" s="29">
        <v>0</v>
      </c>
      <c r="BR572" s="22">
        <v>45117</v>
      </c>
      <c r="BS572" s="26">
        <f t="shared" ca="1" si="103"/>
        <v>0.84926033788874289</v>
      </c>
      <c r="BT572" s="29">
        <v>0</v>
      </c>
      <c r="BV572" s="22">
        <v>45117</v>
      </c>
      <c r="BW572" s="26">
        <f t="shared" ca="1" si="104"/>
        <v>0.6868507495612326</v>
      </c>
      <c r="BX572" s="29">
        <v>0</v>
      </c>
    </row>
    <row r="573" spans="2:77" ht="12.75" x14ac:dyDescent="0.2">
      <c r="B573" s="22">
        <v>45118</v>
      </c>
      <c r="C573" s="26">
        <f t="shared" ca="1" si="68"/>
        <v>0.72088468513754589</v>
      </c>
      <c r="D573" s="29">
        <v>0</v>
      </c>
      <c r="F573" s="22">
        <v>45118</v>
      </c>
      <c r="G573" s="26">
        <f t="shared" ca="1" si="88"/>
        <v>0.38650252987606071</v>
      </c>
      <c r="H573" s="29">
        <v>0</v>
      </c>
      <c r="J573" s="22">
        <v>45118</v>
      </c>
      <c r="K573" s="26">
        <f t="shared" ca="1" si="89"/>
        <v>0.97249239495409834</v>
      </c>
      <c r="L573" s="29">
        <v>0</v>
      </c>
      <c r="N573" s="22">
        <v>45118</v>
      </c>
      <c r="O573" s="26">
        <f t="shared" ca="1" si="90"/>
        <v>0.74403350446811067</v>
      </c>
      <c r="P573" s="29">
        <v>0</v>
      </c>
      <c r="R573" s="22">
        <v>45118</v>
      </c>
      <c r="S573" s="26">
        <f t="shared" ca="1" si="91"/>
        <v>0.3646163368557902</v>
      </c>
      <c r="T573" s="29">
        <v>0</v>
      </c>
      <c r="V573" s="22">
        <v>45118</v>
      </c>
      <c r="W573" s="26">
        <f t="shared" ca="1" si="92"/>
        <v>0.80460317683228721</v>
      </c>
      <c r="X573" s="29">
        <v>0</v>
      </c>
      <c r="Z573" s="22">
        <v>45118</v>
      </c>
      <c r="AA573" s="26">
        <f t="shared" ca="1" si="93"/>
        <v>0.12145711064444975</v>
      </c>
      <c r="AB573" s="29">
        <v>0</v>
      </c>
      <c r="AC573"/>
      <c r="AD573" s="25"/>
      <c r="AF573" s="22">
        <v>45118</v>
      </c>
      <c r="AG573" s="26">
        <f t="shared" ca="1" si="94"/>
        <v>0.1338431969670355</v>
      </c>
      <c r="AH573" s="29">
        <v>0</v>
      </c>
      <c r="AJ573" s="22">
        <v>45118</v>
      </c>
      <c r="AK573" s="26">
        <f t="shared" ca="1" si="95"/>
        <v>0.51716378935522678</v>
      </c>
      <c r="AL573" s="29">
        <v>0</v>
      </c>
      <c r="AN573" s="22">
        <v>45118</v>
      </c>
      <c r="AO573" s="26">
        <f t="shared" ca="1" si="96"/>
        <v>0.56517684455290373</v>
      </c>
      <c r="AP573" s="29">
        <v>0</v>
      </c>
      <c r="AR573" s="22">
        <v>45118</v>
      </c>
      <c r="AS573" s="26">
        <f t="shared" ca="1" si="97"/>
        <v>0.55444335666219113</v>
      </c>
      <c r="AT573" s="29">
        <v>0</v>
      </c>
      <c r="AV573" s="22">
        <v>45118</v>
      </c>
      <c r="AW573" s="26">
        <f t="shared" ca="1" si="98"/>
        <v>0.50325856328400265</v>
      </c>
      <c r="AX573" s="29">
        <v>0</v>
      </c>
      <c r="AZ573" s="22">
        <v>45118</v>
      </c>
      <c r="BA573" s="26">
        <f t="shared" ca="1" si="99"/>
        <v>0.28652303865989248</v>
      </c>
      <c r="BB573" s="29">
        <v>0</v>
      </c>
      <c r="BC573"/>
      <c r="BD573" s="25"/>
      <c r="BF573" s="22">
        <v>45118</v>
      </c>
      <c r="BG573" s="26">
        <f t="shared" ca="1" si="100"/>
        <v>0.43584292679182013</v>
      </c>
      <c r="BH573" s="29">
        <v>0</v>
      </c>
      <c r="BJ573" s="22">
        <v>45118</v>
      </c>
      <c r="BK573" s="26">
        <f t="shared" ca="1" si="101"/>
        <v>0.94642866288291483</v>
      </c>
      <c r="BL573" s="29">
        <v>0</v>
      </c>
      <c r="BN573" s="22">
        <v>45118</v>
      </c>
      <c r="BO573" s="26">
        <f t="shared" ca="1" si="102"/>
        <v>0.55631064559992294</v>
      </c>
      <c r="BP573" s="29">
        <v>0</v>
      </c>
      <c r="BR573" s="22">
        <v>45118</v>
      </c>
      <c r="BS573" s="26">
        <f t="shared" ca="1" si="103"/>
        <v>0.29715578074230076</v>
      </c>
      <c r="BT573" s="29">
        <v>0</v>
      </c>
      <c r="BV573" s="22">
        <v>45118</v>
      </c>
      <c r="BW573" s="26">
        <f t="shared" ca="1" si="104"/>
        <v>0.25758467198772705</v>
      </c>
      <c r="BX573" s="29">
        <v>0</v>
      </c>
    </row>
    <row r="574" spans="2:77" ht="12.75" x14ac:dyDescent="0.2">
      <c r="B574" s="22">
        <v>45119</v>
      </c>
      <c r="C574" s="26">
        <f t="shared" ca="1" si="68"/>
        <v>0.37367554594285213</v>
      </c>
      <c r="D574" s="29">
        <v>0</v>
      </c>
      <c r="F574" s="22">
        <v>45119</v>
      </c>
      <c r="G574" s="26">
        <f t="shared" ca="1" si="88"/>
        <v>0.34246460047439142</v>
      </c>
      <c r="H574" s="29">
        <v>0</v>
      </c>
      <c r="J574" s="22">
        <v>45119</v>
      </c>
      <c r="K574" s="26">
        <f t="shared" ca="1" si="89"/>
        <v>0.58782270341958531</v>
      </c>
      <c r="L574" s="29">
        <v>0</v>
      </c>
      <c r="N574" s="22">
        <v>45119</v>
      </c>
      <c r="O574" s="26">
        <f t="shared" ca="1" si="90"/>
        <v>0.39780425494899885</v>
      </c>
      <c r="P574" s="29">
        <v>0</v>
      </c>
      <c r="R574" s="22">
        <v>45119</v>
      </c>
      <c r="S574" s="26">
        <f t="shared" ca="1" si="91"/>
        <v>0.87163211524333051</v>
      </c>
      <c r="T574" s="29">
        <v>0</v>
      </c>
      <c r="V574" s="22">
        <v>45119</v>
      </c>
      <c r="W574" s="26">
        <f t="shared" ca="1" si="92"/>
        <v>0.51841910539754699</v>
      </c>
      <c r="X574" s="29">
        <v>0</v>
      </c>
      <c r="Z574" s="22">
        <v>45119</v>
      </c>
      <c r="AA574" s="26">
        <f t="shared" ca="1" si="93"/>
        <v>0.2124631737563879</v>
      </c>
      <c r="AB574" s="29">
        <v>0</v>
      </c>
      <c r="AC574"/>
      <c r="AD574" s="25"/>
      <c r="AF574" s="22">
        <v>45119</v>
      </c>
      <c r="AG574" s="26">
        <f t="shared" ca="1" si="94"/>
        <v>0.13355688791895803</v>
      </c>
      <c r="AH574" s="29">
        <v>0</v>
      </c>
      <c r="AJ574" s="22">
        <v>45119</v>
      </c>
      <c r="AK574" s="26">
        <f t="shared" ca="1" si="95"/>
        <v>0.9432487107760168</v>
      </c>
      <c r="AL574" s="29">
        <v>0</v>
      </c>
      <c r="AN574" s="22">
        <v>45119</v>
      </c>
      <c r="AO574" s="26">
        <f t="shared" ca="1" si="96"/>
        <v>0.29053434220313368</v>
      </c>
      <c r="AP574" s="29">
        <v>0</v>
      </c>
      <c r="AR574" s="22">
        <v>45119</v>
      </c>
      <c r="AS574" s="26">
        <f t="shared" ca="1" si="97"/>
        <v>0.60519009997083983</v>
      </c>
      <c r="AT574" s="29">
        <v>0</v>
      </c>
      <c r="AV574" s="22">
        <v>45119</v>
      </c>
      <c r="AW574" s="26">
        <f t="shared" ca="1" si="98"/>
        <v>0.34943108917741661</v>
      </c>
      <c r="AX574" s="29">
        <v>0</v>
      </c>
      <c r="AZ574" s="22">
        <v>45119</v>
      </c>
      <c r="BA574" s="26">
        <f t="shared" ca="1" si="99"/>
        <v>0.12640206078780314</v>
      </c>
      <c r="BB574" s="29">
        <v>0</v>
      </c>
      <c r="BC574"/>
      <c r="BD574" s="25"/>
      <c r="BF574" s="22">
        <v>45119</v>
      </c>
      <c r="BG574" s="26">
        <f t="shared" ca="1" si="100"/>
        <v>7.6450989084584586E-2</v>
      </c>
      <c r="BH574" s="29">
        <v>0</v>
      </c>
      <c r="BJ574" s="22">
        <v>45119</v>
      </c>
      <c r="BK574" s="26">
        <f t="shared" ca="1" si="101"/>
        <v>0.51625000099838769</v>
      </c>
      <c r="BL574" s="29">
        <v>0</v>
      </c>
      <c r="BN574" s="22">
        <v>45119</v>
      </c>
      <c r="BO574" s="26">
        <f t="shared" ca="1" si="102"/>
        <v>0.65989097218337855</v>
      </c>
      <c r="BP574" s="29">
        <v>0</v>
      </c>
      <c r="BR574" s="22">
        <v>45119</v>
      </c>
      <c r="BS574" s="26">
        <f t="shared" ca="1" si="103"/>
        <v>0.26534726157442856</v>
      </c>
      <c r="BT574" s="29">
        <v>0</v>
      </c>
      <c r="BV574" s="22">
        <v>45119</v>
      </c>
      <c r="BW574" s="26">
        <f t="shared" ca="1" si="104"/>
        <v>0.76490021996811253</v>
      </c>
      <c r="BX574" s="29">
        <v>0</v>
      </c>
    </row>
    <row r="575" spans="2:77" ht="12.75" x14ac:dyDescent="0.2">
      <c r="B575" s="22">
        <v>45120</v>
      </c>
      <c r="C575" s="26">
        <f t="shared" ca="1" si="68"/>
        <v>0.57210064870188793</v>
      </c>
      <c r="D575" s="29">
        <v>0</v>
      </c>
      <c r="F575" s="22">
        <v>45120</v>
      </c>
      <c r="G575" s="26">
        <f t="shared" ca="1" si="88"/>
        <v>0.14994666421898495</v>
      </c>
      <c r="H575" s="29">
        <v>0</v>
      </c>
      <c r="J575" s="22">
        <v>45120</v>
      </c>
      <c r="K575" s="26">
        <f t="shared" ca="1" si="89"/>
        <v>0.35694452749621675</v>
      </c>
      <c r="L575" s="29">
        <v>0</v>
      </c>
      <c r="N575" s="22">
        <v>45120</v>
      </c>
      <c r="O575" s="26">
        <f t="shared" ca="1" si="90"/>
        <v>0.314405877289191</v>
      </c>
      <c r="P575" s="29">
        <v>0</v>
      </c>
      <c r="R575" s="22">
        <v>45120</v>
      </c>
      <c r="S575" s="26">
        <f t="shared" ca="1" si="91"/>
        <v>0.78687004013757644</v>
      </c>
      <c r="T575" s="29">
        <v>0</v>
      </c>
      <c r="V575" s="22">
        <v>45120</v>
      </c>
      <c r="W575" s="26">
        <f t="shared" ca="1" si="92"/>
        <v>7.7957038610543261E-4</v>
      </c>
      <c r="X575" s="29">
        <v>0</v>
      </c>
      <c r="Z575" s="22">
        <v>45120</v>
      </c>
      <c r="AA575" s="26">
        <f t="shared" ca="1" si="93"/>
        <v>0.94298636622365695</v>
      </c>
      <c r="AB575" s="29">
        <v>0</v>
      </c>
      <c r="AC575"/>
      <c r="AD575" s="25"/>
      <c r="AF575" s="22">
        <v>45120</v>
      </c>
      <c r="AG575" s="26">
        <f t="shared" ca="1" si="94"/>
        <v>0.12609506188264596</v>
      </c>
      <c r="AH575" s="29">
        <v>0</v>
      </c>
      <c r="AJ575" s="22">
        <v>45120</v>
      </c>
      <c r="AK575" s="26">
        <f t="shared" ca="1" si="95"/>
        <v>0.81165381172189188</v>
      </c>
      <c r="AL575" s="29">
        <v>0</v>
      </c>
      <c r="AN575" s="22">
        <v>45120</v>
      </c>
      <c r="AO575" s="26">
        <f t="shared" ca="1" si="96"/>
        <v>0.22653996404417298</v>
      </c>
      <c r="AP575" s="29">
        <v>0</v>
      </c>
      <c r="AR575" s="22">
        <v>45120</v>
      </c>
      <c r="AS575" s="26">
        <f t="shared" ca="1" si="97"/>
        <v>1.7395314023762376E-2</v>
      </c>
      <c r="AT575" s="29">
        <v>0</v>
      </c>
      <c r="AV575" s="22">
        <v>45120</v>
      </c>
      <c r="AW575" s="26">
        <f t="shared" ca="1" si="98"/>
        <v>0.34004065174555309</v>
      </c>
      <c r="AX575" s="29">
        <v>0</v>
      </c>
      <c r="AZ575" s="22">
        <v>45120</v>
      </c>
      <c r="BA575" s="26">
        <f t="shared" ca="1" si="99"/>
        <v>0.73530370025587488</v>
      </c>
      <c r="BB575" s="29">
        <v>0</v>
      </c>
      <c r="BC575"/>
      <c r="BD575" s="25"/>
      <c r="BF575" s="22">
        <v>45120</v>
      </c>
      <c r="BG575" s="26">
        <f t="shared" ca="1" si="100"/>
        <v>0.10008783079476413</v>
      </c>
      <c r="BH575" s="29">
        <v>0</v>
      </c>
      <c r="BJ575" s="22">
        <v>45120</v>
      </c>
      <c r="BK575" s="26">
        <f t="shared" ca="1" si="101"/>
        <v>0.24280751573110615</v>
      </c>
      <c r="BL575" s="29">
        <v>0</v>
      </c>
      <c r="BN575" s="22">
        <v>45120</v>
      </c>
      <c r="BO575" s="26">
        <f t="shared" ca="1" si="102"/>
        <v>0.24263509818877249</v>
      </c>
      <c r="BP575" s="29">
        <v>0</v>
      </c>
      <c r="BR575" s="22">
        <v>45120</v>
      </c>
      <c r="BS575" s="26">
        <f t="shared" ca="1" si="103"/>
        <v>0.55223235827131445</v>
      </c>
      <c r="BT575" s="29">
        <v>0</v>
      </c>
      <c r="BV575" s="22">
        <v>45120</v>
      </c>
      <c r="BW575" s="26">
        <f t="shared" ca="1" si="104"/>
        <v>0.61233521165517846</v>
      </c>
      <c r="BX575" s="29">
        <v>0</v>
      </c>
    </row>
    <row r="576" spans="2:77" ht="12.75" x14ac:dyDescent="0.2">
      <c r="B576" s="22">
        <v>45121</v>
      </c>
      <c r="C576" s="26">
        <f t="shared" ca="1" si="68"/>
        <v>0.35178449527684463</v>
      </c>
      <c r="D576" s="29">
        <v>0</v>
      </c>
      <c r="F576" s="22">
        <v>45121</v>
      </c>
      <c r="G576" s="26">
        <f t="shared" ca="1" si="88"/>
        <v>0.7454122059259759</v>
      </c>
      <c r="H576" s="29">
        <v>0</v>
      </c>
      <c r="J576" s="22">
        <v>45121</v>
      </c>
      <c r="K576" s="26">
        <f t="shared" ca="1" si="89"/>
        <v>0.59355109898439362</v>
      </c>
      <c r="L576" s="29">
        <v>0</v>
      </c>
      <c r="N576" s="22">
        <v>45121</v>
      </c>
      <c r="O576" s="26">
        <f t="shared" ca="1" si="90"/>
        <v>0.47879792340852889</v>
      </c>
      <c r="P576" s="29">
        <v>0</v>
      </c>
      <c r="R576" s="22">
        <v>45121</v>
      </c>
      <c r="S576" s="26">
        <f t="shared" ca="1" si="91"/>
        <v>0.85096011476187983</v>
      </c>
      <c r="T576" s="29">
        <v>0</v>
      </c>
      <c r="V576" s="22">
        <v>45121</v>
      </c>
      <c r="W576" s="26">
        <f t="shared" ca="1" si="92"/>
        <v>0.45553904151829849</v>
      </c>
      <c r="X576" s="29">
        <v>0</v>
      </c>
      <c r="Z576" s="22">
        <v>45121</v>
      </c>
      <c r="AA576" s="26">
        <f t="shared" ca="1" si="93"/>
        <v>9.4193278371209499E-2</v>
      </c>
      <c r="AB576" s="29">
        <v>0</v>
      </c>
      <c r="AC576"/>
      <c r="AD576" s="25"/>
      <c r="AF576" s="22">
        <v>45121</v>
      </c>
      <c r="AG576" s="26">
        <f t="shared" ca="1" si="94"/>
        <v>1.3110318613020366E-2</v>
      </c>
      <c r="AH576" s="29">
        <v>0</v>
      </c>
      <c r="AJ576" s="22">
        <v>45121</v>
      </c>
      <c r="AK576" s="26">
        <f t="shared" ca="1" si="95"/>
        <v>0.91150037411959239</v>
      </c>
      <c r="AL576" s="29">
        <v>0</v>
      </c>
      <c r="AN576" s="22">
        <v>45121</v>
      </c>
      <c r="AO576" s="26">
        <f t="shared" ca="1" si="96"/>
        <v>0.79709097492952297</v>
      </c>
      <c r="AP576" s="29">
        <v>0</v>
      </c>
      <c r="AR576" s="22">
        <v>45121</v>
      </c>
      <c r="AS576" s="26">
        <f t="shared" ca="1" si="97"/>
        <v>9.2729213771026164E-2</v>
      </c>
      <c r="AT576" s="29">
        <v>0</v>
      </c>
      <c r="AV576" s="22">
        <v>45121</v>
      </c>
      <c r="AW576" s="26">
        <f t="shared" ca="1" si="98"/>
        <v>8.9243140214423367E-3</v>
      </c>
      <c r="AX576" s="29">
        <v>0</v>
      </c>
      <c r="AZ576" s="22">
        <v>45121</v>
      </c>
      <c r="BA576" s="26">
        <f t="shared" ca="1" si="99"/>
        <v>0.45217100804788579</v>
      </c>
      <c r="BB576" s="29">
        <v>0</v>
      </c>
      <c r="BC576"/>
      <c r="BD576" s="25"/>
      <c r="BF576" s="22">
        <v>45121</v>
      </c>
      <c r="BG576" s="26">
        <f t="shared" ca="1" si="100"/>
        <v>0.3376178139075553</v>
      </c>
      <c r="BH576" s="29">
        <v>0</v>
      </c>
      <c r="BJ576" s="22">
        <v>45121</v>
      </c>
      <c r="BK576" s="26">
        <f t="shared" ca="1" si="101"/>
        <v>0.87815475636666562</v>
      </c>
      <c r="BL576" s="29">
        <v>0</v>
      </c>
      <c r="BN576" s="22">
        <v>45121</v>
      </c>
      <c r="BO576" s="26">
        <f t="shared" ca="1" si="102"/>
        <v>0.51126149420498845</v>
      </c>
      <c r="BP576" s="29">
        <v>0</v>
      </c>
      <c r="BR576" s="22">
        <v>45121</v>
      </c>
      <c r="BS576" s="26">
        <f t="shared" ca="1" si="103"/>
        <v>0.56163320012456264</v>
      </c>
      <c r="BT576" s="29">
        <v>0</v>
      </c>
      <c r="BV576" s="22">
        <v>45121</v>
      </c>
      <c r="BW576" s="26">
        <f t="shared" ca="1" si="104"/>
        <v>2.7481464426411861E-2</v>
      </c>
      <c r="BX576" s="29">
        <v>0</v>
      </c>
    </row>
    <row r="577" spans="2:76" ht="12.75" x14ac:dyDescent="0.2">
      <c r="B577" s="22">
        <v>45122</v>
      </c>
      <c r="C577" s="26">
        <f t="shared" ca="1" si="68"/>
        <v>0.14969440166610037</v>
      </c>
      <c r="D577" s="29">
        <v>0</v>
      </c>
      <c r="F577" s="22">
        <v>45122</v>
      </c>
      <c r="G577" s="26">
        <f t="shared" ca="1" si="88"/>
        <v>0.32693077380205504</v>
      </c>
      <c r="H577" s="29">
        <v>0</v>
      </c>
      <c r="J577" s="22">
        <v>45122</v>
      </c>
      <c r="K577" s="26">
        <f t="shared" ca="1" si="89"/>
        <v>6.1839737049968369E-2</v>
      </c>
      <c r="L577" s="29">
        <v>0</v>
      </c>
      <c r="N577" s="22">
        <v>45122</v>
      </c>
      <c r="O577" s="26">
        <f t="shared" ca="1" si="90"/>
        <v>0.97509516300629506</v>
      </c>
      <c r="P577" s="29">
        <v>0</v>
      </c>
      <c r="R577" s="22">
        <v>45122</v>
      </c>
      <c r="S577" s="26">
        <f t="shared" ca="1" si="91"/>
        <v>0.88817661676565118</v>
      </c>
      <c r="T577" s="29">
        <v>0</v>
      </c>
      <c r="V577" s="22">
        <v>45122</v>
      </c>
      <c r="W577" s="26">
        <f t="shared" ca="1" si="92"/>
        <v>0.16113229649072691</v>
      </c>
      <c r="X577" s="29">
        <v>0</v>
      </c>
      <c r="Z577" s="22">
        <v>45122</v>
      </c>
      <c r="AA577" s="26">
        <f t="shared" ca="1" si="93"/>
        <v>0.42687119371554771</v>
      </c>
      <c r="AB577" s="29">
        <v>0</v>
      </c>
      <c r="AC577"/>
      <c r="AD577" s="25"/>
      <c r="AF577" s="22">
        <v>45122</v>
      </c>
      <c r="AG577" s="26">
        <f t="shared" ca="1" si="94"/>
        <v>0.95010175585062895</v>
      </c>
      <c r="AH577" s="29">
        <v>0</v>
      </c>
      <c r="AJ577" s="22">
        <v>45122</v>
      </c>
      <c r="AK577" s="26">
        <f t="shared" ca="1" si="95"/>
        <v>0.35196474102052089</v>
      </c>
      <c r="AL577" s="29">
        <v>0</v>
      </c>
      <c r="AN577" s="22">
        <v>45122</v>
      </c>
      <c r="AO577" s="26">
        <f t="shared" ca="1" si="96"/>
        <v>0.74926410406321353</v>
      </c>
      <c r="AP577" s="29">
        <v>0</v>
      </c>
      <c r="AR577" s="22">
        <v>45122</v>
      </c>
      <c r="AS577" s="26">
        <f t="shared" ca="1" si="97"/>
        <v>0.80744680408257663</v>
      </c>
      <c r="AT577" s="29">
        <v>0</v>
      </c>
      <c r="AV577" s="22">
        <v>45122</v>
      </c>
      <c r="AW577" s="26">
        <f t="shared" ca="1" si="98"/>
        <v>0.5988607521516025</v>
      </c>
      <c r="AX577" s="29">
        <v>0</v>
      </c>
      <c r="AZ577" s="22">
        <v>45122</v>
      </c>
      <c r="BA577" s="26">
        <f t="shared" ca="1" si="99"/>
        <v>0.3389148931762247</v>
      </c>
      <c r="BB577" s="29">
        <v>0</v>
      </c>
      <c r="BC577"/>
      <c r="BD577" s="25"/>
      <c r="BF577" s="22">
        <v>45122</v>
      </c>
      <c r="BG577" s="26">
        <f t="shared" ca="1" si="100"/>
        <v>0.32116461180046496</v>
      </c>
      <c r="BH577" s="29">
        <v>0</v>
      </c>
      <c r="BJ577" s="22">
        <v>45122</v>
      </c>
      <c r="BK577" s="26">
        <f t="shared" ca="1" si="101"/>
        <v>0.75807610455441787</v>
      </c>
      <c r="BL577" s="29">
        <v>0</v>
      </c>
      <c r="BN577" s="22">
        <v>45122</v>
      </c>
      <c r="BO577" s="26">
        <f t="shared" ca="1" si="102"/>
        <v>0.75785104055725327</v>
      </c>
      <c r="BP577" s="29">
        <v>0</v>
      </c>
      <c r="BR577" s="22">
        <v>45122</v>
      </c>
      <c r="BS577" s="26">
        <f t="shared" ca="1" si="103"/>
        <v>0.49902575650176451</v>
      </c>
      <c r="BT577" s="29">
        <v>0</v>
      </c>
      <c r="BV577" s="22">
        <v>45122</v>
      </c>
      <c r="BW577" s="26">
        <f t="shared" ca="1" si="104"/>
        <v>0.94092283123487441</v>
      </c>
      <c r="BX577" s="29">
        <v>0</v>
      </c>
    </row>
    <row r="578" spans="2:76" ht="12.75" x14ac:dyDescent="0.2">
      <c r="B578" s="22">
        <v>45123</v>
      </c>
      <c r="C578" s="26">
        <f t="shared" ca="1" si="68"/>
        <v>3.1010882630480574E-2</v>
      </c>
      <c r="D578" s="29">
        <v>0</v>
      </c>
      <c r="F578" s="22">
        <v>45123</v>
      </c>
      <c r="G578" s="26">
        <f t="shared" ca="1" si="88"/>
        <v>0.26225193239509292</v>
      </c>
      <c r="H578" s="29">
        <v>0</v>
      </c>
      <c r="J578" s="22">
        <v>45123</v>
      </c>
      <c r="K578" s="26">
        <f t="shared" ca="1" si="89"/>
        <v>0.41342230810021219</v>
      </c>
      <c r="L578" s="29">
        <v>0</v>
      </c>
      <c r="N578" s="22">
        <v>45123</v>
      </c>
      <c r="O578" s="26">
        <f t="shared" ca="1" si="90"/>
        <v>0.68765308844527762</v>
      </c>
      <c r="P578" s="29">
        <v>0</v>
      </c>
      <c r="R578" s="22">
        <v>45123</v>
      </c>
      <c r="S578" s="26">
        <f t="shared" ca="1" si="91"/>
        <v>0.17250138175665108</v>
      </c>
      <c r="T578" s="29">
        <v>0</v>
      </c>
      <c r="V578" s="22">
        <v>45123</v>
      </c>
      <c r="W578" s="26">
        <f t="shared" ca="1" si="92"/>
        <v>0.55732120155683218</v>
      </c>
      <c r="X578" s="29">
        <v>0</v>
      </c>
      <c r="Z578" s="22">
        <v>45123</v>
      </c>
      <c r="AA578" s="26">
        <f t="shared" ca="1" si="93"/>
        <v>0.2634515128049234</v>
      </c>
      <c r="AB578" s="29">
        <v>0</v>
      </c>
      <c r="AC578"/>
      <c r="AD578" s="25"/>
      <c r="AF578" s="22">
        <v>45123</v>
      </c>
      <c r="AG578" s="26">
        <f t="shared" ca="1" si="94"/>
        <v>0.61488843696568962</v>
      </c>
      <c r="AH578" s="29">
        <v>0</v>
      </c>
      <c r="AJ578" s="22">
        <v>45123</v>
      </c>
      <c r="AK578" s="26">
        <f t="shared" ca="1" si="95"/>
        <v>0.59194878171205534</v>
      </c>
      <c r="AL578" s="29">
        <v>0</v>
      </c>
      <c r="AN578" s="22">
        <v>45123</v>
      </c>
      <c r="AO578" s="26">
        <f t="shared" ca="1" si="96"/>
        <v>0.15358444741195876</v>
      </c>
      <c r="AP578" s="29">
        <v>0</v>
      </c>
      <c r="AR578" s="22">
        <v>45123</v>
      </c>
      <c r="AS578" s="26">
        <f t="shared" ca="1" si="97"/>
        <v>9.0264334507409116E-2</v>
      </c>
      <c r="AT578" s="29">
        <v>0</v>
      </c>
      <c r="AV578" s="22">
        <v>45123</v>
      </c>
      <c r="AW578" s="26">
        <f t="shared" ca="1" si="98"/>
        <v>0.59975907974725573</v>
      </c>
      <c r="AX578" s="29">
        <v>0</v>
      </c>
      <c r="AZ578" s="22">
        <v>45123</v>
      </c>
      <c r="BA578" s="26">
        <f t="shared" ca="1" si="99"/>
        <v>0.94448169622873723</v>
      </c>
      <c r="BB578" s="29">
        <v>0</v>
      </c>
      <c r="BC578"/>
      <c r="BD578" s="25"/>
      <c r="BF578" s="22">
        <v>45123</v>
      </c>
      <c r="BG578" s="26">
        <f t="shared" ca="1" si="100"/>
        <v>0.3968794584285924</v>
      </c>
      <c r="BH578" s="29">
        <v>0</v>
      </c>
      <c r="BJ578" s="22">
        <v>45123</v>
      </c>
      <c r="BK578" s="26">
        <f t="shared" ca="1" si="101"/>
        <v>0.80001363075533771</v>
      </c>
      <c r="BL578" s="29">
        <v>0</v>
      </c>
      <c r="BN578" s="22">
        <v>45123</v>
      </c>
      <c r="BO578" s="26">
        <f t="shared" ca="1" si="102"/>
        <v>0.88964296269335807</v>
      </c>
      <c r="BP578" s="29">
        <v>0</v>
      </c>
      <c r="BR578" s="22">
        <v>45123</v>
      </c>
      <c r="BS578" s="26">
        <f t="shared" ca="1" si="103"/>
        <v>0.15379365170358206</v>
      </c>
      <c r="BT578" s="29">
        <v>0</v>
      </c>
      <c r="BV578" s="22">
        <v>45123</v>
      </c>
      <c r="BW578" s="26">
        <f t="shared" ca="1" si="104"/>
        <v>7.9150639680284129E-2</v>
      </c>
      <c r="BX578" s="29">
        <v>0</v>
      </c>
    </row>
    <row r="579" spans="2:76" ht="12.75" x14ac:dyDescent="0.2">
      <c r="B579" s="22">
        <v>45124</v>
      </c>
      <c r="C579" s="26">
        <f t="shared" ca="1" si="68"/>
        <v>0.95871730267047717</v>
      </c>
      <c r="D579" s="29">
        <v>0</v>
      </c>
      <c r="F579" s="22">
        <v>45124</v>
      </c>
      <c r="G579" s="26">
        <f t="shared" ca="1" si="88"/>
        <v>0.85319462896871123</v>
      </c>
      <c r="H579" s="29">
        <v>0</v>
      </c>
      <c r="J579" s="22">
        <v>45124</v>
      </c>
      <c r="K579" s="26">
        <f t="shared" ca="1" si="89"/>
        <v>0.76134046393066601</v>
      </c>
      <c r="L579" s="29">
        <v>0</v>
      </c>
      <c r="N579" s="22">
        <v>45124</v>
      </c>
      <c r="O579" s="26">
        <f t="shared" ca="1" si="90"/>
        <v>0.4197399233845116</v>
      </c>
      <c r="P579" s="29">
        <v>0</v>
      </c>
      <c r="R579" s="22">
        <v>45124</v>
      </c>
      <c r="S579" s="26">
        <f t="shared" ca="1" si="91"/>
        <v>0.62811960116619681</v>
      </c>
      <c r="T579" s="29">
        <v>0</v>
      </c>
      <c r="V579" s="22">
        <v>45124</v>
      </c>
      <c r="W579" s="26">
        <f t="shared" ca="1" si="92"/>
        <v>0.10094806684024782</v>
      </c>
      <c r="X579" s="29">
        <v>0</v>
      </c>
      <c r="Z579" s="22">
        <v>45124</v>
      </c>
      <c r="AA579" s="26">
        <f t="shared" ca="1" si="93"/>
        <v>0.6046858667239271</v>
      </c>
      <c r="AB579" s="29">
        <v>0</v>
      </c>
      <c r="AC579"/>
      <c r="AD579" s="25"/>
      <c r="AF579" s="22">
        <v>45124</v>
      </c>
      <c r="AG579" s="26">
        <f t="shared" ca="1" si="94"/>
        <v>0.71756968761137763</v>
      </c>
      <c r="AH579" s="29">
        <v>0</v>
      </c>
      <c r="AJ579" s="22">
        <v>45124</v>
      </c>
      <c r="AK579" s="26">
        <f t="shared" ca="1" si="95"/>
        <v>0.54320826156803581</v>
      </c>
      <c r="AL579" s="29">
        <v>0</v>
      </c>
      <c r="AN579" s="22">
        <v>45124</v>
      </c>
      <c r="AO579" s="26">
        <f t="shared" ca="1" si="96"/>
        <v>0.63601352977002223</v>
      </c>
      <c r="AP579" s="29">
        <v>0</v>
      </c>
      <c r="AR579" s="22">
        <v>45124</v>
      </c>
      <c r="AS579" s="26">
        <f t="shared" ca="1" si="97"/>
        <v>8.3602991904553114E-2</v>
      </c>
      <c r="AT579" s="29">
        <v>0</v>
      </c>
      <c r="AV579" s="22">
        <v>45124</v>
      </c>
      <c r="AW579" s="26">
        <f t="shared" ca="1" si="98"/>
        <v>0.36393358585908431</v>
      </c>
      <c r="AX579" s="29">
        <v>0</v>
      </c>
      <c r="AZ579" s="22">
        <v>45124</v>
      </c>
      <c r="BA579" s="26">
        <f t="shared" ca="1" si="99"/>
        <v>0.93282742173248179</v>
      </c>
      <c r="BB579" s="29">
        <v>0</v>
      </c>
      <c r="BC579"/>
      <c r="BD579" s="25"/>
      <c r="BF579" s="22">
        <v>45124</v>
      </c>
      <c r="BG579" s="26">
        <f t="shared" ca="1" si="100"/>
        <v>0.69622044804144423</v>
      </c>
      <c r="BH579" s="29">
        <v>0</v>
      </c>
      <c r="BJ579" s="22">
        <v>45124</v>
      </c>
      <c r="BK579" s="26">
        <f t="shared" ca="1" si="101"/>
        <v>0.2626397721463789</v>
      </c>
      <c r="BL579" s="29">
        <v>0</v>
      </c>
      <c r="BN579" s="22">
        <v>45124</v>
      </c>
      <c r="BO579" s="26">
        <f t="shared" ca="1" si="102"/>
        <v>0.91713711781369389</v>
      </c>
      <c r="BP579" s="29">
        <v>0</v>
      </c>
      <c r="BR579" s="22">
        <v>45124</v>
      </c>
      <c r="BS579" s="26">
        <f t="shared" ca="1" si="103"/>
        <v>0.67152556451043965</v>
      </c>
      <c r="BT579" s="29">
        <v>0</v>
      </c>
      <c r="BV579" s="22">
        <v>45124</v>
      </c>
      <c r="BW579" s="26">
        <f t="shared" ca="1" si="104"/>
        <v>0.39153220389273369</v>
      </c>
      <c r="BX579" s="29">
        <v>0</v>
      </c>
    </row>
    <row r="580" spans="2:76" ht="12.75" x14ac:dyDescent="0.2">
      <c r="B580" s="22">
        <v>45125</v>
      </c>
      <c r="C580" s="26">
        <f t="shared" ca="1" si="68"/>
        <v>0.80953514801308935</v>
      </c>
      <c r="D580" s="29">
        <v>0</v>
      </c>
      <c r="F580" s="22">
        <v>45125</v>
      </c>
      <c r="G580" s="26">
        <f t="shared" ca="1" si="88"/>
        <v>0.35176484174414469</v>
      </c>
      <c r="H580" s="29">
        <v>0</v>
      </c>
      <c r="J580" s="22">
        <v>45125</v>
      </c>
      <c r="K580" s="26">
        <f t="shared" ca="1" si="89"/>
        <v>2.724168843261654E-2</v>
      </c>
      <c r="L580" s="29">
        <v>0</v>
      </c>
      <c r="N580" s="22">
        <v>45125</v>
      </c>
      <c r="O580" s="26">
        <f t="shared" ca="1" si="90"/>
        <v>0.37329647340431527</v>
      </c>
      <c r="P580" s="29">
        <v>0</v>
      </c>
      <c r="R580" s="22">
        <v>45125</v>
      </c>
      <c r="S580" s="26">
        <f t="shared" ca="1" si="91"/>
        <v>0.64334657031797282</v>
      </c>
      <c r="T580" s="29">
        <v>0</v>
      </c>
      <c r="V580" s="22">
        <v>45125</v>
      </c>
      <c r="W580" s="26">
        <f t="shared" ca="1" si="92"/>
        <v>8.8554721053274998E-2</v>
      </c>
      <c r="X580" s="29">
        <v>0</v>
      </c>
      <c r="Z580" s="22">
        <v>45125</v>
      </c>
      <c r="AA580" s="26">
        <f t="shared" ca="1" si="93"/>
        <v>0.751995570493875</v>
      </c>
      <c r="AB580" s="29">
        <v>0</v>
      </c>
      <c r="AC580"/>
      <c r="AD580" s="25"/>
      <c r="AF580" s="22">
        <v>45125</v>
      </c>
      <c r="AG580" s="26">
        <f t="shared" ca="1" si="94"/>
        <v>3.0429623242425707E-2</v>
      </c>
      <c r="AH580" s="29">
        <v>0</v>
      </c>
      <c r="AJ580" s="22">
        <v>45125</v>
      </c>
      <c r="AK580" s="26">
        <f t="shared" ca="1" si="95"/>
        <v>0.75891643077154791</v>
      </c>
      <c r="AL580" s="29">
        <v>0</v>
      </c>
      <c r="AN580" s="22">
        <v>45125</v>
      </c>
      <c r="AO580" s="26">
        <f t="shared" ca="1" si="96"/>
        <v>0.98761723322503725</v>
      </c>
      <c r="AP580" s="29">
        <v>0</v>
      </c>
      <c r="AR580" s="22">
        <v>45125</v>
      </c>
      <c r="AS580" s="26">
        <f t="shared" ca="1" si="97"/>
        <v>0.73473848800880837</v>
      </c>
      <c r="AT580" s="29">
        <v>0</v>
      </c>
      <c r="AV580" s="22">
        <v>45125</v>
      </c>
      <c r="AW580" s="26">
        <f t="shared" ca="1" si="98"/>
        <v>0.73231499750674822</v>
      </c>
      <c r="AX580" s="29">
        <v>0</v>
      </c>
      <c r="AZ580" s="22">
        <v>45125</v>
      </c>
      <c r="BA580" s="26">
        <f t="shared" ca="1" si="99"/>
        <v>0.27495711825337144</v>
      </c>
      <c r="BB580" s="29">
        <v>0</v>
      </c>
      <c r="BC580"/>
      <c r="BD580" s="25"/>
      <c r="BF580" s="22">
        <v>45125</v>
      </c>
      <c r="BG580" s="26">
        <f t="shared" ca="1" si="100"/>
        <v>0.38266654440264791</v>
      </c>
      <c r="BH580" s="29">
        <v>0</v>
      </c>
      <c r="BJ580" s="22">
        <v>45125</v>
      </c>
      <c r="BK580" s="26">
        <f t="shared" ca="1" si="101"/>
        <v>0.94937591438558344</v>
      </c>
      <c r="BL580" s="29">
        <v>0</v>
      </c>
      <c r="BN580" s="22">
        <v>45125</v>
      </c>
      <c r="BO580" s="26">
        <f t="shared" ca="1" si="102"/>
        <v>0.59194900046021148</v>
      </c>
      <c r="BP580" s="29">
        <v>0</v>
      </c>
      <c r="BR580" s="22">
        <v>45125</v>
      </c>
      <c r="BS580" s="26">
        <f t="shared" ca="1" si="103"/>
        <v>0.19107746478927901</v>
      </c>
      <c r="BT580" s="29">
        <v>0</v>
      </c>
      <c r="BV580" s="22">
        <v>45125</v>
      </c>
      <c r="BW580" s="26">
        <f t="shared" ca="1" si="104"/>
        <v>0.14614639588605571</v>
      </c>
      <c r="BX580" s="29">
        <v>0</v>
      </c>
    </row>
    <row r="581" spans="2:76" ht="12.75" x14ac:dyDescent="0.2">
      <c r="B581" s="22">
        <v>45126</v>
      </c>
      <c r="C581" s="26">
        <f t="shared" ca="1" si="68"/>
        <v>0.92070222081925468</v>
      </c>
      <c r="D581" s="29">
        <v>0</v>
      </c>
      <c r="F581" s="22">
        <v>45126</v>
      </c>
      <c r="G581" s="26">
        <f t="shared" ca="1" si="88"/>
        <v>0.78558395814980264</v>
      </c>
      <c r="H581" s="29">
        <v>0</v>
      </c>
      <c r="J581" s="22">
        <v>45126</v>
      </c>
      <c r="K581" s="26">
        <f t="shared" ca="1" si="89"/>
        <v>0.84658677946222827</v>
      </c>
      <c r="L581" s="29">
        <v>0</v>
      </c>
      <c r="N581" s="22">
        <v>45126</v>
      </c>
      <c r="O581" s="26">
        <f t="shared" ca="1" si="90"/>
        <v>0.68162825233327407</v>
      </c>
      <c r="P581" s="29">
        <v>0</v>
      </c>
      <c r="R581" s="22">
        <v>45126</v>
      </c>
      <c r="S581" s="26">
        <f t="shared" ca="1" si="91"/>
        <v>0.61752335137130998</v>
      </c>
      <c r="T581" s="29">
        <v>0</v>
      </c>
      <c r="V581" s="22">
        <v>45126</v>
      </c>
      <c r="W581" s="26">
        <f t="shared" ca="1" si="92"/>
        <v>6.9460326174799802E-2</v>
      </c>
      <c r="X581" s="29">
        <v>0</v>
      </c>
      <c r="Z581" s="22">
        <v>45126</v>
      </c>
      <c r="AA581" s="26">
        <f t="shared" ca="1" si="93"/>
        <v>0.45021315915860582</v>
      </c>
      <c r="AB581" s="29">
        <v>0</v>
      </c>
      <c r="AC581"/>
      <c r="AD581" s="25"/>
      <c r="AF581" s="22">
        <v>45126</v>
      </c>
      <c r="AG581" s="26">
        <f t="shared" ca="1" si="94"/>
        <v>0.22508472139585101</v>
      </c>
      <c r="AH581" s="29">
        <v>0</v>
      </c>
      <c r="AJ581" s="22">
        <v>45126</v>
      </c>
      <c r="AK581" s="26">
        <f t="shared" ca="1" si="95"/>
        <v>0.84073015254415351</v>
      </c>
      <c r="AL581" s="29">
        <v>0</v>
      </c>
      <c r="AN581" s="22">
        <v>45126</v>
      </c>
      <c r="AO581" s="26">
        <f t="shared" ca="1" si="96"/>
        <v>0.30026266077328234</v>
      </c>
      <c r="AP581" s="29">
        <v>0</v>
      </c>
      <c r="AR581" s="22">
        <v>45126</v>
      </c>
      <c r="AS581" s="26">
        <f t="shared" ca="1" si="97"/>
        <v>0.9973907810358037</v>
      </c>
      <c r="AT581" s="29">
        <v>0</v>
      </c>
      <c r="AV581" s="22">
        <v>45126</v>
      </c>
      <c r="AW581" s="26">
        <f t="shared" ca="1" si="98"/>
        <v>0.94947990586887243</v>
      </c>
      <c r="AX581" s="29">
        <v>0</v>
      </c>
      <c r="AZ581" s="22">
        <v>45126</v>
      </c>
      <c r="BA581" s="26">
        <f t="shared" ca="1" si="99"/>
        <v>0.74184459063404107</v>
      </c>
      <c r="BB581" s="29">
        <v>0</v>
      </c>
      <c r="BC581"/>
      <c r="BD581" s="25"/>
      <c r="BF581" s="22">
        <v>45126</v>
      </c>
      <c r="BG581" s="26">
        <f t="shared" ca="1" si="100"/>
        <v>0.3088532661312644</v>
      </c>
      <c r="BH581" s="29">
        <v>0</v>
      </c>
      <c r="BJ581" s="22">
        <v>45126</v>
      </c>
      <c r="BK581" s="26">
        <f t="shared" ca="1" si="101"/>
        <v>0.52545490547570983</v>
      </c>
      <c r="BL581" s="29">
        <v>0</v>
      </c>
      <c r="BN581" s="22">
        <v>45126</v>
      </c>
      <c r="BO581" s="26">
        <f t="shared" ca="1" si="102"/>
        <v>0.84294651265242604</v>
      </c>
      <c r="BP581" s="29">
        <v>0</v>
      </c>
      <c r="BR581" s="22">
        <v>45126</v>
      </c>
      <c r="BS581" s="26">
        <f t="shared" ca="1" si="103"/>
        <v>0.20773229668362148</v>
      </c>
      <c r="BT581" s="29">
        <v>0</v>
      </c>
      <c r="BV581" s="22">
        <v>45126</v>
      </c>
      <c r="BW581" s="26">
        <f t="shared" ca="1" si="104"/>
        <v>0.18509073345248939</v>
      </c>
      <c r="BX581" s="29">
        <v>0</v>
      </c>
    </row>
    <row r="582" spans="2:76" ht="12.75" x14ac:dyDescent="0.2">
      <c r="B582" s="22">
        <v>45127</v>
      </c>
      <c r="C582" s="26">
        <f t="shared" ca="1" si="68"/>
        <v>0.39819787381696159</v>
      </c>
      <c r="D582" s="29">
        <v>0</v>
      </c>
      <c r="F582" s="22">
        <v>45127</v>
      </c>
      <c r="G582" s="26">
        <f t="shared" ca="1" si="88"/>
        <v>0.97921515372776602</v>
      </c>
      <c r="H582" s="29">
        <v>0</v>
      </c>
      <c r="J582" s="22">
        <v>45127</v>
      </c>
      <c r="K582" s="26">
        <f t="shared" ca="1" si="89"/>
        <v>0.92777675356219558</v>
      </c>
      <c r="L582" s="29">
        <v>0</v>
      </c>
      <c r="N582" s="22">
        <v>45127</v>
      </c>
      <c r="O582" s="26">
        <f t="shared" ca="1" si="90"/>
        <v>7.2804956352729211E-2</v>
      </c>
      <c r="P582" s="29">
        <v>0</v>
      </c>
      <c r="R582" s="22">
        <v>45127</v>
      </c>
      <c r="S582" s="26">
        <f t="shared" ca="1" si="91"/>
        <v>0.82482155971276805</v>
      </c>
      <c r="T582" s="29">
        <v>0</v>
      </c>
      <c r="V582" s="22">
        <v>45127</v>
      </c>
      <c r="W582" s="26">
        <f t="shared" ca="1" si="92"/>
        <v>0.55001046158350664</v>
      </c>
      <c r="X582" s="29">
        <v>0</v>
      </c>
      <c r="Z582" s="22">
        <v>45127</v>
      </c>
      <c r="AA582" s="26">
        <f t="shared" ca="1" si="93"/>
        <v>0.6855048496049212</v>
      </c>
      <c r="AB582" s="29">
        <v>0</v>
      </c>
      <c r="AC582"/>
      <c r="AD582" s="25"/>
      <c r="AF582" s="22">
        <v>45127</v>
      </c>
      <c r="AG582" s="26">
        <f t="shared" ca="1" si="94"/>
        <v>0.51026461362509057</v>
      </c>
      <c r="AH582" s="29">
        <v>0</v>
      </c>
      <c r="AJ582" s="22">
        <v>45127</v>
      </c>
      <c r="AK582" s="26">
        <f t="shared" ca="1" si="95"/>
        <v>6.0877088584707417E-2</v>
      </c>
      <c r="AL582" s="29">
        <v>0</v>
      </c>
      <c r="AN582" s="22">
        <v>45127</v>
      </c>
      <c r="AO582" s="26">
        <f t="shared" ca="1" si="96"/>
        <v>0.92193807884922363</v>
      </c>
      <c r="AP582" s="29">
        <v>0</v>
      </c>
      <c r="AR582" s="22">
        <v>45127</v>
      </c>
      <c r="AS582" s="26">
        <f t="shared" ca="1" si="97"/>
        <v>0.36854953527990753</v>
      </c>
      <c r="AT582" s="29">
        <v>0</v>
      </c>
      <c r="AV582" s="22">
        <v>45127</v>
      </c>
      <c r="AW582" s="26">
        <f t="shared" ca="1" si="98"/>
        <v>0.92799987321193311</v>
      </c>
      <c r="AX582" s="29">
        <v>0</v>
      </c>
      <c r="AZ582" s="22">
        <v>45127</v>
      </c>
      <c r="BA582" s="26">
        <f t="shared" ca="1" si="99"/>
        <v>0.949342659335356</v>
      </c>
      <c r="BB582" s="29">
        <v>0</v>
      </c>
      <c r="BC582"/>
      <c r="BD582" s="25"/>
      <c r="BF582" s="22">
        <v>45127</v>
      </c>
      <c r="BG582" s="26">
        <f t="shared" ca="1" si="100"/>
        <v>0.2474451518577423</v>
      </c>
      <c r="BH582" s="29">
        <v>0</v>
      </c>
      <c r="BJ582" s="22">
        <v>45127</v>
      </c>
      <c r="BK582" s="26">
        <f t="shared" ca="1" si="101"/>
        <v>0.73366218325384391</v>
      </c>
      <c r="BL582" s="29">
        <v>0</v>
      </c>
      <c r="BN582" s="22">
        <v>45127</v>
      </c>
      <c r="BO582" s="26">
        <f t="shared" ca="1" si="102"/>
        <v>0.10546888091200513</v>
      </c>
      <c r="BP582" s="29">
        <v>0</v>
      </c>
      <c r="BR582" s="22">
        <v>45127</v>
      </c>
      <c r="BS582" s="26">
        <f t="shared" ca="1" si="103"/>
        <v>0.50009608943635064</v>
      </c>
      <c r="BT582" s="29">
        <v>0</v>
      </c>
      <c r="BV582" s="22">
        <v>45127</v>
      </c>
      <c r="BW582" s="26">
        <f t="shared" ca="1" si="104"/>
        <v>0.41166725757826561</v>
      </c>
      <c r="BX582" s="29">
        <v>0</v>
      </c>
    </row>
    <row r="583" spans="2:76" ht="12.75" x14ac:dyDescent="0.2">
      <c r="B583" s="22">
        <v>45128</v>
      </c>
      <c r="C583" s="26">
        <f t="shared" ca="1" si="68"/>
        <v>0.96955640079672156</v>
      </c>
      <c r="D583" s="29">
        <v>0</v>
      </c>
      <c r="F583" s="22">
        <v>45128</v>
      </c>
      <c r="G583" s="26">
        <f t="shared" ca="1" si="88"/>
        <v>0.64967828241148073</v>
      </c>
      <c r="H583" s="29">
        <v>0</v>
      </c>
      <c r="J583" s="22">
        <v>45128</v>
      </c>
      <c r="K583" s="26">
        <f t="shared" ca="1" si="89"/>
        <v>0.52391236853217971</v>
      </c>
      <c r="L583" s="29">
        <v>0</v>
      </c>
      <c r="N583" s="22">
        <v>45128</v>
      </c>
      <c r="O583" s="26">
        <f t="shared" ca="1" si="90"/>
        <v>0.97150538151247434</v>
      </c>
      <c r="P583" s="29">
        <v>0</v>
      </c>
      <c r="R583" s="22">
        <v>45128</v>
      </c>
      <c r="S583" s="26">
        <f t="shared" ca="1" si="91"/>
        <v>7.6994563310871511E-2</v>
      </c>
      <c r="T583" s="29">
        <v>0</v>
      </c>
      <c r="V583" s="22">
        <v>45128</v>
      </c>
      <c r="W583" s="26">
        <f t="shared" ca="1" si="92"/>
        <v>0.69001889803238348</v>
      </c>
      <c r="X583" s="29">
        <v>0</v>
      </c>
      <c r="Z583" s="22">
        <v>45128</v>
      </c>
      <c r="AA583" s="26">
        <f t="shared" ca="1" si="93"/>
        <v>0.59102363396114532</v>
      </c>
      <c r="AB583" s="29">
        <v>0</v>
      </c>
      <c r="AC583"/>
      <c r="AD583" s="25"/>
      <c r="AF583" s="22">
        <v>45128</v>
      </c>
      <c r="AG583" s="26">
        <f t="shared" ca="1" si="94"/>
        <v>0.75958447845235288</v>
      </c>
      <c r="AH583" s="29">
        <v>0</v>
      </c>
      <c r="AJ583" s="22">
        <v>45128</v>
      </c>
      <c r="AK583" s="26">
        <f t="shared" ca="1" si="95"/>
        <v>3.1293696689446371E-2</v>
      </c>
      <c r="AL583" s="29">
        <v>0</v>
      </c>
      <c r="AN583" s="22">
        <v>45128</v>
      </c>
      <c r="AO583" s="26">
        <f t="shared" ca="1" si="96"/>
        <v>0.47069281120129225</v>
      </c>
      <c r="AP583" s="29">
        <v>0</v>
      </c>
      <c r="AR583" s="22">
        <v>45128</v>
      </c>
      <c r="AS583" s="26">
        <f t="shared" ca="1" si="97"/>
        <v>0.80496350860510613</v>
      </c>
      <c r="AT583" s="29">
        <v>0</v>
      </c>
      <c r="AV583" s="22">
        <v>45128</v>
      </c>
      <c r="AW583" s="26">
        <f t="shared" ca="1" si="98"/>
        <v>0.7215610319537259</v>
      </c>
      <c r="AX583" s="29">
        <v>0</v>
      </c>
      <c r="AZ583" s="22">
        <v>45128</v>
      </c>
      <c r="BA583" s="26">
        <f t="shared" ca="1" si="99"/>
        <v>0.28408380574855929</v>
      </c>
      <c r="BB583" s="29">
        <v>0</v>
      </c>
      <c r="BC583"/>
      <c r="BD583" s="25"/>
      <c r="BF583" s="22">
        <v>45128</v>
      </c>
      <c r="BG583" s="26">
        <f t="shared" ca="1" si="100"/>
        <v>0.47132650498254303</v>
      </c>
      <c r="BH583" s="29">
        <v>0</v>
      </c>
      <c r="BJ583" s="22">
        <v>45128</v>
      </c>
      <c r="BK583" s="26">
        <f t="shared" ca="1" si="101"/>
        <v>0.17660984033917404</v>
      </c>
      <c r="BL583" s="29">
        <v>0</v>
      </c>
      <c r="BN583" s="22">
        <v>45128</v>
      </c>
      <c r="BO583" s="26">
        <f t="shared" ca="1" si="102"/>
        <v>0.71048132348580428</v>
      </c>
      <c r="BP583" s="29">
        <v>0</v>
      </c>
      <c r="BR583" s="22">
        <v>45128</v>
      </c>
      <c r="BS583" s="26">
        <f t="shared" ca="1" si="103"/>
        <v>0.61829712413642612</v>
      </c>
      <c r="BT583" s="29">
        <v>0</v>
      </c>
      <c r="BV583" s="22">
        <v>45128</v>
      </c>
      <c r="BW583" s="26">
        <f t="shared" ca="1" si="104"/>
        <v>0.10488284224272892</v>
      </c>
      <c r="BX583" s="29">
        <v>0</v>
      </c>
    </row>
    <row r="584" spans="2:76" ht="12.75" x14ac:dyDescent="0.2">
      <c r="B584" s="22">
        <v>45129</v>
      </c>
      <c r="C584" s="26">
        <f t="shared" ca="1" si="68"/>
        <v>0.29332018125731918</v>
      </c>
      <c r="D584" s="29">
        <v>0</v>
      </c>
      <c r="F584" s="22">
        <v>45129</v>
      </c>
      <c r="G584" s="26">
        <f t="shared" ca="1" si="88"/>
        <v>0.90197566789418282</v>
      </c>
      <c r="H584" s="29">
        <v>0</v>
      </c>
      <c r="J584" s="22">
        <v>45129</v>
      </c>
      <c r="K584" s="26">
        <f t="shared" ca="1" si="89"/>
        <v>0.28081465675385731</v>
      </c>
      <c r="L584" s="29">
        <v>0</v>
      </c>
      <c r="N584" s="22">
        <v>45129</v>
      </c>
      <c r="O584" s="26">
        <f t="shared" ca="1" si="90"/>
        <v>0.11005007237792874</v>
      </c>
      <c r="P584" s="29">
        <v>0</v>
      </c>
      <c r="R584" s="22">
        <v>45129</v>
      </c>
      <c r="S584" s="26">
        <f t="shared" ca="1" si="91"/>
        <v>0.73558475139323687</v>
      </c>
      <c r="T584" s="29">
        <v>0</v>
      </c>
      <c r="V584" s="22">
        <v>45129</v>
      </c>
      <c r="W584" s="26">
        <f t="shared" ca="1" si="92"/>
        <v>0.72286693628912313</v>
      </c>
      <c r="X584" s="29">
        <v>0</v>
      </c>
      <c r="Z584" s="22">
        <v>45129</v>
      </c>
      <c r="AA584" s="26">
        <f t="shared" ca="1" si="93"/>
        <v>0.2202038031153386</v>
      </c>
      <c r="AB584" s="29">
        <v>0</v>
      </c>
      <c r="AC584"/>
      <c r="AD584" s="25"/>
      <c r="AF584" s="22">
        <v>45129</v>
      </c>
      <c r="AG584" s="26">
        <f t="shared" ca="1" si="94"/>
        <v>0.48251514709609467</v>
      </c>
      <c r="AH584" s="29">
        <v>0</v>
      </c>
      <c r="AJ584" s="22">
        <v>45129</v>
      </c>
      <c r="AK584" s="26">
        <f t="shared" ca="1" si="95"/>
        <v>0.84896928305545782</v>
      </c>
      <c r="AL584" s="29">
        <v>0</v>
      </c>
      <c r="AN584" s="22">
        <v>45129</v>
      </c>
      <c r="AO584" s="26">
        <f t="shared" ca="1" si="96"/>
        <v>0.79035273479981516</v>
      </c>
      <c r="AP584" s="29">
        <v>0</v>
      </c>
      <c r="AR584" s="22">
        <v>45129</v>
      </c>
      <c r="AS584" s="26">
        <f t="shared" ca="1" si="97"/>
        <v>0.31629920897518404</v>
      </c>
      <c r="AT584" s="29">
        <v>0</v>
      </c>
      <c r="AV584" s="22">
        <v>45129</v>
      </c>
      <c r="AW584" s="26">
        <f t="shared" ca="1" si="98"/>
        <v>0.54985975432430012</v>
      </c>
      <c r="AX584" s="29">
        <v>0</v>
      </c>
      <c r="AZ584" s="22">
        <v>45129</v>
      </c>
      <c r="BA584" s="26">
        <f t="shared" ca="1" si="99"/>
        <v>0.22860626174226817</v>
      </c>
      <c r="BB584" s="29">
        <v>0</v>
      </c>
      <c r="BC584"/>
      <c r="BD584" s="25"/>
      <c r="BF584" s="22">
        <v>45129</v>
      </c>
      <c r="BG584" s="26">
        <f t="shared" ca="1" si="100"/>
        <v>0.36107526106448085</v>
      </c>
      <c r="BH584" s="29">
        <v>0</v>
      </c>
      <c r="BJ584" s="22">
        <v>45129</v>
      </c>
      <c r="BK584" s="26">
        <f t="shared" ca="1" si="101"/>
        <v>0.25291873845681923</v>
      </c>
      <c r="BL584" s="29">
        <v>0</v>
      </c>
      <c r="BN584" s="22">
        <v>45129</v>
      </c>
      <c r="BO584" s="26">
        <f t="shared" ca="1" si="102"/>
        <v>5.1179556794622383E-2</v>
      </c>
      <c r="BP584" s="29">
        <v>0</v>
      </c>
      <c r="BR584" s="22">
        <v>45129</v>
      </c>
      <c r="BS584" s="26">
        <f t="shared" ca="1" si="103"/>
        <v>0.73453337831989562</v>
      </c>
      <c r="BT584" s="29">
        <v>0</v>
      </c>
      <c r="BV584" s="22">
        <v>45129</v>
      </c>
      <c r="BW584" s="26">
        <f t="shared" ca="1" si="104"/>
        <v>0.64477502645887685</v>
      </c>
      <c r="BX584" s="29">
        <v>0</v>
      </c>
    </row>
    <row r="585" spans="2:76" ht="12.75" x14ac:dyDescent="0.2">
      <c r="B585" s="22">
        <v>45130</v>
      </c>
      <c r="C585" s="26">
        <f t="shared" ca="1" si="68"/>
        <v>0.97310487612180641</v>
      </c>
      <c r="D585" s="29">
        <v>0</v>
      </c>
      <c r="F585" s="22">
        <v>45130</v>
      </c>
      <c r="G585" s="26">
        <f t="shared" ca="1" si="88"/>
        <v>0.54923980238285264</v>
      </c>
      <c r="H585" s="29">
        <v>0</v>
      </c>
      <c r="J585" s="22">
        <v>45130</v>
      </c>
      <c r="K585" s="26">
        <f t="shared" ca="1" si="89"/>
        <v>4.0598882849459561E-2</v>
      </c>
      <c r="L585" s="29">
        <v>0</v>
      </c>
      <c r="N585" s="22">
        <v>45130</v>
      </c>
      <c r="O585" s="26">
        <f t="shared" ca="1" si="90"/>
        <v>8.0705900645269502E-2</v>
      </c>
      <c r="P585" s="29">
        <v>0</v>
      </c>
      <c r="R585" s="22">
        <v>45130</v>
      </c>
      <c r="S585" s="26">
        <f t="shared" ca="1" si="91"/>
        <v>5.3882217062155902E-2</v>
      </c>
      <c r="T585" s="29">
        <v>0</v>
      </c>
      <c r="V585" s="22">
        <v>45130</v>
      </c>
      <c r="W585" s="26">
        <f t="shared" ca="1" si="92"/>
        <v>0.74211442510399672</v>
      </c>
      <c r="X585" s="29">
        <v>0</v>
      </c>
      <c r="Z585" s="22">
        <v>45130</v>
      </c>
      <c r="AA585" s="26">
        <f t="shared" ca="1" si="93"/>
        <v>0.28566765146971673</v>
      </c>
      <c r="AB585" s="29">
        <v>0</v>
      </c>
      <c r="AC585"/>
      <c r="AD585" s="25"/>
      <c r="AF585" s="22">
        <v>45130</v>
      </c>
      <c r="AG585" s="26">
        <f t="shared" ca="1" si="94"/>
        <v>0.71162261831481866</v>
      </c>
      <c r="AH585" s="29">
        <v>0</v>
      </c>
      <c r="AJ585" s="22">
        <v>45130</v>
      </c>
      <c r="AK585" s="26">
        <f t="shared" ca="1" si="95"/>
        <v>0.30151444602488198</v>
      </c>
      <c r="AL585" s="29">
        <v>0</v>
      </c>
      <c r="AN585" s="22">
        <v>45130</v>
      </c>
      <c r="AO585" s="26">
        <f t="shared" ca="1" si="96"/>
        <v>0.62747596787482718</v>
      </c>
      <c r="AP585" s="29">
        <v>0</v>
      </c>
      <c r="AR585" s="22">
        <v>45130</v>
      </c>
      <c r="AS585" s="26">
        <f t="shared" ca="1" si="97"/>
        <v>0.65219056525500607</v>
      </c>
      <c r="AT585" s="29">
        <v>0</v>
      </c>
      <c r="AV585" s="22">
        <v>45130</v>
      </c>
      <c r="AW585" s="26">
        <f t="shared" ca="1" si="98"/>
        <v>0.98931813173720717</v>
      </c>
      <c r="AX585" s="29">
        <v>0</v>
      </c>
      <c r="AZ585" s="22">
        <v>45130</v>
      </c>
      <c r="BA585" s="26">
        <f t="shared" ca="1" si="99"/>
        <v>0.27659586257488245</v>
      </c>
      <c r="BB585" s="29">
        <v>0</v>
      </c>
      <c r="BC585"/>
      <c r="BD585" s="25"/>
      <c r="BF585" s="22">
        <v>45130</v>
      </c>
      <c r="BG585" s="26">
        <f t="shared" ca="1" si="100"/>
        <v>0.79207946395343498</v>
      </c>
      <c r="BH585" s="29">
        <v>0</v>
      </c>
      <c r="BJ585" s="22">
        <v>45130</v>
      </c>
      <c r="BK585" s="26">
        <f t="shared" ca="1" si="101"/>
        <v>0.41076977082969235</v>
      </c>
      <c r="BL585" s="29">
        <v>0</v>
      </c>
      <c r="BN585" s="22">
        <v>45130</v>
      </c>
      <c r="BO585" s="26">
        <f t="shared" ca="1" si="102"/>
        <v>0.3472929129071638</v>
      </c>
      <c r="BP585" s="29">
        <v>0</v>
      </c>
      <c r="BR585" s="22">
        <v>45130</v>
      </c>
      <c r="BS585" s="26">
        <f t="shared" ca="1" si="103"/>
        <v>0.11421776532620798</v>
      </c>
      <c r="BT585" s="29">
        <v>0</v>
      </c>
      <c r="BV585" s="22">
        <v>45130</v>
      </c>
      <c r="BW585" s="26">
        <f t="shared" ca="1" si="104"/>
        <v>0.17022125630401719</v>
      </c>
      <c r="BX585" s="29">
        <v>0</v>
      </c>
    </row>
    <row r="586" spans="2:76" ht="12.75" x14ac:dyDescent="0.2">
      <c r="B586" s="22">
        <v>45131</v>
      </c>
      <c r="C586" s="26">
        <f t="shared" ca="1" si="68"/>
        <v>0.46069180991440717</v>
      </c>
      <c r="D586" s="29">
        <v>0</v>
      </c>
      <c r="F586" s="22">
        <v>45131</v>
      </c>
      <c r="G586" s="26">
        <f t="shared" ca="1" si="88"/>
        <v>0.20883568972596966</v>
      </c>
      <c r="H586" s="29">
        <v>0</v>
      </c>
      <c r="J586" s="22">
        <v>45131</v>
      </c>
      <c r="K586" s="26">
        <f t="shared" ca="1" si="89"/>
        <v>0.92952663182815831</v>
      </c>
      <c r="L586" s="29">
        <v>0</v>
      </c>
      <c r="N586" s="22">
        <v>45131</v>
      </c>
      <c r="O586" s="26">
        <f t="shared" ca="1" si="90"/>
        <v>0.77313900798180024</v>
      </c>
      <c r="P586" s="29">
        <v>0</v>
      </c>
      <c r="R586" s="22">
        <v>45131</v>
      </c>
      <c r="S586" s="26">
        <f t="shared" ca="1" si="91"/>
        <v>0.5399465208749783</v>
      </c>
      <c r="T586" s="29">
        <v>0</v>
      </c>
      <c r="V586" s="22">
        <v>45131</v>
      </c>
      <c r="W586" s="26">
        <f t="shared" ca="1" si="92"/>
        <v>0.4779924755067716</v>
      </c>
      <c r="X586" s="29">
        <v>0</v>
      </c>
      <c r="Z586" s="22">
        <v>45131</v>
      </c>
      <c r="AA586" s="26">
        <f t="shared" ca="1" si="93"/>
        <v>0.54531453717312139</v>
      </c>
      <c r="AB586" s="29">
        <v>0</v>
      </c>
      <c r="AC586"/>
      <c r="AD586" s="25"/>
      <c r="AF586" s="22">
        <v>45131</v>
      </c>
      <c r="AG586" s="26">
        <f t="shared" ca="1" si="94"/>
        <v>0.63850323224264482</v>
      </c>
      <c r="AH586" s="29">
        <v>0</v>
      </c>
      <c r="AJ586" s="22">
        <v>45131</v>
      </c>
      <c r="AK586" s="26">
        <f t="shared" ca="1" si="95"/>
        <v>0.96973341029209892</v>
      </c>
      <c r="AL586" s="29">
        <v>0</v>
      </c>
      <c r="AN586" s="22">
        <v>45131</v>
      </c>
      <c r="AO586" s="26">
        <f t="shared" ca="1" si="96"/>
        <v>0.50646843433048394</v>
      </c>
      <c r="AP586" s="29">
        <v>0</v>
      </c>
      <c r="AR586" s="22">
        <v>45131</v>
      </c>
      <c r="AS586" s="26">
        <f t="shared" ca="1" si="97"/>
        <v>0.8462587780843529</v>
      </c>
      <c r="AT586" s="29">
        <v>0</v>
      </c>
      <c r="AV586" s="22">
        <v>45131</v>
      </c>
      <c r="AW586" s="26">
        <f t="shared" ca="1" si="98"/>
        <v>0.77066242919732653</v>
      </c>
      <c r="AX586" s="29">
        <v>0</v>
      </c>
      <c r="AZ586" s="22">
        <v>45131</v>
      </c>
      <c r="BA586" s="26">
        <f t="shared" ca="1" si="99"/>
        <v>9.1921551975599813E-2</v>
      </c>
      <c r="BB586" s="29">
        <v>0</v>
      </c>
      <c r="BC586"/>
      <c r="BD586" s="25"/>
      <c r="BF586" s="22">
        <v>45131</v>
      </c>
      <c r="BG586" s="26">
        <f t="shared" ca="1" si="100"/>
        <v>6.686474460117886E-2</v>
      </c>
      <c r="BH586" s="29">
        <v>0</v>
      </c>
      <c r="BJ586" s="22">
        <v>45131</v>
      </c>
      <c r="BK586" s="26">
        <f t="shared" ca="1" si="101"/>
        <v>0.64909822585617527</v>
      </c>
      <c r="BL586" s="29">
        <v>0</v>
      </c>
      <c r="BN586" s="22">
        <v>45131</v>
      </c>
      <c r="BO586" s="26">
        <f t="shared" ca="1" si="102"/>
        <v>0.32995350458808181</v>
      </c>
      <c r="BP586" s="29">
        <v>0</v>
      </c>
      <c r="BR586" s="22">
        <v>45131</v>
      </c>
      <c r="BS586" s="26">
        <f t="shared" ca="1" si="103"/>
        <v>0.58571435902634261</v>
      </c>
      <c r="BT586" s="29">
        <v>0</v>
      </c>
      <c r="BV586" s="22">
        <v>45131</v>
      </c>
      <c r="BW586" s="26">
        <f t="shared" ca="1" si="104"/>
        <v>0.40749022232390697</v>
      </c>
      <c r="BX586" s="29">
        <v>0</v>
      </c>
    </row>
    <row r="587" spans="2:76" ht="12.75" x14ac:dyDescent="0.2">
      <c r="B587" s="22">
        <v>45132</v>
      </c>
      <c r="C587" s="26">
        <f t="shared" ca="1" si="68"/>
        <v>0.72154329379579829</v>
      </c>
      <c r="D587" s="29">
        <v>0</v>
      </c>
      <c r="F587" s="22">
        <v>45132</v>
      </c>
      <c r="G587" s="26">
        <f t="shared" ca="1" si="88"/>
        <v>0.67413674385814981</v>
      </c>
      <c r="H587" s="29">
        <v>0</v>
      </c>
      <c r="J587" s="22">
        <v>45132</v>
      </c>
      <c r="K587" s="26">
        <f t="shared" ca="1" si="89"/>
        <v>0.78346238766346277</v>
      </c>
      <c r="L587" s="29">
        <v>0</v>
      </c>
      <c r="N587" s="22">
        <v>45132</v>
      </c>
      <c r="O587" s="26">
        <f t="shared" ca="1" si="90"/>
        <v>0.36182383708519694</v>
      </c>
      <c r="P587" s="29">
        <v>0</v>
      </c>
      <c r="R587" s="22">
        <v>45132</v>
      </c>
      <c r="S587" s="26">
        <f t="shared" ca="1" si="91"/>
        <v>0.15192343926324925</v>
      </c>
      <c r="T587" s="29">
        <v>0</v>
      </c>
      <c r="V587" s="22">
        <v>45132</v>
      </c>
      <c r="W587" s="26">
        <f t="shared" ca="1" si="92"/>
        <v>0.44723113369873913</v>
      </c>
      <c r="X587" s="29">
        <v>0</v>
      </c>
      <c r="Z587" s="22">
        <v>45132</v>
      </c>
      <c r="AA587" s="26">
        <f t="shared" ca="1" si="93"/>
        <v>0.2810892828690994</v>
      </c>
      <c r="AB587" s="29">
        <v>0</v>
      </c>
      <c r="AC587"/>
      <c r="AD587" s="25"/>
      <c r="AF587" s="22">
        <v>45132</v>
      </c>
      <c r="AG587" s="26">
        <f t="shared" ca="1" si="94"/>
        <v>0.86619150828612768</v>
      </c>
      <c r="AH587" s="29">
        <v>0</v>
      </c>
      <c r="AJ587" s="22">
        <v>45132</v>
      </c>
      <c r="AK587" s="26">
        <f t="shared" ca="1" si="95"/>
        <v>0.79407152488223465</v>
      </c>
      <c r="AL587" s="29">
        <v>0</v>
      </c>
      <c r="AN587" s="22">
        <v>45132</v>
      </c>
      <c r="AO587" s="26">
        <f t="shared" ca="1" si="96"/>
        <v>0.88205373257532005</v>
      </c>
      <c r="AP587" s="29">
        <v>0</v>
      </c>
      <c r="AR587" s="22">
        <v>45132</v>
      </c>
      <c r="AS587" s="26">
        <f t="shared" ca="1" si="97"/>
        <v>0.64450190426314746</v>
      </c>
      <c r="AT587" s="29">
        <v>0</v>
      </c>
      <c r="AV587" s="22">
        <v>45132</v>
      </c>
      <c r="AW587" s="26">
        <f t="shared" ca="1" si="98"/>
        <v>6.0514562105321912E-2</v>
      </c>
      <c r="AX587" s="29">
        <v>0</v>
      </c>
      <c r="AZ587" s="22">
        <v>45132</v>
      </c>
      <c r="BA587" s="26">
        <f t="shared" ca="1" si="99"/>
        <v>0.78568932347144516</v>
      </c>
      <c r="BB587" s="29">
        <v>0</v>
      </c>
      <c r="BC587"/>
      <c r="BD587" s="25"/>
      <c r="BF587" s="22">
        <v>45132</v>
      </c>
      <c r="BG587" s="26">
        <f t="shared" ca="1" si="100"/>
        <v>0.84663763713702134</v>
      </c>
      <c r="BH587" s="29">
        <v>0</v>
      </c>
      <c r="BJ587" s="22">
        <v>45132</v>
      </c>
      <c r="BK587" s="26">
        <f t="shared" ca="1" si="101"/>
        <v>0.60172046867190454</v>
      </c>
      <c r="BL587" s="29">
        <v>0</v>
      </c>
      <c r="BN587" s="22">
        <v>45132</v>
      </c>
      <c r="BO587" s="26">
        <f t="shared" ca="1" si="102"/>
        <v>0.4315030970509206</v>
      </c>
      <c r="BP587" s="29">
        <v>0</v>
      </c>
      <c r="BR587" s="22">
        <v>45132</v>
      </c>
      <c r="BS587" s="26">
        <f t="shared" ca="1" si="103"/>
        <v>0.84299108680706925</v>
      </c>
      <c r="BT587" s="29">
        <v>0</v>
      </c>
      <c r="BV587" s="22">
        <v>45132</v>
      </c>
      <c r="BW587" s="26">
        <f t="shared" ca="1" si="104"/>
        <v>0.30082936368499857</v>
      </c>
      <c r="BX587" s="29">
        <v>0</v>
      </c>
    </row>
    <row r="588" spans="2:76" ht="12.75" x14ac:dyDescent="0.2">
      <c r="B588" s="22">
        <v>45133</v>
      </c>
      <c r="C588" s="26">
        <f t="shared" ca="1" si="68"/>
        <v>0.57410731136829074</v>
      </c>
      <c r="D588" s="29">
        <v>0</v>
      </c>
      <c r="F588" s="22">
        <v>45133</v>
      </c>
      <c r="G588" s="26">
        <f t="shared" ca="1" si="88"/>
        <v>0.22719450199781743</v>
      </c>
      <c r="H588" s="29">
        <v>0</v>
      </c>
      <c r="J588" s="22">
        <v>45133</v>
      </c>
      <c r="K588" s="26">
        <f t="shared" ca="1" si="89"/>
        <v>0.85069938423337821</v>
      </c>
      <c r="L588" s="29">
        <v>0</v>
      </c>
      <c r="N588" s="22">
        <v>45133</v>
      </c>
      <c r="O588" s="26">
        <f t="shared" ca="1" si="90"/>
        <v>0.61342170796150608</v>
      </c>
      <c r="P588" s="29">
        <v>0</v>
      </c>
      <c r="R588" s="22">
        <v>45133</v>
      </c>
      <c r="S588" s="26">
        <f t="shared" ca="1" si="91"/>
        <v>0.46137025148393829</v>
      </c>
      <c r="T588" s="29">
        <v>0</v>
      </c>
      <c r="V588" s="22">
        <v>45133</v>
      </c>
      <c r="W588" s="26">
        <f t="shared" ca="1" si="92"/>
        <v>0.63335482323368053</v>
      </c>
      <c r="X588" s="29">
        <v>0</v>
      </c>
      <c r="Z588" s="22">
        <v>45133</v>
      </c>
      <c r="AA588" s="26">
        <f t="shared" ca="1" si="93"/>
        <v>0.17969424108383047</v>
      </c>
      <c r="AB588" s="29">
        <v>0</v>
      </c>
      <c r="AC588"/>
      <c r="AD588" s="25"/>
      <c r="AF588" s="22">
        <v>45133</v>
      </c>
      <c r="AG588" s="26">
        <f t="shared" ca="1" si="94"/>
        <v>0.22064603931818039</v>
      </c>
      <c r="AH588" s="29">
        <v>0</v>
      </c>
      <c r="AJ588" s="22">
        <v>45133</v>
      </c>
      <c r="AK588" s="26">
        <f t="shared" ca="1" si="95"/>
        <v>0.57323749035965088</v>
      </c>
      <c r="AL588" s="29">
        <v>0</v>
      </c>
      <c r="AN588" s="22">
        <v>45133</v>
      </c>
      <c r="AO588" s="26">
        <f t="shared" ca="1" si="96"/>
        <v>0.41746961444420094</v>
      </c>
      <c r="AP588" s="29">
        <v>0</v>
      </c>
      <c r="AR588" s="22">
        <v>45133</v>
      </c>
      <c r="AS588" s="26">
        <f t="shared" ca="1" si="97"/>
        <v>0.82754706050278648</v>
      </c>
      <c r="AT588" s="29">
        <v>0</v>
      </c>
      <c r="AV588" s="22">
        <v>45133</v>
      </c>
      <c r="AW588" s="26">
        <f t="shared" ca="1" si="98"/>
        <v>0.22671210741635617</v>
      </c>
      <c r="AX588" s="29">
        <v>0</v>
      </c>
      <c r="AZ588" s="22">
        <v>45133</v>
      </c>
      <c r="BA588" s="26">
        <f t="shared" ca="1" si="99"/>
        <v>0.97647992183499044</v>
      </c>
      <c r="BB588" s="29">
        <v>0</v>
      </c>
      <c r="BC588"/>
      <c r="BD588" s="25"/>
      <c r="BF588" s="22">
        <v>45133</v>
      </c>
      <c r="BG588" s="26">
        <f t="shared" ca="1" si="100"/>
        <v>0.92444147692389433</v>
      </c>
      <c r="BH588" s="29">
        <v>0</v>
      </c>
      <c r="BJ588" s="22">
        <v>45133</v>
      </c>
      <c r="BK588" s="26">
        <f t="shared" ca="1" si="101"/>
        <v>0.74874711120108173</v>
      </c>
      <c r="BL588" s="29">
        <v>0</v>
      </c>
      <c r="BN588" s="22">
        <v>45133</v>
      </c>
      <c r="BO588" s="26">
        <f t="shared" ca="1" si="102"/>
        <v>0.80576853482168853</v>
      </c>
      <c r="BP588" s="29">
        <v>0</v>
      </c>
      <c r="BR588" s="22">
        <v>45133</v>
      </c>
      <c r="BS588" s="26">
        <f t="shared" ca="1" si="103"/>
        <v>0.43265054580635431</v>
      </c>
      <c r="BT588" s="29">
        <v>0</v>
      </c>
      <c r="BV588" s="22">
        <v>45133</v>
      </c>
      <c r="BW588" s="26">
        <f t="shared" ca="1" si="104"/>
        <v>0.87266108270801435</v>
      </c>
      <c r="BX588" s="29">
        <v>0</v>
      </c>
    </row>
    <row r="589" spans="2:76" ht="12.75" x14ac:dyDescent="0.2">
      <c r="B589" s="22">
        <v>45134</v>
      </c>
      <c r="C589" s="26">
        <f t="shared" ca="1" si="68"/>
        <v>0.34360378240676848</v>
      </c>
      <c r="D589" s="29">
        <v>0</v>
      </c>
      <c r="F589" s="22">
        <v>45134</v>
      </c>
      <c r="G589" s="26">
        <f t="shared" ca="1" si="88"/>
        <v>0.61826140984424938</v>
      </c>
      <c r="H589" s="29">
        <v>0</v>
      </c>
      <c r="J589" s="22">
        <v>45134</v>
      </c>
      <c r="K589" s="26">
        <f t="shared" ca="1" si="89"/>
        <v>0.83942002265126792</v>
      </c>
      <c r="L589" s="29">
        <v>0</v>
      </c>
      <c r="N589" s="22">
        <v>45134</v>
      </c>
      <c r="O589" s="26">
        <f t="shared" ca="1" si="90"/>
        <v>0.29663137937552886</v>
      </c>
      <c r="P589" s="29">
        <v>0</v>
      </c>
      <c r="R589" s="22">
        <v>45134</v>
      </c>
      <c r="S589" s="26">
        <f t="shared" ca="1" si="91"/>
        <v>0.10382177883886645</v>
      </c>
      <c r="T589" s="29">
        <v>0</v>
      </c>
      <c r="V589" s="22">
        <v>45134</v>
      </c>
      <c r="W589" s="26">
        <f t="shared" ca="1" si="92"/>
        <v>0.45444208118364571</v>
      </c>
      <c r="X589" s="29">
        <v>0</v>
      </c>
      <c r="Z589" s="22">
        <v>45134</v>
      </c>
      <c r="AA589" s="26">
        <f t="shared" ca="1" si="93"/>
        <v>0.21903752058809378</v>
      </c>
      <c r="AB589" s="29">
        <v>0</v>
      </c>
      <c r="AC589"/>
      <c r="AD589" s="25"/>
      <c r="AF589" s="22">
        <v>45134</v>
      </c>
      <c r="AG589" s="26">
        <f t="shared" ca="1" si="94"/>
        <v>0.50120003263663471</v>
      </c>
      <c r="AH589" s="29">
        <v>0</v>
      </c>
      <c r="AJ589" s="22">
        <v>45134</v>
      </c>
      <c r="AK589" s="26">
        <f t="shared" ca="1" si="95"/>
        <v>0.56785684699942973</v>
      </c>
      <c r="AL589" s="29">
        <v>0</v>
      </c>
      <c r="AN589" s="22">
        <v>45134</v>
      </c>
      <c r="AO589" s="26">
        <f t="shared" ca="1" si="96"/>
        <v>0.62773344271668963</v>
      </c>
      <c r="AP589" s="29">
        <v>0</v>
      </c>
      <c r="AR589" s="22">
        <v>45134</v>
      </c>
      <c r="AS589" s="26">
        <f t="shared" ca="1" si="97"/>
        <v>0.44610551337077098</v>
      </c>
      <c r="AT589" s="29">
        <v>0</v>
      </c>
      <c r="AV589" s="22">
        <v>45134</v>
      </c>
      <c r="AW589" s="26">
        <f t="shared" ca="1" si="98"/>
        <v>0.83888926862848823</v>
      </c>
      <c r="AX589" s="29">
        <v>0</v>
      </c>
      <c r="AZ589" s="22">
        <v>45134</v>
      </c>
      <c r="BA589" s="26">
        <f t="shared" ca="1" si="99"/>
        <v>0.45212576375476965</v>
      </c>
      <c r="BB589" s="29">
        <v>0</v>
      </c>
      <c r="BC589"/>
      <c r="BD589" s="25"/>
      <c r="BF589" s="22">
        <v>45134</v>
      </c>
      <c r="BG589" s="26">
        <f t="shared" ca="1" si="100"/>
        <v>0.24651904113358614</v>
      </c>
      <c r="BH589" s="29">
        <v>0</v>
      </c>
      <c r="BJ589" s="22">
        <v>45134</v>
      </c>
      <c r="BK589" s="26">
        <f t="shared" ca="1" si="101"/>
        <v>0.82648439263662299</v>
      </c>
      <c r="BL589" s="29">
        <v>0</v>
      </c>
      <c r="BN589" s="22">
        <v>45134</v>
      </c>
      <c r="BO589" s="26">
        <f t="shared" ca="1" si="102"/>
        <v>0.72889992869158726</v>
      </c>
      <c r="BP589" s="29">
        <v>0</v>
      </c>
      <c r="BR589" s="22">
        <v>45134</v>
      </c>
      <c r="BS589" s="26">
        <f t="shared" ca="1" si="103"/>
        <v>0.67785465428319458</v>
      </c>
      <c r="BT589" s="29">
        <v>0</v>
      </c>
      <c r="BV589" s="22">
        <v>45134</v>
      </c>
      <c r="BW589" s="26">
        <f t="shared" ca="1" si="104"/>
        <v>2.9452842050209371E-2</v>
      </c>
      <c r="BX589" s="29">
        <v>0</v>
      </c>
    </row>
    <row r="590" spans="2:76" ht="12.75" x14ac:dyDescent="0.2">
      <c r="B590" s="22">
        <v>45135</v>
      </c>
      <c r="C590" s="26">
        <f t="shared" ca="1" si="68"/>
        <v>0.48479427831790745</v>
      </c>
      <c r="D590" s="29">
        <v>0</v>
      </c>
      <c r="F590" s="22">
        <v>45135</v>
      </c>
      <c r="G590" s="26">
        <f t="shared" ca="1" si="88"/>
        <v>0.27281375708864486</v>
      </c>
      <c r="H590" s="29">
        <v>0</v>
      </c>
      <c r="J590" s="22">
        <v>45135</v>
      </c>
      <c r="K590" s="26">
        <f t="shared" ca="1" si="89"/>
        <v>0.3829252993764124</v>
      </c>
      <c r="L590" s="29">
        <v>0</v>
      </c>
      <c r="N590" s="22">
        <v>45135</v>
      </c>
      <c r="O590" s="26">
        <f t="shared" ca="1" si="90"/>
        <v>7.1379944300236087E-2</v>
      </c>
      <c r="P590" s="29">
        <v>0</v>
      </c>
      <c r="R590" s="22">
        <v>45135</v>
      </c>
      <c r="S590" s="26">
        <f t="shared" ca="1" si="91"/>
        <v>0.7917763221541525</v>
      </c>
      <c r="T590" s="29">
        <v>0</v>
      </c>
      <c r="V590" s="22">
        <v>45135</v>
      </c>
      <c r="W590" s="26">
        <f t="shared" ca="1" si="92"/>
        <v>0.2553169699768254</v>
      </c>
      <c r="X590" s="29">
        <v>0</v>
      </c>
      <c r="Z590" s="22">
        <v>45135</v>
      </c>
      <c r="AA590" s="26">
        <f t="shared" ca="1" si="93"/>
        <v>0.20833025081698442</v>
      </c>
      <c r="AB590" s="29">
        <v>0</v>
      </c>
      <c r="AC590"/>
      <c r="AD590" s="25"/>
      <c r="AF590" s="22">
        <v>45135</v>
      </c>
      <c r="AG590" s="26">
        <f t="shared" ca="1" si="94"/>
        <v>0.16253307683210316</v>
      </c>
      <c r="AH590" s="29">
        <v>0</v>
      </c>
      <c r="AJ590" s="22">
        <v>45135</v>
      </c>
      <c r="AK590" s="26">
        <f t="shared" ca="1" si="95"/>
        <v>0.6012158217911393</v>
      </c>
      <c r="AL590" s="29">
        <v>0</v>
      </c>
      <c r="AN590" s="22">
        <v>45135</v>
      </c>
      <c r="AO590" s="26">
        <f t="shared" ca="1" si="96"/>
        <v>0.54505318901505784</v>
      </c>
      <c r="AP590" s="29">
        <v>0</v>
      </c>
      <c r="AR590" s="22">
        <v>45135</v>
      </c>
      <c r="AS590" s="26">
        <f t="shared" ca="1" si="97"/>
        <v>0.46578836254042</v>
      </c>
      <c r="AT590" s="29">
        <v>0</v>
      </c>
      <c r="AV590" s="22">
        <v>45135</v>
      </c>
      <c r="AW590" s="26">
        <f t="shared" ca="1" si="98"/>
        <v>0.90262195869813133</v>
      </c>
      <c r="AX590" s="29">
        <v>0</v>
      </c>
      <c r="AZ590" s="22">
        <v>45135</v>
      </c>
      <c r="BA590" s="26">
        <f t="shared" ca="1" si="99"/>
        <v>7.8039957366076051E-2</v>
      </c>
      <c r="BB590" s="29">
        <v>0</v>
      </c>
      <c r="BC590"/>
      <c r="BD590" s="25"/>
      <c r="BF590" s="22">
        <v>45135</v>
      </c>
      <c r="BG590" s="26">
        <f t="shared" ca="1" si="100"/>
        <v>0.17200864173339203</v>
      </c>
      <c r="BH590" s="29">
        <v>0</v>
      </c>
      <c r="BJ590" s="22">
        <v>45135</v>
      </c>
      <c r="BK590" s="26">
        <f t="shared" ca="1" si="101"/>
        <v>0.12380682593187253</v>
      </c>
      <c r="BL590" s="29">
        <v>0</v>
      </c>
      <c r="BN590" s="22">
        <v>45135</v>
      </c>
      <c r="BO590" s="26">
        <f t="shared" ca="1" si="102"/>
        <v>0.62300634963219736</v>
      </c>
      <c r="BP590" s="29">
        <v>0</v>
      </c>
      <c r="BR590" s="22">
        <v>45135</v>
      </c>
      <c r="BS590" s="26">
        <f t="shared" ca="1" si="103"/>
        <v>0.31103000908189682</v>
      </c>
      <c r="BT590" s="29">
        <v>0</v>
      </c>
      <c r="BV590" s="22">
        <v>45135</v>
      </c>
      <c r="BW590" s="26">
        <f t="shared" ca="1" si="104"/>
        <v>0.85753921856945559</v>
      </c>
      <c r="BX590" s="29">
        <v>0</v>
      </c>
    </row>
    <row r="591" spans="2:76" ht="12.75" x14ac:dyDescent="0.2">
      <c r="B591" s="22">
        <v>45136</v>
      </c>
      <c r="C591" s="26">
        <f t="shared" ca="1" si="68"/>
        <v>0.36247601133263296</v>
      </c>
      <c r="D591" s="29">
        <v>0</v>
      </c>
      <c r="F591" s="22">
        <v>45136</v>
      </c>
      <c r="G591" s="26">
        <f t="shared" ca="1" si="88"/>
        <v>0.60219583369126017</v>
      </c>
      <c r="H591" s="29">
        <v>0</v>
      </c>
      <c r="J591" s="22">
        <v>45136</v>
      </c>
      <c r="K591" s="26">
        <f t="shared" ca="1" si="89"/>
        <v>0.1935611900883708</v>
      </c>
      <c r="L591" s="29">
        <v>0</v>
      </c>
      <c r="N591" s="22">
        <v>45136</v>
      </c>
      <c r="O591" s="26">
        <f t="shared" ca="1" si="90"/>
        <v>0.55846736751218473</v>
      </c>
      <c r="P591" s="29">
        <v>0</v>
      </c>
      <c r="R591" s="22">
        <v>45136</v>
      </c>
      <c r="S591" s="26">
        <f t="shared" ca="1" si="91"/>
        <v>0.77075908301196661</v>
      </c>
      <c r="T591" s="29">
        <v>0</v>
      </c>
      <c r="V591" s="22">
        <v>45136</v>
      </c>
      <c r="W591" s="26">
        <f t="shared" ca="1" si="92"/>
        <v>0.30213250457087037</v>
      </c>
      <c r="X591" s="29">
        <v>0</v>
      </c>
      <c r="Z591" s="22">
        <v>45136</v>
      </c>
      <c r="AA591" s="26">
        <f t="shared" ca="1" si="93"/>
        <v>0.9137360196898473</v>
      </c>
      <c r="AB591" s="29">
        <v>0</v>
      </c>
      <c r="AC591"/>
      <c r="AD591" s="25"/>
      <c r="AF591" s="22">
        <v>45136</v>
      </c>
      <c r="AG591" s="26">
        <f t="shared" ca="1" si="94"/>
        <v>0.25985595279204909</v>
      </c>
      <c r="AH591" s="29">
        <v>0</v>
      </c>
      <c r="AJ591" s="22">
        <v>45136</v>
      </c>
      <c r="AK591" s="26">
        <f t="shared" ca="1" si="95"/>
        <v>0.4242439040279844</v>
      </c>
      <c r="AL591" s="29">
        <v>0</v>
      </c>
      <c r="AN591" s="22">
        <v>45136</v>
      </c>
      <c r="AO591" s="26">
        <f t="shared" ca="1" si="96"/>
        <v>0.61088383673212709</v>
      </c>
      <c r="AP591" s="29">
        <v>0</v>
      </c>
      <c r="AR591" s="22">
        <v>45136</v>
      </c>
      <c r="AS591" s="26">
        <f t="shared" ca="1" si="97"/>
        <v>0.53815564648899827</v>
      </c>
      <c r="AT591" s="29">
        <v>0</v>
      </c>
      <c r="AV591" s="22">
        <v>45136</v>
      </c>
      <c r="AW591" s="26">
        <f t="shared" ca="1" si="98"/>
        <v>0.70996801709697865</v>
      </c>
      <c r="AX591" s="29">
        <v>0</v>
      </c>
      <c r="AZ591" s="22">
        <v>45136</v>
      </c>
      <c r="BA591" s="26">
        <f t="shared" ca="1" si="99"/>
        <v>0.52320100368735678</v>
      </c>
      <c r="BB591" s="29">
        <v>0</v>
      </c>
      <c r="BC591"/>
      <c r="BD591" s="25"/>
      <c r="BF591" s="22">
        <v>45136</v>
      </c>
      <c r="BG591" s="26">
        <f t="shared" ca="1" si="100"/>
        <v>0.6995967506038866</v>
      </c>
      <c r="BH591" s="29">
        <v>0</v>
      </c>
      <c r="BJ591" s="22">
        <v>45136</v>
      </c>
      <c r="BK591" s="26">
        <f t="shared" ca="1" si="101"/>
        <v>0.3660210929055937</v>
      </c>
      <c r="BL591" s="29">
        <v>0</v>
      </c>
      <c r="BN591" s="22">
        <v>45136</v>
      </c>
      <c r="BO591" s="26">
        <f t="shared" ca="1" si="102"/>
        <v>0.66352094894074121</v>
      </c>
      <c r="BP591" s="29">
        <v>0</v>
      </c>
      <c r="BR591" s="22">
        <v>45136</v>
      </c>
      <c r="BS591" s="26">
        <f t="shared" ca="1" si="103"/>
        <v>0.98534274652565867</v>
      </c>
      <c r="BT591" s="29">
        <v>0</v>
      </c>
      <c r="BV591" s="22">
        <v>45136</v>
      </c>
      <c r="BW591" s="26">
        <f t="shared" ca="1" si="104"/>
        <v>0.56265568830676937</v>
      </c>
      <c r="BX591" s="29">
        <v>0</v>
      </c>
    </row>
    <row r="592" spans="2:76" ht="12.75" x14ac:dyDescent="0.2">
      <c r="B592" s="22">
        <v>45137</v>
      </c>
      <c r="C592" s="26">
        <f t="shared" ca="1" si="68"/>
        <v>0.91453232229531112</v>
      </c>
      <c r="D592" s="29">
        <v>0</v>
      </c>
      <c r="F592" s="22">
        <v>45137</v>
      </c>
      <c r="G592" s="26">
        <f t="shared" ca="1" si="88"/>
        <v>0.58606368657846175</v>
      </c>
      <c r="H592" s="29">
        <v>0</v>
      </c>
      <c r="J592" s="22">
        <v>45137</v>
      </c>
      <c r="K592" s="26">
        <f t="shared" ca="1" si="89"/>
        <v>0.12593394472465391</v>
      </c>
      <c r="L592" s="29">
        <v>0</v>
      </c>
      <c r="N592" s="22">
        <v>45137</v>
      </c>
      <c r="O592" s="26">
        <f t="shared" ca="1" si="90"/>
        <v>0.10505095497029593</v>
      </c>
      <c r="P592" s="29">
        <v>0</v>
      </c>
      <c r="R592" s="22">
        <v>45137</v>
      </c>
      <c r="S592" s="26">
        <f t="shared" ca="1" si="91"/>
        <v>0.75109359898054107</v>
      </c>
      <c r="T592" s="29">
        <v>0</v>
      </c>
      <c r="V592" s="22">
        <v>45137</v>
      </c>
      <c r="W592" s="26">
        <f t="shared" ca="1" si="92"/>
        <v>0.10170141630999197</v>
      </c>
      <c r="X592" s="29">
        <v>0</v>
      </c>
      <c r="Z592" s="22">
        <v>45137</v>
      </c>
      <c r="AA592" s="26">
        <f t="shared" ca="1" si="93"/>
        <v>0.40792001160320968</v>
      </c>
      <c r="AB592" s="29">
        <v>0</v>
      </c>
      <c r="AC592"/>
      <c r="AD592" s="25"/>
      <c r="AF592" s="22">
        <v>45137</v>
      </c>
      <c r="AG592" s="26">
        <f t="shared" ca="1" si="94"/>
        <v>0.37401096147331259</v>
      </c>
      <c r="AH592" s="29">
        <v>0</v>
      </c>
      <c r="AJ592" s="22">
        <v>45137</v>
      </c>
      <c r="AK592" s="26">
        <f t="shared" ca="1" si="95"/>
        <v>0.13929197885956968</v>
      </c>
      <c r="AL592" s="29">
        <v>0</v>
      </c>
      <c r="AN592" s="22">
        <v>45137</v>
      </c>
      <c r="AO592" s="26">
        <f t="shared" ca="1" si="96"/>
        <v>0.62900850500439809</v>
      </c>
      <c r="AP592" s="29">
        <v>0</v>
      </c>
      <c r="AR592" s="22">
        <v>45137</v>
      </c>
      <c r="AS592" s="26">
        <f t="shared" ca="1" si="97"/>
        <v>0.21514495707191128</v>
      </c>
      <c r="AT592" s="29">
        <v>0</v>
      </c>
      <c r="AV592" s="22">
        <v>45137</v>
      </c>
      <c r="AW592" s="26">
        <f t="shared" ca="1" si="98"/>
        <v>0.96596033708694207</v>
      </c>
      <c r="AX592" s="29">
        <v>0</v>
      </c>
      <c r="AZ592" s="22">
        <v>45137</v>
      </c>
      <c r="BA592" s="26">
        <f t="shared" ca="1" si="99"/>
        <v>0.90499973911482123</v>
      </c>
      <c r="BB592" s="29">
        <v>0</v>
      </c>
      <c r="BC592"/>
      <c r="BD592" s="25"/>
      <c r="BF592" s="22">
        <v>45137</v>
      </c>
      <c r="BG592" s="26">
        <f t="shared" ca="1" si="100"/>
        <v>0.90376008169587552</v>
      </c>
      <c r="BH592" s="29">
        <v>0</v>
      </c>
      <c r="BJ592" s="22">
        <v>45137</v>
      </c>
      <c r="BK592" s="26">
        <f t="shared" ca="1" si="101"/>
        <v>0.70519321805124446</v>
      </c>
      <c r="BL592" s="29">
        <v>0</v>
      </c>
      <c r="BN592" s="22">
        <v>45137</v>
      </c>
      <c r="BO592" s="26">
        <f t="shared" ca="1" si="102"/>
        <v>0.37245553730076353</v>
      </c>
      <c r="BP592" s="29">
        <v>0</v>
      </c>
      <c r="BR592" s="22">
        <v>45137</v>
      </c>
      <c r="BS592" s="26">
        <f t="shared" ca="1" si="103"/>
        <v>0.69861481635868272</v>
      </c>
      <c r="BT592" s="29">
        <v>0</v>
      </c>
      <c r="BV592" s="22">
        <v>45137</v>
      </c>
      <c r="BW592" s="26">
        <f t="shared" ca="1" si="104"/>
        <v>0.19986885259612563</v>
      </c>
      <c r="BX592" s="29">
        <v>0</v>
      </c>
    </row>
    <row r="593" spans="2:77" ht="12.75" x14ac:dyDescent="0.2">
      <c r="B593" s="22">
        <v>45138</v>
      </c>
      <c r="C593" s="26">
        <f t="shared" ca="1" si="68"/>
        <v>0.60120902935514686</v>
      </c>
      <c r="D593" s="29">
        <v>0</v>
      </c>
      <c r="E593">
        <v>443</v>
      </c>
      <c r="F593" s="22">
        <v>45138</v>
      </c>
      <c r="G593" s="26">
        <f t="shared" ca="1" si="88"/>
        <v>2.0569287640822109E-2</v>
      </c>
      <c r="H593" s="29">
        <v>0</v>
      </c>
      <c r="I593">
        <v>1283</v>
      </c>
      <c r="J593" s="22">
        <v>45138</v>
      </c>
      <c r="K593" s="26">
        <f t="shared" ca="1" si="89"/>
        <v>0.96157358884536703</v>
      </c>
      <c r="L593" s="29">
        <v>0</v>
      </c>
      <c r="M593">
        <v>909</v>
      </c>
      <c r="N593" s="22">
        <v>45138</v>
      </c>
      <c r="O593" s="26">
        <f t="shared" ca="1" si="90"/>
        <v>0.6278460366273364</v>
      </c>
      <c r="P593" s="29">
        <v>0</v>
      </c>
      <c r="Q593">
        <v>1376</v>
      </c>
      <c r="R593" s="22">
        <v>45138</v>
      </c>
      <c r="S593" s="26">
        <f t="shared" ca="1" si="91"/>
        <v>0.83761267244063065</v>
      </c>
      <c r="T593" s="29">
        <v>0</v>
      </c>
      <c r="U593">
        <v>845</v>
      </c>
      <c r="V593" s="22">
        <v>45138</v>
      </c>
      <c r="W593" s="26">
        <f t="shared" ca="1" si="92"/>
        <v>0.39378890009615242</v>
      </c>
      <c r="X593" s="29">
        <v>0</v>
      </c>
      <c r="Y593">
        <v>1327</v>
      </c>
      <c r="Z593" s="22">
        <v>45138</v>
      </c>
      <c r="AA593" s="26">
        <f t="shared" ca="1" si="93"/>
        <v>0.54239515094827395</v>
      </c>
      <c r="AB593" s="29">
        <v>0</v>
      </c>
      <c r="AC593">
        <v>1590</v>
      </c>
      <c r="AD593" s="25"/>
      <c r="AF593" s="22">
        <v>45138</v>
      </c>
      <c r="AG593" s="26">
        <f t="shared" ca="1" si="94"/>
        <v>0.76651520761914749</v>
      </c>
      <c r="AH593" s="29">
        <v>0</v>
      </c>
      <c r="AI593">
        <v>1960</v>
      </c>
      <c r="AJ593" s="22">
        <v>45138</v>
      </c>
      <c r="AK593" s="26">
        <f t="shared" ca="1" si="95"/>
        <v>0.10775893301133843</v>
      </c>
      <c r="AL593" s="29">
        <v>0</v>
      </c>
      <c r="AM593">
        <v>1003</v>
      </c>
      <c r="AN593" s="22">
        <v>45138</v>
      </c>
      <c r="AO593" s="26">
        <f t="shared" ca="1" si="96"/>
        <v>6.6128971977176043E-2</v>
      </c>
      <c r="AP593" s="29">
        <v>0</v>
      </c>
      <c r="AQ593">
        <v>784</v>
      </c>
      <c r="AR593" s="22">
        <v>45138</v>
      </c>
      <c r="AS593" s="26">
        <f t="shared" ca="1" si="97"/>
        <v>0.2678868578866721</v>
      </c>
      <c r="AT593" s="29">
        <v>0</v>
      </c>
      <c r="AU593">
        <v>0</v>
      </c>
      <c r="AV593" s="22">
        <v>45138</v>
      </c>
      <c r="AW593" s="26">
        <f t="shared" ca="1" si="98"/>
        <v>0.60716035124319645</v>
      </c>
      <c r="AX593" s="29">
        <v>0</v>
      </c>
      <c r="AY593">
        <v>0</v>
      </c>
      <c r="AZ593" s="22">
        <v>45138</v>
      </c>
      <c r="BA593" s="26">
        <f t="shared" ca="1" si="99"/>
        <v>0.42178731427408711</v>
      </c>
      <c r="BB593" s="29">
        <v>0</v>
      </c>
      <c r="BC593">
        <v>0</v>
      </c>
      <c r="BD593" s="25"/>
      <c r="BF593" s="22">
        <v>45138</v>
      </c>
      <c r="BG593" s="26">
        <f t="shared" ca="1" si="100"/>
        <v>0.34317537192852587</v>
      </c>
      <c r="BH593" s="29">
        <v>0</v>
      </c>
      <c r="BI593">
        <v>0</v>
      </c>
      <c r="BJ593" s="22">
        <v>45138</v>
      </c>
      <c r="BK593" s="26">
        <f t="shared" ca="1" si="101"/>
        <v>0.83472803901275461</v>
      </c>
      <c r="BL593" s="29">
        <v>0</v>
      </c>
      <c r="BM593">
        <v>0</v>
      </c>
      <c r="BN593" s="22">
        <v>45138</v>
      </c>
      <c r="BO593" s="26">
        <f t="shared" ca="1" si="102"/>
        <v>0.36276850563634699</v>
      </c>
      <c r="BP593" s="29">
        <v>0</v>
      </c>
      <c r="BQ593">
        <v>0</v>
      </c>
      <c r="BR593" s="22">
        <v>45138</v>
      </c>
      <c r="BS593" s="26">
        <f t="shared" ca="1" si="103"/>
        <v>0.35880438226083944</v>
      </c>
      <c r="BT593" s="29">
        <v>0</v>
      </c>
      <c r="BU593">
        <v>0</v>
      </c>
      <c r="BV593" s="22">
        <v>45138</v>
      </c>
      <c r="BW593" s="26">
        <f t="shared" ca="1" si="104"/>
        <v>0.77161967631735051</v>
      </c>
      <c r="BX593" s="29">
        <v>0</v>
      </c>
      <c r="BY593">
        <v>0</v>
      </c>
    </row>
    <row r="594" spans="2:77" ht="12.75" x14ac:dyDescent="0.2">
      <c r="B594" s="22">
        <v>45139</v>
      </c>
      <c r="C594" s="26">
        <f t="shared" ca="1" si="68"/>
        <v>0.80236679103451192</v>
      </c>
      <c r="D594" s="29">
        <v>0</v>
      </c>
      <c r="F594" s="22">
        <v>45139</v>
      </c>
      <c r="G594" s="26">
        <f t="shared" ca="1" si="88"/>
        <v>0.14568857037199567</v>
      </c>
      <c r="H594" s="29">
        <v>0</v>
      </c>
      <c r="J594" s="22">
        <v>45139</v>
      </c>
      <c r="K594" s="26">
        <f t="shared" ca="1" si="89"/>
        <v>0.86490242651161797</v>
      </c>
      <c r="L594" s="29">
        <v>0</v>
      </c>
      <c r="N594" s="22">
        <v>45139</v>
      </c>
      <c r="O594" s="26">
        <f t="shared" ca="1" si="90"/>
        <v>0.368688190962423</v>
      </c>
      <c r="P594" s="29">
        <v>0</v>
      </c>
      <c r="R594" s="22">
        <v>45139</v>
      </c>
      <c r="S594" s="26">
        <f t="shared" ca="1" si="91"/>
        <v>0.57122335959353543</v>
      </c>
      <c r="T594" s="29">
        <v>0</v>
      </c>
      <c r="V594" s="22">
        <v>45139</v>
      </c>
      <c r="W594" s="26">
        <f t="shared" ca="1" si="92"/>
        <v>0.62851231893465231</v>
      </c>
      <c r="X594" s="29">
        <v>0</v>
      </c>
      <c r="Z594" s="22">
        <v>45139</v>
      </c>
      <c r="AA594" s="26">
        <f t="shared" ca="1" si="93"/>
        <v>0.38750852074895592</v>
      </c>
      <c r="AB594" s="29">
        <v>0</v>
      </c>
      <c r="AC594"/>
      <c r="AD594" s="25"/>
      <c r="AF594" s="22">
        <v>45139</v>
      </c>
      <c r="AG594" s="26">
        <f t="shared" ca="1" si="94"/>
        <v>0.77372183915125414</v>
      </c>
      <c r="AH594" s="29">
        <v>0</v>
      </c>
      <c r="AJ594" s="22">
        <v>45139</v>
      </c>
      <c r="AK594" s="26">
        <f t="shared" ca="1" si="95"/>
        <v>0.19268068170899588</v>
      </c>
      <c r="AL594" s="29">
        <v>0</v>
      </c>
      <c r="AN594" s="22">
        <v>45139</v>
      </c>
      <c r="AO594" s="26">
        <f t="shared" ca="1" si="96"/>
        <v>0.75120587736329891</v>
      </c>
      <c r="AP594" s="29">
        <v>0</v>
      </c>
      <c r="AR594" s="22">
        <v>45139</v>
      </c>
      <c r="AS594" s="26">
        <f t="shared" ca="1" si="97"/>
        <v>0.39026915206532653</v>
      </c>
      <c r="AT594" s="29">
        <v>0</v>
      </c>
      <c r="AV594" s="22">
        <v>45139</v>
      </c>
      <c r="AW594" s="26">
        <f t="shared" ca="1" si="98"/>
        <v>0.56213360564589565</v>
      </c>
      <c r="AX594" s="29">
        <v>0</v>
      </c>
      <c r="AZ594" s="22">
        <v>45139</v>
      </c>
      <c r="BA594" s="26">
        <f t="shared" ca="1" si="99"/>
        <v>0.61624719453016252</v>
      </c>
      <c r="BB594" s="29">
        <v>0</v>
      </c>
      <c r="BC594"/>
      <c r="BD594" s="25"/>
      <c r="BF594" s="22">
        <v>45139</v>
      </c>
      <c r="BG594" s="26">
        <f t="shared" ca="1" si="100"/>
        <v>0.52538053124933981</v>
      </c>
      <c r="BH594" s="29">
        <v>0</v>
      </c>
      <c r="BJ594" s="22">
        <v>45139</v>
      </c>
      <c r="BK594" s="26">
        <f t="shared" ca="1" si="101"/>
        <v>1.3640424954027841E-2</v>
      </c>
      <c r="BL594" s="29">
        <v>0</v>
      </c>
      <c r="BN594" s="22">
        <v>45139</v>
      </c>
      <c r="BO594" s="26">
        <f t="shared" ca="1" si="102"/>
        <v>0.28397678957857075</v>
      </c>
      <c r="BP594" s="29">
        <v>0</v>
      </c>
      <c r="BR594" s="22">
        <v>45139</v>
      </c>
      <c r="BS594" s="26">
        <f t="shared" ca="1" si="103"/>
        <v>0.79804955158642532</v>
      </c>
      <c r="BT594" s="29">
        <v>0</v>
      </c>
      <c r="BV594" s="22">
        <v>45139</v>
      </c>
      <c r="BW594" s="26">
        <f t="shared" ca="1" si="104"/>
        <v>0.54685507799931365</v>
      </c>
      <c r="BX594" s="29">
        <v>0</v>
      </c>
    </row>
    <row r="595" spans="2:77" ht="12.75" x14ac:dyDescent="0.2">
      <c r="B595" s="22">
        <v>45140</v>
      </c>
      <c r="C595" s="26">
        <f t="shared" ca="1" si="68"/>
        <v>0.43217663331130118</v>
      </c>
      <c r="D595" s="29">
        <v>0</v>
      </c>
      <c r="F595" s="22">
        <v>45140</v>
      </c>
      <c r="G595" s="26">
        <f t="shared" ca="1" si="88"/>
        <v>0.76068486542780089</v>
      </c>
      <c r="H595" s="29">
        <v>0</v>
      </c>
      <c r="J595" s="22">
        <v>45140</v>
      </c>
      <c r="K595" s="26">
        <f t="shared" ca="1" si="89"/>
        <v>0.46872605122200683</v>
      </c>
      <c r="L595" s="29">
        <v>0</v>
      </c>
      <c r="N595" s="22">
        <v>45140</v>
      </c>
      <c r="O595" s="26">
        <f t="shared" ca="1" si="90"/>
        <v>0.94247764003871448</v>
      </c>
      <c r="P595" s="29">
        <v>0</v>
      </c>
      <c r="R595" s="22">
        <v>45140</v>
      </c>
      <c r="S595" s="26">
        <f t="shared" ca="1" si="91"/>
        <v>0.79359961635069987</v>
      </c>
      <c r="T595" s="29">
        <v>0</v>
      </c>
      <c r="V595" s="22">
        <v>45140</v>
      </c>
      <c r="W595" s="26">
        <f t="shared" ca="1" si="92"/>
        <v>0.71339375774987934</v>
      </c>
      <c r="X595" s="29">
        <v>0</v>
      </c>
      <c r="Z595" s="22">
        <v>45140</v>
      </c>
      <c r="AA595" s="26">
        <f t="shared" ca="1" si="93"/>
        <v>0.63975755846431204</v>
      </c>
      <c r="AB595" s="29">
        <v>0</v>
      </c>
      <c r="AC595"/>
      <c r="AD595" s="25"/>
      <c r="AF595" s="22">
        <v>45140</v>
      </c>
      <c r="AG595" s="26">
        <f t="shared" ca="1" si="94"/>
        <v>0.67431958540544357</v>
      </c>
      <c r="AH595" s="29">
        <v>0</v>
      </c>
      <c r="AJ595" s="22">
        <v>45140</v>
      </c>
      <c r="AK595" s="26">
        <f t="shared" ca="1" si="95"/>
        <v>0.66835293713237587</v>
      </c>
      <c r="AL595" s="29">
        <v>0</v>
      </c>
      <c r="AN595" s="22">
        <v>45140</v>
      </c>
      <c r="AO595" s="26">
        <f t="shared" ca="1" si="96"/>
        <v>0.62545356809024033</v>
      </c>
      <c r="AP595" s="29">
        <v>0</v>
      </c>
      <c r="AR595" s="22">
        <v>45140</v>
      </c>
      <c r="AS595" s="26">
        <f t="shared" ca="1" si="97"/>
        <v>0.22251477152324828</v>
      </c>
      <c r="AT595" s="29">
        <v>0</v>
      </c>
      <c r="AV595" s="22">
        <v>45140</v>
      </c>
      <c r="AW595" s="26">
        <f t="shared" ca="1" si="98"/>
        <v>0.3171075160400042</v>
      </c>
      <c r="AX595" s="29">
        <v>0</v>
      </c>
      <c r="AZ595" s="22">
        <v>45140</v>
      </c>
      <c r="BA595" s="26">
        <f t="shared" ca="1" si="99"/>
        <v>0.92530023726947075</v>
      </c>
      <c r="BB595" s="29">
        <v>0</v>
      </c>
      <c r="BC595"/>
      <c r="BD595" s="25"/>
      <c r="BF595" s="22">
        <v>45140</v>
      </c>
      <c r="BG595" s="26">
        <f t="shared" ca="1" si="100"/>
        <v>0.88732281628195431</v>
      </c>
      <c r="BH595" s="29">
        <v>0</v>
      </c>
      <c r="BJ595" s="22">
        <v>45140</v>
      </c>
      <c r="BK595" s="26">
        <f t="shared" ca="1" si="101"/>
        <v>9.5311226961194428E-2</v>
      </c>
      <c r="BL595" s="29">
        <v>0</v>
      </c>
      <c r="BN595" s="22">
        <v>45140</v>
      </c>
      <c r="BO595" s="26">
        <f t="shared" ca="1" si="102"/>
        <v>0.92330461458393009</v>
      </c>
      <c r="BP595" s="29">
        <v>0</v>
      </c>
      <c r="BR595" s="22">
        <v>45140</v>
      </c>
      <c r="BS595" s="26">
        <f t="shared" ca="1" si="103"/>
        <v>0.45538137292602721</v>
      </c>
      <c r="BT595" s="29">
        <v>0</v>
      </c>
      <c r="BV595" s="22">
        <v>45140</v>
      </c>
      <c r="BW595" s="26">
        <f t="shared" ca="1" si="104"/>
        <v>0.21351074457188357</v>
      </c>
      <c r="BX595" s="29">
        <v>0</v>
      </c>
    </row>
    <row r="596" spans="2:77" ht="12.75" x14ac:dyDescent="0.2">
      <c r="B596" s="22">
        <v>45141</v>
      </c>
      <c r="C596" s="26">
        <f t="shared" ca="1" si="68"/>
        <v>0.94811873723394546</v>
      </c>
      <c r="D596" s="29">
        <v>0</v>
      </c>
      <c r="F596" s="22">
        <v>45141</v>
      </c>
      <c r="G596" s="26">
        <f t="shared" ca="1" si="88"/>
        <v>0.78223490220106406</v>
      </c>
      <c r="H596" s="29">
        <v>0</v>
      </c>
      <c r="J596" s="22">
        <v>45141</v>
      </c>
      <c r="K596" s="26">
        <f t="shared" ca="1" si="89"/>
        <v>3.4487679011291128E-2</v>
      </c>
      <c r="L596" s="29">
        <v>0</v>
      </c>
      <c r="N596" s="22">
        <v>45141</v>
      </c>
      <c r="O596" s="26">
        <f t="shared" ca="1" si="90"/>
        <v>0.42698406248231879</v>
      </c>
      <c r="P596" s="29">
        <v>0</v>
      </c>
      <c r="R596" s="22">
        <v>45141</v>
      </c>
      <c r="S596" s="26">
        <f t="shared" ca="1" si="91"/>
        <v>0.54174864294584024</v>
      </c>
      <c r="T596" s="29">
        <v>0</v>
      </c>
      <c r="V596" s="22">
        <v>45141</v>
      </c>
      <c r="W596" s="26">
        <f t="shared" ca="1" si="92"/>
        <v>0.76851117170482353</v>
      </c>
      <c r="X596" s="29">
        <v>0</v>
      </c>
      <c r="Z596" s="22">
        <v>45141</v>
      </c>
      <c r="AA596" s="26">
        <f t="shared" ca="1" si="93"/>
        <v>0.93328154454462264</v>
      </c>
      <c r="AB596" s="29">
        <v>0</v>
      </c>
      <c r="AC596"/>
      <c r="AD596" s="25"/>
      <c r="AF596" s="22">
        <v>45141</v>
      </c>
      <c r="AG596" s="26">
        <f t="shared" ca="1" si="94"/>
        <v>0.78416326180260731</v>
      </c>
      <c r="AH596" s="29">
        <v>0</v>
      </c>
      <c r="AJ596" s="22">
        <v>45141</v>
      </c>
      <c r="AK596" s="26">
        <f t="shared" ca="1" si="95"/>
        <v>0.34171411628853321</v>
      </c>
      <c r="AL596" s="29">
        <v>0</v>
      </c>
      <c r="AN596" s="22">
        <v>45141</v>
      </c>
      <c r="AO596" s="26">
        <f t="shared" ca="1" si="96"/>
        <v>0.83592385787358026</v>
      </c>
      <c r="AP596" s="29">
        <v>0</v>
      </c>
      <c r="AR596" s="22">
        <v>45141</v>
      </c>
      <c r="AS596" s="26">
        <f t="shared" ca="1" si="97"/>
        <v>0.7192261510149125</v>
      </c>
      <c r="AT596" s="29">
        <v>0</v>
      </c>
      <c r="AV596" s="22">
        <v>45141</v>
      </c>
      <c r="AW596" s="26">
        <f t="shared" ca="1" si="98"/>
        <v>0.77676553482146204</v>
      </c>
      <c r="AX596" s="29">
        <v>0</v>
      </c>
      <c r="AZ596" s="22">
        <v>45141</v>
      </c>
      <c r="BA596" s="26">
        <f t="shared" ca="1" si="99"/>
        <v>0.58217118541795987</v>
      </c>
      <c r="BB596" s="29">
        <v>0</v>
      </c>
      <c r="BC596"/>
      <c r="BD596" s="25"/>
      <c r="BF596" s="22">
        <v>45141</v>
      </c>
      <c r="BG596" s="26">
        <f t="shared" ca="1" si="100"/>
        <v>0.65293826632565732</v>
      </c>
      <c r="BH596" s="29">
        <v>0</v>
      </c>
      <c r="BJ596" s="22">
        <v>45141</v>
      </c>
      <c r="BK596" s="26">
        <f t="shared" ca="1" si="101"/>
        <v>0.80467064022909673</v>
      </c>
      <c r="BL596" s="29">
        <v>0</v>
      </c>
      <c r="BN596" s="22">
        <v>45141</v>
      </c>
      <c r="BO596" s="26">
        <f t="shared" ca="1" si="102"/>
        <v>0.53797768680876645</v>
      </c>
      <c r="BP596" s="29">
        <v>0</v>
      </c>
      <c r="BR596" s="22">
        <v>45141</v>
      </c>
      <c r="BS596" s="26">
        <f t="shared" ca="1" si="103"/>
        <v>0.68478766978701056</v>
      </c>
      <c r="BT596" s="29">
        <v>0</v>
      </c>
      <c r="BV596" s="22">
        <v>45141</v>
      </c>
      <c r="BW596" s="26">
        <f t="shared" ca="1" si="104"/>
        <v>0.47186791070525269</v>
      </c>
      <c r="BX596" s="29">
        <v>0</v>
      </c>
    </row>
    <row r="597" spans="2:77" ht="12.75" x14ac:dyDescent="0.2">
      <c r="B597" s="22">
        <v>45142</v>
      </c>
      <c r="C597" s="26">
        <f t="shared" ca="1" si="68"/>
        <v>0.92980301785177322</v>
      </c>
      <c r="D597" s="29">
        <v>0</v>
      </c>
      <c r="F597" s="22">
        <v>45142</v>
      </c>
      <c r="G597" s="26">
        <f t="shared" ca="1" si="88"/>
        <v>0.80115936055642456</v>
      </c>
      <c r="H597" s="29">
        <v>0</v>
      </c>
      <c r="J597" s="22">
        <v>45142</v>
      </c>
      <c r="K597" s="26">
        <f t="shared" ca="1" si="89"/>
        <v>0.73618413035572183</v>
      </c>
      <c r="L597" s="29">
        <v>0</v>
      </c>
      <c r="N597" s="22">
        <v>45142</v>
      </c>
      <c r="O597" s="26">
        <f t="shared" ca="1" si="90"/>
        <v>0.30726836407503655</v>
      </c>
      <c r="P597" s="29">
        <v>0</v>
      </c>
      <c r="R597" s="22">
        <v>45142</v>
      </c>
      <c r="S597" s="26">
        <f t="shared" ca="1" si="91"/>
        <v>7.4759963021089226E-2</v>
      </c>
      <c r="T597" s="29">
        <v>0</v>
      </c>
      <c r="V597" s="22">
        <v>45142</v>
      </c>
      <c r="W597" s="26">
        <f t="shared" ca="1" si="92"/>
        <v>0.43777191297431972</v>
      </c>
      <c r="X597" s="29">
        <v>0</v>
      </c>
      <c r="Z597" s="22">
        <v>45142</v>
      </c>
      <c r="AA597" s="26">
        <f t="shared" ca="1" si="93"/>
        <v>4.0598816449893271E-2</v>
      </c>
      <c r="AB597" s="29">
        <v>0</v>
      </c>
      <c r="AC597"/>
      <c r="AD597" s="25"/>
      <c r="AF597" s="22">
        <v>45142</v>
      </c>
      <c r="AG597" s="26">
        <f t="shared" ca="1" si="94"/>
        <v>0.10100516196116005</v>
      </c>
      <c r="AH597" s="29">
        <v>0</v>
      </c>
      <c r="AJ597" s="22">
        <v>45142</v>
      </c>
      <c r="AK597" s="26">
        <f t="shared" ca="1" si="95"/>
        <v>0.30634313627872412</v>
      </c>
      <c r="AL597" s="29">
        <v>0</v>
      </c>
      <c r="AN597" s="22">
        <v>45142</v>
      </c>
      <c r="AO597" s="26">
        <f t="shared" ca="1" si="96"/>
        <v>0.58499228361661815</v>
      </c>
      <c r="AP597" s="29">
        <v>0</v>
      </c>
      <c r="AR597" s="22">
        <v>45142</v>
      </c>
      <c r="AS597" s="26">
        <f t="shared" ca="1" si="97"/>
        <v>0.66974499288115408</v>
      </c>
      <c r="AT597" s="29">
        <v>0</v>
      </c>
      <c r="AV597" s="22">
        <v>45142</v>
      </c>
      <c r="AW597" s="26">
        <f t="shared" ca="1" si="98"/>
        <v>0.22806368237481078</v>
      </c>
      <c r="AX597" s="29">
        <v>0</v>
      </c>
      <c r="AZ597" s="22">
        <v>45142</v>
      </c>
      <c r="BA597" s="26">
        <f t="shared" ca="1" si="99"/>
        <v>0.90774687538555676</v>
      </c>
      <c r="BB597" s="29">
        <v>0</v>
      </c>
      <c r="BC597"/>
      <c r="BD597" s="25"/>
      <c r="BF597" s="22">
        <v>45142</v>
      </c>
      <c r="BG597" s="26">
        <f t="shared" ca="1" si="100"/>
        <v>0.13943801043500648</v>
      </c>
      <c r="BH597" s="29">
        <v>0</v>
      </c>
      <c r="BJ597" s="22">
        <v>45142</v>
      </c>
      <c r="BK597" s="26">
        <f t="shared" ca="1" si="101"/>
        <v>0.96774448296122817</v>
      </c>
      <c r="BL597" s="29">
        <v>0</v>
      </c>
      <c r="BN597" s="22">
        <v>45142</v>
      </c>
      <c r="BO597" s="26">
        <f t="shared" ca="1" si="102"/>
        <v>0.62518698805695372</v>
      </c>
      <c r="BP597" s="29">
        <v>0</v>
      </c>
      <c r="BR597" s="22">
        <v>45142</v>
      </c>
      <c r="BS597" s="26">
        <f t="shared" ca="1" si="103"/>
        <v>0.60456829962111236</v>
      </c>
      <c r="BT597" s="29">
        <v>0</v>
      </c>
      <c r="BV597" s="22">
        <v>45142</v>
      </c>
      <c r="BW597" s="26">
        <f t="shared" ca="1" si="104"/>
        <v>0.98137609034628892</v>
      </c>
      <c r="BX597" s="29">
        <v>0</v>
      </c>
    </row>
    <row r="598" spans="2:77" ht="12.75" x14ac:dyDescent="0.2">
      <c r="B598" s="22">
        <v>45143</v>
      </c>
      <c r="C598" s="26">
        <f t="shared" ca="1" si="68"/>
        <v>9.0771839183364844E-2</v>
      </c>
      <c r="D598" s="29">
        <v>0</v>
      </c>
      <c r="F598" s="22">
        <v>45143</v>
      </c>
      <c r="G598" s="26">
        <f t="shared" ca="1" si="88"/>
        <v>0.33801984454135436</v>
      </c>
      <c r="H598" s="29">
        <v>0</v>
      </c>
      <c r="J598" s="22">
        <v>45143</v>
      </c>
      <c r="K598" s="26">
        <f t="shared" ca="1" si="89"/>
        <v>0.7078223864158093</v>
      </c>
      <c r="L598" s="29">
        <v>0</v>
      </c>
      <c r="N598" s="22">
        <v>45143</v>
      </c>
      <c r="O598" s="26">
        <f t="shared" ca="1" si="90"/>
        <v>0.27978399683870459</v>
      </c>
      <c r="P598" s="29">
        <v>0</v>
      </c>
      <c r="R598" s="22">
        <v>45143</v>
      </c>
      <c r="S598" s="26">
        <f t="shared" ca="1" si="91"/>
        <v>0.55591469887397615</v>
      </c>
      <c r="T598" s="29">
        <v>0</v>
      </c>
      <c r="V598" s="22">
        <v>45143</v>
      </c>
      <c r="W598" s="26">
        <f t="shared" ca="1" si="92"/>
        <v>0.81599087354077593</v>
      </c>
      <c r="X598" s="29">
        <v>0</v>
      </c>
      <c r="Z598" s="22">
        <v>45143</v>
      </c>
      <c r="AA598" s="26">
        <f t="shared" ca="1" si="93"/>
        <v>0.14614888251269709</v>
      </c>
      <c r="AB598" s="29">
        <v>0</v>
      </c>
      <c r="AC598"/>
      <c r="AD598" s="25"/>
      <c r="AF598" s="22">
        <v>45143</v>
      </c>
      <c r="AG598" s="26">
        <f t="shared" ca="1" si="94"/>
        <v>0.21394453612147091</v>
      </c>
      <c r="AH598" s="29">
        <v>0</v>
      </c>
      <c r="AJ598" s="22">
        <v>45143</v>
      </c>
      <c r="AK598" s="26">
        <f t="shared" ca="1" si="95"/>
        <v>0.94672404102662111</v>
      </c>
      <c r="AL598" s="29">
        <v>0</v>
      </c>
      <c r="AN598" s="22">
        <v>45143</v>
      </c>
      <c r="AO598" s="26">
        <f t="shared" ca="1" si="96"/>
        <v>0.34378352135847012</v>
      </c>
      <c r="AP598" s="29">
        <v>0</v>
      </c>
      <c r="AR598" s="22">
        <v>45143</v>
      </c>
      <c r="AS598" s="26">
        <f t="shared" ca="1" si="97"/>
        <v>6.8170647714058674E-2</v>
      </c>
      <c r="AT598" s="29">
        <v>0</v>
      </c>
      <c r="AV598" s="22">
        <v>45143</v>
      </c>
      <c r="AW598" s="26">
        <f t="shared" ca="1" si="98"/>
        <v>7.0010017743296515E-2</v>
      </c>
      <c r="AX598" s="29">
        <v>0</v>
      </c>
      <c r="AZ598" s="22">
        <v>45143</v>
      </c>
      <c r="BA598" s="26">
        <f t="shared" ca="1" si="99"/>
        <v>0.8779108409805908</v>
      </c>
      <c r="BB598" s="29">
        <v>0</v>
      </c>
      <c r="BC598"/>
      <c r="BD598" s="25"/>
      <c r="BF598" s="22">
        <v>45143</v>
      </c>
      <c r="BG598" s="26">
        <f t="shared" ca="1" si="100"/>
        <v>0.54218161634827466</v>
      </c>
      <c r="BH598" s="29">
        <v>0</v>
      </c>
      <c r="BJ598" s="22">
        <v>45143</v>
      </c>
      <c r="BK598" s="26">
        <f t="shared" ca="1" si="101"/>
        <v>0.26273610431786931</v>
      </c>
      <c r="BL598" s="29">
        <v>0</v>
      </c>
      <c r="BN598" s="22">
        <v>45143</v>
      </c>
      <c r="BO598" s="26">
        <f t="shared" ca="1" si="102"/>
        <v>0.77002193005917718</v>
      </c>
      <c r="BP598" s="29">
        <v>0</v>
      </c>
      <c r="BR598" s="22">
        <v>45143</v>
      </c>
      <c r="BS598" s="26">
        <f t="shared" ca="1" si="103"/>
        <v>0.54040166523156652</v>
      </c>
      <c r="BT598" s="29">
        <v>0</v>
      </c>
      <c r="BV598" s="22">
        <v>45143</v>
      </c>
      <c r="BW598" s="26">
        <f t="shared" ca="1" si="104"/>
        <v>2.813991323773235E-2</v>
      </c>
      <c r="BX598" s="29">
        <v>0</v>
      </c>
    </row>
    <row r="599" spans="2:77" ht="12.75" x14ac:dyDescent="0.2">
      <c r="B599" s="22">
        <v>45144</v>
      </c>
      <c r="C599" s="26">
        <f t="shared" ca="1" si="68"/>
        <v>0.36770640587083137</v>
      </c>
      <c r="D599" s="29">
        <v>0</v>
      </c>
      <c r="F599" s="22">
        <v>45144</v>
      </c>
      <c r="G599" s="26">
        <f t="shared" ca="1" si="88"/>
        <v>2.2355449761034318E-2</v>
      </c>
      <c r="H599" s="29">
        <v>0</v>
      </c>
      <c r="J599" s="22">
        <v>45144</v>
      </c>
      <c r="K599" s="26">
        <f t="shared" ca="1" si="89"/>
        <v>0.23071875033624245</v>
      </c>
      <c r="L599" s="29">
        <v>0</v>
      </c>
      <c r="N599" s="22">
        <v>45144</v>
      </c>
      <c r="O599" s="26">
        <f t="shared" ca="1" si="90"/>
        <v>0.98858533139520843</v>
      </c>
      <c r="P599" s="29">
        <v>0</v>
      </c>
      <c r="R599" s="22">
        <v>45144</v>
      </c>
      <c r="S599" s="26">
        <f t="shared" ca="1" si="91"/>
        <v>0.47116158527432594</v>
      </c>
      <c r="T599" s="29">
        <v>0</v>
      </c>
      <c r="V599" s="22">
        <v>45144</v>
      </c>
      <c r="W599" s="26">
        <f t="shared" ca="1" si="92"/>
        <v>0.6136894878918987</v>
      </c>
      <c r="X599" s="29">
        <v>0</v>
      </c>
      <c r="Z599" s="22">
        <v>45144</v>
      </c>
      <c r="AA599" s="26">
        <f t="shared" ca="1" si="93"/>
        <v>2.7081929307808283E-2</v>
      </c>
      <c r="AB599" s="29">
        <v>0</v>
      </c>
      <c r="AC599"/>
      <c r="AD599" s="25"/>
      <c r="AF599" s="22">
        <v>45144</v>
      </c>
      <c r="AG599" s="26">
        <f t="shared" ca="1" si="94"/>
        <v>0.36731729057723161</v>
      </c>
      <c r="AH599" s="29">
        <v>0</v>
      </c>
      <c r="AJ599" s="22">
        <v>45144</v>
      </c>
      <c r="AK599" s="26">
        <f t="shared" ca="1" si="95"/>
        <v>0.93527449948354779</v>
      </c>
      <c r="AL599" s="29">
        <v>0</v>
      </c>
      <c r="AN599" s="22">
        <v>45144</v>
      </c>
      <c r="AO599" s="26">
        <f t="shared" ca="1" si="96"/>
        <v>0.20752082926962223</v>
      </c>
      <c r="AP599" s="29">
        <v>0</v>
      </c>
      <c r="AR599" s="22">
        <v>45144</v>
      </c>
      <c r="AS599" s="26">
        <f t="shared" ca="1" si="97"/>
        <v>0.52806206540969824</v>
      </c>
      <c r="AT599" s="29">
        <v>0</v>
      </c>
      <c r="AV599" s="22">
        <v>45144</v>
      </c>
      <c r="AW599" s="26">
        <f t="shared" ca="1" si="98"/>
        <v>1.0786385994212333E-2</v>
      </c>
      <c r="AX599" s="29">
        <v>0</v>
      </c>
      <c r="AZ599" s="22">
        <v>45144</v>
      </c>
      <c r="BA599" s="26">
        <f t="shared" ca="1" si="99"/>
        <v>0.49585679800096716</v>
      </c>
      <c r="BB599" s="29">
        <v>0</v>
      </c>
      <c r="BC599"/>
      <c r="BD599" s="25"/>
      <c r="BF599" s="22">
        <v>45144</v>
      </c>
      <c r="BG599" s="26">
        <f t="shared" ca="1" si="100"/>
        <v>0.94653079366388715</v>
      </c>
      <c r="BH599" s="29">
        <v>0</v>
      </c>
      <c r="BJ599" s="22">
        <v>45144</v>
      </c>
      <c r="BK599" s="26">
        <f t="shared" ca="1" si="101"/>
        <v>0.57521047808299841</v>
      </c>
      <c r="BL599" s="29">
        <v>0</v>
      </c>
      <c r="BN599" s="22">
        <v>45144</v>
      </c>
      <c r="BO599" s="26">
        <f t="shared" ca="1" si="102"/>
        <v>0.1299908663188668</v>
      </c>
      <c r="BP599" s="29">
        <v>0</v>
      </c>
      <c r="BR599" s="22">
        <v>45144</v>
      </c>
      <c r="BS599" s="26">
        <f t="shared" ca="1" si="103"/>
        <v>0.13043144870322909</v>
      </c>
      <c r="BT599" s="29">
        <v>0</v>
      </c>
      <c r="BV599" s="22">
        <v>45144</v>
      </c>
      <c r="BW599" s="26">
        <f t="shared" ca="1" si="104"/>
        <v>0.78871682452864644</v>
      </c>
      <c r="BX599" s="29">
        <v>0</v>
      </c>
    </row>
    <row r="600" spans="2:77" ht="12.75" x14ac:dyDescent="0.2">
      <c r="B600" s="22">
        <v>45145</v>
      </c>
      <c r="C600" s="26">
        <f t="shared" ca="1" si="68"/>
        <v>0.84513702532232526</v>
      </c>
      <c r="D600" s="29">
        <v>0</v>
      </c>
      <c r="F600" s="22">
        <v>45145</v>
      </c>
      <c r="G600" s="26">
        <f t="shared" ca="1" si="88"/>
        <v>0.7093078985536635</v>
      </c>
      <c r="H600" s="29">
        <v>0</v>
      </c>
      <c r="J600" s="22">
        <v>45145</v>
      </c>
      <c r="K600" s="26">
        <f t="shared" ca="1" si="89"/>
        <v>0.32995184259022192</v>
      </c>
      <c r="L600" s="29">
        <v>0</v>
      </c>
      <c r="N600" s="22">
        <v>45145</v>
      </c>
      <c r="O600" s="26">
        <f t="shared" ca="1" si="90"/>
        <v>0.65586343272488656</v>
      </c>
      <c r="P600" s="29">
        <v>0</v>
      </c>
      <c r="R600" s="22">
        <v>45145</v>
      </c>
      <c r="S600" s="26">
        <f t="shared" ca="1" si="91"/>
        <v>0.44493133165729659</v>
      </c>
      <c r="T600" s="29">
        <v>0</v>
      </c>
      <c r="V600" s="22">
        <v>45145</v>
      </c>
      <c r="W600" s="26">
        <f t="shared" ca="1" si="92"/>
        <v>0.16473029146728724</v>
      </c>
      <c r="X600" s="29">
        <v>0</v>
      </c>
      <c r="Z600" s="22">
        <v>45145</v>
      </c>
      <c r="AA600" s="26">
        <f t="shared" ca="1" si="93"/>
        <v>0.20015730021504408</v>
      </c>
      <c r="AB600" s="29">
        <v>0</v>
      </c>
      <c r="AC600"/>
      <c r="AD600" s="25"/>
      <c r="AF600" s="22">
        <v>45145</v>
      </c>
      <c r="AG600" s="26">
        <f t="shared" ca="1" si="94"/>
        <v>0.24105681005714286</v>
      </c>
      <c r="AH600" s="29">
        <v>0</v>
      </c>
      <c r="AJ600" s="22">
        <v>45145</v>
      </c>
      <c r="AK600" s="26">
        <f t="shared" ca="1" si="95"/>
        <v>0.36093147537202164</v>
      </c>
      <c r="AL600" s="29">
        <v>0</v>
      </c>
      <c r="AN600" s="22">
        <v>45145</v>
      </c>
      <c r="AO600" s="26">
        <f t="shared" ca="1" si="96"/>
        <v>0.53425241421782588</v>
      </c>
      <c r="AP600" s="29">
        <v>0</v>
      </c>
      <c r="AR600" s="22">
        <v>45145</v>
      </c>
      <c r="AS600" s="26">
        <f t="shared" ca="1" si="97"/>
        <v>0.27437541473691596</v>
      </c>
      <c r="AT600" s="29">
        <v>0</v>
      </c>
      <c r="AV600" s="22">
        <v>45145</v>
      </c>
      <c r="AW600" s="26">
        <f t="shared" ca="1" si="98"/>
        <v>0.78554088856510329</v>
      </c>
      <c r="AX600" s="29">
        <v>0</v>
      </c>
      <c r="AZ600" s="22">
        <v>45145</v>
      </c>
      <c r="BA600" s="26">
        <f t="shared" ca="1" si="99"/>
        <v>0.60650817801679846</v>
      </c>
      <c r="BB600" s="29">
        <v>0</v>
      </c>
      <c r="BC600"/>
      <c r="BD600" s="25"/>
      <c r="BF600" s="22">
        <v>45145</v>
      </c>
      <c r="BG600" s="26">
        <f t="shared" ca="1" si="100"/>
        <v>0.76079475872195446</v>
      </c>
      <c r="BH600" s="29">
        <v>0</v>
      </c>
      <c r="BJ600" s="22">
        <v>45145</v>
      </c>
      <c r="BK600" s="26">
        <f t="shared" ca="1" si="101"/>
        <v>0.33665083452656719</v>
      </c>
      <c r="BL600" s="29">
        <v>0</v>
      </c>
      <c r="BN600" s="22">
        <v>45145</v>
      </c>
      <c r="BO600" s="26">
        <f t="shared" ca="1" si="102"/>
        <v>0.24507155604668496</v>
      </c>
      <c r="BP600" s="29">
        <v>0</v>
      </c>
      <c r="BR600" s="22">
        <v>45145</v>
      </c>
      <c r="BS600" s="26">
        <f t="shared" ca="1" si="103"/>
        <v>0.27973474396564357</v>
      </c>
      <c r="BT600" s="29">
        <v>0</v>
      </c>
      <c r="BV600" s="22">
        <v>45145</v>
      </c>
      <c r="BW600" s="26">
        <f t="shared" ca="1" si="104"/>
        <v>0.55498189990127311</v>
      </c>
      <c r="BX600" s="29">
        <v>0</v>
      </c>
    </row>
    <row r="601" spans="2:77" ht="12.75" x14ac:dyDescent="0.2">
      <c r="B601" s="22">
        <v>45146</v>
      </c>
      <c r="C601" s="26">
        <f t="shared" ca="1" si="68"/>
        <v>0.44748099749643644</v>
      </c>
      <c r="D601" s="29">
        <v>0</v>
      </c>
      <c r="F601" s="22">
        <v>45146</v>
      </c>
      <c r="G601" s="26">
        <f t="shared" ca="1" si="88"/>
        <v>0.15171201417676328</v>
      </c>
      <c r="H601" s="29">
        <v>0</v>
      </c>
      <c r="J601" s="22">
        <v>45146</v>
      </c>
      <c r="K601" s="26">
        <f t="shared" ca="1" si="89"/>
        <v>0.79558648069218163</v>
      </c>
      <c r="L601" s="29">
        <v>0</v>
      </c>
      <c r="N601" s="22">
        <v>45146</v>
      </c>
      <c r="O601" s="26">
        <f t="shared" ca="1" si="90"/>
        <v>0.44166566074479707</v>
      </c>
      <c r="P601" s="29">
        <v>0</v>
      </c>
      <c r="R601" s="22">
        <v>45146</v>
      </c>
      <c r="S601" s="26">
        <f t="shared" ca="1" si="91"/>
        <v>0.17657009277049407</v>
      </c>
      <c r="T601" s="29">
        <v>0</v>
      </c>
      <c r="V601" s="22">
        <v>45146</v>
      </c>
      <c r="W601" s="26">
        <f t="shared" ca="1" si="92"/>
        <v>0.21039052273661896</v>
      </c>
      <c r="X601" s="29">
        <v>0</v>
      </c>
      <c r="Z601" s="22">
        <v>45146</v>
      </c>
      <c r="AA601" s="26">
        <f t="shared" ca="1" si="93"/>
        <v>0.12187472713105485</v>
      </c>
      <c r="AB601" s="29">
        <v>0</v>
      </c>
      <c r="AC601"/>
      <c r="AD601" s="25"/>
      <c r="AF601" s="22">
        <v>45146</v>
      </c>
      <c r="AG601" s="26">
        <f t="shared" ca="1" si="94"/>
        <v>0.31738080780978251</v>
      </c>
      <c r="AH601" s="29">
        <v>0</v>
      </c>
      <c r="AJ601" s="22">
        <v>45146</v>
      </c>
      <c r="AK601" s="26">
        <f t="shared" ca="1" si="95"/>
        <v>0.91420933524765913</v>
      </c>
      <c r="AL601" s="29">
        <v>0</v>
      </c>
      <c r="AN601" s="22">
        <v>45146</v>
      </c>
      <c r="AO601" s="26">
        <f t="shared" ca="1" si="96"/>
        <v>0.83810864996453094</v>
      </c>
      <c r="AP601" s="29">
        <v>0</v>
      </c>
      <c r="AR601" s="22">
        <v>45146</v>
      </c>
      <c r="AS601" s="26">
        <f t="shared" ca="1" si="97"/>
        <v>0.63084684921699785</v>
      </c>
      <c r="AT601" s="29">
        <v>0</v>
      </c>
      <c r="AV601" s="22">
        <v>45146</v>
      </c>
      <c r="AW601" s="26">
        <f t="shared" ca="1" si="98"/>
        <v>0.63911173396108922</v>
      </c>
      <c r="AX601" s="29">
        <v>0</v>
      </c>
      <c r="AZ601" s="22">
        <v>45146</v>
      </c>
      <c r="BA601" s="26">
        <f t="shared" ca="1" si="99"/>
        <v>0.36068925443888045</v>
      </c>
      <c r="BB601" s="29">
        <v>0</v>
      </c>
      <c r="BC601"/>
      <c r="BD601" s="25"/>
      <c r="BF601" s="22">
        <v>45146</v>
      </c>
      <c r="BG601" s="26">
        <f t="shared" ca="1" si="100"/>
        <v>0.17844791685889483</v>
      </c>
      <c r="BH601" s="29">
        <v>0</v>
      </c>
      <c r="BJ601" s="22">
        <v>45146</v>
      </c>
      <c r="BK601" s="26">
        <f t="shared" ca="1" si="101"/>
        <v>0.17491458257950399</v>
      </c>
      <c r="BL601" s="29">
        <v>0</v>
      </c>
      <c r="BN601" s="22">
        <v>45146</v>
      </c>
      <c r="BO601" s="26">
        <f t="shared" ca="1" si="102"/>
        <v>0.59614792988332976</v>
      </c>
      <c r="BP601" s="29">
        <v>0</v>
      </c>
      <c r="BR601" s="22">
        <v>45146</v>
      </c>
      <c r="BS601" s="26">
        <f t="shared" ca="1" si="103"/>
        <v>0.72559623120629624</v>
      </c>
      <c r="BT601" s="29">
        <v>0</v>
      </c>
      <c r="BV601" s="22">
        <v>45146</v>
      </c>
      <c r="BW601" s="26">
        <f t="shared" ca="1" si="104"/>
        <v>0.78934324210514684</v>
      </c>
      <c r="BX601" s="29">
        <v>0</v>
      </c>
    </row>
    <row r="602" spans="2:77" ht="12.75" x14ac:dyDescent="0.2">
      <c r="B602" s="22">
        <v>45147</v>
      </c>
      <c r="C602" s="26">
        <f t="shared" ca="1" si="68"/>
        <v>0.40000486317565742</v>
      </c>
      <c r="D602" s="29">
        <v>0</v>
      </c>
      <c r="F602" s="22">
        <v>45147</v>
      </c>
      <c r="G602" s="26">
        <f t="shared" ca="1" si="88"/>
        <v>0.92834126897135394</v>
      </c>
      <c r="H602" s="29">
        <v>0</v>
      </c>
      <c r="J602" s="22">
        <v>45147</v>
      </c>
      <c r="K602" s="26">
        <f t="shared" ca="1" si="89"/>
        <v>0.82846327994140923</v>
      </c>
      <c r="L602" s="29">
        <v>0</v>
      </c>
      <c r="N602" s="22">
        <v>45147</v>
      </c>
      <c r="O602" s="26">
        <f t="shared" ca="1" si="90"/>
        <v>0.65041906819687689</v>
      </c>
      <c r="P602" s="29">
        <v>0</v>
      </c>
      <c r="R602" s="22">
        <v>45147</v>
      </c>
      <c r="S602" s="26">
        <f t="shared" ca="1" si="91"/>
        <v>0.70601009017901706</v>
      </c>
      <c r="T602" s="29">
        <v>0</v>
      </c>
      <c r="V602" s="22">
        <v>45147</v>
      </c>
      <c r="W602" s="26">
        <f t="shared" ca="1" si="92"/>
        <v>0.4552670551993393</v>
      </c>
      <c r="X602" s="29">
        <v>0</v>
      </c>
      <c r="Z602" s="22">
        <v>45147</v>
      </c>
      <c r="AA602" s="26">
        <f t="shared" ca="1" si="93"/>
        <v>0.99806834511809461</v>
      </c>
      <c r="AB602" s="29">
        <v>0</v>
      </c>
      <c r="AC602"/>
      <c r="AD602" s="25"/>
      <c r="AF602" s="22">
        <v>45147</v>
      </c>
      <c r="AG602" s="26">
        <f t="shared" ca="1" si="94"/>
        <v>0.31230403939364149</v>
      </c>
      <c r="AH602" s="29">
        <v>0</v>
      </c>
      <c r="AJ602" s="22">
        <v>45147</v>
      </c>
      <c r="AK602" s="26">
        <f t="shared" ca="1" si="95"/>
        <v>0.13395728144753116</v>
      </c>
      <c r="AL602" s="29">
        <v>0</v>
      </c>
      <c r="AN602" s="22">
        <v>45147</v>
      </c>
      <c r="AO602" s="26">
        <f t="shared" ca="1" si="96"/>
        <v>0.11958314284457716</v>
      </c>
      <c r="AP602" s="29">
        <v>0</v>
      </c>
      <c r="AR602" s="22">
        <v>45147</v>
      </c>
      <c r="AS602" s="26">
        <f t="shared" ca="1" si="97"/>
        <v>0.1296571681512777</v>
      </c>
      <c r="AT602" s="29">
        <v>0</v>
      </c>
      <c r="AV602" s="22">
        <v>45147</v>
      </c>
      <c r="AW602" s="26">
        <f t="shared" ca="1" si="98"/>
        <v>0.31677865120260751</v>
      </c>
      <c r="AX602" s="29">
        <v>0</v>
      </c>
      <c r="AZ602" s="22">
        <v>45147</v>
      </c>
      <c r="BA602" s="26">
        <f t="shared" ca="1" si="99"/>
        <v>0.38214991936981924</v>
      </c>
      <c r="BB602" s="29">
        <v>0</v>
      </c>
      <c r="BC602"/>
      <c r="BD602" s="25"/>
      <c r="BF602" s="22">
        <v>45147</v>
      </c>
      <c r="BG602" s="26">
        <f t="shared" ca="1" si="100"/>
        <v>0.72159091824753008</v>
      </c>
      <c r="BH602" s="29">
        <v>0</v>
      </c>
      <c r="BJ602" s="22">
        <v>45147</v>
      </c>
      <c r="BK602" s="26">
        <f t="shared" ca="1" si="101"/>
        <v>0.21132106911057924</v>
      </c>
      <c r="BL602" s="29">
        <v>0</v>
      </c>
      <c r="BN602" s="22">
        <v>45147</v>
      </c>
      <c r="BO602" s="26">
        <f t="shared" ca="1" si="102"/>
        <v>0.99606610941752416</v>
      </c>
      <c r="BP602" s="29">
        <v>0</v>
      </c>
      <c r="BR602" s="22">
        <v>45147</v>
      </c>
      <c r="BS602" s="26">
        <f t="shared" ca="1" si="103"/>
        <v>0.80169346680801479</v>
      </c>
      <c r="BT602" s="29">
        <v>0</v>
      </c>
      <c r="BV602" s="22">
        <v>45147</v>
      </c>
      <c r="BW602" s="26">
        <f t="shared" ca="1" si="104"/>
        <v>0.56203035538202029</v>
      </c>
      <c r="BX602" s="29">
        <v>0</v>
      </c>
    </row>
    <row r="603" spans="2:77" ht="12.75" x14ac:dyDescent="0.2">
      <c r="B603" s="22">
        <v>45148</v>
      </c>
      <c r="C603" s="26">
        <f t="shared" ca="1" si="68"/>
        <v>0.70017036482581563</v>
      </c>
      <c r="D603" s="29">
        <v>0</v>
      </c>
      <c r="F603" s="22">
        <v>45148</v>
      </c>
      <c r="G603" s="26">
        <f t="shared" ca="1" si="88"/>
        <v>0.38408349210678683</v>
      </c>
      <c r="H603" s="29">
        <v>0</v>
      </c>
      <c r="J603" s="22">
        <v>45148</v>
      </c>
      <c r="K603" s="26">
        <f t="shared" ca="1" si="89"/>
        <v>0.89240446847507149</v>
      </c>
      <c r="L603" s="29">
        <v>0</v>
      </c>
      <c r="N603" s="22">
        <v>45148</v>
      </c>
      <c r="O603" s="26">
        <f t="shared" ca="1" si="90"/>
        <v>0.18128367786487831</v>
      </c>
      <c r="P603" s="29">
        <v>0</v>
      </c>
      <c r="R603" s="22">
        <v>45148</v>
      </c>
      <c r="S603" s="26">
        <f t="shared" ca="1" si="91"/>
        <v>0.98716391574067841</v>
      </c>
      <c r="T603" s="29">
        <v>0</v>
      </c>
      <c r="V603" s="22">
        <v>45148</v>
      </c>
      <c r="W603" s="26">
        <f t="shared" ca="1" si="92"/>
        <v>3.9214625556321936E-2</v>
      </c>
      <c r="X603" s="29">
        <v>0</v>
      </c>
      <c r="Z603" s="22">
        <v>45148</v>
      </c>
      <c r="AA603" s="26">
        <f t="shared" ca="1" si="93"/>
        <v>0.32866434505680697</v>
      </c>
      <c r="AB603" s="29">
        <v>0</v>
      </c>
      <c r="AC603"/>
      <c r="AD603" s="25"/>
      <c r="AF603" s="22">
        <v>45148</v>
      </c>
      <c r="AG603" s="26">
        <f t="shared" ca="1" si="94"/>
        <v>0.62586969631274592</v>
      </c>
      <c r="AH603" s="29">
        <v>0</v>
      </c>
      <c r="AJ603" s="22">
        <v>45148</v>
      </c>
      <c r="AK603" s="26">
        <f t="shared" ca="1" si="95"/>
        <v>0.96205118978711968</v>
      </c>
      <c r="AL603" s="29">
        <v>0</v>
      </c>
      <c r="AN603" s="22">
        <v>45148</v>
      </c>
      <c r="AO603" s="26">
        <f t="shared" ca="1" si="96"/>
        <v>0.96201281781577919</v>
      </c>
      <c r="AP603" s="29">
        <v>0</v>
      </c>
      <c r="AR603" s="22">
        <v>45148</v>
      </c>
      <c r="AS603" s="26">
        <f t="shared" ca="1" si="97"/>
        <v>0.74193026329124512</v>
      </c>
      <c r="AT603" s="29">
        <v>0</v>
      </c>
      <c r="AV603" s="22">
        <v>45148</v>
      </c>
      <c r="AW603" s="26">
        <f t="shared" ca="1" si="98"/>
        <v>0.13928170929223038</v>
      </c>
      <c r="AX603" s="29">
        <v>0</v>
      </c>
      <c r="AZ603" s="22">
        <v>45148</v>
      </c>
      <c r="BA603" s="26">
        <f t="shared" ca="1" si="99"/>
        <v>0.1310977948422013</v>
      </c>
      <c r="BB603" s="29">
        <v>0</v>
      </c>
      <c r="BC603"/>
      <c r="BD603" s="25"/>
      <c r="BF603" s="22">
        <v>45148</v>
      </c>
      <c r="BG603" s="26">
        <f t="shared" ca="1" si="100"/>
        <v>0.49248409982812846</v>
      </c>
      <c r="BH603" s="29">
        <v>0</v>
      </c>
      <c r="BJ603" s="22">
        <v>45148</v>
      </c>
      <c r="BK603" s="26">
        <f t="shared" ca="1" si="101"/>
        <v>0.98714401364090543</v>
      </c>
      <c r="BL603" s="29">
        <v>0</v>
      </c>
      <c r="BN603" s="22">
        <v>45148</v>
      </c>
      <c r="BO603" s="26">
        <f t="shared" ca="1" si="102"/>
        <v>0.91878649113703048</v>
      </c>
      <c r="BP603" s="29">
        <v>0</v>
      </c>
      <c r="BR603" s="22">
        <v>45148</v>
      </c>
      <c r="BS603" s="26">
        <f t="shared" ca="1" si="103"/>
        <v>2.9245611230179769E-3</v>
      </c>
      <c r="BT603" s="29">
        <v>0</v>
      </c>
      <c r="BV603" s="22">
        <v>45148</v>
      </c>
      <c r="BW603" s="26">
        <f t="shared" ca="1" si="104"/>
        <v>4.5433110619853556E-3</v>
      </c>
      <c r="BX603" s="29">
        <v>0</v>
      </c>
    </row>
    <row r="604" spans="2:77" ht="12.75" x14ac:dyDescent="0.2">
      <c r="B604" s="22">
        <v>45149</v>
      </c>
      <c r="C604" s="26">
        <f t="shared" ca="1" si="68"/>
        <v>0.32261749510205484</v>
      </c>
      <c r="D604" s="29">
        <v>0</v>
      </c>
      <c r="F604" s="22">
        <v>45149</v>
      </c>
      <c r="G604" s="26">
        <f t="shared" ca="1" si="88"/>
        <v>0.86062617551617238</v>
      </c>
      <c r="H604" s="29">
        <v>0</v>
      </c>
      <c r="J604" s="22">
        <v>45149</v>
      </c>
      <c r="K604" s="26">
        <f t="shared" ca="1" si="89"/>
        <v>0.46928206543921092</v>
      </c>
      <c r="L604" s="29">
        <v>0</v>
      </c>
      <c r="N604" s="22">
        <v>45149</v>
      </c>
      <c r="O604" s="26">
        <f t="shared" ca="1" si="90"/>
        <v>0.85898731109263615</v>
      </c>
      <c r="P604" s="29">
        <v>0</v>
      </c>
      <c r="R604" s="22">
        <v>45149</v>
      </c>
      <c r="S604" s="26">
        <f t="shared" ca="1" si="91"/>
        <v>1.6465218426661488E-2</v>
      </c>
      <c r="T604" s="29">
        <v>0</v>
      </c>
      <c r="V604" s="22">
        <v>45149</v>
      </c>
      <c r="W604" s="26">
        <f t="shared" ca="1" si="92"/>
        <v>4.3653354935543898E-2</v>
      </c>
      <c r="X604" s="29">
        <v>0</v>
      </c>
      <c r="Z604" s="22">
        <v>45149</v>
      </c>
      <c r="AA604" s="26">
        <f t="shared" ca="1" si="93"/>
        <v>4.5372639072928211E-2</v>
      </c>
      <c r="AB604" s="29">
        <v>0</v>
      </c>
      <c r="AC604"/>
      <c r="AD604" s="25"/>
      <c r="AF604" s="22">
        <v>45149</v>
      </c>
      <c r="AG604" s="26">
        <f t="shared" ca="1" si="94"/>
        <v>0.93935412108361871</v>
      </c>
      <c r="AH604" s="29">
        <v>0</v>
      </c>
      <c r="AJ604" s="22">
        <v>45149</v>
      </c>
      <c r="AK604" s="26">
        <f t="shared" ca="1" si="95"/>
        <v>0.90898758051604633</v>
      </c>
      <c r="AL604" s="29">
        <v>0</v>
      </c>
      <c r="AN604" s="22">
        <v>45149</v>
      </c>
      <c r="AO604" s="26">
        <f t="shared" ca="1" si="96"/>
        <v>0.66709444710523136</v>
      </c>
      <c r="AP604" s="29">
        <v>0</v>
      </c>
      <c r="AR604" s="22">
        <v>45149</v>
      </c>
      <c r="AS604" s="26">
        <f t="shared" ca="1" si="97"/>
        <v>0.53461109929044481</v>
      </c>
      <c r="AT604" s="29">
        <v>0</v>
      </c>
      <c r="AV604" s="22">
        <v>45149</v>
      </c>
      <c r="AW604" s="26">
        <f t="shared" ca="1" si="98"/>
        <v>0.25870185005660351</v>
      </c>
      <c r="AX604" s="29">
        <v>0</v>
      </c>
      <c r="AZ604" s="22">
        <v>45149</v>
      </c>
      <c r="BA604" s="26">
        <f t="shared" ca="1" si="99"/>
        <v>0.45806327050204987</v>
      </c>
      <c r="BB604" s="29">
        <v>0</v>
      </c>
      <c r="BC604"/>
      <c r="BD604" s="25"/>
      <c r="BF604" s="22">
        <v>45149</v>
      </c>
      <c r="BG604" s="26">
        <f t="shared" ca="1" si="100"/>
        <v>0.43642856023979537</v>
      </c>
      <c r="BH604" s="29">
        <v>0</v>
      </c>
      <c r="BJ604" s="22">
        <v>45149</v>
      </c>
      <c r="BK604" s="26">
        <f t="shared" ca="1" si="101"/>
        <v>0.44849295146022206</v>
      </c>
      <c r="BL604" s="29">
        <v>0</v>
      </c>
      <c r="BN604" s="22">
        <v>45149</v>
      </c>
      <c r="BO604" s="26">
        <f t="shared" ca="1" si="102"/>
        <v>0.23358128974687664</v>
      </c>
      <c r="BP604" s="29">
        <v>0</v>
      </c>
      <c r="BR604" s="22">
        <v>45149</v>
      </c>
      <c r="BS604" s="26">
        <f t="shared" ca="1" si="103"/>
        <v>0.21856189738314513</v>
      </c>
      <c r="BT604" s="29">
        <v>0</v>
      </c>
      <c r="BV604" s="22">
        <v>45149</v>
      </c>
      <c r="BW604" s="26">
        <f t="shared" ca="1" si="104"/>
        <v>0.14796620436729635</v>
      </c>
      <c r="BX604" s="29">
        <v>0</v>
      </c>
    </row>
    <row r="605" spans="2:77" ht="12.75" x14ac:dyDescent="0.2">
      <c r="B605" s="22">
        <v>45150</v>
      </c>
      <c r="C605" s="26">
        <f t="shared" ca="1" si="68"/>
        <v>0.42324858824179312</v>
      </c>
      <c r="D605" s="29">
        <v>0</v>
      </c>
      <c r="F605" s="22">
        <v>45150</v>
      </c>
      <c r="G605" s="26">
        <f t="shared" ca="1" si="88"/>
        <v>0.75429613261829875</v>
      </c>
      <c r="H605" s="29">
        <v>0</v>
      </c>
      <c r="J605" s="22">
        <v>45150</v>
      </c>
      <c r="K605" s="26">
        <f t="shared" ca="1" si="89"/>
        <v>0.1965238281853553</v>
      </c>
      <c r="L605" s="29">
        <v>0</v>
      </c>
      <c r="N605" s="22">
        <v>45150</v>
      </c>
      <c r="O605" s="26">
        <f t="shared" ca="1" si="90"/>
        <v>0.34617896278368443</v>
      </c>
      <c r="P605" s="29">
        <v>0</v>
      </c>
      <c r="R605" s="22">
        <v>45150</v>
      </c>
      <c r="S605" s="26">
        <f t="shared" ca="1" si="91"/>
        <v>0.9683889801611717</v>
      </c>
      <c r="T605" s="29">
        <v>0</v>
      </c>
      <c r="V605" s="22">
        <v>45150</v>
      </c>
      <c r="W605" s="26">
        <f t="shared" ca="1" si="92"/>
        <v>7.676673550088009E-2</v>
      </c>
      <c r="X605" s="29">
        <v>0</v>
      </c>
      <c r="Z605" s="22">
        <v>45150</v>
      </c>
      <c r="AA605" s="26">
        <f t="shared" ca="1" si="93"/>
        <v>0.66512273679705658</v>
      </c>
      <c r="AB605" s="29">
        <v>0</v>
      </c>
      <c r="AC605"/>
      <c r="AD605" s="25"/>
      <c r="AF605" s="22">
        <v>45150</v>
      </c>
      <c r="AG605" s="26">
        <f t="shared" ca="1" si="94"/>
        <v>0.6372146389903125</v>
      </c>
      <c r="AH605" s="29">
        <v>0</v>
      </c>
      <c r="AJ605" s="22">
        <v>45150</v>
      </c>
      <c r="AK605" s="26">
        <f t="shared" ca="1" si="95"/>
        <v>0.6613135886901782</v>
      </c>
      <c r="AL605" s="29">
        <v>0</v>
      </c>
      <c r="AN605" s="22">
        <v>45150</v>
      </c>
      <c r="AO605" s="26">
        <f t="shared" ca="1" si="96"/>
        <v>0.67402936551530224</v>
      </c>
      <c r="AP605" s="29">
        <v>0</v>
      </c>
      <c r="AR605" s="22">
        <v>45150</v>
      </c>
      <c r="AS605" s="26">
        <f t="shared" ca="1" si="97"/>
        <v>0.12459310349444119</v>
      </c>
      <c r="AT605" s="29">
        <v>0</v>
      </c>
      <c r="AV605" s="22">
        <v>45150</v>
      </c>
      <c r="AW605" s="26">
        <f t="shared" ca="1" si="98"/>
        <v>0.95005776074848058</v>
      </c>
      <c r="AX605" s="29">
        <v>0</v>
      </c>
      <c r="AZ605" s="22">
        <v>45150</v>
      </c>
      <c r="BA605" s="26">
        <f t="shared" ca="1" si="99"/>
        <v>0.38874662420183426</v>
      </c>
      <c r="BB605" s="29">
        <v>0</v>
      </c>
      <c r="BC605"/>
      <c r="BD605" s="25"/>
      <c r="BF605" s="22">
        <v>45150</v>
      </c>
      <c r="BG605" s="26">
        <f t="shared" ca="1" si="100"/>
        <v>0.62345817785314495</v>
      </c>
      <c r="BH605" s="29">
        <v>0</v>
      </c>
      <c r="BJ605" s="22">
        <v>45150</v>
      </c>
      <c r="BK605" s="26">
        <f t="shared" ca="1" si="101"/>
        <v>0.46739290543198764</v>
      </c>
      <c r="BL605" s="29">
        <v>0</v>
      </c>
      <c r="BN605" s="22">
        <v>45150</v>
      </c>
      <c r="BO605" s="26">
        <f t="shared" ca="1" si="102"/>
        <v>0.29954057919892041</v>
      </c>
      <c r="BP605" s="29">
        <v>0</v>
      </c>
      <c r="BR605" s="22">
        <v>45150</v>
      </c>
      <c r="BS605" s="26">
        <f t="shared" ca="1" si="103"/>
        <v>0.10048073376893207</v>
      </c>
      <c r="BT605" s="29">
        <v>0</v>
      </c>
      <c r="BV605" s="22">
        <v>45150</v>
      </c>
      <c r="BW605" s="26">
        <f t="shared" ca="1" si="104"/>
        <v>0.22982945580378977</v>
      </c>
      <c r="BX605" s="29">
        <v>0</v>
      </c>
    </row>
    <row r="606" spans="2:77" ht="12.75" x14ac:dyDescent="0.2">
      <c r="B606" s="22">
        <v>45151</v>
      </c>
      <c r="C606" s="26">
        <f t="shared" ca="1" si="68"/>
        <v>0.98708901107389435</v>
      </c>
      <c r="D606" s="29">
        <v>0</v>
      </c>
      <c r="F606" s="22">
        <v>45151</v>
      </c>
      <c r="G606" s="26">
        <f t="shared" ca="1" si="88"/>
        <v>0.9432886525503833</v>
      </c>
      <c r="H606" s="29">
        <v>0</v>
      </c>
      <c r="J606" s="22">
        <v>45151</v>
      </c>
      <c r="K606" s="26">
        <f t="shared" ca="1" si="89"/>
        <v>0.65294594577743581</v>
      </c>
      <c r="L606" s="29">
        <v>0</v>
      </c>
      <c r="N606" s="22">
        <v>45151</v>
      </c>
      <c r="O606" s="26">
        <f t="shared" ca="1" si="90"/>
        <v>0.13227103278729513</v>
      </c>
      <c r="P606" s="29">
        <v>0</v>
      </c>
      <c r="R606" s="22">
        <v>45151</v>
      </c>
      <c r="S606" s="26">
        <f t="shared" ca="1" si="91"/>
        <v>8.3924136065429145E-2</v>
      </c>
      <c r="T606" s="29">
        <v>0</v>
      </c>
      <c r="V606" s="22">
        <v>45151</v>
      </c>
      <c r="W606" s="26">
        <f t="shared" ca="1" si="92"/>
        <v>0.44709476332136799</v>
      </c>
      <c r="X606" s="29">
        <v>0</v>
      </c>
      <c r="Z606" s="22">
        <v>45151</v>
      </c>
      <c r="AA606" s="26">
        <f t="shared" ca="1" si="93"/>
        <v>0.14599590280613273</v>
      </c>
      <c r="AB606" s="29">
        <v>0</v>
      </c>
      <c r="AC606"/>
      <c r="AD606" s="25"/>
      <c r="AF606" s="22">
        <v>45151</v>
      </c>
      <c r="AG606" s="26">
        <f t="shared" ca="1" si="94"/>
        <v>0.27161985108141817</v>
      </c>
      <c r="AH606" s="29">
        <v>0</v>
      </c>
      <c r="AJ606" s="22">
        <v>45151</v>
      </c>
      <c r="AK606" s="26">
        <f t="shared" ca="1" si="95"/>
        <v>5.6068491812785504E-2</v>
      </c>
      <c r="AL606" s="29">
        <v>0</v>
      </c>
      <c r="AN606" s="22">
        <v>45151</v>
      </c>
      <c r="AO606" s="26">
        <f t="shared" ca="1" si="96"/>
        <v>0.10199273235271911</v>
      </c>
      <c r="AP606" s="29">
        <v>0</v>
      </c>
      <c r="AR606" s="22">
        <v>45151</v>
      </c>
      <c r="AS606" s="26">
        <f t="shared" ca="1" si="97"/>
        <v>5.9992208268021319E-2</v>
      </c>
      <c r="AT606" s="29">
        <v>0</v>
      </c>
      <c r="AV606" s="22">
        <v>45151</v>
      </c>
      <c r="AW606" s="26">
        <f t="shared" ca="1" si="98"/>
        <v>0.19852050357756701</v>
      </c>
      <c r="AX606" s="29">
        <v>0</v>
      </c>
      <c r="AZ606" s="22">
        <v>45151</v>
      </c>
      <c r="BA606" s="26">
        <f t="shared" ca="1" si="99"/>
        <v>0.34400846446346156</v>
      </c>
      <c r="BB606" s="29">
        <v>0</v>
      </c>
      <c r="BC606"/>
      <c r="BD606" s="25"/>
      <c r="BF606" s="22">
        <v>45151</v>
      </c>
      <c r="BG606" s="26">
        <f t="shared" ca="1" si="100"/>
        <v>0.52674843302906471</v>
      </c>
      <c r="BH606" s="29">
        <v>0</v>
      </c>
      <c r="BJ606" s="22">
        <v>45151</v>
      </c>
      <c r="BK606" s="26">
        <f t="shared" ca="1" si="101"/>
        <v>0.19853375108163562</v>
      </c>
      <c r="BL606" s="29">
        <v>0</v>
      </c>
      <c r="BN606" s="22">
        <v>45151</v>
      </c>
      <c r="BO606" s="26">
        <f t="shared" ca="1" si="102"/>
        <v>0.41031424580889364</v>
      </c>
      <c r="BP606" s="29">
        <v>0</v>
      </c>
      <c r="BR606" s="22">
        <v>45151</v>
      </c>
      <c r="BS606" s="26">
        <f t="shared" ca="1" si="103"/>
        <v>0.11394737296699986</v>
      </c>
      <c r="BT606" s="29">
        <v>0</v>
      </c>
      <c r="BV606" s="22">
        <v>45151</v>
      </c>
      <c r="BW606" s="26">
        <f t="shared" ca="1" si="104"/>
        <v>0.15448149085004204</v>
      </c>
      <c r="BX606" s="29">
        <v>0</v>
      </c>
    </row>
    <row r="607" spans="2:77" ht="12.75" x14ac:dyDescent="0.2">
      <c r="B607" s="22">
        <v>45152</v>
      </c>
      <c r="C607" s="26">
        <f t="shared" ca="1" si="68"/>
        <v>0.62769964472840556</v>
      </c>
      <c r="D607" s="29">
        <v>0</v>
      </c>
      <c r="F607" s="22">
        <v>45152</v>
      </c>
      <c r="G607" s="26">
        <f t="shared" ca="1" si="88"/>
        <v>0.84800274788767926</v>
      </c>
      <c r="H607" s="29">
        <v>0</v>
      </c>
      <c r="J607" s="22">
        <v>45152</v>
      </c>
      <c r="K607" s="26">
        <f t="shared" ca="1" si="89"/>
        <v>0.83836125578964671</v>
      </c>
      <c r="L607" s="29">
        <v>0</v>
      </c>
      <c r="N607" s="22">
        <v>45152</v>
      </c>
      <c r="O607" s="26">
        <f t="shared" ca="1" si="90"/>
        <v>0.22911380786582147</v>
      </c>
      <c r="P607" s="29">
        <v>0</v>
      </c>
      <c r="R607" s="22">
        <v>45152</v>
      </c>
      <c r="S607" s="26">
        <f t="shared" ca="1" si="91"/>
        <v>0.94734091808355614</v>
      </c>
      <c r="T607" s="29">
        <v>0</v>
      </c>
      <c r="V607" s="22">
        <v>45152</v>
      </c>
      <c r="W607" s="26">
        <f t="shared" ca="1" si="92"/>
        <v>0.31538441479283119</v>
      </c>
      <c r="X607" s="29">
        <v>0</v>
      </c>
      <c r="Z607" s="22">
        <v>45152</v>
      </c>
      <c r="AA607" s="26">
        <f t="shared" ca="1" si="93"/>
        <v>3.4841305458955252E-2</v>
      </c>
      <c r="AB607" s="29">
        <v>0</v>
      </c>
      <c r="AC607"/>
      <c r="AD607" s="25"/>
      <c r="AF607" s="22">
        <v>45152</v>
      </c>
      <c r="AG607" s="26">
        <f t="shared" ca="1" si="94"/>
        <v>0.91971669589329941</v>
      </c>
      <c r="AH607" s="29">
        <v>0</v>
      </c>
      <c r="AJ607" s="22">
        <v>45152</v>
      </c>
      <c r="AK607" s="26">
        <f t="shared" ca="1" si="95"/>
        <v>6.7734239635190319E-2</v>
      </c>
      <c r="AL607" s="29">
        <v>0</v>
      </c>
      <c r="AN607" s="22">
        <v>45152</v>
      </c>
      <c r="AO607" s="26">
        <f t="shared" ca="1" si="96"/>
        <v>0.1352167321887725</v>
      </c>
      <c r="AP607" s="29">
        <v>0</v>
      </c>
      <c r="AR607" s="22">
        <v>45152</v>
      </c>
      <c r="AS607" s="26">
        <f t="shared" ca="1" si="97"/>
        <v>0.88039289879648464</v>
      </c>
      <c r="AT607" s="29">
        <v>0</v>
      </c>
      <c r="AV607" s="22">
        <v>45152</v>
      </c>
      <c r="AW607" s="26">
        <f t="shared" ca="1" si="98"/>
        <v>0.49488065444283247</v>
      </c>
      <c r="AX607" s="29">
        <v>0</v>
      </c>
      <c r="AZ607" s="22">
        <v>45152</v>
      </c>
      <c r="BA607" s="26">
        <f t="shared" ca="1" si="99"/>
        <v>0.3202502734230569</v>
      </c>
      <c r="BB607" s="29">
        <v>0</v>
      </c>
      <c r="BC607"/>
      <c r="BD607" s="25"/>
      <c r="BF607" s="22">
        <v>45152</v>
      </c>
      <c r="BG607" s="26">
        <f t="shared" ca="1" si="100"/>
        <v>7.962384890762797E-2</v>
      </c>
      <c r="BH607" s="29">
        <v>0</v>
      </c>
      <c r="BJ607" s="22">
        <v>45152</v>
      </c>
      <c r="BK607" s="26">
        <f t="shared" ca="1" si="101"/>
        <v>0.27162322174782993</v>
      </c>
      <c r="BL607" s="29">
        <v>0</v>
      </c>
      <c r="BN607" s="22">
        <v>45152</v>
      </c>
      <c r="BO607" s="26">
        <f t="shared" ca="1" si="102"/>
        <v>0.33248274411014123</v>
      </c>
      <c r="BP607" s="29">
        <v>0</v>
      </c>
      <c r="BR607" s="22">
        <v>45152</v>
      </c>
      <c r="BS607" s="26">
        <f t="shared" ca="1" si="103"/>
        <v>0.82789928501629828</v>
      </c>
      <c r="BT607" s="29">
        <v>0</v>
      </c>
      <c r="BV607" s="22">
        <v>45152</v>
      </c>
      <c r="BW607" s="26">
        <f t="shared" ca="1" si="104"/>
        <v>0.32052059110099929</v>
      </c>
      <c r="BX607" s="29">
        <v>0</v>
      </c>
    </row>
    <row r="608" spans="2:77" ht="12.75" x14ac:dyDescent="0.2">
      <c r="B608" s="22">
        <v>45153</v>
      </c>
      <c r="C608" s="26">
        <f t="shared" ca="1" si="68"/>
        <v>0.20991783959320043</v>
      </c>
      <c r="D608" s="29">
        <v>0</v>
      </c>
      <c r="F608" s="22">
        <v>45153</v>
      </c>
      <c r="G608" s="26">
        <f t="shared" ca="1" si="88"/>
        <v>0.28134005771222637</v>
      </c>
      <c r="H608" s="29">
        <v>0</v>
      </c>
      <c r="J608" s="22">
        <v>45153</v>
      </c>
      <c r="K608" s="26">
        <f t="shared" ca="1" si="89"/>
        <v>0.25970053289800599</v>
      </c>
      <c r="L608" s="29">
        <v>0</v>
      </c>
      <c r="N608" s="22">
        <v>45153</v>
      </c>
      <c r="O608" s="26">
        <f t="shared" ca="1" si="90"/>
        <v>0.95680394832878191</v>
      </c>
      <c r="P608" s="29">
        <v>0</v>
      </c>
      <c r="R608" s="22">
        <v>45153</v>
      </c>
      <c r="S608" s="26">
        <f t="shared" ca="1" si="91"/>
        <v>6.0601574361059174E-2</v>
      </c>
      <c r="T608" s="29">
        <v>0</v>
      </c>
      <c r="V608" s="22">
        <v>45153</v>
      </c>
      <c r="W608" s="26">
        <f t="shared" ca="1" si="92"/>
        <v>0.97774181602179855</v>
      </c>
      <c r="X608" s="29">
        <v>0</v>
      </c>
      <c r="Z608" s="22">
        <v>45153</v>
      </c>
      <c r="AA608" s="26">
        <f t="shared" ca="1" si="93"/>
        <v>0.92462730932680159</v>
      </c>
      <c r="AB608" s="29">
        <v>0</v>
      </c>
      <c r="AC608"/>
      <c r="AD608" s="25"/>
      <c r="AF608" s="22">
        <v>45153</v>
      </c>
      <c r="AG608" s="26">
        <f t="shared" ca="1" si="94"/>
        <v>0.51705692143893556</v>
      </c>
      <c r="AH608" s="29">
        <v>0</v>
      </c>
      <c r="AJ608" s="22">
        <v>45153</v>
      </c>
      <c r="AK608" s="26">
        <f t="shared" ca="1" si="95"/>
        <v>0.72068294150483847</v>
      </c>
      <c r="AL608" s="29">
        <v>0</v>
      </c>
      <c r="AN608" s="22">
        <v>45153</v>
      </c>
      <c r="AO608" s="26">
        <f t="shared" ca="1" si="96"/>
        <v>0.72130737785231558</v>
      </c>
      <c r="AP608" s="29">
        <v>0</v>
      </c>
      <c r="AR608" s="22">
        <v>45153</v>
      </c>
      <c r="AS608" s="26">
        <f t="shared" ca="1" si="97"/>
        <v>8.7933552456921027E-2</v>
      </c>
      <c r="AT608" s="29">
        <v>0</v>
      </c>
      <c r="AV608" s="22">
        <v>45153</v>
      </c>
      <c r="AW608" s="26">
        <f t="shared" ca="1" si="98"/>
        <v>0.17015910040502302</v>
      </c>
      <c r="AX608" s="29">
        <v>0</v>
      </c>
      <c r="AZ608" s="22">
        <v>45153</v>
      </c>
      <c r="BA608" s="26">
        <f t="shared" ca="1" si="99"/>
        <v>0.48956400757314822</v>
      </c>
      <c r="BB608" s="29">
        <v>0</v>
      </c>
      <c r="BC608"/>
      <c r="BD608" s="25"/>
      <c r="BF608" s="22">
        <v>45153</v>
      </c>
      <c r="BG608" s="26">
        <f t="shared" ca="1" si="100"/>
        <v>0.45139222159987868</v>
      </c>
      <c r="BH608" s="29">
        <v>0</v>
      </c>
      <c r="BJ608" s="22">
        <v>45153</v>
      </c>
      <c r="BK608" s="26">
        <f t="shared" ca="1" si="101"/>
        <v>0.37738253802443888</v>
      </c>
      <c r="BL608" s="29">
        <v>0</v>
      </c>
      <c r="BN608" s="22">
        <v>45153</v>
      </c>
      <c r="BO608" s="26">
        <f t="shared" ca="1" si="102"/>
        <v>0.59071414573059944</v>
      </c>
      <c r="BP608" s="29">
        <v>0</v>
      </c>
      <c r="BR608" s="22">
        <v>45153</v>
      </c>
      <c r="BS608" s="26">
        <f t="shared" ca="1" si="103"/>
        <v>0.89638247270566507</v>
      </c>
      <c r="BT608" s="29">
        <v>0</v>
      </c>
      <c r="BV608" s="22">
        <v>45153</v>
      </c>
      <c r="BW608" s="26">
        <f t="shared" ca="1" si="104"/>
        <v>0.29822183109143618</v>
      </c>
      <c r="BX608" s="29">
        <v>0</v>
      </c>
    </row>
    <row r="609" spans="2:77" ht="12.75" x14ac:dyDescent="0.2">
      <c r="B609" s="22">
        <v>45154</v>
      </c>
      <c r="C609" s="26">
        <f t="shared" ca="1" si="68"/>
        <v>0.19203733762016328</v>
      </c>
      <c r="D609" s="29">
        <v>0</v>
      </c>
      <c r="F609" s="22">
        <v>45154</v>
      </c>
      <c r="G609" s="26">
        <f t="shared" ca="1" si="88"/>
        <v>0.58935649931775258</v>
      </c>
      <c r="H609" s="29">
        <v>0</v>
      </c>
      <c r="J609" s="22">
        <v>45154</v>
      </c>
      <c r="K609" s="26">
        <f t="shared" ca="1" si="89"/>
        <v>0.63066918880052603</v>
      </c>
      <c r="L609" s="29">
        <v>0</v>
      </c>
      <c r="N609" s="22">
        <v>45154</v>
      </c>
      <c r="O609" s="26">
        <f t="shared" ca="1" si="90"/>
        <v>0.78126755560505989</v>
      </c>
      <c r="P609" s="29">
        <v>0</v>
      </c>
      <c r="R609" s="22">
        <v>45154</v>
      </c>
      <c r="S609" s="26">
        <f t="shared" ca="1" si="91"/>
        <v>0.84031166413784664</v>
      </c>
      <c r="T609" s="29">
        <v>0</v>
      </c>
      <c r="V609" s="22">
        <v>45154</v>
      </c>
      <c r="W609" s="26">
        <f t="shared" ca="1" si="92"/>
        <v>0.60810353963167552</v>
      </c>
      <c r="X609" s="29">
        <v>0</v>
      </c>
      <c r="Z609" s="22">
        <v>45154</v>
      </c>
      <c r="AA609" s="26">
        <f t="shared" ca="1" si="93"/>
        <v>0.69849712099667527</v>
      </c>
      <c r="AB609" s="29">
        <v>0</v>
      </c>
      <c r="AC609"/>
      <c r="AD609" s="25"/>
      <c r="AF609" s="22">
        <v>45154</v>
      </c>
      <c r="AG609" s="26">
        <f t="shared" ca="1" si="94"/>
        <v>0.88212876293900677</v>
      </c>
      <c r="AH609" s="29">
        <v>0</v>
      </c>
      <c r="AJ609" s="22">
        <v>45154</v>
      </c>
      <c r="AK609" s="26">
        <f t="shared" ca="1" si="95"/>
        <v>0.4701513679776157</v>
      </c>
      <c r="AL609" s="29">
        <v>0</v>
      </c>
      <c r="AN609" s="22">
        <v>45154</v>
      </c>
      <c r="AO609" s="26">
        <f t="shared" ca="1" si="96"/>
        <v>0.31324972082340163</v>
      </c>
      <c r="AP609" s="29">
        <v>0</v>
      </c>
      <c r="AR609" s="22">
        <v>45154</v>
      </c>
      <c r="AS609" s="26">
        <f t="shared" ca="1" si="97"/>
        <v>0.47834786280591779</v>
      </c>
      <c r="AT609" s="29">
        <v>0</v>
      </c>
      <c r="AV609" s="22">
        <v>45154</v>
      </c>
      <c r="AW609" s="26">
        <f t="shared" ca="1" si="98"/>
        <v>0.36254272978056312</v>
      </c>
      <c r="AX609" s="29">
        <v>0</v>
      </c>
      <c r="AZ609" s="22">
        <v>45154</v>
      </c>
      <c r="BA609" s="26">
        <f t="shared" ca="1" si="99"/>
        <v>0.69580787087652485</v>
      </c>
      <c r="BB609" s="29">
        <v>0</v>
      </c>
      <c r="BC609"/>
      <c r="BD609" s="25"/>
      <c r="BF609" s="22">
        <v>45154</v>
      </c>
      <c r="BG609" s="26">
        <f t="shared" ca="1" si="100"/>
        <v>0.61932850453931776</v>
      </c>
      <c r="BH609" s="29">
        <v>0</v>
      </c>
      <c r="BJ609" s="22">
        <v>45154</v>
      </c>
      <c r="BK609" s="26">
        <f t="shared" ca="1" si="101"/>
        <v>0.89708709229171502</v>
      </c>
      <c r="BL609" s="29">
        <v>0</v>
      </c>
      <c r="BN609" s="22">
        <v>45154</v>
      </c>
      <c r="BO609" s="26">
        <f t="shared" ca="1" si="102"/>
        <v>0.78722833959488858</v>
      </c>
      <c r="BP609" s="29">
        <v>0</v>
      </c>
      <c r="BR609" s="22">
        <v>45154</v>
      </c>
      <c r="BS609" s="26">
        <f t="shared" ca="1" si="103"/>
        <v>8.223100685846052E-2</v>
      </c>
      <c r="BT609" s="29">
        <v>0</v>
      </c>
      <c r="BV609" s="22">
        <v>45154</v>
      </c>
      <c r="BW609" s="26">
        <f t="shared" ca="1" si="104"/>
        <v>0.83374922369436222</v>
      </c>
      <c r="BX609" s="29">
        <v>0</v>
      </c>
    </row>
    <row r="610" spans="2:77" ht="12.75" x14ac:dyDescent="0.2">
      <c r="B610" s="22">
        <v>45155</v>
      </c>
      <c r="C610" s="26">
        <f t="shared" ca="1" si="68"/>
        <v>6.641755351878309E-2</v>
      </c>
      <c r="D610" s="29">
        <v>0</v>
      </c>
      <c r="F610" s="22">
        <v>45155</v>
      </c>
      <c r="G610" s="26">
        <f t="shared" ca="1" si="88"/>
        <v>0.37271330032924832</v>
      </c>
      <c r="H610" s="29">
        <v>0</v>
      </c>
      <c r="J610" s="22">
        <v>45155</v>
      </c>
      <c r="K610" s="26">
        <f t="shared" ca="1" si="89"/>
        <v>0.72599866374129407</v>
      </c>
      <c r="L610" s="29">
        <v>0</v>
      </c>
      <c r="N610" s="22">
        <v>45155</v>
      </c>
      <c r="O610" s="26">
        <f t="shared" ca="1" si="90"/>
        <v>0.55720210106470935</v>
      </c>
      <c r="P610" s="29">
        <v>0</v>
      </c>
      <c r="R610" s="22">
        <v>45155</v>
      </c>
      <c r="S610" s="26">
        <f t="shared" ca="1" si="91"/>
        <v>0.68161025445050005</v>
      </c>
      <c r="T610" s="29">
        <v>0</v>
      </c>
      <c r="V610" s="22">
        <v>45155</v>
      </c>
      <c r="W610" s="26">
        <f t="shared" ca="1" si="92"/>
        <v>0.37552465899366416</v>
      </c>
      <c r="X610" s="29">
        <v>0</v>
      </c>
      <c r="Z610" s="22">
        <v>45155</v>
      </c>
      <c r="AA610" s="26">
        <f t="shared" ca="1" si="93"/>
        <v>1.9162671535404519E-2</v>
      </c>
      <c r="AB610" s="29">
        <v>0</v>
      </c>
      <c r="AC610"/>
      <c r="AD610" s="25"/>
      <c r="AF610" s="22">
        <v>45155</v>
      </c>
      <c r="AG610" s="26">
        <f t="shared" ca="1" si="94"/>
        <v>0.73688988992812865</v>
      </c>
      <c r="AH610" s="29">
        <v>0</v>
      </c>
      <c r="AJ610" s="22">
        <v>45155</v>
      </c>
      <c r="AK610" s="26">
        <f t="shared" ca="1" si="95"/>
        <v>0.64191099617276393</v>
      </c>
      <c r="AL610" s="29">
        <v>0</v>
      </c>
      <c r="AN610" s="22">
        <v>45155</v>
      </c>
      <c r="AO610" s="26">
        <f t="shared" ca="1" si="96"/>
        <v>0.57403616612051733</v>
      </c>
      <c r="AP610" s="29">
        <v>0</v>
      </c>
      <c r="AR610" s="22">
        <v>45155</v>
      </c>
      <c r="AS610" s="26">
        <f t="shared" ca="1" si="97"/>
        <v>0.76860110510939494</v>
      </c>
      <c r="AT610" s="29">
        <v>0</v>
      </c>
      <c r="AV610" s="22">
        <v>45155</v>
      </c>
      <c r="AW610" s="26">
        <f t="shared" ca="1" si="98"/>
        <v>0.73974337189379236</v>
      </c>
      <c r="AX610" s="29">
        <v>0</v>
      </c>
      <c r="AZ610" s="22">
        <v>45155</v>
      </c>
      <c r="BA610" s="26">
        <f t="shared" ca="1" si="99"/>
        <v>0.82879399493591643</v>
      </c>
      <c r="BB610" s="29">
        <v>0</v>
      </c>
      <c r="BC610"/>
      <c r="BD610" s="25"/>
      <c r="BF610" s="22">
        <v>45155</v>
      </c>
      <c r="BG610" s="26">
        <f t="shared" ca="1" si="100"/>
        <v>0.36270397994635151</v>
      </c>
      <c r="BH610" s="29">
        <v>0</v>
      </c>
      <c r="BJ610" s="22">
        <v>45155</v>
      </c>
      <c r="BK610" s="26">
        <f t="shared" ca="1" si="101"/>
        <v>0.70608229526781363</v>
      </c>
      <c r="BL610" s="29">
        <v>0</v>
      </c>
      <c r="BN610" s="22">
        <v>45155</v>
      </c>
      <c r="BO610" s="26">
        <f t="shared" ca="1" si="102"/>
        <v>0.51563671645328157</v>
      </c>
      <c r="BP610" s="29">
        <v>0</v>
      </c>
      <c r="BR610" s="22">
        <v>45155</v>
      </c>
      <c r="BS610" s="26">
        <f t="shared" ca="1" si="103"/>
        <v>0.58730605763206944</v>
      </c>
      <c r="BT610" s="29">
        <v>0</v>
      </c>
      <c r="BV610" s="22">
        <v>45155</v>
      </c>
      <c r="BW610" s="26">
        <f t="shared" ca="1" si="104"/>
        <v>0.95264554573017968</v>
      </c>
      <c r="BX610" s="29">
        <v>0</v>
      </c>
    </row>
    <row r="611" spans="2:77" ht="12.75" x14ac:dyDescent="0.2">
      <c r="B611" s="22">
        <v>45156</v>
      </c>
      <c r="C611" s="26">
        <f t="shared" ca="1" si="68"/>
        <v>0.2089092560363921</v>
      </c>
      <c r="D611" s="29">
        <v>0</v>
      </c>
      <c r="F611" s="22">
        <v>45156</v>
      </c>
      <c r="G611" s="26">
        <f t="shared" ca="1" si="88"/>
        <v>0.92358029054377877</v>
      </c>
      <c r="H611" s="29">
        <v>0</v>
      </c>
      <c r="J611" s="22">
        <v>45156</v>
      </c>
      <c r="K611" s="26">
        <f t="shared" ca="1" si="89"/>
        <v>0.32869558944868638</v>
      </c>
      <c r="L611" s="29">
        <v>0</v>
      </c>
      <c r="N611" s="22">
        <v>45156</v>
      </c>
      <c r="O611" s="26">
        <f t="shared" ca="1" si="90"/>
        <v>1.208486012203025E-4</v>
      </c>
      <c r="P611" s="29">
        <v>0</v>
      </c>
      <c r="R611" s="22">
        <v>45156</v>
      </c>
      <c r="S611" s="26">
        <f t="shared" ca="1" si="91"/>
        <v>0.57629467454364325</v>
      </c>
      <c r="T611" s="29">
        <v>0</v>
      </c>
      <c r="V611" s="22">
        <v>45156</v>
      </c>
      <c r="W611" s="26">
        <f t="shared" ca="1" si="92"/>
        <v>0.67084932960437382</v>
      </c>
      <c r="X611" s="29">
        <v>0</v>
      </c>
      <c r="Z611" s="22">
        <v>45156</v>
      </c>
      <c r="AA611" s="26">
        <f t="shared" ca="1" si="93"/>
        <v>6.752116968550359E-2</v>
      </c>
      <c r="AB611" s="29">
        <v>0</v>
      </c>
      <c r="AC611"/>
      <c r="AD611" s="25"/>
      <c r="AF611" s="22">
        <v>45156</v>
      </c>
      <c r="AG611" s="26">
        <f t="shared" ca="1" si="94"/>
        <v>7.606190644703803E-3</v>
      </c>
      <c r="AH611" s="29">
        <v>0</v>
      </c>
      <c r="AJ611" s="22">
        <v>45156</v>
      </c>
      <c r="AK611" s="26">
        <f t="shared" ca="1" si="95"/>
        <v>0.97488020817130983</v>
      </c>
      <c r="AL611" s="29">
        <v>0</v>
      </c>
      <c r="AN611" s="22">
        <v>45156</v>
      </c>
      <c r="AO611" s="26">
        <f t="shared" ca="1" si="96"/>
        <v>0.26407766957972545</v>
      </c>
      <c r="AP611" s="29">
        <v>0</v>
      </c>
      <c r="AR611" s="22">
        <v>45156</v>
      </c>
      <c r="AS611" s="26">
        <f t="shared" ca="1" si="97"/>
        <v>0.41218919294090806</v>
      </c>
      <c r="AT611" s="29">
        <v>0</v>
      </c>
      <c r="AV611" s="22">
        <v>45156</v>
      </c>
      <c r="AW611" s="26">
        <f t="shared" ca="1" si="98"/>
        <v>0.19515614200632458</v>
      </c>
      <c r="AX611" s="29">
        <v>0</v>
      </c>
      <c r="AZ611" s="22">
        <v>45156</v>
      </c>
      <c r="BA611" s="26">
        <f t="shared" ca="1" si="99"/>
        <v>0.43245043380880743</v>
      </c>
      <c r="BB611" s="29">
        <v>0</v>
      </c>
      <c r="BC611"/>
      <c r="BD611" s="25"/>
      <c r="BF611" s="22">
        <v>45156</v>
      </c>
      <c r="BG611" s="26">
        <f t="shared" ca="1" si="100"/>
        <v>0.5629186354146033</v>
      </c>
      <c r="BH611" s="29">
        <v>0</v>
      </c>
      <c r="BJ611" s="22">
        <v>45156</v>
      </c>
      <c r="BK611" s="26">
        <f t="shared" ca="1" si="101"/>
        <v>0.35267842058220067</v>
      </c>
      <c r="BL611" s="29">
        <v>0</v>
      </c>
      <c r="BN611" s="22">
        <v>45156</v>
      </c>
      <c r="BO611" s="26">
        <f t="shared" ca="1" si="102"/>
        <v>1.3917488623360952E-2</v>
      </c>
      <c r="BP611" s="29">
        <v>0</v>
      </c>
      <c r="BR611" s="22">
        <v>45156</v>
      </c>
      <c r="BS611" s="26">
        <f t="shared" ca="1" si="103"/>
        <v>0.58426246446058583</v>
      </c>
      <c r="BT611" s="29">
        <v>0</v>
      </c>
      <c r="BV611" s="22">
        <v>45156</v>
      </c>
      <c r="BW611" s="26">
        <f t="shared" ca="1" si="104"/>
        <v>0.52534020060514242</v>
      </c>
      <c r="BX611" s="29">
        <v>0</v>
      </c>
    </row>
    <row r="612" spans="2:77" ht="12.75" x14ac:dyDescent="0.2">
      <c r="B612" s="22">
        <v>45157</v>
      </c>
      <c r="C612" s="26">
        <f t="shared" ca="1" si="68"/>
        <v>0.74975585856045301</v>
      </c>
      <c r="D612" s="29">
        <v>0</v>
      </c>
      <c r="F612" s="22">
        <v>45157</v>
      </c>
      <c r="G612" s="26">
        <f t="shared" ca="1" si="88"/>
        <v>0.24036033739779405</v>
      </c>
      <c r="H612" s="29">
        <v>0</v>
      </c>
      <c r="J612" s="22">
        <v>45157</v>
      </c>
      <c r="K612" s="26">
        <f t="shared" ca="1" si="89"/>
        <v>0.65988754911169012</v>
      </c>
      <c r="L612" s="29">
        <v>0</v>
      </c>
      <c r="N612" s="22">
        <v>45157</v>
      </c>
      <c r="O612" s="26">
        <f t="shared" ca="1" si="90"/>
        <v>0.20298468114118806</v>
      </c>
      <c r="P612" s="29">
        <v>0</v>
      </c>
      <c r="R612" s="22">
        <v>45157</v>
      </c>
      <c r="S612" s="26">
        <f t="shared" ca="1" si="91"/>
        <v>0.24612492504081684</v>
      </c>
      <c r="T612" s="29">
        <v>0</v>
      </c>
      <c r="V612" s="22">
        <v>45157</v>
      </c>
      <c r="W612" s="26">
        <f t="shared" ca="1" si="92"/>
        <v>0.70334749851738809</v>
      </c>
      <c r="X612" s="29">
        <v>0</v>
      </c>
      <c r="Z612" s="22">
        <v>45157</v>
      </c>
      <c r="AA612" s="26">
        <f t="shared" ca="1" si="93"/>
        <v>0.50542184558233882</v>
      </c>
      <c r="AB612" s="29">
        <v>0</v>
      </c>
      <c r="AC612"/>
      <c r="AD612" s="25"/>
      <c r="AF612" s="22">
        <v>45157</v>
      </c>
      <c r="AG612" s="26">
        <f t="shared" ca="1" si="94"/>
        <v>0.18474237824030815</v>
      </c>
      <c r="AH612" s="29">
        <v>0</v>
      </c>
      <c r="AJ612" s="22">
        <v>45157</v>
      </c>
      <c r="AK612" s="26">
        <f t="shared" ca="1" si="95"/>
        <v>0.74416577679579499</v>
      </c>
      <c r="AL612" s="29">
        <v>0</v>
      </c>
      <c r="AN612" s="22">
        <v>45157</v>
      </c>
      <c r="AO612" s="26">
        <f t="shared" ca="1" si="96"/>
        <v>0.76087496079264283</v>
      </c>
      <c r="AP612" s="29">
        <v>0</v>
      </c>
      <c r="AR612" s="22">
        <v>45157</v>
      </c>
      <c r="AS612" s="26">
        <f t="shared" ca="1" si="97"/>
        <v>0.69276445335380021</v>
      </c>
      <c r="AT612" s="29">
        <v>0</v>
      </c>
      <c r="AV612" s="22">
        <v>45157</v>
      </c>
      <c r="AW612" s="26">
        <f t="shared" ca="1" si="98"/>
        <v>0.57159529651769436</v>
      </c>
      <c r="AX612" s="29">
        <v>0</v>
      </c>
      <c r="AZ612" s="22">
        <v>45157</v>
      </c>
      <c r="BA612" s="26">
        <f t="shared" ca="1" si="99"/>
        <v>0.97123250244599801</v>
      </c>
      <c r="BB612" s="29">
        <v>0</v>
      </c>
      <c r="BC612"/>
      <c r="BD612" s="25"/>
      <c r="BF612" s="22">
        <v>45157</v>
      </c>
      <c r="BG612" s="26">
        <f t="shared" ca="1" si="100"/>
        <v>0.97534687306511769</v>
      </c>
      <c r="BH612" s="29">
        <v>0</v>
      </c>
      <c r="BJ612" s="22">
        <v>45157</v>
      </c>
      <c r="BK612" s="26">
        <f t="shared" ca="1" si="101"/>
        <v>0.47827827808490542</v>
      </c>
      <c r="BL612" s="29">
        <v>0</v>
      </c>
      <c r="BN612" s="22">
        <v>45157</v>
      </c>
      <c r="BO612" s="26">
        <f t="shared" ca="1" si="102"/>
        <v>0.40172428488023104</v>
      </c>
      <c r="BP612" s="29">
        <v>0</v>
      </c>
      <c r="BR612" s="22">
        <v>45157</v>
      </c>
      <c r="BS612" s="26">
        <f t="shared" ca="1" si="103"/>
        <v>0.38280407823477502</v>
      </c>
      <c r="BT612" s="29">
        <v>0</v>
      </c>
      <c r="BV612" s="22">
        <v>45157</v>
      </c>
      <c r="BW612" s="26">
        <f t="shared" ca="1" si="104"/>
        <v>0.2399335288972303</v>
      </c>
      <c r="BX612" s="29">
        <v>0</v>
      </c>
    </row>
    <row r="613" spans="2:77" ht="12.75" x14ac:dyDescent="0.2">
      <c r="B613" s="22">
        <v>45158</v>
      </c>
      <c r="C613" s="26">
        <f t="shared" ca="1" si="68"/>
        <v>0.5781119722970065</v>
      </c>
      <c r="D613" s="29">
        <v>0</v>
      </c>
      <c r="F613" s="22">
        <v>45158</v>
      </c>
      <c r="G613" s="26">
        <f t="shared" ca="1" si="88"/>
        <v>0.9324717540039843</v>
      </c>
      <c r="H613" s="29">
        <v>0</v>
      </c>
      <c r="J613" s="22">
        <v>45158</v>
      </c>
      <c r="K613" s="26">
        <f t="shared" ca="1" si="89"/>
        <v>0.16275167348303576</v>
      </c>
      <c r="L613" s="29">
        <v>0</v>
      </c>
      <c r="N613" s="22">
        <v>45158</v>
      </c>
      <c r="O613" s="26">
        <f t="shared" ca="1" si="90"/>
        <v>0.84815386587089403</v>
      </c>
      <c r="P613" s="29">
        <v>0</v>
      </c>
      <c r="R613" s="22">
        <v>45158</v>
      </c>
      <c r="S613" s="26">
        <f t="shared" ca="1" si="91"/>
        <v>0.9591472715311915</v>
      </c>
      <c r="T613" s="29">
        <v>0</v>
      </c>
      <c r="V613" s="22">
        <v>45158</v>
      </c>
      <c r="W613" s="26">
        <f t="shared" ca="1" si="92"/>
        <v>0.15800448934099953</v>
      </c>
      <c r="X613" s="29">
        <v>0</v>
      </c>
      <c r="Z613" s="22">
        <v>45158</v>
      </c>
      <c r="AA613" s="26">
        <f t="shared" ca="1" si="93"/>
        <v>0.79848447133328471</v>
      </c>
      <c r="AB613" s="29">
        <v>0</v>
      </c>
      <c r="AC613"/>
      <c r="AD613" s="25"/>
      <c r="AF613" s="22">
        <v>45158</v>
      </c>
      <c r="AG613" s="26">
        <f t="shared" ca="1" si="94"/>
        <v>0.7392786631394922</v>
      </c>
      <c r="AH613" s="29">
        <v>0</v>
      </c>
      <c r="AJ613" s="22">
        <v>45158</v>
      </c>
      <c r="AK613" s="26">
        <f t="shared" ca="1" si="95"/>
        <v>0.87373471053831431</v>
      </c>
      <c r="AL613" s="29">
        <v>0</v>
      </c>
      <c r="AN613" s="22">
        <v>45158</v>
      </c>
      <c r="AO613" s="26">
        <f t="shared" ca="1" si="96"/>
        <v>0.88203569553937899</v>
      </c>
      <c r="AP613" s="29">
        <v>0</v>
      </c>
      <c r="AR613" s="22">
        <v>45158</v>
      </c>
      <c r="AS613" s="26">
        <f t="shared" ca="1" si="97"/>
        <v>0.76323651708563423</v>
      </c>
      <c r="AT613" s="29">
        <v>0</v>
      </c>
      <c r="AV613" s="22">
        <v>45158</v>
      </c>
      <c r="AW613" s="26">
        <f t="shared" ca="1" si="98"/>
        <v>9.0985762226705735E-2</v>
      </c>
      <c r="AX613" s="29">
        <v>0</v>
      </c>
      <c r="AZ613" s="22">
        <v>45158</v>
      </c>
      <c r="BA613" s="26">
        <f t="shared" ca="1" si="99"/>
        <v>0.79143889726791461</v>
      </c>
      <c r="BB613" s="29">
        <v>0</v>
      </c>
      <c r="BC613"/>
      <c r="BD613" s="25"/>
      <c r="BF613" s="22">
        <v>45158</v>
      </c>
      <c r="BG613" s="26">
        <f t="shared" ca="1" si="100"/>
        <v>0.51731162053911195</v>
      </c>
      <c r="BH613" s="29">
        <v>0</v>
      </c>
      <c r="BJ613" s="22">
        <v>45158</v>
      </c>
      <c r="BK613" s="26">
        <f t="shared" ca="1" si="101"/>
        <v>0.45398895803998884</v>
      </c>
      <c r="BL613" s="29">
        <v>0</v>
      </c>
      <c r="BN613" s="22">
        <v>45158</v>
      </c>
      <c r="BO613" s="26">
        <f t="shared" ca="1" si="102"/>
        <v>0.23910749528524455</v>
      </c>
      <c r="BP613" s="29">
        <v>0</v>
      </c>
      <c r="BR613" s="22">
        <v>45158</v>
      </c>
      <c r="BS613" s="26">
        <f t="shared" ca="1" si="103"/>
        <v>0.28806006217344282</v>
      </c>
      <c r="BT613" s="29">
        <v>0</v>
      </c>
      <c r="BV613" s="22">
        <v>45158</v>
      </c>
      <c r="BW613" s="26">
        <f t="shared" ca="1" si="104"/>
        <v>0.36221789741184818</v>
      </c>
      <c r="BX613" s="29">
        <v>0</v>
      </c>
    </row>
    <row r="614" spans="2:77" ht="12.75" x14ac:dyDescent="0.2">
      <c r="B614" s="22">
        <v>45159</v>
      </c>
      <c r="C614" s="26">
        <f t="shared" ca="1" si="68"/>
        <v>0.83202717564679063</v>
      </c>
      <c r="D614" s="29">
        <v>0</v>
      </c>
      <c r="F614" s="22">
        <v>45159</v>
      </c>
      <c r="G614" s="26">
        <f t="shared" ca="1" si="88"/>
        <v>0.2146080961654051</v>
      </c>
      <c r="H614" s="29">
        <v>0</v>
      </c>
      <c r="J614" s="22">
        <v>45159</v>
      </c>
      <c r="K614" s="26">
        <f t="shared" ca="1" si="89"/>
        <v>0.95900775768965829</v>
      </c>
      <c r="L614" s="29">
        <v>0</v>
      </c>
      <c r="N614" s="22">
        <v>45159</v>
      </c>
      <c r="O614" s="26">
        <f t="shared" ca="1" si="90"/>
        <v>0.30897945573538332</v>
      </c>
      <c r="P614" s="29">
        <v>0</v>
      </c>
      <c r="R614" s="22">
        <v>45159</v>
      </c>
      <c r="S614" s="26">
        <f t="shared" ca="1" si="91"/>
        <v>0.45589948408513137</v>
      </c>
      <c r="T614" s="29">
        <v>0</v>
      </c>
      <c r="V614" s="22">
        <v>45159</v>
      </c>
      <c r="W614" s="26">
        <f t="shared" ca="1" si="92"/>
        <v>0.6911072985657648</v>
      </c>
      <c r="X614" s="29">
        <v>0</v>
      </c>
      <c r="Z614" s="22">
        <v>45159</v>
      </c>
      <c r="AA614" s="26">
        <f t="shared" ca="1" si="93"/>
        <v>0.81687039845199483</v>
      </c>
      <c r="AB614" s="29">
        <v>0</v>
      </c>
      <c r="AC614"/>
      <c r="AD614" s="25"/>
      <c r="AF614" s="22">
        <v>45159</v>
      </c>
      <c r="AG614" s="26">
        <f t="shared" ca="1" si="94"/>
        <v>0.48995025880654108</v>
      </c>
      <c r="AH614" s="29">
        <v>0</v>
      </c>
      <c r="AJ614" s="22">
        <v>45159</v>
      </c>
      <c r="AK614" s="26">
        <f t="shared" ca="1" si="95"/>
        <v>0.33612963776809901</v>
      </c>
      <c r="AL614" s="29">
        <v>0</v>
      </c>
      <c r="AN614" s="22">
        <v>45159</v>
      </c>
      <c r="AO614" s="26">
        <f t="shared" ca="1" si="96"/>
        <v>0.39229204304359278</v>
      </c>
      <c r="AP614" s="29">
        <v>0</v>
      </c>
      <c r="AR614" s="22">
        <v>45159</v>
      </c>
      <c r="AS614" s="26">
        <f t="shared" ca="1" si="97"/>
        <v>0.11952662655649893</v>
      </c>
      <c r="AT614" s="29">
        <v>0</v>
      </c>
      <c r="AV614" s="22">
        <v>45159</v>
      </c>
      <c r="AW614" s="26">
        <f t="shared" ca="1" si="98"/>
        <v>0.56429865711229732</v>
      </c>
      <c r="AX614" s="29">
        <v>0</v>
      </c>
      <c r="AZ614" s="22">
        <v>45159</v>
      </c>
      <c r="BA614" s="26">
        <f t="shared" ca="1" si="99"/>
        <v>0.14278253154516163</v>
      </c>
      <c r="BB614" s="29">
        <v>0</v>
      </c>
      <c r="BC614"/>
      <c r="BD614" s="25"/>
      <c r="BF614" s="22">
        <v>45159</v>
      </c>
      <c r="BG614" s="26">
        <f t="shared" ca="1" si="100"/>
        <v>0.13148594070241459</v>
      </c>
      <c r="BH614" s="29">
        <v>0</v>
      </c>
      <c r="BJ614" s="22">
        <v>45159</v>
      </c>
      <c r="BK614" s="26">
        <f t="shared" ca="1" si="101"/>
        <v>0.77868991752631</v>
      </c>
      <c r="BL614" s="29">
        <v>0</v>
      </c>
      <c r="BN614" s="22">
        <v>45159</v>
      </c>
      <c r="BO614" s="26">
        <f t="shared" ca="1" si="102"/>
        <v>6.3898067250585111E-3</v>
      </c>
      <c r="BP614" s="29">
        <v>0</v>
      </c>
      <c r="BR614" s="22">
        <v>45159</v>
      </c>
      <c r="BS614" s="26">
        <f t="shared" ca="1" si="103"/>
        <v>0.5286466107309935</v>
      </c>
      <c r="BT614" s="29">
        <v>0</v>
      </c>
      <c r="BV614" s="22">
        <v>45159</v>
      </c>
      <c r="BW614" s="26">
        <f t="shared" ca="1" si="104"/>
        <v>0.47970192183641447</v>
      </c>
      <c r="BX614" s="29">
        <v>0</v>
      </c>
    </row>
    <row r="615" spans="2:77" ht="12.75" x14ac:dyDescent="0.2">
      <c r="B615" s="22">
        <v>45160</v>
      </c>
      <c r="C615" s="26">
        <f t="shared" ca="1" si="68"/>
        <v>0.80592383640036369</v>
      </c>
      <c r="D615" s="29">
        <v>0</v>
      </c>
      <c r="F615" s="22">
        <v>45160</v>
      </c>
      <c r="G615" s="26">
        <f t="shared" ca="1" si="88"/>
        <v>0.82770697190279374</v>
      </c>
      <c r="H615" s="29">
        <v>0</v>
      </c>
      <c r="J615" s="22">
        <v>45160</v>
      </c>
      <c r="K615" s="26">
        <f t="shared" ca="1" si="89"/>
        <v>0.37396301048766278</v>
      </c>
      <c r="L615" s="29">
        <v>0</v>
      </c>
      <c r="N615" s="22">
        <v>45160</v>
      </c>
      <c r="O615" s="26">
        <f t="shared" ca="1" si="90"/>
        <v>0.95643591635470604</v>
      </c>
      <c r="P615" s="29">
        <v>0</v>
      </c>
      <c r="R615" s="22">
        <v>45160</v>
      </c>
      <c r="S615" s="26">
        <f t="shared" ca="1" si="91"/>
        <v>0.28669441770051285</v>
      </c>
      <c r="T615" s="29">
        <v>0</v>
      </c>
      <c r="V615" s="22">
        <v>45160</v>
      </c>
      <c r="W615" s="26">
        <f t="shared" ca="1" si="92"/>
        <v>0.69906268443793551</v>
      </c>
      <c r="X615" s="29">
        <v>0</v>
      </c>
      <c r="Z615" s="22">
        <v>45160</v>
      </c>
      <c r="AA615" s="26">
        <f t="shared" ca="1" si="93"/>
        <v>0.86834280816863152</v>
      </c>
      <c r="AB615" s="29">
        <v>0</v>
      </c>
      <c r="AC615"/>
      <c r="AD615" s="25"/>
      <c r="AF615" s="22">
        <v>45160</v>
      </c>
      <c r="AG615" s="26">
        <f t="shared" ca="1" si="94"/>
        <v>0.55606437485891658</v>
      </c>
      <c r="AH615" s="29">
        <v>0</v>
      </c>
      <c r="AJ615" s="22">
        <v>45160</v>
      </c>
      <c r="AK615" s="26">
        <f t="shared" ca="1" si="95"/>
        <v>0.45592786181472655</v>
      </c>
      <c r="AL615" s="29">
        <v>0</v>
      </c>
      <c r="AN615" s="22">
        <v>45160</v>
      </c>
      <c r="AO615" s="26">
        <f t="shared" ca="1" si="96"/>
        <v>0.68807704521658086</v>
      </c>
      <c r="AP615" s="29">
        <v>0</v>
      </c>
      <c r="AR615" s="22">
        <v>45160</v>
      </c>
      <c r="AS615" s="26">
        <f t="shared" ca="1" si="97"/>
        <v>1.6123519428447142E-2</v>
      </c>
      <c r="AT615" s="29">
        <v>0</v>
      </c>
      <c r="AV615" s="22">
        <v>45160</v>
      </c>
      <c r="AW615" s="26">
        <f t="shared" ca="1" si="98"/>
        <v>0.30330143784252994</v>
      </c>
      <c r="AX615" s="29">
        <v>0</v>
      </c>
      <c r="AZ615" s="22">
        <v>45160</v>
      </c>
      <c r="BA615" s="26">
        <f t="shared" ca="1" si="99"/>
        <v>0.8159380539339911</v>
      </c>
      <c r="BB615" s="29">
        <v>0</v>
      </c>
      <c r="BC615"/>
      <c r="BD615" s="25"/>
      <c r="BF615" s="22">
        <v>45160</v>
      </c>
      <c r="BG615" s="26">
        <f t="shared" ca="1" si="100"/>
        <v>0.13363857236742982</v>
      </c>
      <c r="BH615" s="29">
        <v>0</v>
      </c>
      <c r="BJ615" s="22">
        <v>45160</v>
      </c>
      <c r="BK615" s="26">
        <f t="shared" ca="1" si="101"/>
        <v>0.94723535429504502</v>
      </c>
      <c r="BL615" s="29">
        <v>0</v>
      </c>
      <c r="BN615" s="22">
        <v>45160</v>
      </c>
      <c r="BO615" s="26">
        <f t="shared" ca="1" si="102"/>
        <v>0.9303636666403261</v>
      </c>
      <c r="BP615" s="29">
        <v>0</v>
      </c>
      <c r="BR615" s="22">
        <v>45160</v>
      </c>
      <c r="BS615" s="26">
        <f t="shared" ca="1" si="103"/>
        <v>0.27421345115652218</v>
      </c>
      <c r="BT615" s="29">
        <v>0</v>
      </c>
      <c r="BV615" s="22">
        <v>45160</v>
      </c>
      <c r="BW615" s="26">
        <f t="shared" ca="1" si="104"/>
        <v>0.78886873592743711</v>
      </c>
      <c r="BX615" s="29">
        <v>0</v>
      </c>
    </row>
    <row r="616" spans="2:77" ht="12.75" x14ac:dyDescent="0.2">
      <c r="B616" s="22">
        <v>45161</v>
      </c>
      <c r="C616" s="26">
        <f t="shared" ca="1" si="68"/>
        <v>0.96800606147484036</v>
      </c>
      <c r="D616" s="29">
        <v>0</v>
      </c>
      <c r="F616" s="22">
        <v>45161</v>
      </c>
      <c r="G616" s="26">
        <f t="shared" ca="1" si="88"/>
        <v>0.73188722653803673</v>
      </c>
      <c r="H616" s="29">
        <v>0</v>
      </c>
      <c r="J616" s="22">
        <v>45161</v>
      </c>
      <c r="K616" s="26">
        <f t="shared" ca="1" si="89"/>
        <v>0.17489809596161854</v>
      </c>
      <c r="L616" s="29">
        <v>0</v>
      </c>
      <c r="N616" s="22">
        <v>45161</v>
      </c>
      <c r="O616" s="26">
        <f t="shared" ca="1" si="90"/>
        <v>0.66332934776500718</v>
      </c>
      <c r="P616" s="29">
        <v>0</v>
      </c>
      <c r="R616" s="22">
        <v>45161</v>
      </c>
      <c r="S616" s="26">
        <f t="shared" ca="1" si="91"/>
        <v>0.54172624135430725</v>
      </c>
      <c r="T616" s="29">
        <v>0</v>
      </c>
      <c r="V616" s="22">
        <v>45161</v>
      </c>
      <c r="W616" s="26">
        <f t="shared" ca="1" si="92"/>
        <v>0.59936428657829577</v>
      </c>
      <c r="X616" s="29">
        <v>0</v>
      </c>
      <c r="Z616" s="22">
        <v>45161</v>
      </c>
      <c r="AA616" s="26">
        <f t="shared" ca="1" si="93"/>
        <v>0.8789415872868962</v>
      </c>
      <c r="AB616" s="29">
        <v>0</v>
      </c>
      <c r="AC616"/>
      <c r="AD616" s="25"/>
      <c r="AF616" s="22">
        <v>45161</v>
      </c>
      <c r="AG616" s="26">
        <f t="shared" ca="1" si="94"/>
        <v>0.20234065056799311</v>
      </c>
      <c r="AH616" s="29">
        <v>0</v>
      </c>
      <c r="AJ616" s="22">
        <v>45161</v>
      </c>
      <c r="AK616" s="26">
        <f t="shared" ca="1" si="95"/>
        <v>0.83384543925147625</v>
      </c>
      <c r="AL616" s="29">
        <v>0</v>
      </c>
      <c r="AN616" s="22">
        <v>45161</v>
      </c>
      <c r="AO616" s="26">
        <f t="shared" ca="1" si="96"/>
        <v>0.99435637351297868</v>
      </c>
      <c r="AP616" s="29">
        <v>0</v>
      </c>
      <c r="AR616" s="22">
        <v>45161</v>
      </c>
      <c r="AS616" s="26">
        <f t="shared" ca="1" si="97"/>
        <v>0.14993166354818599</v>
      </c>
      <c r="AT616" s="29">
        <v>0</v>
      </c>
      <c r="AV616" s="22">
        <v>45161</v>
      </c>
      <c r="AW616" s="26">
        <f t="shared" ca="1" si="98"/>
        <v>0.85816999487020074</v>
      </c>
      <c r="AX616" s="29">
        <v>0</v>
      </c>
      <c r="AZ616" s="22">
        <v>45161</v>
      </c>
      <c r="BA616" s="26">
        <f t="shared" ca="1" si="99"/>
        <v>0.7731479936157829</v>
      </c>
      <c r="BB616" s="29">
        <v>0</v>
      </c>
      <c r="BC616"/>
      <c r="BD616" s="25"/>
      <c r="BF616" s="22">
        <v>45161</v>
      </c>
      <c r="BG616" s="26">
        <f t="shared" ca="1" si="100"/>
        <v>0.2608964068769597</v>
      </c>
      <c r="BH616" s="29">
        <v>0</v>
      </c>
      <c r="BJ616" s="22">
        <v>45161</v>
      </c>
      <c r="BK616" s="26">
        <f t="shared" ca="1" si="101"/>
        <v>0.83482991172226362</v>
      </c>
      <c r="BL616" s="29">
        <v>0</v>
      </c>
      <c r="BN616" s="22">
        <v>45161</v>
      </c>
      <c r="BO616" s="26">
        <f t="shared" ca="1" si="102"/>
        <v>0.55659176716981595</v>
      </c>
      <c r="BP616" s="29">
        <v>0</v>
      </c>
      <c r="BR616" s="22">
        <v>45161</v>
      </c>
      <c r="BS616" s="26">
        <f t="shared" ca="1" si="103"/>
        <v>0.2930244990164681</v>
      </c>
      <c r="BT616" s="29">
        <v>0</v>
      </c>
      <c r="BV616" s="22">
        <v>45161</v>
      </c>
      <c r="BW616" s="26">
        <f t="shared" ca="1" si="104"/>
        <v>0.31740526390666202</v>
      </c>
      <c r="BX616" s="29">
        <v>0</v>
      </c>
    </row>
    <row r="617" spans="2:77" ht="12.75" x14ac:dyDescent="0.2">
      <c r="B617" s="22">
        <v>45162</v>
      </c>
      <c r="C617" s="26">
        <f t="shared" ca="1" si="68"/>
        <v>0.99746982266760109</v>
      </c>
      <c r="D617" s="29">
        <v>0</v>
      </c>
      <c r="F617" s="22">
        <v>45162</v>
      </c>
      <c r="G617" s="26">
        <f t="shared" ca="1" si="88"/>
        <v>0.70066244067997596</v>
      </c>
      <c r="H617" s="29">
        <v>0</v>
      </c>
      <c r="J617" s="22">
        <v>45162</v>
      </c>
      <c r="K617" s="26">
        <f t="shared" ca="1" si="89"/>
        <v>0.51093814970659013</v>
      </c>
      <c r="L617" s="29">
        <v>0</v>
      </c>
      <c r="N617" s="22">
        <v>45162</v>
      </c>
      <c r="O617" s="26">
        <f t="shared" ca="1" si="90"/>
        <v>0.52470147150837909</v>
      </c>
      <c r="P617" s="29">
        <v>0</v>
      </c>
      <c r="R617" s="22">
        <v>45162</v>
      </c>
      <c r="S617" s="26">
        <f t="shared" ca="1" si="91"/>
        <v>0.47858949335482737</v>
      </c>
      <c r="T617" s="29">
        <v>0</v>
      </c>
      <c r="V617" s="22">
        <v>45162</v>
      </c>
      <c r="W617" s="26">
        <f t="shared" ca="1" si="92"/>
        <v>0.86613224753091311</v>
      </c>
      <c r="X617" s="29">
        <v>0</v>
      </c>
      <c r="Z617" s="22">
        <v>45162</v>
      </c>
      <c r="AA617" s="26">
        <f t="shared" ca="1" si="93"/>
        <v>0.39457892202623868</v>
      </c>
      <c r="AB617" s="29">
        <v>0</v>
      </c>
      <c r="AC617"/>
      <c r="AD617" s="25"/>
      <c r="AF617" s="22">
        <v>45162</v>
      </c>
      <c r="AG617" s="26">
        <f t="shared" ca="1" si="94"/>
        <v>0.24673807393487879</v>
      </c>
      <c r="AH617" s="29">
        <v>0</v>
      </c>
      <c r="AJ617" s="22">
        <v>45162</v>
      </c>
      <c r="AK617" s="26">
        <f t="shared" ca="1" si="95"/>
        <v>0.56196971017623742</v>
      </c>
      <c r="AL617" s="29">
        <v>0</v>
      </c>
      <c r="AN617" s="22">
        <v>45162</v>
      </c>
      <c r="AO617" s="26">
        <f t="shared" ca="1" si="96"/>
        <v>0.22372614628814569</v>
      </c>
      <c r="AP617" s="29">
        <v>0</v>
      </c>
      <c r="AR617" s="22">
        <v>45162</v>
      </c>
      <c r="AS617" s="26">
        <f t="shared" ca="1" si="97"/>
        <v>0.20800096689077407</v>
      </c>
      <c r="AT617" s="29">
        <v>0</v>
      </c>
      <c r="AV617" s="22">
        <v>45162</v>
      </c>
      <c r="AW617" s="26">
        <f t="shared" ca="1" si="98"/>
        <v>0.62853440057931131</v>
      </c>
      <c r="AX617" s="29">
        <v>0</v>
      </c>
      <c r="AZ617" s="22">
        <v>45162</v>
      </c>
      <c r="BA617" s="26">
        <f t="shared" ca="1" si="99"/>
        <v>0.65895004197917961</v>
      </c>
      <c r="BB617" s="29">
        <v>0</v>
      </c>
      <c r="BC617"/>
      <c r="BD617" s="25"/>
      <c r="BF617" s="22">
        <v>45162</v>
      </c>
      <c r="BG617" s="26">
        <f t="shared" ca="1" si="100"/>
        <v>0.50380338150583726</v>
      </c>
      <c r="BH617" s="29">
        <v>0</v>
      </c>
      <c r="BJ617" s="22">
        <v>45162</v>
      </c>
      <c r="BK617" s="26">
        <f t="shared" ca="1" si="101"/>
        <v>0.67866774257701534</v>
      </c>
      <c r="BL617" s="29">
        <v>0</v>
      </c>
      <c r="BN617" s="22">
        <v>45162</v>
      </c>
      <c r="BO617" s="26">
        <f t="shared" ca="1" si="102"/>
        <v>0.35940432536051214</v>
      </c>
      <c r="BP617" s="29">
        <v>0</v>
      </c>
      <c r="BR617" s="22">
        <v>45162</v>
      </c>
      <c r="BS617" s="26">
        <f t="shared" ca="1" si="103"/>
        <v>0.2485779052284961</v>
      </c>
      <c r="BT617" s="29">
        <v>0</v>
      </c>
      <c r="BV617" s="22">
        <v>45162</v>
      </c>
      <c r="BW617" s="26">
        <f t="shared" ca="1" si="104"/>
        <v>0.59075995865060982</v>
      </c>
      <c r="BX617" s="29">
        <v>0</v>
      </c>
    </row>
    <row r="618" spans="2:77" ht="12.75" x14ac:dyDescent="0.2">
      <c r="B618" s="22">
        <v>45163</v>
      </c>
      <c r="C618" s="26">
        <f t="shared" ca="1" si="68"/>
        <v>0.34284849815469232</v>
      </c>
      <c r="D618" s="29">
        <v>0</v>
      </c>
      <c r="F618" s="22">
        <v>45163</v>
      </c>
      <c r="G618" s="26">
        <f t="shared" ca="1" si="88"/>
        <v>0.73350908233240664</v>
      </c>
      <c r="H618" s="29">
        <v>0</v>
      </c>
      <c r="J618" s="22">
        <v>45163</v>
      </c>
      <c r="K618" s="26">
        <f t="shared" ca="1" si="89"/>
        <v>0.40623661716641168</v>
      </c>
      <c r="L618" s="29">
        <v>0</v>
      </c>
      <c r="N618" s="22">
        <v>45163</v>
      </c>
      <c r="O618" s="26">
        <f t="shared" ca="1" si="90"/>
        <v>0.37116715153213942</v>
      </c>
      <c r="P618" s="29">
        <v>0</v>
      </c>
      <c r="R618" s="22">
        <v>45163</v>
      </c>
      <c r="S618" s="26">
        <f t="shared" ca="1" si="91"/>
        <v>0.2248697091432813</v>
      </c>
      <c r="T618" s="29">
        <v>0</v>
      </c>
      <c r="V618" s="22">
        <v>45163</v>
      </c>
      <c r="W618" s="26">
        <f t="shared" ca="1" si="92"/>
        <v>0.70284459543093969</v>
      </c>
      <c r="X618" s="29">
        <v>0</v>
      </c>
      <c r="Z618" s="22">
        <v>45163</v>
      </c>
      <c r="AA618" s="26">
        <f t="shared" ca="1" si="93"/>
        <v>0.531933899897305</v>
      </c>
      <c r="AB618" s="29">
        <v>0</v>
      </c>
      <c r="AC618"/>
      <c r="AD618" s="25"/>
      <c r="AF618" s="22">
        <v>45163</v>
      </c>
      <c r="AG618" s="26">
        <f t="shared" ca="1" si="94"/>
        <v>0.24796676017778418</v>
      </c>
      <c r="AH618" s="29">
        <v>0</v>
      </c>
      <c r="AJ618" s="22">
        <v>45163</v>
      </c>
      <c r="AK618" s="26">
        <f t="shared" ca="1" si="95"/>
        <v>0.58961553365380082</v>
      </c>
      <c r="AL618" s="29">
        <v>0</v>
      </c>
      <c r="AN618" s="22">
        <v>45163</v>
      </c>
      <c r="AO618" s="26">
        <f t="shared" ca="1" si="96"/>
        <v>0.87197086492814369</v>
      </c>
      <c r="AP618" s="29">
        <v>0</v>
      </c>
      <c r="AR618" s="22">
        <v>45163</v>
      </c>
      <c r="AS618" s="26">
        <f t="shared" ca="1" si="97"/>
        <v>9.8211788579567805E-2</v>
      </c>
      <c r="AT618" s="29">
        <v>0</v>
      </c>
      <c r="AV618" s="22">
        <v>45163</v>
      </c>
      <c r="AW618" s="26">
        <f t="shared" ca="1" si="98"/>
        <v>0.58662909446893441</v>
      </c>
      <c r="AX618" s="29">
        <v>0</v>
      </c>
      <c r="AZ618" s="22">
        <v>45163</v>
      </c>
      <c r="BA618" s="26">
        <f t="shared" ca="1" si="99"/>
        <v>0.39642578772490966</v>
      </c>
      <c r="BB618" s="29">
        <v>0</v>
      </c>
      <c r="BC618"/>
      <c r="BD618" s="25"/>
      <c r="BF618" s="22">
        <v>45163</v>
      </c>
      <c r="BG618" s="26">
        <f t="shared" ca="1" si="100"/>
        <v>0.46025193396221886</v>
      </c>
      <c r="BH618" s="29">
        <v>0</v>
      </c>
      <c r="BJ618" s="22">
        <v>45163</v>
      </c>
      <c r="BK618" s="26">
        <f t="shared" ca="1" si="101"/>
        <v>0.68428584189265773</v>
      </c>
      <c r="BL618" s="29">
        <v>0</v>
      </c>
      <c r="BN618" s="22">
        <v>45163</v>
      </c>
      <c r="BO618" s="26">
        <f t="shared" ca="1" si="102"/>
        <v>0.72943982089610404</v>
      </c>
      <c r="BP618" s="29">
        <v>0</v>
      </c>
      <c r="BR618" s="22">
        <v>45163</v>
      </c>
      <c r="BS618" s="26">
        <f t="shared" ca="1" si="103"/>
        <v>0.6861785927622559</v>
      </c>
      <c r="BT618" s="29">
        <v>0</v>
      </c>
      <c r="BV618" s="22">
        <v>45163</v>
      </c>
      <c r="BW618" s="26">
        <f t="shared" ca="1" si="104"/>
        <v>0.6855914185244486</v>
      </c>
      <c r="BX618" s="29">
        <v>0</v>
      </c>
    </row>
    <row r="619" spans="2:77" ht="12.75" x14ac:dyDescent="0.2">
      <c r="B619" s="22">
        <v>45164</v>
      </c>
      <c r="C619" s="26">
        <f t="shared" ca="1" si="68"/>
        <v>0.44436942369227572</v>
      </c>
      <c r="D619" s="29">
        <v>0</v>
      </c>
      <c r="F619" s="22">
        <v>45164</v>
      </c>
      <c r="G619" s="26">
        <f t="shared" ca="1" si="88"/>
        <v>0.71247816840920564</v>
      </c>
      <c r="H619" s="29">
        <v>0</v>
      </c>
      <c r="J619" s="22">
        <v>45164</v>
      </c>
      <c r="K619" s="26">
        <f t="shared" ca="1" si="89"/>
        <v>0.63866970335054007</v>
      </c>
      <c r="L619" s="29">
        <v>0</v>
      </c>
      <c r="N619" s="22">
        <v>45164</v>
      </c>
      <c r="O619" s="26">
        <f t="shared" ca="1" si="90"/>
        <v>5.2724987943703394E-2</v>
      </c>
      <c r="P619" s="29">
        <v>0</v>
      </c>
      <c r="R619" s="22">
        <v>45164</v>
      </c>
      <c r="S619" s="26">
        <f t="shared" ca="1" si="91"/>
        <v>7.763653294512074E-2</v>
      </c>
      <c r="T619" s="29">
        <v>0</v>
      </c>
      <c r="V619" s="22">
        <v>45164</v>
      </c>
      <c r="W619" s="26">
        <f t="shared" ca="1" si="92"/>
        <v>0.66824207481070808</v>
      </c>
      <c r="X619" s="29">
        <v>0</v>
      </c>
      <c r="Z619" s="22">
        <v>45164</v>
      </c>
      <c r="AA619" s="26">
        <f t="shared" ca="1" si="93"/>
        <v>0.95574687790572066</v>
      </c>
      <c r="AB619" s="29">
        <v>0</v>
      </c>
      <c r="AC619"/>
      <c r="AD619" s="25"/>
      <c r="AF619" s="22">
        <v>45164</v>
      </c>
      <c r="AG619" s="26">
        <f t="shared" ca="1" si="94"/>
        <v>0.44472035526214893</v>
      </c>
      <c r="AH619" s="29">
        <v>0</v>
      </c>
      <c r="AJ619" s="22">
        <v>45164</v>
      </c>
      <c r="AK619" s="26">
        <f t="shared" ca="1" si="95"/>
        <v>7.6772125284536585E-3</v>
      </c>
      <c r="AL619" s="29">
        <v>0</v>
      </c>
      <c r="AN619" s="22">
        <v>45164</v>
      </c>
      <c r="AO619" s="26">
        <f t="shared" ca="1" si="96"/>
        <v>0.20713111062859479</v>
      </c>
      <c r="AP619" s="29">
        <v>0</v>
      </c>
      <c r="AR619" s="22">
        <v>45164</v>
      </c>
      <c r="AS619" s="26">
        <f t="shared" ca="1" si="97"/>
        <v>0.37526610401823235</v>
      </c>
      <c r="AT619" s="29">
        <v>0</v>
      </c>
      <c r="AV619" s="22">
        <v>45164</v>
      </c>
      <c r="AW619" s="26">
        <f t="shared" ca="1" si="98"/>
        <v>0.4887867261762</v>
      </c>
      <c r="AX619" s="29">
        <v>0</v>
      </c>
      <c r="AZ619" s="22">
        <v>45164</v>
      </c>
      <c r="BA619" s="26">
        <f t="shared" ca="1" si="99"/>
        <v>0.9085077620632902</v>
      </c>
      <c r="BB619" s="29">
        <v>0</v>
      </c>
      <c r="BC619"/>
      <c r="BD619" s="25"/>
      <c r="BF619" s="22">
        <v>45164</v>
      </c>
      <c r="BG619" s="26">
        <f t="shared" ca="1" si="100"/>
        <v>0.90013912912668093</v>
      </c>
      <c r="BH619" s="29">
        <v>0</v>
      </c>
      <c r="BJ619" s="22">
        <v>45164</v>
      </c>
      <c r="BK619" s="26">
        <f t="shared" ca="1" si="101"/>
        <v>0.69018898491021652</v>
      </c>
      <c r="BL619" s="29">
        <v>0</v>
      </c>
      <c r="BN619" s="22">
        <v>45164</v>
      </c>
      <c r="BO619" s="26">
        <f t="shared" ca="1" si="102"/>
        <v>0.50685277948348217</v>
      </c>
      <c r="BP619" s="29">
        <v>0</v>
      </c>
      <c r="BR619" s="22">
        <v>45164</v>
      </c>
      <c r="BS619" s="26">
        <f t="shared" ca="1" si="103"/>
        <v>0.27331928539521233</v>
      </c>
      <c r="BT619" s="29">
        <v>0</v>
      </c>
      <c r="BV619" s="22">
        <v>45164</v>
      </c>
      <c r="BW619" s="26">
        <f t="shared" ca="1" si="104"/>
        <v>1.1947793912393534E-3</v>
      </c>
      <c r="BX619" s="29">
        <v>0</v>
      </c>
    </row>
    <row r="620" spans="2:77" ht="12.75" x14ac:dyDescent="0.2">
      <c r="B620" s="22">
        <v>45165</v>
      </c>
      <c r="C620" s="26">
        <f t="shared" ca="1" si="68"/>
        <v>0.5958866832314299</v>
      </c>
      <c r="D620" s="29">
        <v>0</v>
      </c>
      <c r="F620" s="22">
        <v>45165</v>
      </c>
      <c r="G620" s="26">
        <f t="shared" ca="1" si="88"/>
        <v>0.12226925883285777</v>
      </c>
      <c r="H620" s="29">
        <v>0</v>
      </c>
      <c r="J620" s="22">
        <v>45165</v>
      </c>
      <c r="K620" s="26">
        <f t="shared" ca="1" si="89"/>
        <v>0.79419151547508449</v>
      </c>
      <c r="L620" s="29">
        <v>0</v>
      </c>
      <c r="N620" s="22">
        <v>45165</v>
      </c>
      <c r="O620" s="26">
        <f t="shared" ca="1" si="90"/>
        <v>0.3754309214793039</v>
      </c>
      <c r="P620" s="29">
        <v>0</v>
      </c>
      <c r="R620" s="22">
        <v>45165</v>
      </c>
      <c r="S620" s="26">
        <f t="shared" ca="1" si="91"/>
        <v>5.2318345531837784E-2</v>
      </c>
      <c r="T620" s="29">
        <v>0</v>
      </c>
      <c r="V620" s="22">
        <v>45165</v>
      </c>
      <c r="W620" s="26">
        <f t="shared" ca="1" si="92"/>
        <v>0.93840247757587603</v>
      </c>
      <c r="X620" s="29">
        <v>0</v>
      </c>
      <c r="Z620" s="22">
        <v>45165</v>
      </c>
      <c r="AA620" s="26">
        <f t="shared" ca="1" si="93"/>
        <v>2.8350519904974503E-2</v>
      </c>
      <c r="AB620" s="29">
        <v>0</v>
      </c>
      <c r="AC620"/>
      <c r="AD620" s="25"/>
      <c r="AF620" s="22">
        <v>45165</v>
      </c>
      <c r="AG620" s="26">
        <f t="shared" ca="1" si="94"/>
        <v>0.57810738270130668</v>
      </c>
      <c r="AH620" s="29">
        <v>0</v>
      </c>
      <c r="AJ620" s="22">
        <v>45165</v>
      </c>
      <c r="AK620" s="26">
        <f t="shared" ca="1" si="95"/>
        <v>0.20026402804719634</v>
      </c>
      <c r="AL620" s="29">
        <v>0</v>
      </c>
      <c r="AN620" s="22">
        <v>45165</v>
      </c>
      <c r="AO620" s="26">
        <f t="shared" ca="1" si="96"/>
        <v>0.28739504550491268</v>
      </c>
      <c r="AP620" s="29">
        <v>0</v>
      </c>
      <c r="AR620" s="22">
        <v>45165</v>
      </c>
      <c r="AS620" s="26">
        <f t="shared" ca="1" si="97"/>
        <v>0.71636586378999478</v>
      </c>
      <c r="AT620" s="29">
        <v>0</v>
      </c>
      <c r="AV620" s="22">
        <v>45165</v>
      </c>
      <c r="AW620" s="26">
        <f t="shared" ca="1" si="98"/>
        <v>0.33673417536487471</v>
      </c>
      <c r="AX620" s="29">
        <v>0</v>
      </c>
      <c r="AZ620" s="22">
        <v>45165</v>
      </c>
      <c r="BA620" s="26">
        <f t="shared" ca="1" si="99"/>
        <v>0.76453763238345085</v>
      </c>
      <c r="BB620" s="29">
        <v>0</v>
      </c>
      <c r="BC620"/>
      <c r="BD620" s="25"/>
      <c r="BF620" s="22">
        <v>45165</v>
      </c>
      <c r="BG620" s="26">
        <f t="shared" ca="1" si="100"/>
        <v>0.25843626653743224</v>
      </c>
      <c r="BH620" s="29">
        <v>0</v>
      </c>
      <c r="BJ620" s="22">
        <v>45165</v>
      </c>
      <c r="BK620" s="26">
        <f t="shared" ca="1" si="101"/>
        <v>0.32740311322814686</v>
      </c>
      <c r="BL620" s="29">
        <v>0</v>
      </c>
      <c r="BN620" s="22">
        <v>45165</v>
      </c>
      <c r="BO620" s="26">
        <f t="shared" ca="1" si="102"/>
        <v>0.68977679349233301</v>
      </c>
      <c r="BP620" s="29">
        <v>0</v>
      </c>
      <c r="BR620" s="22">
        <v>45165</v>
      </c>
      <c r="BS620" s="26">
        <f t="shared" ca="1" si="103"/>
        <v>6.3676734169322624E-2</v>
      </c>
      <c r="BT620" s="29">
        <v>0</v>
      </c>
      <c r="BV620" s="22">
        <v>45165</v>
      </c>
      <c r="BW620" s="26">
        <f t="shared" ca="1" si="104"/>
        <v>0.51364254521441521</v>
      </c>
      <c r="BX620" s="29">
        <v>0</v>
      </c>
    </row>
    <row r="621" spans="2:77" ht="12.75" x14ac:dyDescent="0.2">
      <c r="B621" s="22">
        <v>45166</v>
      </c>
      <c r="C621" s="26">
        <f t="shared" ca="1" si="68"/>
        <v>0.66607717179383774</v>
      </c>
      <c r="D621" s="29">
        <v>0</v>
      </c>
      <c r="F621" s="22">
        <v>45166</v>
      </c>
      <c r="G621" s="26">
        <f t="shared" ca="1" si="88"/>
        <v>0.7516751980810904</v>
      </c>
      <c r="H621" s="29">
        <v>0</v>
      </c>
      <c r="J621" s="22">
        <v>45166</v>
      </c>
      <c r="K621" s="26">
        <f t="shared" ca="1" si="89"/>
        <v>0.88999781589406368</v>
      </c>
      <c r="L621" s="29">
        <v>0</v>
      </c>
      <c r="N621" s="22">
        <v>45166</v>
      </c>
      <c r="O621" s="26">
        <f t="shared" ca="1" si="90"/>
        <v>0.98945430027986603</v>
      </c>
      <c r="P621" s="29">
        <v>0</v>
      </c>
      <c r="R621" s="22">
        <v>45166</v>
      </c>
      <c r="S621" s="26">
        <f t="shared" ca="1" si="91"/>
        <v>0.65943588150879873</v>
      </c>
      <c r="T621" s="29">
        <v>0</v>
      </c>
      <c r="V621" s="22">
        <v>45166</v>
      </c>
      <c r="W621" s="26">
        <f t="shared" ca="1" si="92"/>
        <v>0.15564413462094051</v>
      </c>
      <c r="X621" s="29">
        <v>0</v>
      </c>
      <c r="Z621" s="22">
        <v>45166</v>
      </c>
      <c r="AA621" s="26">
        <f t="shared" ca="1" si="93"/>
        <v>0.24337483155191919</v>
      </c>
      <c r="AB621" s="29">
        <v>0</v>
      </c>
      <c r="AC621"/>
      <c r="AD621" s="25"/>
      <c r="AF621" s="22">
        <v>45166</v>
      </c>
      <c r="AG621" s="26">
        <f t="shared" ca="1" si="94"/>
        <v>0.76874979153875567</v>
      </c>
      <c r="AH621" s="29">
        <v>0</v>
      </c>
      <c r="AJ621" s="22">
        <v>45166</v>
      </c>
      <c r="AK621" s="26">
        <f t="shared" ca="1" si="95"/>
        <v>9.8242173678445122E-2</v>
      </c>
      <c r="AL621" s="29">
        <v>0</v>
      </c>
      <c r="AN621" s="22">
        <v>45166</v>
      </c>
      <c r="AO621" s="26">
        <f t="shared" ca="1" si="96"/>
        <v>6.2794590871401934E-2</v>
      </c>
      <c r="AP621" s="29">
        <v>0</v>
      </c>
      <c r="AR621" s="22">
        <v>45166</v>
      </c>
      <c r="AS621" s="26">
        <f t="shared" ca="1" si="97"/>
        <v>0.61702136497093629</v>
      </c>
      <c r="AT621" s="29">
        <v>0</v>
      </c>
      <c r="AV621" s="22">
        <v>45166</v>
      </c>
      <c r="AW621" s="26">
        <f t="shared" ca="1" si="98"/>
        <v>0.61171436434323834</v>
      </c>
      <c r="AX621" s="29">
        <v>0</v>
      </c>
      <c r="AZ621" s="22">
        <v>45166</v>
      </c>
      <c r="BA621" s="26">
        <f t="shared" ca="1" si="99"/>
        <v>0.4292035146327664</v>
      </c>
      <c r="BB621" s="29">
        <v>0</v>
      </c>
      <c r="BC621"/>
      <c r="BD621" s="25"/>
      <c r="BF621" s="22">
        <v>45166</v>
      </c>
      <c r="BG621" s="26">
        <f t="shared" ca="1" si="100"/>
        <v>0.24310973308949435</v>
      </c>
      <c r="BH621" s="29">
        <v>0</v>
      </c>
      <c r="BJ621" s="22">
        <v>45166</v>
      </c>
      <c r="BK621" s="26">
        <f t="shared" ca="1" si="101"/>
        <v>0.28340194346437619</v>
      </c>
      <c r="BL621" s="29">
        <v>0</v>
      </c>
      <c r="BN621" s="22">
        <v>45166</v>
      </c>
      <c r="BO621" s="26">
        <f t="shared" ca="1" si="102"/>
        <v>5.5621788292161245E-2</v>
      </c>
      <c r="BP621" s="29">
        <v>0</v>
      </c>
      <c r="BR621" s="22">
        <v>45166</v>
      </c>
      <c r="BS621" s="26">
        <f t="shared" ca="1" si="103"/>
        <v>0.32151304494986066</v>
      </c>
      <c r="BT621" s="29">
        <v>0</v>
      </c>
      <c r="BV621" s="22">
        <v>45166</v>
      </c>
      <c r="BW621" s="26">
        <f t="shared" ca="1" si="104"/>
        <v>0.15975027300473543</v>
      </c>
      <c r="BX621" s="29">
        <v>0</v>
      </c>
    </row>
    <row r="622" spans="2:77" ht="12.75" x14ac:dyDescent="0.2">
      <c r="B622" s="22">
        <v>45167</v>
      </c>
      <c r="C622" s="26">
        <f t="shared" ca="1" si="68"/>
        <v>0.27332570218938357</v>
      </c>
      <c r="D622" s="29">
        <v>0</v>
      </c>
      <c r="F622" s="22">
        <v>45167</v>
      </c>
      <c r="G622" s="26">
        <f t="shared" ca="1" si="88"/>
        <v>0.61611429820783925</v>
      </c>
      <c r="H622" s="29">
        <v>0</v>
      </c>
      <c r="J622" s="22">
        <v>45167</v>
      </c>
      <c r="K622" s="26">
        <f t="shared" ca="1" si="89"/>
        <v>0.12201926899981652</v>
      </c>
      <c r="L622" s="29">
        <v>0</v>
      </c>
      <c r="N622" s="22">
        <v>45167</v>
      </c>
      <c r="O622" s="26">
        <f t="shared" ca="1" si="90"/>
        <v>0.25983258419297417</v>
      </c>
      <c r="P622" s="29">
        <v>0</v>
      </c>
      <c r="R622" s="22">
        <v>45167</v>
      </c>
      <c r="S622" s="26">
        <f t="shared" ca="1" si="91"/>
        <v>0.12698125377346814</v>
      </c>
      <c r="T622" s="29">
        <v>0</v>
      </c>
      <c r="V622" s="22">
        <v>45167</v>
      </c>
      <c r="W622" s="26">
        <f t="shared" ca="1" si="92"/>
        <v>0.97097516271108708</v>
      </c>
      <c r="X622" s="29">
        <v>0</v>
      </c>
      <c r="Z622" s="22">
        <v>45167</v>
      </c>
      <c r="AA622" s="26">
        <f t="shared" ca="1" si="93"/>
        <v>0.6914433863956243</v>
      </c>
      <c r="AB622" s="29">
        <v>0</v>
      </c>
      <c r="AC622"/>
      <c r="AD622" s="25"/>
      <c r="AF622" s="22">
        <v>45167</v>
      </c>
      <c r="AG622" s="26">
        <f t="shared" ca="1" si="94"/>
        <v>0.86995888317240688</v>
      </c>
      <c r="AH622" s="29">
        <v>0</v>
      </c>
      <c r="AJ622" s="22">
        <v>45167</v>
      </c>
      <c r="AK622" s="26">
        <f t="shared" ca="1" si="95"/>
        <v>0.6407894897640195</v>
      </c>
      <c r="AL622" s="29">
        <v>0</v>
      </c>
      <c r="AN622" s="22">
        <v>45167</v>
      </c>
      <c r="AO622" s="26">
        <f t="shared" ca="1" si="96"/>
        <v>0.12955517088134039</v>
      </c>
      <c r="AP622" s="29">
        <v>0</v>
      </c>
      <c r="AR622" s="22">
        <v>45167</v>
      </c>
      <c r="AS622" s="26">
        <f t="shared" ca="1" si="97"/>
        <v>0.99408337471101738</v>
      </c>
      <c r="AT622" s="29">
        <v>0</v>
      </c>
      <c r="AV622" s="22">
        <v>45167</v>
      </c>
      <c r="AW622" s="26">
        <f t="shared" ca="1" si="98"/>
        <v>0.4646795204497195</v>
      </c>
      <c r="AX622" s="29">
        <v>0</v>
      </c>
      <c r="AZ622" s="22">
        <v>45167</v>
      </c>
      <c r="BA622" s="26">
        <f t="shared" ca="1" si="99"/>
        <v>0.49024588083856568</v>
      </c>
      <c r="BB622" s="29">
        <v>0</v>
      </c>
      <c r="BC622"/>
      <c r="BD622" s="25"/>
      <c r="BF622" s="22">
        <v>45167</v>
      </c>
      <c r="BG622" s="26">
        <f t="shared" ca="1" si="100"/>
        <v>0.19919902201930217</v>
      </c>
      <c r="BH622" s="29">
        <v>0</v>
      </c>
      <c r="BJ622" s="22">
        <v>45167</v>
      </c>
      <c r="BK622" s="26">
        <f t="shared" ca="1" si="101"/>
        <v>0.8718298740480307</v>
      </c>
      <c r="BL622" s="29">
        <v>0</v>
      </c>
      <c r="BN622" s="22">
        <v>45167</v>
      </c>
      <c r="BO622" s="26">
        <f t="shared" ca="1" si="102"/>
        <v>2.9962979920155064E-3</v>
      </c>
      <c r="BP622" s="29">
        <v>0</v>
      </c>
      <c r="BR622" s="22">
        <v>45167</v>
      </c>
      <c r="BS622" s="26">
        <f t="shared" ca="1" si="103"/>
        <v>0.58301145919224939</v>
      </c>
      <c r="BT622" s="29">
        <v>0</v>
      </c>
      <c r="BV622" s="22">
        <v>45167</v>
      </c>
      <c r="BW622" s="26">
        <f t="shared" ca="1" si="104"/>
        <v>0.33228198018173649</v>
      </c>
      <c r="BX622" s="29">
        <v>0</v>
      </c>
    </row>
    <row r="623" spans="2:77" ht="12.75" x14ac:dyDescent="0.2">
      <c r="B623" s="22">
        <v>45168</v>
      </c>
      <c r="C623" s="26">
        <f t="shared" ca="1" si="68"/>
        <v>0.44885297884073394</v>
      </c>
      <c r="D623" s="29">
        <v>0</v>
      </c>
      <c r="F623" s="22">
        <v>45168</v>
      </c>
      <c r="G623" s="26">
        <f t="shared" ca="1" si="88"/>
        <v>0.48244021972616413</v>
      </c>
      <c r="H623" s="29">
        <v>0</v>
      </c>
      <c r="J623" s="22">
        <v>45168</v>
      </c>
      <c r="K623" s="26">
        <f t="shared" ca="1" si="89"/>
        <v>0.26069635888066178</v>
      </c>
      <c r="L623" s="29">
        <v>0</v>
      </c>
      <c r="N623" s="22">
        <v>45168</v>
      </c>
      <c r="O623" s="26">
        <f t="shared" ca="1" si="90"/>
        <v>0.63001004622311441</v>
      </c>
      <c r="P623" s="29">
        <v>0</v>
      </c>
      <c r="R623" s="22">
        <v>45168</v>
      </c>
      <c r="S623" s="26">
        <f t="shared" ca="1" si="91"/>
        <v>0.30300853987896359</v>
      </c>
      <c r="T623" s="29">
        <v>0</v>
      </c>
      <c r="V623" s="22">
        <v>45168</v>
      </c>
      <c r="W623" s="26">
        <f t="shared" ca="1" si="92"/>
        <v>0.31662004988265746</v>
      </c>
      <c r="X623" s="29">
        <v>0</v>
      </c>
      <c r="Z623" s="22">
        <v>45168</v>
      </c>
      <c r="AA623" s="26">
        <f t="shared" ca="1" si="93"/>
        <v>0.17054666540944718</v>
      </c>
      <c r="AB623" s="29">
        <v>0</v>
      </c>
      <c r="AC623"/>
      <c r="AD623" s="25"/>
      <c r="AF623" s="22">
        <v>45168</v>
      </c>
      <c r="AG623" s="26">
        <f t="shared" ca="1" si="94"/>
        <v>0.11886100311754055</v>
      </c>
      <c r="AH623" s="29">
        <v>0</v>
      </c>
      <c r="AJ623" s="22">
        <v>45168</v>
      </c>
      <c r="AK623" s="26">
        <f t="shared" ca="1" si="95"/>
        <v>0.37112761502727698</v>
      </c>
      <c r="AL623" s="29">
        <v>0</v>
      </c>
      <c r="AN623" s="22">
        <v>45168</v>
      </c>
      <c r="AO623" s="26">
        <f t="shared" ca="1" si="96"/>
        <v>0.98005053847393375</v>
      </c>
      <c r="AP623" s="29">
        <v>0</v>
      </c>
      <c r="AR623" s="22">
        <v>45168</v>
      </c>
      <c r="AS623" s="26">
        <f t="shared" ca="1" si="97"/>
        <v>0.66231826338518596</v>
      </c>
      <c r="AT623" s="29">
        <v>0</v>
      </c>
      <c r="AV623" s="22">
        <v>45168</v>
      </c>
      <c r="AW623" s="26">
        <f t="shared" ca="1" si="98"/>
        <v>0.7419459713881349</v>
      </c>
      <c r="AX623" s="29">
        <v>0</v>
      </c>
      <c r="AZ623" s="22">
        <v>45168</v>
      </c>
      <c r="BA623" s="26">
        <f t="shared" ca="1" si="99"/>
        <v>0.89982081280503601</v>
      </c>
      <c r="BB623" s="29">
        <v>0</v>
      </c>
      <c r="BC623"/>
      <c r="BD623" s="25"/>
      <c r="BF623" s="22">
        <v>45168</v>
      </c>
      <c r="BG623" s="26">
        <f t="shared" ca="1" si="100"/>
        <v>0.37490551194835886</v>
      </c>
      <c r="BH623" s="29">
        <v>0</v>
      </c>
      <c r="BJ623" s="22">
        <v>45168</v>
      </c>
      <c r="BK623" s="26">
        <f t="shared" ca="1" si="101"/>
        <v>0.90225167418663488</v>
      </c>
      <c r="BL623" s="29">
        <v>0</v>
      </c>
      <c r="BN623" s="22">
        <v>45168</v>
      </c>
      <c r="BO623" s="26">
        <f t="shared" ca="1" si="102"/>
        <v>0.61916655547696287</v>
      </c>
      <c r="BP623" s="29">
        <v>0</v>
      </c>
      <c r="BR623" s="22">
        <v>45168</v>
      </c>
      <c r="BS623" s="26">
        <f t="shared" ca="1" si="103"/>
        <v>0.69707141934280181</v>
      </c>
      <c r="BT623" s="29">
        <v>0</v>
      </c>
      <c r="BV623" s="22">
        <v>45168</v>
      </c>
      <c r="BW623" s="26">
        <f t="shared" ca="1" si="104"/>
        <v>0.59421899261175837</v>
      </c>
      <c r="BX623" s="29">
        <v>0</v>
      </c>
    </row>
    <row r="624" spans="2:77" ht="12.75" x14ac:dyDescent="0.2">
      <c r="B624" s="22">
        <v>45169</v>
      </c>
      <c r="C624" s="26">
        <f t="shared" ca="1" si="68"/>
        <v>0.86045857933106507</v>
      </c>
      <c r="D624" s="29">
        <v>0</v>
      </c>
      <c r="E624">
        <v>0</v>
      </c>
      <c r="F624" s="22">
        <v>45169</v>
      </c>
      <c r="G624" s="26">
        <f t="shared" ca="1" si="88"/>
        <v>0.69400518283316825</v>
      </c>
      <c r="H624" s="29">
        <v>0</v>
      </c>
      <c r="I624">
        <v>0</v>
      </c>
      <c r="J624" s="22">
        <v>45169</v>
      </c>
      <c r="K624" s="26">
        <f t="shared" ca="1" si="89"/>
        <v>0.64312009456749442</v>
      </c>
      <c r="L624" s="29">
        <v>0</v>
      </c>
      <c r="M624">
        <v>0</v>
      </c>
      <c r="N624" s="22">
        <v>45169</v>
      </c>
      <c r="O624" s="26">
        <f t="shared" ca="1" si="90"/>
        <v>0.52365444362742386</v>
      </c>
      <c r="P624" s="29">
        <v>0</v>
      </c>
      <c r="Q624">
        <v>0</v>
      </c>
      <c r="R624" s="22">
        <v>45169</v>
      </c>
      <c r="S624" s="26">
        <f t="shared" ca="1" si="91"/>
        <v>0.38728595762569273</v>
      </c>
      <c r="T624" s="29">
        <v>0</v>
      </c>
      <c r="U624">
        <v>0</v>
      </c>
      <c r="V624" s="22">
        <v>45169</v>
      </c>
      <c r="W624" s="26">
        <f t="shared" ca="1" si="92"/>
        <v>0.31755080513838829</v>
      </c>
      <c r="X624" s="29">
        <v>0</v>
      </c>
      <c r="Y624">
        <v>0</v>
      </c>
      <c r="Z624" s="22">
        <v>45169</v>
      </c>
      <c r="AA624" s="26">
        <f t="shared" ca="1" si="93"/>
        <v>0.70849077241268243</v>
      </c>
      <c r="AB624" s="29">
        <v>0</v>
      </c>
      <c r="AC624">
        <v>0</v>
      </c>
      <c r="AD624" s="25"/>
      <c r="AF624" s="22">
        <v>45169</v>
      </c>
      <c r="AG624" s="26">
        <f t="shared" ca="1" si="94"/>
        <v>0.90052157657521725</v>
      </c>
      <c r="AH624" s="29">
        <v>0</v>
      </c>
      <c r="AI624">
        <v>0</v>
      </c>
      <c r="AJ624" s="22">
        <v>45169</v>
      </c>
      <c r="AK624" s="26">
        <f t="shared" ca="1" si="95"/>
        <v>0.76229249464032123</v>
      </c>
      <c r="AL624" s="29">
        <v>0</v>
      </c>
      <c r="AM624">
        <v>0</v>
      </c>
      <c r="AN624" s="22">
        <v>45169</v>
      </c>
      <c r="AO624" s="26">
        <f t="shared" ca="1" si="96"/>
        <v>7.7006597197213589E-2</v>
      </c>
      <c r="AP624" s="29">
        <v>0</v>
      </c>
      <c r="AQ624">
        <v>0</v>
      </c>
      <c r="AR624" s="22">
        <v>45169</v>
      </c>
      <c r="AS624" s="26">
        <f t="shared" ca="1" si="97"/>
        <v>0.22744726162505124</v>
      </c>
      <c r="AT624" s="29">
        <v>0</v>
      </c>
      <c r="AU624">
        <v>0</v>
      </c>
      <c r="AV624" s="22">
        <v>45169</v>
      </c>
      <c r="AW624" s="26">
        <f t="shared" ca="1" si="98"/>
        <v>0.88029278124866994</v>
      </c>
      <c r="AX624" s="29">
        <v>0</v>
      </c>
      <c r="AY624">
        <v>0</v>
      </c>
      <c r="AZ624" s="22">
        <v>45169</v>
      </c>
      <c r="BA624" s="26">
        <f t="shared" ca="1" si="99"/>
        <v>0.60323700458032148</v>
      </c>
      <c r="BB624" s="29">
        <v>0</v>
      </c>
      <c r="BC624">
        <v>0</v>
      </c>
      <c r="BD624" s="25"/>
      <c r="BF624" s="22">
        <v>45169</v>
      </c>
      <c r="BG624" s="26">
        <f t="shared" ca="1" si="100"/>
        <v>2.9095128626484779E-2</v>
      </c>
      <c r="BH624" s="29">
        <v>0</v>
      </c>
      <c r="BI624">
        <v>0</v>
      </c>
      <c r="BJ624" s="22">
        <v>45169</v>
      </c>
      <c r="BK624" s="26">
        <f t="shared" ca="1" si="101"/>
        <v>0.19687810206190115</v>
      </c>
      <c r="BL624" s="29">
        <v>0</v>
      </c>
      <c r="BM624">
        <v>0</v>
      </c>
      <c r="BN624" s="22">
        <v>45169</v>
      </c>
      <c r="BO624" s="26">
        <f t="shared" ca="1" si="102"/>
        <v>0.97448301803400339</v>
      </c>
      <c r="BP624" s="29">
        <v>0</v>
      </c>
      <c r="BQ624">
        <v>0</v>
      </c>
      <c r="BR624" s="22">
        <v>45169</v>
      </c>
      <c r="BS624" s="26">
        <f t="shared" ca="1" si="103"/>
        <v>0.94714648813478575</v>
      </c>
      <c r="BT624" s="29">
        <v>0</v>
      </c>
      <c r="BU624">
        <v>0</v>
      </c>
      <c r="BV624" s="22">
        <v>45169</v>
      </c>
      <c r="BW624" s="26">
        <f t="shared" ca="1" si="104"/>
        <v>0.69594944070869502</v>
      </c>
      <c r="BX624" s="29">
        <v>0</v>
      </c>
      <c r="BY624">
        <v>0</v>
      </c>
    </row>
    <row r="625" spans="2:76" ht="12.75" x14ac:dyDescent="0.2">
      <c r="B625" s="22">
        <v>45170</v>
      </c>
      <c r="C625" s="26">
        <f t="shared" ca="1" si="68"/>
        <v>0.84528760876822895</v>
      </c>
      <c r="D625" s="29">
        <v>0</v>
      </c>
      <c r="F625" s="22">
        <v>45170</v>
      </c>
      <c r="G625" s="26">
        <f t="shared" ca="1" si="88"/>
        <v>0.18353621732105763</v>
      </c>
      <c r="H625" s="29">
        <v>0</v>
      </c>
      <c r="J625" s="22">
        <v>45170</v>
      </c>
      <c r="K625" s="26">
        <f t="shared" ca="1" si="89"/>
        <v>0.27274571086507238</v>
      </c>
      <c r="L625" s="29">
        <v>0</v>
      </c>
      <c r="N625" s="22">
        <v>45170</v>
      </c>
      <c r="O625" s="26">
        <f t="shared" ca="1" si="90"/>
        <v>0.80142888395808021</v>
      </c>
      <c r="P625" s="29">
        <v>0</v>
      </c>
      <c r="R625" s="22">
        <v>45170</v>
      </c>
      <c r="S625" s="26">
        <f t="shared" ca="1" si="91"/>
        <v>0.57047738032393058</v>
      </c>
      <c r="T625" s="29">
        <v>0</v>
      </c>
      <c r="V625" s="22">
        <v>45170</v>
      </c>
      <c r="W625" s="26">
        <f t="shared" ca="1" si="92"/>
        <v>0.45121103301285037</v>
      </c>
      <c r="X625" s="29">
        <v>0</v>
      </c>
      <c r="Z625" s="22">
        <v>45170</v>
      </c>
      <c r="AA625" s="26">
        <f t="shared" ca="1" si="93"/>
        <v>0.24984399572443827</v>
      </c>
      <c r="AB625" s="29">
        <v>0</v>
      </c>
      <c r="AC625"/>
      <c r="AD625" s="25"/>
      <c r="AF625" s="22">
        <v>45170</v>
      </c>
      <c r="AG625" s="26">
        <f t="shared" ca="1" si="94"/>
        <v>0.11364747309480061</v>
      </c>
      <c r="AH625" s="29">
        <v>0</v>
      </c>
      <c r="AJ625" s="22">
        <v>45170</v>
      </c>
      <c r="AK625" s="26">
        <f t="shared" ca="1" si="95"/>
        <v>0.81676648552752507</v>
      </c>
      <c r="AL625" s="29">
        <v>0</v>
      </c>
      <c r="AN625" s="22">
        <v>45170</v>
      </c>
      <c r="AO625" s="26">
        <f t="shared" ca="1" si="96"/>
        <v>0.92921751028652555</v>
      </c>
      <c r="AP625" s="29">
        <v>0</v>
      </c>
      <c r="AR625" s="22">
        <v>45170</v>
      </c>
      <c r="AS625" s="26">
        <f t="shared" ca="1" si="97"/>
        <v>0.45096573285659158</v>
      </c>
      <c r="AT625" s="29">
        <v>0</v>
      </c>
      <c r="AV625" s="22">
        <v>45170</v>
      </c>
      <c r="AW625" s="26">
        <f t="shared" ca="1" si="98"/>
        <v>0.48962511332721159</v>
      </c>
      <c r="AX625" s="29">
        <v>0</v>
      </c>
      <c r="AZ625" s="22">
        <v>45170</v>
      </c>
      <c r="BA625" s="26">
        <f t="shared" ca="1" si="99"/>
        <v>0.11466187472143663</v>
      </c>
      <c r="BB625" s="29">
        <v>0</v>
      </c>
      <c r="BC625"/>
      <c r="BD625" s="25"/>
      <c r="BF625" s="22">
        <v>45170</v>
      </c>
      <c r="BG625" s="26">
        <f t="shared" ca="1" si="100"/>
        <v>0.44061082519775707</v>
      </c>
      <c r="BH625" s="29">
        <v>0</v>
      </c>
      <c r="BJ625" s="22">
        <v>45170</v>
      </c>
      <c r="BK625" s="26">
        <f t="shared" ca="1" si="101"/>
        <v>3.7081438537487355E-2</v>
      </c>
      <c r="BL625" s="29">
        <v>0</v>
      </c>
      <c r="BN625" s="22">
        <v>45170</v>
      </c>
      <c r="BO625" s="26">
        <f t="shared" ca="1" si="102"/>
        <v>0.44434708354640162</v>
      </c>
      <c r="BP625" s="29">
        <v>0</v>
      </c>
      <c r="BR625" s="22">
        <v>45170</v>
      </c>
      <c r="BS625" s="26">
        <f t="shared" ca="1" si="103"/>
        <v>0.81775781508672352</v>
      </c>
      <c r="BT625" s="29">
        <v>0</v>
      </c>
      <c r="BV625" s="22">
        <v>45170</v>
      </c>
      <c r="BW625" s="26">
        <f t="shared" ca="1" si="104"/>
        <v>0.7368173227574033</v>
      </c>
      <c r="BX625" s="29">
        <v>0</v>
      </c>
    </row>
    <row r="626" spans="2:76" ht="12.75" x14ac:dyDescent="0.2">
      <c r="B626" s="22">
        <v>45171</v>
      </c>
      <c r="C626" s="26">
        <f t="shared" ca="1" si="68"/>
        <v>0.97570295873973156</v>
      </c>
      <c r="D626" s="29">
        <f t="shared" ref="D626:D657" ca="1" si="106">ROUNDUP(_xlfn.NORM.INV(C626,C$10,C$12),0)</f>
        <v>115</v>
      </c>
      <c r="F626" s="22">
        <v>45171</v>
      </c>
      <c r="G626" s="26">
        <f t="shared" ca="1" si="88"/>
        <v>2.1742458065610815E-2</v>
      </c>
      <c r="H626" s="29">
        <f t="shared" ref="H626:H688" ca="1" si="107">ROUNDUP(_xlfn.NORM.INV(G626,G$10,G$12),0)</f>
        <v>187</v>
      </c>
      <c r="J626" s="22">
        <v>45171</v>
      </c>
      <c r="K626" s="26">
        <f t="shared" ca="1" si="89"/>
        <v>0.17035398778046262</v>
      </c>
      <c r="L626" s="29">
        <f t="shared" ref="L626:L688" ca="1" si="108">ROUNDUP(_xlfn.NORM.INV(K626,K$10,K$12),0)</f>
        <v>141</v>
      </c>
      <c r="N626" s="22">
        <v>45171</v>
      </c>
      <c r="O626" s="26">
        <f t="shared" ca="1" si="90"/>
        <v>0.52636045261209852</v>
      </c>
      <c r="P626" s="29">
        <f t="shared" ref="P626:P688" ca="1" si="109">ROUNDUP(_xlfn.NORM.INV(O626,O$10,O$12),0)</f>
        <v>231</v>
      </c>
      <c r="R626" s="22">
        <v>45171</v>
      </c>
      <c r="S626" s="26">
        <f t="shared" ca="1" si="91"/>
        <v>0.3062335387250289</v>
      </c>
      <c r="T626" s="29">
        <f t="shared" ref="T626:T688" ca="1" si="110">ROUNDUP(_xlfn.NORM.INV(S626,S$10,S$12),0)</f>
        <v>135</v>
      </c>
      <c r="V626" s="22">
        <v>45171</v>
      </c>
      <c r="W626" s="26">
        <f t="shared" ca="1" si="92"/>
        <v>0.69557279032552111</v>
      </c>
      <c r="X626" s="29">
        <f t="shared" ref="X626:X688" ca="1" si="111">ROUNDUP(_xlfn.NORM.INV(W626,W$10,W$12),0)</f>
        <v>233</v>
      </c>
      <c r="Z626" s="22">
        <v>45171</v>
      </c>
      <c r="AA626" s="26">
        <f t="shared" ca="1" si="93"/>
        <v>0.87356668066909038</v>
      </c>
      <c r="AB626" s="29">
        <f t="shared" ref="AB626:AB688" ca="1" si="112">ROUNDUP(_xlfn.NORM.INV(AA626,AA$10,AA$12),0)</f>
        <v>291</v>
      </c>
      <c r="AC626"/>
      <c r="AD626" s="25"/>
      <c r="AF626" s="22">
        <v>45171</v>
      </c>
      <c r="AG626" s="26">
        <f t="shared" ca="1" si="94"/>
        <v>0.56052823105202498</v>
      </c>
      <c r="AH626" s="29">
        <f t="shared" ref="AH626:AH688" ca="1" si="113">ROUNDUP(_xlfn.NORM.INV(AG626,AG$10,AG$12),0)</f>
        <v>341</v>
      </c>
      <c r="AJ626" s="22">
        <v>45171</v>
      </c>
      <c r="AK626" s="26">
        <f t="shared" ca="1" si="95"/>
        <v>0.88979805621348407</v>
      </c>
      <c r="AL626" s="29">
        <f t="shared" ref="AL626:AL688" ca="1" si="114">ROUNDUP(_xlfn.NORM.INV(AK626,AK$10,AK$12),0)</f>
        <v>239</v>
      </c>
      <c r="AN626" s="22">
        <v>45171</v>
      </c>
      <c r="AO626" s="26">
        <f t="shared" ca="1" si="96"/>
        <v>0.94365809880685725</v>
      </c>
      <c r="AP626" s="29">
        <f t="shared" ref="AP626:AP688" ca="1" si="115">ROUNDUP(_xlfn.NORM.INV(AO626,AO$10,AO$12),0)</f>
        <v>210</v>
      </c>
      <c r="AR626" s="22">
        <v>45171</v>
      </c>
      <c r="AS626" s="26">
        <f t="shared" ca="1" si="97"/>
        <v>0.28392873808265717</v>
      </c>
      <c r="AT626" s="29">
        <f t="shared" ref="AT626:AT688" ca="1" si="116">ROUNDUP(_xlfn.NORM.INV(AS626,AS$10,AS$12),0)</f>
        <v>184</v>
      </c>
      <c r="AV626" s="22">
        <v>45171</v>
      </c>
      <c r="AW626" s="26">
        <f t="shared" ca="1" si="98"/>
        <v>0.74132652857987968</v>
      </c>
      <c r="AX626" s="29">
        <v>0</v>
      </c>
      <c r="AZ626" s="22">
        <v>45171</v>
      </c>
      <c r="BA626" s="26">
        <f t="shared" ca="1" si="99"/>
        <v>0.31537840829604524</v>
      </c>
      <c r="BB626" s="29">
        <v>0</v>
      </c>
      <c r="BC626"/>
      <c r="BD626" s="25"/>
      <c r="BF626" s="22">
        <v>45171</v>
      </c>
      <c r="BG626" s="26">
        <f t="shared" ca="1" si="100"/>
        <v>0.24810926645376485</v>
      </c>
      <c r="BH626" s="29">
        <v>0</v>
      </c>
      <c r="BJ626" s="22">
        <v>45171</v>
      </c>
      <c r="BK626" s="26">
        <f t="shared" ca="1" si="101"/>
        <v>0.53959712653738767</v>
      </c>
      <c r="BL626" s="29">
        <v>0</v>
      </c>
      <c r="BN626" s="22">
        <v>45171</v>
      </c>
      <c r="BO626" s="26">
        <f t="shared" ca="1" si="102"/>
        <v>0.90901159882105742</v>
      </c>
      <c r="BP626" s="29">
        <v>0</v>
      </c>
      <c r="BR626" s="22">
        <v>45171</v>
      </c>
      <c r="BS626" s="26">
        <f t="shared" ca="1" si="103"/>
        <v>0.45566778596625557</v>
      </c>
      <c r="BT626" s="29">
        <v>0</v>
      </c>
      <c r="BV626" s="22">
        <v>45171</v>
      </c>
      <c r="BW626" s="26">
        <f t="shared" ca="1" si="104"/>
        <v>0.46086908455007591</v>
      </c>
      <c r="BX626" s="29">
        <v>0</v>
      </c>
    </row>
    <row r="627" spans="2:76" ht="12.75" x14ac:dyDescent="0.2">
      <c r="B627" s="22">
        <v>45172</v>
      </c>
      <c r="C627" s="26">
        <f t="shared" ca="1" si="68"/>
        <v>0.63827900127377413</v>
      </c>
      <c r="D627" s="29">
        <f t="shared" ca="1" si="106"/>
        <v>83</v>
      </c>
      <c r="F627" s="22">
        <v>45172</v>
      </c>
      <c r="G627" s="26">
        <f t="shared" ca="1" si="88"/>
        <v>0.23707523315270107</v>
      </c>
      <c r="H627" s="29">
        <f t="shared" ca="1" si="107"/>
        <v>206</v>
      </c>
      <c r="J627" s="22">
        <v>45172</v>
      </c>
      <c r="K627" s="26">
        <f t="shared" ca="1" si="89"/>
        <v>0.27736231116805155</v>
      </c>
      <c r="L627" s="29">
        <f t="shared" ca="1" si="108"/>
        <v>145</v>
      </c>
      <c r="N627" s="22">
        <v>45172</v>
      </c>
      <c r="O627" s="26">
        <f t="shared" ca="1" si="90"/>
        <v>0.11260424313605522</v>
      </c>
      <c r="P627" s="29">
        <f t="shared" ca="1" si="109"/>
        <v>211</v>
      </c>
      <c r="R627" s="22">
        <v>45172</v>
      </c>
      <c r="S627" s="26">
        <f t="shared" ca="1" si="91"/>
        <v>0.94701716138362868</v>
      </c>
      <c r="T627" s="29">
        <f t="shared" ca="1" si="110"/>
        <v>154</v>
      </c>
      <c r="V627" s="22">
        <v>45172</v>
      </c>
      <c r="W627" s="26">
        <f t="shared" ca="1" si="92"/>
        <v>0.34435662226244068</v>
      </c>
      <c r="X627" s="29">
        <f t="shared" ca="1" si="111"/>
        <v>219</v>
      </c>
      <c r="Z627" s="22">
        <v>45172</v>
      </c>
      <c r="AA627" s="26">
        <f t="shared" ca="1" si="93"/>
        <v>0.50843060498871584</v>
      </c>
      <c r="AB627" s="29">
        <f t="shared" ca="1" si="112"/>
        <v>271</v>
      </c>
      <c r="AC627"/>
      <c r="AD627" s="25"/>
      <c r="AF627" s="22">
        <v>45172</v>
      </c>
      <c r="AG627" s="26">
        <f t="shared" ca="1" si="94"/>
        <v>0.79076432284615217</v>
      </c>
      <c r="AH627" s="29">
        <f t="shared" ca="1" si="113"/>
        <v>398</v>
      </c>
      <c r="AJ627" s="22">
        <v>45172</v>
      </c>
      <c r="AK627" s="26">
        <f t="shared" ca="1" si="95"/>
        <v>0.21363164749576924</v>
      </c>
      <c r="AL627" s="29">
        <f t="shared" ca="1" si="114"/>
        <v>142</v>
      </c>
      <c r="AN627" s="22">
        <v>45172</v>
      </c>
      <c r="AO627" s="26">
        <f t="shared" ca="1" si="96"/>
        <v>0.61488712868190532</v>
      </c>
      <c r="AP627" s="29">
        <f t="shared" ca="1" si="115"/>
        <v>159</v>
      </c>
      <c r="AR627" s="22">
        <v>45172</v>
      </c>
      <c r="AS627" s="26">
        <f t="shared" ca="1" si="97"/>
        <v>0.31442342771315868</v>
      </c>
      <c r="AT627" s="29">
        <f t="shared" ca="1" si="116"/>
        <v>189</v>
      </c>
      <c r="AV627" s="22">
        <v>45172</v>
      </c>
      <c r="AW627" s="26">
        <f t="shared" ca="1" si="98"/>
        <v>0.70379166558540407</v>
      </c>
      <c r="AX627" s="29">
        <v>0</v>
      </c>
      <c r="AZ627" s="22">
        <v>45172</v>
      </c>
      <c r="BA627" s="26">
        <f t="shared" ca="1" si="99"/>
        <v>0.29904787971784175</v>
      </c>
      <c r="BB627" s="29">
        <v>0</v>
      </c>
      <c r="BC627"/>
      <c r="BD627" s="25"/>
      <c r="BF627" s="22">
        <v>45172</v>
      </c>
      <c r="BG627" s="26">
        <f t="shared" ca="1" si="100"/>
        <v>0.81182285645325036</v>
      </c>
      <c r="BH627" s="29">
        <v>0</v>
      </c>
      <c r="BJ627" s="22">
        <v>45172</v>
      </c>
      <c r="BK627" s="26">
        <f t="shared" ca="1" si="101"/>
        <v>0.68599630805510647</v>
      </c>
      <c r="BL627" s="29">
        <v>0</v>
      </c>
      <c r="BN627" s="22">
        <v>45172</v>
      </c>
      <c r="BO627" s="26">
        <f t="shared" ca="1" si="102"/>
        <v>0.49676035618802694</v>
      </c>
      <c r="BP627" s="29">
        <v>0</v>
      </c>
      <c r="BR627" s="22">
        <v>45172</v>
      </c>
      <c r="BS627" s="26">
        <f t="shared" ca="1" si="103"/>
        <v>0.98328244901090001</v>
      </c>
      <c r="BT627" s="29">
        <v>0</v>
      </c>
      <c r="BV627" s="22">
        <v>45172</v>
      </c>
      <c r="BW627" s="26">
        <f t="shared" ca="1" si="104"/>
        <v>0.27424096188686764</v>
      </c>
      <c r="BX627" s="29">
        <v>0</v>
      </c>
    </row>
    <row r="628" spans="2:76" ht="12.75" x14ac:dyDescent="0.2">
      <c r="B628" s="22">
        <v>45173</v>
      </c>
      <c r="C628" s="26">
        <f t="shared" ca="1" si="68"/>
        <v>0.4356899090356684</v>
      </c>
      <c r="D628" s="29">
        <f t="shared" ca="1" si="106"/>
        <v>72</v>
      </c>
      <c r="F628" s="22">
        <v>45173</v>
      </c>
      <c r="G628" s="26">
        <f t="shared" ca="1" si="88"/>
        <v>0.18248064695729771</v>
      </c>
      <c r="H628" s="29">
        <f t="shared" ca="1" si="107"/>
        <v>203</v>
      </c>
      <c r="J628" s="22">
        <v>45173</v>
      </c>
      <c r="K628" s="26">
        <f t="shared" ca="1" si="89"/>
        <v>0.66899962717896166</v>
      </c>
      <c r="L628" s="29">
        <f t="shared" ca="1" si="108"/>
        <v>155</v>
      </c>
      <c r="N628" s="22">
        <v>45173</v>
      </c>
      <c r="O628" s="26">
        <f t="shared" ca="1" si="90"/>
        <v>0.88720485807425942</v>
      </c>
      <c r="P628" s="29">
        <f t="shared" ca="1" si="109"/>
        <v>248</v>
      </c>
      <c r="R628" s="22">
        <v>45173</v>
      </c>
      <c r="S628" s="26">
        <f t="shared" ca="1" si="91"/>
        <v>0.11780785168803776</v>
      </c>
      <c r="T628" s="29">
        <f t="shared" ca="1" si="110"/>
        <v>128</v>
      </c>
      <c r="V628" s="22">
        <v>45173</v>
      </c>
      <c r="W628" s="26">
        <f t="shared" ca="1" si="92"/>
        <v>0.42894118138813919</v>
      </c>
      <c r="X628" s="29">
        <f t="shared" ca="1" si="111"/>
        <v>223</v>
      </c>
      <c r="Z628" s="22">
        <v>45173</v>
      </c>
      <c r="AA628" s="26">
        <f t="shared" ca="1" si="93"/>
        <v>0.81557458656732762</v>
      </c>
      <c r="AB628" s="29">
        <f t="shared" ca="1" si="112"/>
        <v>287</v>
      </c>
      <c r="AC628"/>
      <c r="AD628" s="25"/>
      <c r="AF628" s="22">
        <v>45173</v>
      </c>
      <c r="AG628" s="26">
        <f t="shared" ca="1" si="94"/>
        <v>0.60321378192679942</v>
      </c>
      <c r="AH628" s="29">
        <f t="shared" ca="1" si="113"/>
        <v>350</v>
      </c>
      <c r="AJ628" s="22">
        <v>45173</v>
      </c>
      <c r="AK628" s="26">
        <f t="shared" ca="1" si="95"/>
        <v>0.31372503256821216</v>
      </c>
      <c r="AL628" s="29">
        <f t="shared" ca="1" si="114"/>
        <v>157</v>
      </c>
      <c r="AN628" s="22">
        <v>45173</v>
      </c>
      <c r="AO628" s="26">
        <f t="shared" ca="1" si="96"/>
        <v>0.45532815841150653</v>
      </c>
      <c r="AP628" s="29">
        <f t="shared" ca="1" si="115"/>
        <v>143</v>
      </c>
      <c r="AR628" s="22">
        <v>45173</v>
      </c>
      <c r="AS628" s="26">
        <f t="shared" ca="1" si="97"/>
        <v>0.62164529740591645</v>
      </c>
      <c r="AT628" s="29">
        <f t="shared" ca="1" si="116"/>
        <v>235</v>
      </c>
      <c r="AV628" s="22">
        <v>45173</v>
      </c>
      <c r="AW628" s="26">
        <f t="shared" ca="1" si="98"/>
        <v>0.30300977362297721</v>
      </c>
      <c r="AX628" s="29">
        <v>0</v>
      </c>
      <c r="AZ628" s="22">
        <v>45173</v>
      </c>
      <c r="BA628" s="26">
        <f t="shared" ca="1" si="99"/>
        <v>0.51716970935111195</v>
      </c>
      <c r="BB628" s="29">
        <v>0</v>
      </c>
      <c r="BC628"/>
      <c r="BD628" s="25"/>
      <c r="BF628" s="22">
        <v>45173</v>
      </c>
      <c r="BG628" s="26">
        <f t="shared" ca="1" si="100"/>
        <v>0.27134109116383631</v>
      </c>
      <c r="BH628" s="29">
        <v>0</v>
      </c>
      <c r="BJ628" s="22">
        <v>45173</v>
      </c>
      <c r="BK628" s="26">
        <f t="shared" ca="1" si="101"/>
        <v>0.41430032495436953</v>
      </c>
      <c r="BL628" s="29">
        <v>0</v>
      </c>
      <c r="BN628" s="22">
        <v>45173</v>
      </c>
      <c r="BO628" s="26">
        <f t="shared" ca="1" si="102"/>
        <v>0.86249847289685122</v>
      </c>
      <c r="BP628" s="29">
        <v>0</v>
      </c>
      <c r="BR628" s="22">
        <v>45173</v>
      </c>
      <c r="BS628" s="26">
        <f t="shared" ca="1" si="103"/>
        <v>0.21612188272421518</v>
      </c>
      <c r="BT628" s="29">
        <v>0</v>
      </c>
      <c r="BV628" s="22">
        <v>45173</v>
      </c>
      <c r="BW628" s="26">
        <f t="shared" ca="1" si="104"/>
        <v>0.26593078185264485</v>
      </c>
      <c r="BX628" s="29">
        <v>0</v>
      </c>
    </row>
    <row r="629" spans="2:76" ht="12.75" x14ac:dyDescent="0.2">
      <c r="B629" s="22">
        <v>45174</v>
      </c>
      <c r="C629" s="26">
        <f t="shared" ca="1" si="68"/>
        <v>0.341863901203043</v>
      </c>
      <c r="D629" s="29">
        <f t="shared" ca="1" si="106"/>
        <v>67</v>
      </c>
      <c r="F629" s="22">
        <v>45174</v>
      </c>
      <c r="G629" s="26">
        <f t="shared" ca="1" si="88"/>
        <v>8.8989665244119109E-2</v>
      </c>
      <c r="H629" s="29">
        <f t="shared" ca="1" si="107"/>
        <v>197</v>
      </c>
      <c r="J629" s="22">
        <v>45174</v>
      </c>
      <c r="K629" s="26">
        <f t="shared" ca="1" si="89"/>
        <v>0.33193357802335177</v>
      </c>
      <c r="L629" s="29">
        <f t="shared" ca="1" si="108"/>
        <v>146</v>
      </c>
      <c r="N629" s="22">
        <v>45174</v>
      </c>
      <c r="O629" s="26">
        <f t="shared" ca="1" si="90"/>
        <v>0.62714713246220399</v>
      </c>
      <c r="P629" s="29">
        <f t="shared" ca="1" si="109"/>
        <v>235</v>
      </c>
      <c r="R629" s="22">
        <v>45174</v>
      </c>
      <c r="S629" s="26">
        <f t="shared" ca="1" si="91"/>
        <v>0.38597442542553839</v>
      </c>
      <c r="T629" s="29">
        <f t="shared" ca="1" si="110"/>
        <v>137</v>
      </c>
      <c r="V629" s="22">
        <v>45174</v>
      </c>
      <c r="W629" s="26">
        <f t="shared" ca="1" si="92"/>
        <v>0.58963613778475321</v>
      </c>
      <c r="X629" s="29">
        <f t="shared" ca="1" si="111"/>
        <v>229</v>
      </c>
      <c r="Z629" s="22">
        <v>45174</v>
      </c>
      <c r="AA629" s="26">
        <f t="shared" ca="1" si="93"/>
        <v>2.6721899224427026E-2</v>
      </c>
      <c r="AB629" s="29">
        <f t="shared" ca="1" si="112"/>
        <v>236</v>
      </c>
      <c r="AC629"/>
      <c r="AD629" s="25"/>
      <c r="AF629" s="22">
        <v>45174</v>
      </c>
      <c r="AG629" s="26">
        <f t="shared" ca="1" si="94"/>
        <v>0.68907011107984772</v>
      </c>
      <c r="AH629" s="29">
        <f t="shared" ca="1" si="113"/>
        <v>371</v>
      </c>
      <c r="AJ629" s="22">
        <v>45174</v>
      </c>
      <c r="AK629" s="26">
        <f t="shared" ca="1" si="95"/>
        <v>0.33840517748816623</v>
      </c>
      <c r="AL629" s="29">
        <f t="shared" ca="1" si="114"/>
        <v>160</v>
      </c>
      <c r="AN629" s="22">
        <v>45174</v>
      </c>
      <c r="AO629" s="26">
        <f t="shared" ca="1" si="96"/>
        <v>0.92718843203619594</v>
      </c>
      <c r="AP629" s="29">
        <f t="shared" ca="1" si="115"/>
        <v>205</v>
      </c>
      <c r="AR629" s="22">
        <v>45174</v>
      </c>
      <c r="AS629" s="26">
        <f t="shared" ca="1" si="97"/>
        <v>0.38773230181977969</v>
      </c>
      <c r="AT629" s="29">
        <f t="shared" ca="1" si="116"/>
        <v>201</v>
      </c>
      <c r="AV629" s="22">
        <v>45174</v>
      </c>
      <c r="AW629" s="26">
        <f t="shared" ca="1" si="98"/>
        <v>0.78274981536939903</v>
      </c>
      <c r="AX629" s="29">
        <v>0</v>
      </c>
      <c r="AZ629" s="22">
        <v>45174</v>
      </c>
      <c r="BA629" s="26">
        <f t="shared" ca="1" si="99"/>
        <v>0.55828059772302396</v>
      </c>
      <c r="BB629" s="29">
        <v>0</v>
      </c>
      <c r="BC629"/>
      <c r="BD629" s="25"/>
      <c r="BF629" s="22">
        <v>45174</v>
      </c>
      <c r="BG629" s="26">
        <f t="shared" ca="1" si="100"/>
        <v>0.97847661922434614</v>
      </c>
      <c r="BH629" s="29">
        <v>0</v>
      </c>
      <c r="BJ629" s="22">
        <v>45174</v>
      </c>
      <c r="BK629" s="26">
        <f t="shared" ca="1" si="101"/>
        <v>0.76615936291062248</v>
      </c>
      <c r="BL629" s="29">
        <v>0</v>
      </c>
      <c r="BN629" s="22">
        <v>45174</v>
      </c>
      <c r="BO629" s="26">
        <f t="shared" ca="1" si="102"/>
        <v>0.56418200333655044</v>
      </c>
      <c r="BP629" s="29">
        <v>0</v>
      </c>
      <c r="BR629" s="22">
        <v>45174</v>
      </c>
      <c r="BS629" s="26">
        <f t="shared" ca="1" si="103"/>
        <v>0.14227626253557535</v>
      </c>
      <c r="BT629" s="29">
        <v>0</v>
      </c>
      <c r="BV629" s="22">
        <v>45174</v>
      </c>
      <c r="BW629" s="26">
        <f t="shared" ca="1" si="104"/>
        <v>0.21857771218743605</v>
      </c>
      <c r="BX629" s="29">
        <v>0</v>
      </c>
    </row>
    <row r="630" spans="2:76" ht="12.75" x14ac:dyDescent="0.2">
      <c r="B630" s="22">
        <v>45175</v>
      </c>
      <c r="C630" s="26">
        <f t="shared" ca="1" si="68"/>
        <v>8.3758682487222846E-2</v>
      </c>
      <c r="D630" s="29">
        <f t="shared" ca="1" si="106"/>
        <v>48</v>
      </c>
      <c r="F630" s="22">
        <v>45175</v>
      </c>
      <c r="G630" s="26">
        <f t="shared" ca="1" si="88"/>
        <v>0.79974573625817691</v>
      </c>
      <c r="H630" s="29">
        <f t="shared" ca="1" si="107"/>
        <v>228</v>
      </c>
      <c r="J630" s="22">
        <v>45175</v>
      </c>
      <c r="K630" s="26">
        <f t="shared" ca="1" si="89"/>
        <v>0.18260867653380242</v>
      </c>
      <c r="L630" s="29">
        <f t="shared" ca="1" si="108"/>
        <v>141</v>
      </c>
      <c r="N630" s="22">
        <v>45175</v>
      </c>
      <c r="O630" s="26">
        <f t="shared" ca="1" si="90"/>
        <v>0.21520724293265403</v>
      </c>
      <c r="P630" s="29">
        <f t="shared" ca="1" si="109"/>
        <v>218</v>
      </c>
      <c r="R630" s="22">
        <v>45175</v>
      </c>
      <c r="S630" s="26">
        <f t="shared" ca="1" si="91"/>
        <v>0.63173581760914554</v>
      </c>
      <c r="T630" s="29">
        <f t="shared" ca="1" si="110"/>
        <v>142</v>
      </c>
      <c r="V630" s="22">
        <v>45175</v>
      </c>
      <c r="W630" s="26">
        <f t="shared" ca="1" si="92"/>
        <v>0.18944045244574137</v>
      </c>
      <c r="X630" s="29">
        <f t="shared" ca="1" si="111"/>
        <v>212</v>
      </c>
      <c r="Z630" s="22">
        <v>45175</v>
      </c>
      <c r="AA630" s="26">
        <f t="shared" ca="1" si="93"/>
        <v>0.57647649421963776</v>
      </c>
      <c r="AB630" s="29">
        <f t="shared" ca="1" si="112"/>
        <v>274</v>
      </c>
      <c r="AC630"/>
      <c r="AD630" s="25"/>
      <c r="AF630" s="22">
        <v>45175</v>
      </c>
      <c r="AG630" s="26">
        <f t="shared" ca="1" si="94"/>
        <v>0.79359300256372367</v>
      </c>
      <c r="AH630" s="29">
        <f t="shared" ca="1" si="113"/>
        <v>399</v>
      </c>
      <c r="AJ630" s="22">
        <v>45175</v>
      </c>
      <c r="AK630" s="26">
        <f t="shared" ca="1" si="95"/>
        <v>0.52896630200350114</v>
      </c>
      <c r="AL630" s="29">
        <f t="shared" ca="1" si="114"/>
        <v>184</v>
      </c>
      <c r="AN630" s="22">
        <v>45175</v>
      </c>
      <c r="AO630" s="26">
        <f t="shared" ca="1" si="96"/>
        <v>0.36722872936248019</v>
      </c>
      <c r="AP630" s="29">
        <f t="shared" ca="1" si="115"/>
        <v>134</v>
      </c>
      <c r="AR630" s="22">
        <v>45175</v>
      </c>
      <c r="AS630" s="26">
        <f t="shared" ca="1" si="97"/>
        <v>0.18464939801155145</v>
      </c>
      <c r="AT630" s="29">
        <f t="shared" ca="1" si="116"/>
        <v>165</v>
      </c>
      <c r="AV630" s="22">
        <v>45175</v>
      </c>
      <c r="AW630" s="26">
        <f t="shared" ca="1" si="98"/>
        <v>0.96254054348345508</v>
      </c>
      <c r="AX630" s="29">
        <v>0</v>
      </c>
      <c r="AZ630" s="22">
        <v>45175</v>
      </c>
      <c r="BA630" s="26">
        <f t="shared" ca="1" si="99"/>
        <v>0.81785306393406065</v>
      </c>
      <c r="BB630" s="29">
        <v>0</v>
      </c>
      <c r="BC630"/>
      <c r="BD630" s="25"/>
      <c r="BF630" s="22">
        <v>45175</v>
      </c>
      <c r="BG630" s="26">
        <f t="shared" ca="1" si="100"/>
        <v>0.93837978438165492</v>
      </c>
      <c r="BH630" s="29">
        <v>0</v>
      </c>
      <c r="BJ630" s="22">
        <v>45175</v>
      </c>
      <c r="BK630" s="26">
        <f t="shared" ca="1" si="101"/>
        <v>0.16460266781658872</v>
      </c>
      <c r="BL630" s="29">
        <v>0</v>
      </c>
      <c r="BN630" s="22">
        <v>45175</v>
      </c>
      <c r="BO630" s="26">
        <f t="shared" ca="1" si="102"/>
        <v>0.11456750921165859</v>
      </c>
      <c r="BP630" s="29">
        <v>0</v>
      </c>
      <c r="BR630" s="22">
        <v>45175</v>
      </c>
      <c r="BS630" s="26">
        <f t="shared" ca="1" si="103"/>
        <v>0.6871659584725518</v>
      </c>
      <c r="BT630" s="29">
        <v>0</v>
      </c>
      <c r="BV630" s="22">
        <v>45175</v>
      </c>
      <c r="BW630" s="26">
        <f t="shared" ca="1" si="104"/>
        <v>0.96687455367923691</v>
      </c>
      <c r="BX630" s="29">
        <v>0</v>
      </c>
    </row>
    <row r="631" spans="2:76" ht="12.75" x14ac:dyDescent="0.2">
      <c r="B631" s="22">
        <v>45176</v>
      </c>
      <c r="C631" s="26">
        <f t="shared" ca="1" si="68"/>
        <v>4.5082197255714052E-2</v>
      </c>
      <c r="D631" s="29">
        <f t="shared" ca="1" si="106"/>
        <v>42</v>
      </c>
      <c r="F631" s="22">
        <v>45176</v>
      </c>
      <c r="G631" s="26">
        <f t="shared" ca="1" si="88"/>
        <v>5.4586680022017386E-4</v>
      </c>
      <c r="H631" s="29">
        <f t="shared" ca="1" si="107"/>
        <v>169</v>
      </c>
      <c r="J631" s="22">
        <v>45176</v>
      </c>
      <c r="K631" s="26">
        <f t="shared" ca="1" si="89"/>
        <v>0.46538686514846284</v>
      </c>
      <c r="L631" s="29">
        <f t="shared" ca="1" si="108"/>
        <v>150</v>
      </c>
      <c r="N631" s="22">
        <v>45176</v>
      </c>
      <c r="O631" s="26">
        <f t="shared" ca="1" si="90"/>
        <v>0.96426265746842332</v>
      </c>
      <c r="P631" s="29">
        <f t="shared" ca="1" si="109"/>
        <v>257</v>
      </c>
      <c r="R631" s="22">
        <v>45176</v>
      </c>
      <c r="S631" s="26">
        <f t="shared" ca="1" si="91"/>
        <v>0.41069863715157628</v>
      </c>
      <c r="T631" s="29">
        <f t="shared" ca="1" si="110"/>
        <v>137</v>
      </c>
      <c r="V631" s="22">
        <v>45176</v>
      </c>
      <c r="W631" s="26">
        <f t="shared" ca="1" si="92"/>
        <v>0.19749743047503221</v>
      </c>
      <c r="X631" s="29">
        <f t="shared" ca="1" si="111"/>
        <v>213</v>
      </c>
      <c r="Z631" s="22">
        <v>45176</v>
      </c>
      <c r="AA631" s="26">
        <f t="shared" ca="1" si="93"/>
        <v>0.78755239972238233</v>
      </c>
      <c r="AB631" s="29">
        <f t="shared" ca="1" si="112"/>
        <v>285</v>
      </c>
      <c r="AC631"/>
      <c r="AD631" s="25"/>
      <c r="AF631" s="22">
        <v>45176</v>
      </c>
      <c r="AG631" s="26">
        <f t="shared" ca="1" si="94"/>
        <v>9.3510155255107086E-2</v>
      </c>
      <c r="AH631" s="29">
        <f t="shared" ca="1" si="113"/>
        <v>212</v>
      </c>
      <c r="AJ631" s="22">
        <v>45176</v>
      </c>
      <c r="AK631" s="26">
        <f t="shared" ca="1" si="95"/>
        <v>0.83893189599187523</v>
      </c>
      <c r="AL631" s="29">
        <f t="shared" ca="1" si="114"/>
        <v>228</v>
      </c>
      <c r="AN631" s="22">
        <v>45176</v>
      </c>
      <c r="AO631" s="26">
        <f t="shared" ca="1" si="96"/>
        <v>0.64740160695434035</v>
      </c>
      <c r="AP631" s="29">
        <f t="shared" ca="1" si="115"/>
        <v>162</v>
      </c>
      <c r="AR631" s="22">
        <v>45176</v>
      </c>
      <c r="AS631" s="26">
        <f t="shared" ca="1" si="97"/>
        <v>0.10240758387095883</v>
      </c>
      <c r="AT631" s="29">
        <f t="shared" ca="1" si="116"/>
        <v>144</v>
      </c>
      <c r="AV631" s="22">
        <v>45176</v>
      </c>
      <c r="AW631" s="26">
        <f t="shared" ca="1" si="98"/>
        <v>0.62800833240290277</v>
      </c>
      <c r="AX631" s="29">
        <v>0</v>
      </c>
      <c r="AZ631" s="22">
        <v>45176</v>
      </c>
      <c r="BA631" s="26">
        <f t="shared" ca="1" si="99"/>
        <v>0.47749742015762164</v>
      </c>
      <c r="BB631" s="29">
        <v>0</v>
      </c>
      <c r="BC631"/>
      <c r="BD631" s="25"/>
      <c r="BF631" s="22">
        <v>45176</v>
      </c>
      <c r="BG631" s="26">
        <f t="shared" ca="1" si="100"/>
        <v>0.66565209110504442</v>
      </c>
      <c r="BH631" s="29">
        <v>0</v>
      </c>
      <c r="BJ631" s="22">
        <v>45176</v>
      </c>
      <c r="BK631" s="26">
        <f t="shared" ca="1" si="101"/>
        <v>0.64528502277797284</v>
      </c>
      <c r="BL631" s="29">
        <v>0</v>
      </c>
      <c r="BN631" s="22">
        <v>45176</v>
      </c>
      <c r="BO631" s="26">
        <f t="shared" ca="1" si="102"/>
        <v>0.27452120551796111</v>
      </c>
      <c r="BP631" s="29">
        <v>0</v>
      </c>
      <c r="BR631" s="22">
        <v>45176</v>
      </c>
      <c r="BS631" s="26">
        <f t="shared" ca="1" si="103"/>
        <v>0.63840838954142098</v>
      </c>
      <c r="BT631" s="29">
        <v>0</v>
      </c>
      <c r="BV631" s="22">
        <v>45176</v>
      </c>
      <c r="BW631" s="26">
        <f t="shared" ca="1" si="104"/>
        <v>0.15019703391782302</v>
      </c>
      <c r="BX631" s="29">
        <v>0</v>
      </c>
    </row>
    <row r="632" spans="2:76" ht="12.75" x14ac:dyDescent="0.2">
      <c r="B632" s="22">
        <v>45177</v>
      </c>
      <c r="C632" s="26">
        <f t="shared" ca="1" si="68"/>
        <v>0.35130385830653776</v>
      </c>
      <c r="D632" s="29">
        <f t="shared" ca="1" si="106"/>
        <v>68</v>
      </c>
      <c r="F632" s="22">
        <v>45177</v>
      </c>
      <c r="G632" s="26">
        <f t="shared" ca="1" si="88"/>
        <v>0.66941816412325439</v>
      </c>
      <c r="H632" s="29">
        <f t="shared" ca="1" si="107"/>
        <v>222</v>
      </c>
      <c r="J632" s="22">
        <v>45177</v>
      </c>
      <c r="K632" s="26">
        <f t="shared" ca="1" si="89"/>
        <v>0.39676775627300609</v>
      </c>
      <c r="L632" s="29">
        <f t="shared" ca="1" si="108"/>
        <v>148</v>
      </c>
      <c r="N632" s="22">
        <v>45177</v>
      </c>
      <c r="O632" s="26">
        <f t="shared" ca="1" si="90"/>
        <v>0.41298741698675134</v>
      </c>
      <c r="P632" s="29">
        <f t="shared" ca="1" si="109"/>
        <v>226</v>
      </c>
      <c r="R632" s="22">
        <v>45177</v>
      </c>
      <c r="S632" s="26">
        <f t="shared" ca="1" si="91"/>
        <v>0.15257968955077694</v>
      </c>
      <c r="T632" s="29">
        <f t="shared" ca="1" si="110"/>
        <v>130</v>
      </c>
      <c r="V632" s="22">
        <v>45177</v>
      </c>
      <c r="W632" s="26">
        <f t="shared" ca="1" si="92"/>
        <v>0.77972534174394492</v>
      </c>
      <c r="X632" s="29">
        <f t="shared" ca="1" si="111"/>
        <v>237</v>
      </c>
      <c r="Z632" s="22">
        <v>45177</v>
      </c>
      <c r="AA632" s="26">
        <f t="shared" ca="1" si="93"/>
        <v>0.30356211367082997</v>
      </c>
      <c r="AB632" s="29">
        <f t="shared" ca="1" si="112"/>
        <v>261</v>
      </c>
      <c r="AC632"/>
      <c r="AD632" s="25"/>
      <c r="AF632" s="22">
        <v>45177</v>
      </c>
      <c r="AG632" s="26">
        <f t="shared" ca="1" si="94"/>
        <v>0.32084265492349651</v>
      </c>
      <c r="AH632" s="29">
        <f t="shared" ca="1" si="113"/>
        <v>287</v>
      </c>
      <c r="AJ632" s="22">
        <v>45177</v>
      </c>
      <c r="AK632" s="26">
        <f t="shared" ca="1" si="95"/>
        <v>0.94268822753305814</v>
      </c>
      <c r="AL632" s="29">
        <f t="shared" ca="1" si="114"/>
        <v>256</v>
      </c>
      <c r="AN632" s="22">
        <v>45177</v>
      </c>
      <c r="AO632" s="26">
        <f t="shared" ca="1" si="96"/>
        <v>0.15668576859806937</v>
      </c>
      <c r="AP632" s="29">
        <f t="shared" ca="1" si="115"/>
        <v>108</v>
      </c>
      <c r="AR632" s="22">
        <v>45177</v>
      </c>
      <c r="AS632" s="26">
        <f t="shared" ca="1" si="97"/>
        <v>0.58706377541989108</v>
      </c>
      <c r="AT632" s="29">
        <f t="shared" ca="1" si="116"/>
        <v>230</v>
      </c>
      <c r="AV632" s="22">
        <v>45177</v>
      </c>
      <c r="AW632" s="26">
        <f t="shared" ca="1" si="98"/>
        <v>0.69815614202200393</v>
      </c>
      <c r="AX632" s="29">
        <v>0</v>
      </c>
      <c r="AZ632" s="22">
        <v>45177</v>
      </c>
      <c r="BA632" s="26">
        <f t="shared" ca="1" si="99"/>
        <v>0.56083826896055222</v>
      </c>
      <c r="BB632" s="29">
        <v>0</v>
      </c>
      <c r="BC632"/>
      <c r="BD632" s="25"/>
      <c r="BF632" s="22">
        <v>45177</v>
      </c>
      <c r="BG632" s="26">
        <f t="shared" ca="1" si="100"/>
        <v>6.6642239341298426E-2</v>
      </c>
      <c r="BH632" s="29">
        <v>0</v>
      </c>
      <c r="BJ632" s="22">
        <v>45177</v>
      </c>
      <c r="BK632" s="26">
        <f t="shared" ca="1" si="101"/>
        <v>0.16726999552465027</v>
      </c>
      <c r="BL632" s="29">
        <v>0</v>
      </c>
      <c r="BN632" s="22">
        <v>45177</v>
      </c>
      <c r="BO632" s="26">
        <f t="shared" ca="1" si="102"/>
        <v>0.2140269965844589</v>
      </c>
      <c r="BP632" s="29">
        <v>0</v>
      </c>
      <c r="BR632" s="22">
        <v>45177</v>
      </c>
      <c r="BS632" s="26">
        <f t="shared" ca="1" si="103"/>
        <v>0.43186449948122752</v>
      </c>
      <c r="BT632" s="29">
        <v>0</v>
      </c>
      <c r="BV632" s="22">
        <v>45177</v>
      </c>
      <c r="BW632" s="26">
        <f t="shared" ca="1" si="104"/>
        <v>0.11122652384712506</v>
      </c>
      <c r="BX632" s="29">
        <v>0</v>
      </c>
    </row>
    <row r="633" spans="2:76" ht="12.75" x14ac:dyDescent="0.2">
      <c r="B633" s="22">
        <v>45178</v>
      </c>
      <c r="C633" s="26">
        <f t="shared" ca="1" si="68"/>
        <v>0.97264061519119183</v>
      </c>
      <c r="D633" s="29">
        <f t="shared" ca="1" si="106"/>
        <v>114</v>
      </c>
      <c r="F633" s="22">
        <v>45178</v>
      </c>
      <c r="G633" s="26">
        <f t="shared" ca="1" si="88"/>
        <v>0.10923864175007914</v>
      </c>
      <c r="H633" s="29">
        <f t="shared" ca="1" si="107"/>
        <v>198</v>
      </c>
      <c r="J633" s="22">
        <v>45178</v>
      </c>
      <c r="K633" s="26">
        <f t="shared" ca="1" si="89"/>
        <v>0.33581659352608773</v>
      </c>
      <c r="L633" s="29">
        <f t="shared" ca="1" si="108"/>
        <v>146</v>
      </c>
      <c r="N633" s="22">
        <v>45178</v>
      </c>
      <c r="O633" s="26">
        <f t="shared" ca="1" si="90"/>
        <v>0.41762933842132843</v>
      </c>
      <c r="P633" s="29">
        <f t="shared" ca="1" si="109"/>
        <v>227</v>
      </c>
      <c r="R633" s="22">
        <v>45178</v>
      </c>
      <c r="S633" s="26">
        <f t="shared" ca="1" si="91"/>
        <v>0.59349147491782606</v>
      </c>
      <c r="T633" s="29">
        <f t="shared" ca="1" si="110"/>
        <v>141</v>
      </c>
      <c r="V633" s="22">
        <v>45178</v>
      </c>
      <c r="W633" s="26">
        <f t="shared" ca="1" si="92"/>
        <v>0.72455429257846338</v>
      </c>
      <c r="X633" s="29">
        <f t="shared" ca="1" si="111"/>
        <v>234</v>
      </c>
      <c r="Z633" s="22">
        <v>45178</v>
      </c>
      <c r="AA633" s="26">
        <f t="shared" ca="1" si="93"/>
        <v>0.34290235104863986</v>
      </c>
      <c r="AB633" s="29">
        <f t="shared" ca="1" si="112"/>
        <v>263</v>
      </c>
      <c r="AC633"/>
      <c r="AD633" s="25"/>
      <c r="AF633" s="22">
        <v>45178</v>
      </c>
      <c r="AG633" s="26">
        <f t="shared" ca="1" si="94"/>
        <v>0.54590448364748434</v>
      </c>
      <c r="AH633" s="29">
        <f t="shared" ca="1" si="113"/>
        <v>338</v>
      </c>
      <c r="AJ633" s="22">
        <v>45178</v>
      </c>
      <c r="AK633" s="26">
        <f t="shared" ca="1" si="95"/>
        <v>0.12296813427812492</v>
      </c>
      <c r="AL633" s="29">
        <f t="shared" ca="1" si="114"/>
        <v>125</v>
      </c>
      <c r="AN633" s="22">
        <v>45178</v>
      </c>
      <c r="AO633" s="26">
        <f t="shared" ca="1" si="96"/>
        <v>0.96033048803169363</v>
      </c>
      <c r="AP633" s="29">
        <f t="shared" ca="1" si="115"/>
        <v>216</v>
      </c>
      <c r="AR633" s="22">
        <v>45178</v>
      </c>
      <c r="AS633" s="26">
        <f t="shared" ca="1" si="97"/>
        <v>0.26047583001170904</v>
      </c>
      <c r="AT633" s="29">
        <f t="shared" ca="1" si="116"/>
        <v>180</v>
      </c>
      <c r="AV633" s="22">
        <v>45178</v>
      </c>
      <c r="AW633" s="26">
        <f t="shared" ca="1" si="98"/>
        <v>2.3806346761957364E-2</v>
      </c>
      <c r="AX633" s="29">
        <v>0</v>
      </c>
      <c r="AZ633" s="22">
        <v>45178</v>
      </c>
      <c r="BA633" s="26">
        <f t="shared" ca="1" si="99"/>
        <v>0.83078399335694786</v>
      </c>
      <c r="BB633" s="29">
        <v>0</v>
      </c>
      <c r="BC633"/>
      <c r="BD633" s="25"/>
      <c r="BF633" s="22">
        <v>45178</v>
      </c>
      <c r="BG633" s="26">
        <f t="shared" ca="1" si="100"/>
        <v>3.9304267146574645E-2</v>
      </c>
      <c r="BH633" s="29">
        <v>0</v>
      </c>
      <c r="BJ633" s="22">
        <v>45178</v>
      </c>
      <c r="BK633" s="26">
        <f t="shared" ca="1" si="101"/>
        <v>0.28118752145722004</v>
      </c>
      <c r="BL633" s="29">
        <v>0</v>
      </c>
      <c r="BN633" s="22">
        <v>45178</v>
      </c>
      <c r="BO633" s="26">
        <f t="shared" ca="1" si="102"/>
        <v>0.93656714659700202</v>
      </c>
      <c r="BP633" s="29">
        <v>0</v>
      </c>
      <c r="BR633" s="22">
        <v>45178</v>
      </c>
      <c r="BS633" s="26">
        <f t="shared" ca="1" si="103"/>
        <v>0.25505781897473168</v>
      </c>
      <c r="BT633" s="29">
        <v>0</v>
      </c>
      <c r="BV633" s="22">
        <v>45178</v>
      </c>
      <c r="BW633" s="26">
        <f t="shared" ca="1" si="104"/>
        <v>0.12917293392087625</v>
      </c>
      <c r="BX633" s="29">
        <v>0</v>
      </c>
    </row>
    <row r="634" spans="2:76" ht="12.75" x14ac:dyDescent="0.2">
      <c r="B634" s="22">
        <v>45179</v>
      </c>
      <c r="C634" s="26">
        <f t="shared" ca="1" si="68"/>
        <v>0.25435260736451104</v>
      </c>
      <c r="D634" s="29">
        <f t="shared" ca="1" si="106"/>
        <v>62</v>
      </c>
      <c r="F634" s="22">
        <v>45179</v>
      </c>
      <c r="G634" s="26">
        <f t="shared" ca="1" si="88"/>
        <v>0.29998350480115832</v>
      </c>
      <c r="H634" s="29">
        <f t="shared" ca="1" si="107"/>
        <v>208</v>
      </c>
      <c r="J634" s="22">
        <v>45179</v>
      </c>
      <c r="K634" s="26">
        <f t="shared" ca="1" si="89"/>
        <v>0.99818865006900304</v>
      </c>
      <c r="L634" s="29">
        <f t="shared" ca="1" si="108"/>
        <v>180</v>
      </c>
      <c r="N634" s="22">
        <v>45179</v>
      </c>
      <c r="O634" s="26">
        <f t="shared" ca="1" si="90"/>
        <v>0.59474788244712273</v>
      </c>
      <c r="P634" s="29">
        <f t="shared" ca="1" si="109"/>
        <v>234</v>
      </c>
      <c r="R634" s="22">
        <v>45179</v>
      </c>
      <c r="S634" s="26">
        <f t="shared" ca="1" si="91"/>
        <v>0.55848115518289032</v>
      </c>
      <c r="T634" s="29">
        <f t="shared" ca="1" si="110"/>
        <v>141</v>
      </c>
      <c r="V634" s="22">
        <v>45179</v>
      </c>
      <c r="W634" s="26">
        <f t="shared" ca="1" si="92"/>
        <v>0.96366497781786165</v>
      </c>
      <c r="X634" s="29">
        <f t="shared" ca="1" si="111"/>
        <v>252</v>
      </c>
      <c r="Z634" s="22">
        <v>45179</v>
      </c>
      <c r="AA634" s="26">
        <f t="shared" ca="1" si="93"/>
        <v>8.6487673639200513E-2</v>
      </c>
      <c r="AB634" s="29">
        <f t="shared" ca="1" si="112"/>
        <v>246</v>
      </c>
      <c r="AC634"/>
      <c r="AD634" s="25"/>
      <c r="AF634" s="22">
        <v>45179</v>
      </c>
      <c r="AG634" s="26">
        <f t="shared" ca="1" si="94"/>
        <v>0.73998845517513023</v>
      </c>
      <c r="AH634" s="29">
        <f t="shared" ca="1" si="113"/>
        <v>384</v>
      </c>
      <c r="AJ634" s="22">
        <v>45179</v>
      </c>
      <c r="AK634" s="26">
        <f t="shared" ca="1" si="95"/>
        <v>0.11394687312614182</v>
      </c>
      <c r="AL634" s="29">
        <f t="shared" ca="1" si="114"/>
        <v>123</v>
      </c>
      <c r="AN634" s="22">
        <v>45179</v>
      </c>
      <c r="AO634" s="26">
        <f t="shared" ca="1" si="96"/>
        <v>0.94452201133897828</v>
      </c>
      <c r="AP634" s="29">
        <f t="shared" ca="1" si="115"/>
        <v>210</v>
      </c>
      <c r="AR634" s="22">
        <v>45179</v>
      </c>
      <c r="AS634" s="26">
        <f t="shared" ca="1" si="97"/>
        <v>0.61793070491182711</v>
      </c>
      <c r="AT634" s="29">
        <f t="shared" ca="1" si="116"/>
        <v>235</v>
      </c>
      <c r="AV634" s="22">
        <v>45179</v>
      </c>
      <c r="AW634" s="26">
        <f t="shared" ca="1" si="98"/>
        <v>0.8436560816708113</v>
      </c>
      <c r="AX634" s="29">
        <v>0</v>
      </c>
      <c r="AZ634" s="22">
        <v>45179</v>
      </c>
      <c r="BA634" s="26">
        <f t="shared" ca="1" si="99"/>
        <v>0.43203727623705068</v>
      </c>
      <c r="BB634" s="29">
        <v>0</v>
      </c>
      <c r="BC634"/>
      <c r="BD634" s="25"/>
      <c r="BF634" s="22">
        <v>45179</v>
      </c>
      <c r="BG634" s="26">
        <f t="shared" ca="1" si="100"/>
        <v>0.34364133434792876</v>
      </c>
      <c r="BH634" s="29">
        <v>0</v>
      </c>
      <c r="BJ634" s="22">
        <v>45179</v>
      </c>
      <c r="BK634" s="26">
        <f t="shared" ca="1" si="101"/>
        <v>0.83134195718037784</v>
      </c>
      <c r="BL634" s="29">
        <v>0</v>
      </c>
      <c r="BN634" s="22">
        <v>45179</v>
      </c>
      <c r="BO634" s="26">
        <f t="shared" ca="1" si="102"/>
        <v>0.85207369929531329</v>
      </c>
      <c r="BP634" s="29">
        <v>0</v>
      </c>
      <c r="BR634" s="22">
        <v>45179</v>
      </c>
      <c r="BS634" s="26">
        <f t="shared" ca="1" si="103"/>
        <v>0.16415045780274595</v>
      </c>
      <c r="BT634" s="29">
        <v>0</v>
      </c>
      <c r="BV634" s="22">
        <v>45179</v>
      </c>
      <c r="BW634" s="26">
        <f t="shared" ca="1" si="104"/>
        <v>0.7418273264678592</v>
      </c>
      <c r="BX634" s="29">
        <v>0</v>
      </c>
    </row>
    <row r="635" spans="2:76" ht="12.75" x14ac:dyDescent="0.2">
      <c r="B635" s="22">
        <v>45180</v>
      </c>
      <c r="C635" s="26">
        <f t="shared" ca="1" si="68"/>
        <v>0.8112087267765844</v>
      </c>
      <c r="D635" s="29">
        <f t="shared" ca="1" si="106"/>
        <v>93</v>
      </c>
      <c r="F635" s="22">
        <v>45180</v>
      </c>
      <c r="G635" s="26">
        <f t="shared" ca="1" si="88"/>
        <v>0.48408409162739618</v>
      </c>
      <c r="H635" s="29">
        <f t="shared" ca="1" si="107"/>
        <v>215</v>
      </c>
      <c r="J635" s="22">
        <v>45180</v>
      </c>
      <c r="K635" s="26">
        <f t="shared" ca="1" si="89"/>
        <v>0.78772798600901739</v>
      </c>
      <c r="L635" s="29">
        <f t="shared" ca="1" si="108"/>
        <v>158</v>
      </c>
      <c r="N635" s="22">
        <v>45180</v>
      </c>
      <c r="O635" s="26">
        <f t="shared" ca="1" si="90"/>
        <v>0.32189518039776677</v>
      </c>
      <c r="P635" s="29">
        <f t="shared" ca="1" si="109"/>
        <v>223</v>
      </c>
      <c r="R635" s="22">
        <v>45180</v>
      </c>
      <c r="S635" s="26">
        <f t="shared" ca="1" si="91"/>
        <v>0.93956253463141659</v>
      </c>
      <c r="T635" s="29">
        <f t="shared" ca="1" si="110"/>
        <v>154</v>
      </c>
      <c r="V635" s="22">
        <v>45180</v>
      </c>
      <c r="W635" s="26">
        <f t="shared" ca="1" si="92"/>
        <v>0.99991649352627809</v>
      </c>
      <c r="X635" s="29">
        <f t="shared" ca="1" si="111"/>
        <v>282</v>
      </c>
      <c r="Z635" s="22">
        <v>45180</v>
      </c>
      <c r="AA635" s="26">
        <f t="shared" ca="1" si="93"/>
        <v>0.41161469335632483</v>
      </c>
      <c r="AB635" s="29">
        <f t="shared" ca="1" si="112"/>
        <v>266</v>
      </c>
      <c r="AC635"/>
      <c r="AD635" s="25"/>
      <c r="AF635" s="22">
        <v>45180</v>
      </c>
      <c r="AG635" s="26">
        <f t="shared" ca="1" si="94"/>
        <v>0.17298487034445031</v>
      </c>
      <c r="AH635" s="29">
        <f t="shared" ca="1" si="113"/>
        <v>245</v>
      </c>
      <c r="AJ635" s="22">
        <v>45180</v>
      </c>
      <c r="AK635" s="26">
        <f t="shared" ca="1" si="95"/>
        <v>0.48494133473980228</v>
      </c>
      <c r="AL635" s="29">
        <f t="shared" ca="1" si="114"/>
        <v>179</v>
      </c>
      <c r="AN635" s="22">
        <v>45180</v>
      </c>
      <c r="AO635" s="26">
        <f t="shared" ca="1" si="96"/>
        <v>0.54632948818267402</v>
      </c>
      <c r="AP635" s="29">
        <f t="shared" ca="1" si="115"/>
        <v>152</v>
      </c>
      <c r="AR635" s="22">
        <v>45180</v>
      </c>
      <c r="AS635" s="26">
        <f t="shared" ca="1" si="97"/>
        <v>0.61548041601083014</v>
      </c>
      <c r="AT635" s="29">
        <f t="shared" ca="1" si="116"/>
        <v>234</v>
      </c>
      <c r="AV635" s="22">
        <v>45180</v>
      </c>
      <c r="AW635" s="26">
        <f t="shared" ca="1" si="98"/>
        <v>5.0554549429558948E-3</v>
      </c>
      <c r="AX635" s="29">
        <v>0</v>
      </c>
      <c r="AZ635" s="22">
        <v>45180</v>
      </c>
      <c r="BA635" s="26">
        <f t="shared" ca="1" si="99"/>
        <v>0.19440996664510413</v>
      </c>
      <c r="BB635" s="29">
        <v>0</v>
      </c>
      <c r="BC635"/>
      <c r="BD635" s="25"/>
      <c r="BF635" s="22">
        <v>45180</v>
      </c>
      <c r="BG635" s="26">
        <f t="shared" ca="1" si="100"/>
        <v>0.84425062320331212</v>
      </c>
      <c r="BH635" s="29">
        <v>0</v>
      </c>
      <c r="BJ635" s="22">
        <v>45180</v>
      </c>
      <c r="BK635" s="26">
        <f t="shared" ca="1" si="101"/>
        <v>9.6378932755549096E-2</v>
      </c>
      <c r="BL635" s="29">
        <v>0</v>
      </c>
      <c r="BN635" s="22">
        <v>45180</v>
      </c>
      <c r="BO635" s="26">
        <f t="shared" ca="1" si="102"/>
        <v>0.93027795323685547</v>
      </c>
      <c r="BP635" s="29">
        <v>0</v>
      </c>
      <c r="BR635" s="22">
        <v>45180</v>
      </c>
      <c r="BS635" s="26">
        <f t="shared" ca="1" si="103"/>
        <v>0.46024686918926994</v>
      </c>
      <c r="BT635" s="29">
        <v>0</v>
      </c>
      <c r="BV635" s="22">
        <v>45180</v>
      </c>
      <c r="BW635" s="26">
        <f t="shared" ca="1" si="104"/>
        <v>0.99172443232816843</v>
      </c>
      <c r="BX635" s="29">
        <v>0</v>
      </c>
    </row>
    <row r="636" spans="2:76" ht="12.75" x14ac:dyDescent="0.2">
      <c r="B636" s="22">
        <v>45181</v>
      </c>
      <c r="C636" s="26">
        <f t="shared" ca="1" si="68"/>
        <v>0.408935350171305</v>
      </c>
      <c r="D636" s="29">
        <f t="shared" ca="1" si="106"/>
        <v>71</v>
      </c>
      <c r="F636" s="22">
        <v>45181</v>
      </c>
      <c r="G636" s="26">
        <f t="shared" ca="1" si="88"/>
        <v>0.19607563140070161</v>
      </c>
      <c r="H636" s="29">
        <f t="shared" ca="1" si="107"/>
        <v>204</v>
      </c>
      <c r="J636" s="22">
        <v>45181</v>
      </c>
      <c r="K636" s="26">
        <f t="shared" ca="1" si="89"/>
        <v>0.16193332882891609</v>
      </c>
      <c r="L636" s="29">
        <f t="shared" ca="1" si="108"/>
        <v>141</v>
      </c>
      <c r="N636" s="22">
        <v>45181</v>
      </c>
      <c r="O636" s="26">
        <f t="shared" ca="1" si="90"/>
        <v>0.60133927849249658</v>
      </c>
      <c r="P636" s="29">
        <f t="shared" ca="1" si="109"/>
        <v>234</v>
      </c>
      <c r="R636" s="22">
        <v>45181</v>
      </c>
      <c r="S636" s="26">
        <f t="shared" ca="1" si="91"/>
        <v>0.46708896928233823</v>
      </c>
      <c r="T636" s="29">
        <f t="shared" ca="1" si="110"/>
        <v>138</v>
      </c>
      <c r="V636" s="22">
        <v>45181</v>
      </c>
      <c r="W636" s="26">
        <f t="shared" ca="1" si="92"/>
        <v>0.89808921395062558</v>
      </c>
      <c r="X636" s="29">
        <f t="shared" ca="1" si="111"/>
        <v>245</v>
      </c>
      <c r="Z636" s="22">
        <v>45181</v>
      </c>
      <c r="AA636" s="26">
        <f t="shared" ca="1" si="93"/>
        <v>0.6149307374007682</v>
      </c>
      <c r="AB636" s="29">
        <f t="shared" ca="1" si="112"/>
        <v>276</v>
      </c>
      <c r="AC636"/>
      <c r="AD636" s="25"/>
      <c r="AF636" s="22">
        <v>45181</v>
      </c>
      <c r="AG636" s="26">
        <f t="shared" ca="1" si="94"/>
        <v>0.936399426787212</v>
      </c>
      <c r="AH636" s="29">
        <f t="shared" ca="1" si="113"/>
        <v>461</v>
      </c>
      <c r="AJ636" s="22">
        <v>45181</v>
      </c>
      <c r="AK636" s="26">
        <f t="shared" ca="1" si="95"/>
        <v>0.18279217118272406</v>
      </c>
      <c r="AL636" s="29">
        <f t="shared" ca="1" si="114"/>
        <v>137</v>
      </c>
      <c r="AN636" s="22">
        <v>45181</v>
      </c>
      <c r="AO636" s="26">
        <f t="shared" ca="1" si="96"/>
        <v>9.7115569274430547E-2</v>
      </c>
      <c r="AP636" s="29">
        <f t="shared" ca="1" si="115"/>
        <v>97</v>
      </c>
      <c r="AR636" s="22">
        <v>45181</v>
      </c>
      <c r="AS636" s="26">
        <f t="shared" ca="1" si="97"/>
        <v>0.81126831398487509</v>
      </c>
      <c r="AT636" s="29">
        <f t="shared" ca="1" si="116"/>
        <v>268</v>
      </c>
      <c r="AV636" s="22">
        <v>45181</v>
      </c>
      <c r="AW636" s="26">
        <f t="shared" ca="1" si="98"/>
        <v>0.73793297868495555</v>
      </c>
      <c r="AX636" s="29">
        <v>0</v>
      </c>
      <c r="AZ636" s="22">
        <v>45181</v>
      </c>
      <c r="BA636" s="26">
        <f t="shared" ca="1" si="99"/>
        <v>0.45721237231289347</v>
      </c>
      <c r="BB636" s="29">
        <v>0</v>
      </c>
      <c r="BC636"/>
      <c r="BD636" s="25"/>
      <c r="BF636" s="22">
        <v>45181</v>
      </c>
      <c r="BG636" s="26">
        <f t="shared" ca="1" si="100"/>
        <v>0.27938617351987716</v>
      </c>
      <c r="BH636" s="29">
        <v>0</v>
      </c>
      <c r="BJ636" s="22">
        <v>45181</v>
      </c>
      <c r="BK636" s="26">
        <f t="shared" ca="1" si="101"/>
        <v>0.31998633481311323</v>
      </c>
      <c r="BL636" s="29">
        <v>0</v>
      </c>
      <c r="BN636" s="22">
        <v>45181</v>
      </c>
      <c r="BO636" s="26">
        <f t="shared" ca="1" si="102"/>
        <v>0.14986301509891786</v>
      </c>
      <c r="BP636" s="29">
        <v>0</v>
      </c>
      <c r="BR636" s="22">
        <v>45181</v>
      </c>
      <c r="BS636" s="26">
        <f t="shared" ca="1" si="103"/>
        <v>0.32493312506321004</v>
      </c>
      <c r="BT636" s="29">
        <v>0</v>
      </c>
      <c r="BV636" s="22">
        <v>45181</v>
      </c>
      <c r="BW636" s="26">
        <f t="shared" ca="1" si="104"/>
        <v>0.1119364315997099</v>
      </c>
      <c r="BX636" s="29">
        <v>0</v>
      </c>
    </row>
    <row r="637" spans="2:76" ht="12.75" x14ac:dyDescent="0.2">
      <c r="B637" s="22">
        <v>45182</v>
      </c>
      <c r="C637" s="26">
        <f t="shared" ca="1" si="68"/>
        <v>0.7137942416257087</v>
      </c>
      <c r="D637" s="29">
        <f t="shared" ca="1" si="106"/>
        <v>87</v>
      </c>
      <c r="F637" s="22">
        <v>45182</v>
      </c>
      <c r="G637" s="26">
        <f t="shared" ca="1" si="88"/>
        <v>0.28298674455427952</v>
      </c>
      <c r="H637" s="29">
        <f t="shared" ca="1" si="107"/>
        <v>208</v>
      </c>
      <c r="J637" s="22">
        <v>45182</v>
      </c>
      <c r="K637" s="26">
        <f t="shared" ca="1" si="89"/>
        <v>0.33581559157811358</v>
      </c>
      <c r="L637" s="29">
        <f t="shared" ca="1" si="108"/>
        <v>146</v>
      </c>
      <c r="N637" s="22">
        <v>45182</v>
      </c>
      <c r="O637" s="26">
        <f t="shared" ca="1" si="90"/>
        <v>0.91217886290197092</v>
      </c>
      <c r="P637" s="29">
        <f t="shared" ca="1" si="109"/>
        <v>251</v>
      </c>
      <c r="R637" s="22">
        <v>45182</v>
      </c>
      <c r="S637" s="26">
        <f t="shared" ca="1" si="91"/>
        <v>0.96343812102258997</v>
      </c>
      <c r="T637" s="29">
        <f t="shared" ca="1" si="110"/>
        <v>156</v>
      </c>
      <c r="V637" s="22">
        <v>45182</v>
      </c>
      <c r="W637" s="26">
        <f t="shared" ca="1" si="92"/>
        <v>0.25317212605445849</v>
      </c>
      <c r="X637" s="29">
        <f t="shared" ca="1" si="111"/>
        <v>216</v>
      </c>
      <c r="Z637" s="22">
        <v>45182</v>
      </c>
      <c r="AA637" s="26">
        <f t="shared" ca="1" si="93"/>
        <v>0.61122710796755353</v>
      </c>
      <c r="AB637" s="29">
        <f t="shared" ca="1" si="112"/>
        <v>276</v>
      </c>
      <c r="AC637"/>
      <c r="AD637" s="25"/>
      <c r="AF637" s="22">
        <v>45182</v>
      </c>
      <c r="AG637" s="26">
        <f t="shared" ca="1" si="94"/>
        <v>0.23854621856647951</v>
      </c>
      <c r="AH637" s="29">
        <f t="shared" ca="1" si="113"/>
        <v>266</v>
      </c>
      <c r="AJ637" s="22">
        <v>45182</v>
      </c>
      <c r="AK637" s="26">
        <f t="shared" ca="1" si="95"/>
        <v>0.6723310985747093</v>
      </c>
      <c r="AL637" s="29">
        <f t="shared" ca="1" si="114"/>
        <v>202</v>
      </c>
      <c r="AN637" s="22">
        <v>45182</v>
      </c>
      <c r="AO637" s="26">
        <f t="shared" ca="1" si="96"/>
        <v>0.18744567987644989</v>
      </c>
      <c r="AP637" s="29">
        <f t="shared" ca="1" si="115"/>
        <v>113</v>
      </c>
      <c r="AR637" s="22">
        <v>45182</v>
      </c>
      <c r="AS637" s="26">
        <f t="shared" ca="1" si="97"/>
        <v>0.92974399342474279</v>
      </c>
      <c r="AT637" s="29">
        <f t="shared" ca="1" si="116"/>
        <v>302</v>
      </c>
      <c r="AV637" s="22">
        <v>45182</v>
      </c>
      <c r="AW637" s="26">
        <f t="shared" ca="1" si="98"/>
        <v>4.6457077411190206E-2</v>
      </c>
      <c r="AX637" s="29">
        <v>0</v>
      </c>
      <c r="AZ637" s="22">
        <v>45182</v>
      </c>
      <c r="BA637" s="26">
        <f t="shared" ca="1" si="99"/>
        <v>0.87788425754359445</v>
      </c>
      <c r="BB637" s="29">
        <v>0</v>
      </c>
      <c r="BC637"/>
      <c r="BD637" s="25"/>
      <c r="BF637" s="22">
        <v>45182</v>
      </c>
      <c r="BG637" s="26">
        <f t="shared" ca="1" si="100"/>
        <v>0.51735407971811309</v>
      </c>
      <c r="BH637" s="29">
        <v>0</v>
      </c>
      <c r="BJ637" s="22">
        <v>45182</v>
      </c>
      <c r="BK637" s="26">
        <f t="shared" ca="1" si="101"/>
        <v>0.23550212931586867</v>
      </c>
      <c r="BL637" s="29">
        <v>0</v>
      </c>
      <c r="BN637" s="22">
        <v>45182</v>
      </c>
      <c r="BO637" s="26">
        <f t="shared" ca="1" si="102"/>
        <v>0.83085122252060462</v>
      </c>
      <c r="BP637" s="29">
        <v>0</v>
      </c>
      <c r="BR637" s="22">
        <v>45182</v>
      </c>
      <c r="BS637" s="26">
        <f t="shared" ca="1" si="103"/>
        <v>0.52521612028749431</v>
      </c>
      <c r="BT637" s="29">
        <v>0</v>
      </c>
      <c r="BV637" s="22">
        <v>45182</v>
      </c>
      <c r="BW637" s="26">
        <f t="shared" ca="1" si="104"/>
        <v>0.28278773064328677</v>
      </c>
      <c r="BX637" s="29">
        <v>0</v>
      </c>
    </row>
    <row r="638" spans="2:76" ht="12.75" x14ac:dyDescent="0.2">
      <c r="B638" s="22">
        <v>45183</v>
      </c>
      <c r="C638" s="26">
        <f t="shared" ca="1" si="68"/>
        <v>0.90854976002397037</v>
      </c>
      <c r="D638" s="29">
        <f t="shared" ca="1" si="106"/>
        <v>102</v>
      </c>
      <c r="F638" s="22">
        <v>45183</v>
      </c>
      <c r="G638" s="26">
        <f t="shared" ca="1" si="88"/>
        <v>0.89247201753361771</v>
      </c>
      <c r="H638" s="29">
        <f t="shared" ca="1" si="107"/>
        <v>234</v>
      </c>
      <c r="J638" s="22">
        <v>45183</v>
      </c>
      <c r="K638" s="26">
        <f t="shared" ca="1" si="89"/>
        <v>0.2939537221737254</v>
      </c>
      <c r="L638" s="29">
        <f t="shared" ca="1" si="108"/>
        <v>145</v>
      </c>
      <c r="N638" s="22">
        <v>45183</v>
      </c>
      <c r="O638" s="26">
        <f t="shared" ca="1" si="90"/>
        <v>0.58340844317162832</v>
      </c>
      <c r="P638" s="29">
        <f t="shared" ca="1" si="109"/>
        <v>233</v>
      </c>
      <c r="R638" s="22">
        <v>45183</v>
      </c>
      <c r="S638" s="26">
        <f t="shared" ca="1" si="91"/>
        <v>4.9003292921079522E-2</v>
      </c>
      <c r="T638" s="29">
        <f t="shared" ca="1" si="110"/>
        <v>124</v>
      </c>
      <c r="V638" s="22">
        <v>45183</v>
      </c>
      <c r="W638" s="26">
        <f t="shared" ca="1" si="92"/>
        <v>0.3700740917428188</v>
      </c>
      <c r="X638" s="29">
        <f t="shared" ca="1" si="111"/>
        <v>221</v>
      </c>
      <c r="Z638" s="22">
        <v>45183</v>
      </c>
      <c r="AA638" s="26">
        <f t="shared" ca="1" si="93"/>
        <v>0.28792317177624216</v>
      </c>
      <c r="AB638" s="29">
        <f t="shared" ca="1" si="112"/>
        <v>260</v>
      </c>
      <c r="AC638"/>
      <c r="AD638" s="25"/>
      <c r="AF638" s="22">
        <v>45183</v>
      </c>
      <c r="AG638" s="26">
        <f t="shared" ca="1" si="94"/>
        <v>0.19046473779633222</v>
      </c>
      <c r="AH638" s="29">
        <f t="shared" ca="1" si="113"/>
        <v>251</v>
      </c>
      <c r="AJ638" s="22">
        <v>45183</v>
      </c>
      <c r="AK638" s="26">
        <f t="shared" ca="1" si="95"/>
        <v>0.77050013049180766</v>
      </c>
      <c r="AL638" s="29">
        <f t="shared" ca="1" si="114"/>
        <v>216</v>
      </c>
      <c r="AN638" s="22">
        <v>45183</v>
      </c>
      <c r="AO638" s="26">
        <f t="shared" ca="1" si="96"/>
        <v>6.9927078484683047E-2</v>
      </c>
      <c r="AP638" s="29">
        <f t="shared" ca="1" si="115"/>
        <v>90</v>
      </c>
      <c r="AR638" s="22">
        <v>45183</v>
      </c>
      <c r="AS638" s="26">
        <f t="shared" ca="1" si="97"/>
        <v>0.97799189937792586</v>
      </c>
      <c r="AT638" s="29">
        <f t="shared" ca="1" si="116"/>
        <v>334</v>
      </c>
      <c r="AV638" s="22">
        <v>45183</v>
      </c>
      <c r="AW638" s="26">
        <f t="shared" ca="1" si="98"/>
        <v>0.35620521319657206</v>
      </c>
      <c r="AX638" s="29">
        <v>0</v>
      </c>
      <c r="AZ638" s="22">
        <v>45183</v>
      </c>
      <c r="BA638" s="26">
        <f t="shared" ca="1" si="99"/>
        <v>2.4387833253064595E-2</v>
      </c>
      <c r="BB638" s="29">
        <v>0</v>
      </c>
      <c r="BC638"/>
      <c r="BD638" s="25"/>
      <c r="BF638" s="22">
        <v>45183</v>
      </c>
      <c r="BG638" s="26">
        <f t="shared" ca="1" si="100"/>
        <v>0.49402375696557654</v>
      </c>
      <c r="BH638" s="29">
        <v>0</v>
      </c>
      <c r="BJ638" s="22">
        <v>45183</v>
      </c>
      <c r="BK638" s="26">
        <f t="shared" ca="1" si="101"/>
        <v>0.31695627390749881</v>
      </c>
      <c r="BL638" s="29">
        <v>0</v>
      </c>
      <c r="BN638" s="22">
        <v>45183</v>
      </c>
      <c r="BO638" s="26">
        <f t="shared" ca="1" si="102"/>
        <v>0.33843793101348674</v>
      </c>
      <c r="BP638" s="29">
        <v>0</v>
      </c>
      <c r="BR638" s="22">
        <v>45183</v>
      </c>
      <c r="BS638" s="26">
        <f t="shared" ca="1" si="103"/>
        <v>0.53733892068272027</v>
      </c>
      <c r="BT638" s="29">
        <v>0</v>
      </c>
      <c r="BV638" s="22">
        <v>45183</v>
      </c>
      <c r="BW638" s="26">
        <f t="shared" ca="1" si="104"/>
        <v>9.1844020757872569E-2</v>
      </c>
      <c r="BX638" s="29">
        <v>0</v>
      </c>
    </row>
    <row r="639" spans="2:76" ht="12.75" x14ac:dyDescent="0.2">
      <c r="B639" s="22">
        <v>45184</v>
      </c>
      <c r="C639" s="26">
        <f t="shared" ca="1" si="68"/>
        <v>0.72633464722826679</v>
      </c>
      <c r="D639" s="29">
        <f t="shared" ca="1" si="106"/>
        <v>88</v>
      </c>
      <c r="F639" s="22">
        <v>45184</v>
      </c>
      <c r="G639" s="26">
        <f t="shared" ca="1" si="88"/>
        <v>0.22786599866334922</v>
      </c>
      <c r="H639" s="29">
        <f t="shared" ca="1" si="107"/>
        <v>205</v>
      </c>
      <c r="J639" s="22">
        <v>45184</v>
      </c>
      <c r="K639" s="26">
        <f t="shared" ca="1" si="89"/>
        <v>0.22591258475208498</v>
      </c>
      <c r="L639" s="29">
        <f t="shared" ca="1" si="108"/>
        <v>143</v>
      </c>
      <c r="N639" s="22">
        <v>45184</v>
      </c>
      <c r="O639" s="26">
        <f t="shared" ca="1" si="90"/>
        <v>0.35520350602702111</v>
      </c>
      <c r="P639" s="29">
        <f t="shared" ca="1" si="109"/>
        <v>224</v>
      </c>
      <c r="R639" s="22">
        <v>45184</v>
      </c>
      <c r="S639" s="26">
        <f t="shared" ca="1" si="91"/>
        <v>0.25713775509309655</v>
      </c>
      <c r="T639" s="29">
        <f t="shared" ca="1" si="110"/>
        <v>133</v>
      </c>
      <c r="V639" s="22">
        <v>45184</v>
      </c>
      <c r="W639" s="26">
        <f t="shared" ca="1" si="92"/>
        <v>8.1665622033048058E-2</v>
      </c>
      <c r="X639" s="29">
        <f t="shared" ca="1" si="111"/>
        <v>205</v>
      </c>
      <c r="Z639" s="22">
        <v>45184</v>
      </c>
      <c r="AA639" s="26">
        <f t="shared" ca="1" si="93"/>
        <v>0.11965355838650582</v>
      </c>
      <c r="AB639" s="29">
        <f t="shared" ca="1" si="112"/>
        <v>249</v>
      </c>
      <c r="AC639"/>
      <c r="AD639" s="25"/>
      <c r="AF639" s="22">
        <v>45184</v>
      </c>
      <c r="AG639" s="26">
        <f t="shared" ca="1" si="94"/>
        <v>9.4052644698303323E-2</v>
      </c>
      <c r="AH639" s="29">
        <f t="shared" ca="1" si="113"/>
        <v>213</v>
      </c>
      <c r="AJ639" s="22">
        <v>45184</v>
      </c>
      <c r="AK639" s="26">
        <f t="shared" ca="1" si="95"/>
        <v>0.56311113821809156</v>
      </c>
      <c r="AL639" s="29">
        <f t="shared" ca="1" si="114"/>
        <v>188</v>
      </c>
      <c r="AN639" s="22">
        <v>45184</v>
      </c>
      <c r="AO639" s="26">
        <f t="shared" ca="1" si="96"/>
        <v>0.87215447086362963</v>
      </c>
      <c r="AP639" s="29">
        <f t="shared" ca="1" si="115"/>
        <v>192</v>
      </c>
      <c r="AR639" s="22">
        <v>45184</v>
      </c>
      <c r="AS639" s="26">
        <f t="shared" ca="1" si="97"/>
        <v>0.25091043160833815</v>
      </c>
      <c r="AT639" s="29">
        <f t="shared" ca="1" si="116"/>
        <v>178</v>
      </c>
      <c r="AV639" s="22">
        <v>45184</v>
      </c>
      <c r="AW639" s="26">
        <f t="shared" ca="1" si="98"/>
        <v>0.50581901726884815</v>
      </c>
      <c r="AX639" s="29">
        <v>0</v>
      </c>
      <c r="AZ639" s="22">
        <v>45184</v>
      </c>
      <c r="BA639" s="26">
        <f t="shared" ca="1" si="99"/>
        <v>0.20114030774341973</v>
      </c>
      <c r="BB639" s="29">
        <v>0</v>
      </c>
      <c r="BC639"/>
      <c r="BD639" s="25"/>
      <c r="BF639" s="22">
        <v>45184</v>
      </c>
      <c r="BG639" s="26">
        <f t="shared" ca="1" si="100"/>
        <v>5.1172577470677494E-2</v>
      </c>
      <c r="BH639" s="29">
        <v>0</v>
      </c>
      <c r="BJ639" s="22">
        <v>45184</v>
      </c>
      <c r="BK639" s="26">
        <f t="shared" ca="1" si="101"/>
        <v>0.37116615114936224</v>
      </c>
      <c r="BL639" s="29">
        <v>0</v>
      </c>
      <c r="BN639" s="22">
        <v>45184</v>
      </c>
      <c r="BO639" s="26">
        <f t="shared" ca="1" si="102"/>
        <v>0.84479236731296659</v>
      </c>
      <c r="BP639" s="29">
        <v>0</v>
      </c>
      <c r="BR639" s="22">
        <v>45184</v>
      </c>
      <c r="BS639" s="26">
        <f t="shared" ca="1" si="103"/>
        <v>3.34918451055366E-2</v>
      </c>
      <c r="BT639" s="29">
        <v>0</v>
      </c>
      <c r="BV639" s="22">
        <v>45184</v>
      </c>
      <c r="BW639" s="26">
        <f t="shared" ca="1" si="104"/>
        <v>0.98917625674667864</v>
      </c>
      <c r="BX639" s="29">
        <v>0</v>
      </c>
    </row>
    <row r="640" spans="2:76" ht="12.75" x14ac:dyDescent="0.2">
      <c r="B640" s="22">
        <v>45185</v>
      </c>
      <c r="C640" s="26">
        <f t="shared" ca="1" si="68"/>
        <v>0.36419434340641055</v>
      </c>
      <c r="D640" s="29">
        <f t="shared" ca="1" si="106"/>
        <v>69</v>
      </c>
      <c r="F640" s="22">
        <v>45185</v>
      </c>
      <c r="G640" s="26">
        <f t="shared" ca="1" si="88"/>
        <v>0.1625582467514386</v>
      </c>
      <c r="H640" s="29">
        <f t="shared" ca="1" si="107"/>
        <v>202</v>
      </c>
      <c r="J640" s="22">
        <v>45185</v>
      </c>
      <c r="K640" s="26">
        <f t="shared" ca="1" si="89"/>
        <v>0.98737567178110663</v>
      </c>
      <c r="L640" s="29">
        <f t="shared" ca="1" si="108"/>
        <v>173</v>
      </c>
      <c r="N640" s="22">
        <v>45185</v>
      </c>
      <c r="O640" s="26">
        <f t="shared" ca="1" si="90"/>
        <v>3.5214368264454787E-2</v>
      </c>
      <c r="P640" s="29">
        <f t="shared" ca="1" si="109"/>
        <v>202</v>
      </c>
      <c r="R640" s="22">
        <v>45185</v>
      </c>
      <c r="S640" s="26">
        <f t="shared" ca="1" si="91"/>
        <v>0.14244052017931208</v>
      </c>
      <c r="T640" s="29">
        <f t="shared" ca="1" si="110"/>
        <v>129</v>
      </c>
      <c r="V640" s="22">
        <v>45185</v>
      </c>
      <c r="W640" s="26">
        <f t="shared" ca="1" si="92"/>
        <v>0.43898199533822102</v>
      </c>
      <c r="X640" s="29">
        <f t="shared" ca="1" si="111"/>
        <v>223</v>
      </c>
      <c r="Z640" s="22">
        <v>45185</v>
      </c>
      <c r="AA640" s="26">
        <f t="shared" ca="1" si="93"/>
        <v>7.2539876673546999E-2</v>
      </c>
      <c r="AB640" s="29">
        <f t="shared" ca="1" si="112"/>
        <v>244</v>
      </c>
      <c r="AC640"/>
      <c r="AD640" s="25"/>
      <c r="AF640" s="22">
        <v>45185</v>
      </c>
      <c r="AG640" s="26">
        <f t="shared" ca="1" si="94"/>
        <v>0.29869273006497177</v>
      </c>
      <c r="AH640" s="29">
        <f t="shared" ca="1" si="113"/>
        <v>281</v>
      </c>
      <c r="AJ640" s="22">
        <v>45185</v>
      </c>
      <c r="AK640" s="26">
        <f t="shared" ca="1" si="95"/>
        <v>0.39785291363871145</v>
      </c>
      <c r="AL640" s="29">
        <f t="shared" ca="1" si="114"/>
        <v>168</v>
      </c>
      <c r="AN640" s="22">
        <v>45185</v>
      </c>
      <c r="AO640" s="26">
        <f t="shared" ca="1" si="96"/>
        <v>0.23037302479322952</v>
      </c>
      <c r="AP640" s="29">
        <f t="shared" ca="1" si="115"/>
        <v>119</v>
      </c>
      <c r="AR640" s="22">
        <v>45185</v>
      </c>
      <c r="AS640" s="26">
        <f t="shared" ca="1" si="97"/>
        <v>0.68868999641990203</v>
      </c>
      <c r="AT640" s="29">
        <f t="shared" ca="1" si="116"/>
        <v>246</v>
      </c>
      <c r="AV640" s="22">
        <v>45185</v>
      </c>
      <c r="AW640" s="26">
        <f t="shared" ca="1" si="98"/>
        <v>0.80077785166115545</v>
      </c>
      <c r="AX640" s="29">
        <v>0</v>
      </c>
      <c r="AZ640" s="22">
        <v>45185</v>
      </c>
      <c r="BA640" s="26">
        <f t="shared" ca="1" si="99"/>
        <v>0.95684315995393898</v>
      </c>
      <c r="BB640" s="29">
        <v>0</v>
      </c>
      <c r="BC640"/>
      <c r="BD640" s="25"/>
      <c r="BF640" s="22">
        <v>45185</v>
      </c>
      <c r="BG640" s="26">
        <f t="shared" ca="1" si="100"/>
        <v>0.86298637680868928</v>
      </c>
      <c r="BH640" s="29">
        <v>0</v>
      </c>
      <c r="BJ640" s="22">
        <v>45185</v>
      </c>
      <c r="BK640" s="26">
        <f t="shared" ca="1" si="101"/>
        <v>0.89842388820798669</v>
      </c>
      <c r="BL640" s="29">
        <v>0</v>
      </c>
      <c r="BN640" s="22">
        <v>45185</v>
      </c>
      <c r="BO640" s="26">
        <f t="shared" ca="1" si="102"/>
        <v>0.66600981040282059</v>
      </c>
      <c r="BP640" s="29">
        <v>0</v>
      </c>
      <c r="BR640" s="22">
        <v>45185</v>
      </c>
      <c r="BS640" s="26">
        <f t="shared" ca="1" si="103"/>
        <v>0.57450479965983137</v>
      </c>
      <c r="BT640" s="29">
        <v>0</v>
      </c>
      <c r="BV640" s="22">
        <v>45185</v>
      </c>
      <c r="BW640" s="26">
        <f t="shared" ca="1" si="104"/>
        <v>0.93952338985508654</v>
      </c>
      <c r="BX640" s="29">
        <v>0</v>
      </c>
    </row>
    <row r="641" spans="2:77" ht="12.75" x14ac:dyDescent="0.2">
      <c r="B641" s="22">
        <v>45186</v>
      </c>
      <c r="C641" s="26">
        <f t="shared" ca="1" si="68"/>
        <v>0.40250348694311622</v>
      </c>
      <c r="D641" s="29">
        <f t="shared" ca="1" si="106"/>
        <v>71</v>
      </c>
      <c r="F641" s="22">
        <v>45186</v>
      </c>
      <c r="G641" s="26">
        <f t="shared" ca="1" si="88"/>
        <v>0.28249155504904611</v>
      </c>
      <c r="H641" s="29">
        <f t="shared" ca="1" si="107"/>
        <v>208</v>
      </c>
      <c r="J641" s="22">
        <v>45186</v>
      </c>
      <c r="K641" s="26">
        <f t="shared" ca="1" si="89"/>
        <v>8.0155638748124369E-2</v>
      </c>
      <c r="L641" s="29">
        <f t="shared" ca="1" si="108"/>
        <v>136</v>
      </c>
      <c r="N641" s="22">
        <v>45186</v>
      </c>
      <c r="O641" s="26">
        <f t="shared" ca="1" si="90"/>
        <v>0.85221426129428479</v>
      </c>
      <c r="P641" s="29">
        <f t="shared" ca="1" si="109"/>
        <v>246</v>
      </c>
      <c r="R641" s="22">
        <v>45186</v>
      </c>
      <c r="S641" s="26">
        <f t="shared" ca="1" si="91"/>
        <v>0.86884289574323548</v>
      </c>
      <c r="T641" s="29">
        <f t="shared" ca="1" si="110"/>
        <v>150</v>
      </c>
      <c r="V641" s="22">
        <v>45186</v>
      </c>
      <c r="W641" s="26">
        <f t="shared" ca="1" si="92"/>
        <v>0.77401514268463589</v>
      </c>
      <c r="X641" s="29">
        <f t="shared" ca="1" si="111"/>
        <v>237</v>
      </c>
      <c r="Z641" s="22">
        <v>45186</v>
      </c>
      <c r="AA641" s="26">
        <f t="shared" ca="1" si="93"/>
        <v>0.89805194924417808</v>
      </c>
      <c r="AB641" s="29">
        <f t="shared" ca="1" si="112"/>
        <v>293</v>
      </c>
      <c r="AC641"/>
      <c r="AD641" s="25"/>
      <c r="AF641" s="22">
        <v>45186</v>
      </c>
      <c r="AG641" s="26">
        <f t="shared" ca="1" si="94"/>
        <v>0.39763702056873795</v>
      </c>
      <c r="AH641" s="29">
        <f t="shared" ca="1" si="113"/>
        <v>305</v>
      </c>
      <c r="AJ641" s="22">
        <v>45186</v>
      </c>
      <c r="AK641" s="26">
        <f t="shared" ca="1" si="95"/>
        <v>0.37442019239531454</v>
      </c>
      <c r="AL641" s="29">
        <f t="shared" ca="1" si="114"/>
        <v>165</v>
      </c>
      <c r="AN641" s="22">
        <v>45186</v>
      </c>
      <c r="AO641" s="26">
        <f t="shared" ca="1" si="96"/>
        <v>0.70691038694244313</v>
      </c>
      <c r="AP641" s="29">
        <f t="shared" ca="1" si="115"/>
        <v>169</v>
      </c>
      <c r="AR641" s="22">
        <v>45186</v>
      </c>
      <c r="AS641" s="26">
        <f t="shared" ca="1" si="97"/>
        <v>0.14700983545678381</v>
      </c>
      <c r="AT641" s="29">
        <f t="shared" ca="1" si="116"/>
        <v>157</v>
      </c>
      <c r="AV641" s="22">
        <v>45186</v>
      </c>
      <c r="AW641" s="26">
        <f t="shared" ca="1" si="98"/>
        <v>0.59640357685874679</v>
      </c>
      <c r="AX641" s="29">
        <v>0</v>
      </c>
      <c r="AZ641" s="22">
        <v>45186</v>
      </c>
      <c r="BA641" s="26">
        <f t="shared" ca="1" si="99"/>
        <v>0.83595593657072509</v>
      </c>
      <c r="BB641" s="29">
        <v>0</v>
      </c>
      <c r="BC641"/>
      <c r="BD641" s="25"/>
      <c r="BF641" s="22">
        <v>45186</v>
      </c>
      <c r="BG641" s="26">
        <f t="shared" ca="1" si="100"/>
        <v>0.25380820525177794</v>
      </c>
      <c r="BH641" s="29">
        <v>0</v>
      </c>
      <c r="BJ641" s="22">
        <v>45186</v>
      </c>
      <c r="BK641" s="26">
        <f t="shared" ca="1" si="101"/>
        <v>0.74316252718272358</v>
      </c>
      <c r="BL641" s="29">
        <v>0</v>
      </c>
      <c r="BN641" s="22">
        <v>45186</v>
      </c>
      <c r="BO641" s="26">
        <f t="shared" ca="1" si="102"/>
        <v>0.62687399402318333</v>
      </c>
      <c r="BP641" s="29">
        <v>0</v>
      </c>
      <c r="BR641" s="22">
        <v>45186</v>
      </c>
      <c r="BS641" s="26">
        <f t="shared" ca="1" si="103"/>
        <v>0.8335440754522816</v>
      </c>
      <c r="BT641" s="29">
        <v>0</v>
      </c>
      <c r="BV641" s="22">
        <v>45186</v>
      </c>
      <c r="BW641" s="26">
        <f t="shared" ca="1" si="104"/>
        <v>0.2532658725758471</v>
      </c>
      <c r="BX641" s="29">
        <v>0</v>
      </c>
    </row>
    <row r="642" spans="2:77" ht="12.75" x14ac:dyDescent="0.2">
      <c r="B642" s="22">
        <v>45187</v>
      </c>
      <c r="C642" s="26">
        <f t="shared" ca="1" si="68"/>
        <v>0.1375932860435356</v>
      </c>
      <c r="D642" s="29">
        <f t="shared" ca="1" si="106"/>
        <v>54</v>
      </c>
      <c r="F642" s="22">
        <v>45187</v>
      </c>
      <c r="G642" s="26">
        <f t="shared" ca="1" si="88"/>
        <v>0.89998268113902269</v>
      </c>
      <c r="H642" s="29">
        <f t="shared" ca="1" si="107"/>
        <v>234</v>
      </c>
      <c r="J642" s="22">
        <v>45187</v>
      </c>
      <c r="K642" s="26">
        <f t="shared" ca="1" si="89"/>
        <v>0.88634836986378929</v>
      </c>
      <c r="L642" s="29">
        <f t="shared" ca="1" si="108"/>
        <v>163</v>
      </c>
      <c r="N642" s="22">
        <v>45187</v>
      </c>
      <c r="O642" s="26">
        <f t="shared" ca="1" si="90"/>
        <v>0.78013536468636768</v>
      </c>
      <c r="P642" s="29">
        <f t="shared" ca="1" si="109"/>
        <v>242</v>
      </c>
      <c r="R642" s="22">
        <v>45187</v>
      </c>
      <c r="S642" s="26">
        <f t="shared" ca="1" si="91"/>
        <v>0.77592899044900299</v>
      </c>
      <c r="T642" s="29">
        <f t="shared" ca="1" si="110"/>
        <v>146</v>
      </c>
      <c r="V642" s="22">
        <v>45187</v>
      </c>
      <c r="W642" s="26">
        <f t="shared" ca="1" si="92"/>
        <v>0.45561120417409573</v>
      </c>
      <c r="X642" s="29">
        <f t="shared" ca="1" si="111"/>
        <v>224</v>
      </c>
      <c r="Z642" s="22">
        <v>45187</v>
      </c>
      <c r="AA642" s="26">
        <f t="shared" ca="1" si="93"/>
        <v>0.30628233444179087</v>
      </c>
      <c r="AB642" s="29">
        <f t="shared" ca="1" si="112"/>
        <v>261</v>
      </c>
      <c r="AC642"/>
      <c r="AD642" s="25"/>
      <c r="AF642" s="22">
        <v>45187</v>
      </c>
      <c r="AG642" s="26">
        <f t="shared" ca="1" si="94"/>
        <v>0.12537544013614754</v>
      </c>
      <c r="AH642" s="29">
        <f t="shared" ca="1" si="113"/>
        <v>227</v>
      </c>
      <c r="AJ642" s="22">
        <v>45187</v>
      </c>
      <c r="AK642" s="26">
        <f t="shared" ca="1" si="95"/>
        <v>0.70698754586942503</v>
      </c>
      <c r="AL642" s="29">
        <f t="shared" ca="1" si="114"/>
        <v>206</v>
      </c>
      <c r="AN642" s="22">
        <v>45187</v>
      </c>
      <c r="AO642" s="26">
        <f t="shared" ca="1" si="96"/>
        <v>0.79835753336992077</v>
      </c>
      <c r="AP642" s="29">
        <f t="shared" ca="1" si="115"/>
        <v>180</v>
      </c>
      <c r="AR642" s="22">
        <v>45187</v>
      </c>
      <c r="AS642" s="26">
        <f t="shared" ca="1" si="97"/>
        <v>0.68515077514134848</v>
      </c>
      <c r="AT642" s="29">
        <f t="shared" ca="1" si="116"/>
        <v>245</v>
      </c>
      <c r="AV642" s="22">
        <v>45187</v>
      </c>
      <c r="AW642" s="26">
        <f t="shared" ca="1" si="98"/>
        <v>0.8737790787736277</v>
      </c>
      <c r="AX642" s="29">
        <v>0</v>
      </c>
      <c r="AZ642" s="22">
        <v>45187</v>
      </c>
      <c r="BA642" s="26">
        <f t="shared" ca="1" si="99"/>
        <v>0.34759369651494221</v>
      </c>
      <c r="BB642" s="29">
        <v>0</v>
      </c>
      <c r="BC642"/>
      <c r="BD642" s="25"/>
      <c r="BF642" s="22">
        <v>45187</v>
      </c>
      <c r="BG642" s="26">
        <f t="shared" ca="1" si="100"/>
        <v>0.90172835896135173</v>
      </c>
      <c r="BH642" s="29">
        <v>0</v>
      </c>
      <c r="BJ642" s="22">
        <v>45187</v>
      </c>
      <c r="BK642" s="26">
        <f t="shared" ca="1" si="101"/>
        <v>0.77345935343402639</v>
      </c>
      <c r="BL642" s="29">
        <v>0</v>
      </c>
      <c r="BN642" s="22">
        <v>45187</v>
      </c>
      <c r="BO642" s="26">
        <f t="shared" ca="1" si="102"/>
        <v>0.24848411963603967</v>
      </c>
      <c r="BP642" s="29">
        <v>0</v>
      </c>
      <c r="BR642" s="22">
        <v>45187</v>
      </c>
      <c r="BS642" s="26">
        <f t="shared" ca="1" si="103"/>
        <v>0.91460511650861553</v>
      </c>
      <c r="BT642" s="29">
        <v>0</v>
      </c>
      <c r="BV642" s="22">
        <v>45187</v>
      </c>
      <c r="BW642" s="26">
        <f t="shared" ca="1" si="104"/>
        <v>0.53525154709577694</v>
      </c>
      <c r="BX642" s="29">
        <v>0</v>
      </c>
    </row>
    <row r="643" spans="2:77" ht="12.75" x14ac:dyDescent="0.2">
      <c r="B643" s="22">
        <v>45188</v>
      </c>
      <c r="C643" s="26">
        <f t="shared" ca="1" si="68"/>
        <v>0.27602047110584049</v>
      </c>
      <c r="D643" s="29">
        <f t="shared" ca="1" si="106"/>
        <v>64</v>
      </c>
      <c r="F643" s="22">
        <v>45188</v>
      </c>
      <c r="G643" s="26">
        <f t="shared" ca="1" si="88"/>
        <v>0.92470889194395722</v>
      </c>
      <c r="H643" s="29">
        <f t="shared" ca="1" si="107"/>
        <v>237</v>
      </c>
      <c r="J643" s="22">
        <v>45188</v>
      </c>
      <c r="K643" s="26">
        <f t="shared" ca="1" si="89"/>
        <v>0.13943141662318881</v>
      </c>
      <c r="L643" s="29">
        <f t="shared" ca="1" si="108"/>
        <v>140</v>
      </c>
      <c r="N643" s="22">
        <v>45188</v>
      </c>
      <c r="O643" s="26">
        <f t="shared" ca="1" si="90"/>
        <v>0.71380316072675642</v>
      </c>
      <c r="P643" s="29">
        <f t="shared" ca="1" si="109"/>
        <v>238</v>
      </c>
      <c r="R643" s="22">
        <v>45188</v>
      </c>
      <c r="S643" s="26">
        <f t="shared" ca="1" si="91"/>
        <v>0.54791278104082686</v>
      </c>
      <c r="T643" s="29">
        <f t="shared" ca="1" si="110"/>
        <v>140</v>
      </c>
      <c r="V643" s="22">
        <v>45188</v>
      </c>
      <c r="W643" s="26">
        <f t="shared" ca="1" si="92"/>
        <v>0.72451537090102225</v>
      </c>
      <c r="X643" s="29">
        <f t="shared" ca="1" si="111"/>
        <v>234</v>
      </c>
      <c r="Z643" s="22">
        <v>45188</v>
      </c>
      <c r="AA643" s="26">
        <f t="shared" ca="1" si="93"/>
        <v>0.72303795090011824</v>
      </c>
      <c r="AB643" s="29">
        <f t="shared" ca="1" si="112"/>
        <v>281</v>
      </c>
      <c r="AC643"/>
      <c r="AD643" s="25"/>
      <c r="AF643" s="22">
        <v>45188</v>
      </c>
      <c r="AG643" s="26">
        <f t="shared" ca="1" si="94"/>
        <v>0.53539124566662355</v>
      </c>
      <c r="AH643" s="29">
        <f t="shared" ca="1" si="113"/>
        <v>335</v>
      </c>
      <c r="AJ643" s="22">
        <v>45188</v>
      </c>
      <c r="AK643" s="26">
        <f t="shared" ca="1" si="95"/>
        <v>0.5937639928952605</v>
      </c>
      <c r="AL643" s="29">
        <f t="shared" ca="1" si="114"/>
        <v>192</v>
      </c>
      <c r="AN643" s="22">
        <v>45188</v>
      </c>
      <c r="AO643" s="26">
        <f t="shared" ca="1" si="96"/>
        <v>0.23490844817712109</v>
      </c>
      <c r="AP643" s="29">
        <f t="shared" ca="1" si="115"/>
        <v>119</v>
      </c>
      <c r="AR643" s="22">
        <v>45188</v>
      </c>
      <c r="AS643" s="26">
        <f t="shared" ca="1" si="97"/>
        <v>0.62481849157445113</v>
      </c>
      <c r="AT643" s="29">
        <f t="shared" ca="1" si="116"/>
        <v>236</v>
      </c>
      <c r="AV643" s="22">
        <v>45188</v>
      </c>
      <c r="AW643" s="26">
        <f t="shared" ca="1" si="98"/>
        <v>0.8911107343652902</v>
      </c>
      <c r="AX643" s="29">
        <v>0</v>
      </c>
      <c r="AZ643" s="22">
        <v>45188</v>
      </c>
      <c r="BA643" s="26">
        <f t="shared" ca="1" si="99"/>
        <v>0.56476295464237447</v>
      </c>
      <c r="BB643" s="29">
        <v>0</v>
      </c>
      <c r="BC643"/>
      <c r="BD643" s="25"/>
      <c r="BF643" s="22">
        <v>45188</v>
      </c>
      <c r="BG643" s="26">
        <f t="shared" ca="1" si="100"/>
        <v>0.28688910837197867</v>
      </c>
      <c r="BH643" s="29">
        <v>0</v>
      </c>
      <c r="BJ643" s="22">
        <v>45188</v>
      </c>
      <c r="BK643" s="26">
        <f t="shared" ca="1" si="101"/>
        <v>0.74265414583942257</v>
      </c>
      <c r="BL643" s="29">
        <v>0</v>
      </c>
      <c r="BN643" s="22">
        <v>45188</v>
      </c>
      <c r="BO643" s="26">
        <f t="shared" ca="1" si="102"/>
        <v>0.11121291017116097</v>
      </c>
      <c r="BP643" s="29">
        <v>0</v>
      </c>
      <c r="BR643" s="22">
        <v>45188</v>
      </c>
      <c r="BS643" s="26">
        <f t="shared" ca="1" si="103"/>
        <v>0.3741577175193963</v>
      </c>
      <c r="BT643" s="29">
        <v>0</v>
      </c>
      <c r="BV643" s="22">
        <v>45188</v>
      </c>
      <c r="BW643" s="26">
        <f t="shared" ca="1" si="104"/>
        <v>0.19458290609787787</v>
      </c>
      <c r="BX643" s="29">
        <v>0</v>
      </c>
    </row>
    <row r="644" spans="2:77" ht="12.75" x14ac:dyDescent="0.2">
      <c r="B644" s="22">
        <v>45189</v>
      </c>
      <c r="C644" s="26">
        <f t="shared" ca="1" si="68"/>
        <v>0.62843341431503663</v>
      </c>
      <c r="D644" s="29">
        <f t="shared" ca="1" si="106"/>
        <v>82</v>
      </c>
      <c r="F644" s="22">
        <v>45189</v>
      </c>
      <c r="G644" s="26">
        <f t="shared" ca="1" si="88"/>
        <v>0.41593724680612165</v>
      </c>
      <c r="H644" s="29">
        <f t="shared" ca="1" si="107"/>
        <v>213</v>
      </c>
      <c r="J644" s="22">
        <v>45189</v>
      </c>
      <c r="K644" s="26">
        <f t="shared" ca="1" si="89"/>
        <v>0.56750004610916993</v>
      </c>
      <c r="L644" s="29">
        <f t="shared" ca="1" si="108"/>
        <v>152</v>
      </c>
      <c r="N644" s="22">
        <v>45189</v>
      </c>
      <c r="O644" s="26">
        <f t="shared" ca="1" si="90"/>
        <v>0.34991399987169269</v>
      </c>
      <c r="P644" s="29">
        <f t="shared" ca="1" si="109"/>
        <v>224</v>
      </c>
      <c r="R644" s="22">
        <v>45189</v>
      </c>
      <c r="S644" s="26">
        <f t="shared" ca="1" si="91"/>
        <v>0.52368998402127953</v>
      </c>
      <c r="T644" s="29">
        <f t="shared" ca="1" si="110"/>
        <v>140</v>
      </c>
      <c r="V644" s="22">
        <v>45189</v>
      </c>
      <c r="W644" s="26">
        <f t="shared" ca="1" si="92"/>
        <v>0.52855108296020448</v>
      </c>
      <c r="X644" s="29">
        <f t="shared" ca="1" si="111"/>
        <v>227</v>
      </c>
      <c r="Z644" s="22">
        <v>45189</v>
      </c>
      <c r="AA644" s="26">
        <f t="shared" ca="1" si="93"/>
        <v>0.49080577734825437</v>
      </c>
      <c r="AB644" s="29">
        <f t="shared" ca="1" si="112"/>
        <v>270</v>
      </c>
      <c r="AC644"/>
      <c r="AD644" s="25"/>
      <c r="AF644" s="22">
        <v>45189</v>
      </c>
      <c r="AG644" s="26">
        <f t="shared" ca="1" si="94"/>
        <v>0.25903605746009861</v>
      </c>
      <c r="AH644" s="29">
        <f t="shared" ca="1" si="113"/>
        <v>271</v>
      </c>
      <c r="AJ644" s="22">
        <v>45189</v>
      </c>
      <c r="AK644" s="26">
        <f t="shared" ca="1" si="95"/>
        <v>0.63233663180443356</v>
      </c>
      <c r="AL644" s="29">
        <f t="shared" ca="1" si="114"/>
        <v>197</v>
      </c>
      <c r="AN644" s="22">
        <v>45189</v>
      </c>
      <c r="AO644" s="26">
        <f t="shared" ca="1" si="96"/>
        <v>0.35783186185986138</v>
      </c>
      <c r="AP644" s="29">
        <f t="shared" ca="1" si="115"/>
        <v>133</v>
      </c>
      <c r="AR644" s="22">
        <v>45189</v>
      </c>
      <c r="AS644" s="26">
        <f t="shared" ca="1" si="97"/>
        <v>0.88869633542661908</v>
      </c>
      <c r="AT644" s="29">
        <f t="shared" ca="1" si="116"/>
        <v>288</v>
      </c>
      <c r="AV644" s="22">
        <v>45189</v>
      </c>
      <c r="AW644" s="26">
        <f t="shared" ca="1" si="98"/>
        <v>0.71281542619933702</v>
      </c>
      <c r="AX644" s="29">
        <v>0</v>
      </c>
      <c r="AZ644" s="22">
        <v>45189</v>
      </c>
      <c r="BA644" s="26">
        <f t="shared" ca="1" si="99"/>
        <v>0.15472575490791396</v>
      </c>
      <c r="BB644" s="29">
        <v>0</v>
      </c>
      <c r="BC644"/>
      <c r="BD644" s="25"/>
      <c r="BF644" s="22">
        <v>45189</v>
      </c>
      <c r="BG644" s="26">
        <f t="shared" ca="1" si="100"/>
        <v>0.54259368896475768</v>
      </c>
      <c r="BH644" s="29">
        <v>0</v>
      </c>
      <c r="BJ644" s="22">
        <v>45189</v>
      </c>
      <c r="BK644" s="26">
        <f t="shared" ca="1" si="101"/>
        <v>0.19482776146321623</v>
      </c>
      <c r="BL644" s="29">
        <v>0</v>
      </c>
      <c r="BN644" s="22">
        <v>45189</v>
      </c>
      <c r="BO644" s="26">
        <f t="shared" ca="1" si="102"/>
        <v>0.20188727180064481</v>
      </c>
      <c r="BP644" s="29">
        <v>0</v>
      </c>
      <c r="BR644" s="22">
        <v>45189</v>
      </c>
      <c r="BS644" s="26">
        <f t="shared" ca="1" si="103"/>
        <v>0.36875455410323332</v>
      </c>
      <c r="BT644" s="29">
        <v>0</v>
      </c>
      <c r="BV644" s="22">
        <v>45189</v>
      </c>
      <c r="BW644" s="26">
        <f t="shared" ca="1" si="104"/>
        <v>0.97860492002330945</v>
      </c>
      <c r="BX644" s="29">
        <v>0</v>
      </c>
    </row>
    <row r="645" spans="2:77" ht="12.75" x14ac:dyDescent="0.2">
      <c r="B645" s="22">
        <v>45190</v>
      </c>
      <c r="C645" s="26">
        <f t="shared" ca="1" si="68"/>
        <v>0.45482968827978354</v>
      </c>
      <c r="D645" s="29">
        <f t="shared" ca="1" si="106"/>
        <v>73</v>
      </c>
      <c r="F645" s="22">
        <v>45190</v>
      </c>
      <c r="G645" s="26">
        <f t="shared" ca="1" si="88"/>
        <v>9.1047254659616828E-2</v>
      </c>
      <c r="H645" s="29">
        <f t="shared" ca="1" si="107"/>
        <v>197</v>
      </c>
      <c r="J645" s="22">
        <v>45190</v>
      </c>
      <c r="K645" s="26">
        <f t="shared" ca="1" si="89"/>
        <v>0.44281629413684043</v>
      </c>
      <c r="L645" s="29">
        <f t="shared" ca="1" si="108"/>
        <v>149</v>
      </c>
      <c r="N645" s="22">
        <v>45190</v>
      </c>
      <c r="O645" s="26">
        <f t="shared" ca="1" si="90"/>
        <v>0.52329435809089353</v>
      </c>
      <c r="P645" s="29">
        <f t="shared" ca="1" si="109"/>
        <v>231</v>
      </c>
      <c r="R645" s="22">
        <v>45190</v>
      </c>
      <c r="S645" s="26">
        <f t="shared" ca="1" si="91"/>
        <v>0.37257172888103096</v>
      </c>
      <c r="T645" s="29">
        <f t="shared" ca="1" si="110"/>
        <v>136</v>
      </c>
      <c r="V645" s="22">
        <v>45190</v>
      </c>
      <c r="W645" s="26">
        <f t="shared" ca="1" si="92"/>
        <v>0.90178696487999321</v>
      </c>
      <c r="X645" s="29">
        <f t="shared" ca="1" si="111"/>
        <v>245</v>
      </c>
      <c r="Z645" s="22">
        <v>45190</v>
      </c>
      <c r="AA645" s="26">
        <f t="shared" ca="1" si="93"/>
        <v>0.97939466845813217</v>
      </c>
      <c r="AB645" s="29">
        <f t="shared" ca="1" si="112"/>
        <v>307</v>
      </c>
      <c r="AC645"/>
      <c r="AD645" s="25"/>
      <c r="AF645" s="22">
        <v>45190</v>
      </c>
      <c r="AG645" s="26">
        <f t="shared" ca="1" si="94"/>
        <v>0.84439052839350626</v>
      </c>
      <c r="AH645" s="29">
        <f t="shared" ca="1" si="113"/>
        <v>416</v>
      </c>
      <c r="AJ645" s="22">
        <v>45190</v>
      </c>
      <c r="AK645" s="26">
        <f t="shared" ca="1" si="95"/>
        <v>0.54994330700270455</v>
      </c>
      <c r="AL645" s="29">
        <f t="shared" ca="1" si="114"/>
        <v>186</v>
      </c>
      <c r="AN645" s="22">
        <v>45190</v>
      </c>
      <c r="AO645" s="26">
        <f t="shared" ca="1" si="96"/>
        <v>0.19436766751370416</v>
      </c>
      <c r="AP645" s="29">
        <f t="shared" ca="1" si="115"/>
        <v>114</v>
      </c>
      <c r="AR645" s="22">
        <v>45190</v>
      </c>
      <c r="AS645" s="26">
        <f t="shared" ca="1" si="97"/>
        <v>0.61845990885372271</v>
      </c>
      <c r="AT645" s="29">
        <f t="shared" ca="1" si="116"/>
        <v>235</v>
      </c>
      <c r="AV645" s="22">
        <v>45190</v>
      </c>
      <c r="AW645" s="26">
        <f t="shared" ca="1" si="98"/>
        <v>0.85858880564295681</v>
      </c>
      <c r="AX645" s="29">
        <v>0</v>
      </c>
      <c r="AZ645" s="22">
        <v>45190</v>
      </c>
      <c r="BA645" s="26">
        <f t="shared" ca="1" si="99"/>
        <v>0.98735112338168829</v>
      </c>
      <c r="BB645" s="29">
        <v>0</v>
      </c>
      <c r="BC645"/>
      <c r="BD645" s="25"/>
      <c r="BF645" s="22">
        <v>45190</v>
      </c>
      <c r="BG645" s="26">
        <f t="shared" ca="1" si="100"/>
        <v>0.10295361727718677</v>
      </c>
      <c r="BH645" s="29">
        <v>0</v>
      </c>
      <c r="BJ645" s="22">
        <v>45190</v>
      </c>
      <c r="BK645" s="26">
        <f t="shared" ca="1" si="101"/>
        <v>0.61770360914223432</v>
      </c>
      <c r="BL645" s="29">
        <v>0</v>
      </c>
      <c r="BN645" s="22">
        <v>45190</v>
      </c>
      <c r="BO645" s="26">
        <f t="shared" ca="1" si="102"/>
        <v>0.81701896704720711</v>
      </c>
      <c r="BP645" s="29">
        <v>0</v>
      </c>
      <c r="BR645" s="22">
        <v>45190</v>
      </c>
      <c r="BS645" s="26">
        <f t="shared" ca="1" si="103"/>
        <v>0.54307533414686804</v>
      </c>
      <c r="BT645" s="29">
        <v>0</v>
      </c>
      <c r="BV645" s="22">
        <v>45190</v>
      </c>
      <c r="BW645" s="26">
        <f t="shared" ca="1" si="104"/>
        <v>0.17423599313898419</v>
      </c>
      <c r="BX645" s="29">
        <v>0</v>
      </c>
    </row>
    <row r="646" spans="2:77" ht="12.75" x14ac:dyDescent="0.2">
      <c r="B646" s="22">
        <v>45191</v>
      </c>
      <c r="C646" s="26">
        <f t="shared" ca="1" si="68"/>
        <v>0.91044342901890007</v>
      </c>
      <c r="D646" s="29">
        <f t="shared" ca="1" si="106"/>
        <v>102</v>
      </c>
      <c r="F646" s="22">
        <v>45191</v>
      </c>
      <c r="G646" s="26">
        <f t="shared" ca="1" si="88"/>
        <v>2.0478077301504638E-2</v>
      </c>
      <c r="H646" s="29">
        <f t="shared" ca="1" si="107"/>
        <v>187</v>
      </c>
      <c r="J646" s="22">
        <v>45191</v>
      </c>
      <c r="K646" s="26">
        <f t="shared" ca="1" si="89"/>
        <v>0.2509908482614861</v>
      </c>
      <c r="L646" s="29">
        <f t="shared" ca="1" si="108"/>
        <v>144</v>
      </c>
      <c r="N646" s="22">
        <v>45191</v>
      </c>
      <c r="O646" s="26">
        <f t="shared" ca="1" si="90"/>
        <v>0.14337655801566618</v>
      </c>
      <c r="P646" s="29">
        <f t="shared" ca="1" si="109"/>
        <v>214</v>
      </c>
      <c r="R646" s="22">
        <v>45191</v>
      </c>
      <c r="S646" s="26">
        <f t="shared" ca="1" si="91"/>
        <v>7.046750455281281E-2</v>
      </c>
      <c r="T646" s="29">
        <f t="shared" ca="1" si="110"/>
        <v>126</v>
      </c>
      <c r="V646" s="22">
        <v>45191</v>
      </c>
      <c r="W646" s="26">
        <f t="shared" ca="1" si="92"/>
        <v>0.71352376830498687</v>
      </c>
      <c r="X646" s="29">
        <f t="shared" ca="1" si="111"/>
        <v>234</v>
      </c>
      <c r="Z646" s="22">
        <v>45191</v>
      </c>
      <c r="AA646" s="26">
        <f t="shared" ca="1" si="93"/>
        <v>0.72586591912241427</v>
      </c>
      <c r="AB646" s="29">
        <f t="shared" ca="1" si="112"/>
        <v>281</v>
      </c>
      <c r="AC646"/>
      <c r="AD646" s="25"/>
      <c r="AF646" s="22">
        <v>45191</v>
      </c>
      <c r="AG646" s="26">
        <f t="shared" ca="1" si="94"/>
        <v>0.9817060578479827</v>
      </c>
      <c r="AH646" s="29">
        <f t="shared" ca="1" si="113"/>
        <v>510</v>
      </c>
      <c r="AJ646" s="22">
        <v>45191</v>
      </c>
      <c r="AK646" s="26">
        <f t="shared" ca="1" si="95"/>
        <v>0.91425135602825913</v>
      </c>
      <c r="AL646" s="29">
        <f t="shared" ca="1" si="114"/>
        <v>246</v>
      </c>
      <c r="AN646" s="22">
        <v>45191</v>
      </c>
      <c r="AO646" s="26">
        <f t="shared" ca="1" si="96"/>
        <v>0.36765676938847802</v>
      </c>
      <c r="AP646" s="29">
        <f t="shared" ca="1" si="115"/>
        <v>134</v>
      </c>
      <c r="AR646" s="22">
        <v>45191</v>
      </c>
      <c r="AS646" s="26">
        <f t="shared" ca="1" si="97"/>
        <v>0.66063183588285534</v>
      </c>
      <c r="AT646" s="29">
        <f t="shared" ca="1" si="116"/>
        <v>241</v>
      </c>
      <c r="AV646" s="22">
        <v>45191</v>
      </c>
      <c r="AW646" s="26">
        <f t="shared" ca="1" si="98"/>
        <v>0.10205083219524891</v>
      </c>
      <c r="AX646" s="29">
        <v>0</v>
      </c>
      <c r="AZ646" s="22">
        <v>45191</v>
      </c>
      <c r="BA646" s="26">
        <f t="shared" ca="1" si="99"/>
        <v>0.90081417530133268</v>
      </c>
      <c r="BB646" s="29">
        <v>0</v>
      </c>
      <c r="BC646"/>
      <c r="BD646" s="25"/>
      <c r="BF646" s="22">
        <v>45191</v>
      </c>
      <c r="BG646" s="26">
        <f t="shared" ca="1" si="100"/>
        <v>0.53600840928354132</v>
      </c>
      <c r="BH646" s="29">
        <v>0</v>
      </c>
      <c r="BJ646" s="22">
        <v>45191</v>
      </c>
      <c r="BK646" s="26">
        <f t="shared" ca="1" si="101"/>
        <v>0.29625495858062278</v>
      </c>
      <c r="BL646" s="29">
        <v>0</v>
      </c>
      <c r="BN646" s="22">
        <v>45191</v>
      </c>
      <c r="BO646" s="26">
        <f t="shared" ca="1" si="102"/>
        <v>0.97923101709392002</v>
      </c>
      <c r="BP646" s="29">
        <v>0</v>
      </c>
      <c r="BR646" s="22">
        <v>45191</v>
      </c>
      <c r="BS646" s="26">
        <f t="shared" ca="1" si="103"/>
        <v>0.97894819127458776</v>
      </c>
      <c r="BT646" s="29">
        <v>0</v>
      </c>
      <c r="BV646" s="22">
        <v>45191</v>
      </c>
      <c r="BW646" s="26">
        <f t="shared" ca="1" si="104"/>
        <v>0.66928209087914736</v>
      </c>
      <c r="BX646" s="29">
        <v>0</v>
      </c>
    </row>
    <row r="647" spans="2:77" ht="12.75" x14ac:dyDescent="0.2">
      <c r="B647" s="22">
        <v>45192</v>
      </c>
      <c r="C647" s="26">
        <f t="shared" ca="1" si="68"/>
        <v>0.21069005791467754</v>
      </c>
      <c r="D647" s="29">
        <f t="shared" ca="1" si="106"/>
        <v>59</v>
      </c>
      <c r="F647" s="22">
        <v>45192</v>
      </c>
      <c r="G647" s="26">
        <f t="shared" ca="1" si="88"/>
        <v>0.59063813269145649</v>
      </c>
      <c r="H647" s="29">
        <f t="shared" ca="1" si="107"/>
        <v>219</v>
      </c>
      <c r="J647" s="22">
        <v>45192</v>
      </c>
      <c r="K647" s="26">
        <f t="shared" ca="1" si="89"/>
        <v>0.38376617882488162</v>
      </c>
      <c r="L647" s="29">
        <f t="shared" ca="1" si="108"/>
        <v>148</v>
      </c>
      <c r="N647" s="22">
        <v>45192</v>
      </c>
      <c r="O647" s="26">
        <f t="shared" ca="1" si="90"/>
        <v>0.89105687944965661</v>
      </c>
      <c r="P647" s="29">
        <f t="shared" ca="1" si="109"/>
        <v>249</v>
      </c>
      <c r="R647" s="22">
        <v>45192</v>
      </c>
      <c r="S647" s="26">
        <f t="shared" ca="1" si="91"/>
        <v>0.42016553896638686</v>
      </c>
      <c r="T647" s="29">
        <f t="shared" ca="1" si="110"/>
        <v>137</v>
      </c>
      <c r="V647" s="22">
        <v>45192</v>
      </c>
      <c r="W647" s="26">
        <f t="shared" ca="1" si="92"/>
        <v>0.82110622663670074</v>
      </c>
      <c r="X647" s="29">
        <f t="shared" ca="1" si="111"/>
        <v>239</v>
      </c>
      <c r="Z647" s="22">
        <v>45192</v>
      </c>
      <c r="AA647" s="26">
        <f t="shared" ca="1" si="93"/>
        <v>5.27830059572999E-2</v>
      </c>
      <c r="AB647" s="29">
        <f t="shared" ca="1" si="112"/>
        <v>241</v>
      </c>
      <c r="AC647"/>
      <c r="AD647" s="25"/>
      <c r="AF647" s="22">
        <v>45192</v>
      </c>
      <c r="AG647" s="26">
        <f t="shared" ca="1" si="94"/>
        <v>0.81052804913818621</v>
      </c>
      <c r="AH647" s="29">
        <f t="shared" ca="1" si="113"/>
        <v>404</v>
      </c>
      <c r="AJ647" s="22">
        <v>45192</v>
      </c>
      <c r="AK647" s="26">
        <f t="shared" ca="1" si="95"/>
        <v>0.83921492486203031</v>
      </c>
      <c r="AL647" s="29">
        <f t="shared" ca="1" si="114"/>
        <v>228</v>
      </c>
      <c r="AN647" s="22">
        <v>45192</v>
      </c>
      <c r="AO647" s="26">
        <f t="shared" ca="1" si="96"/>
        <v>0.94133511698227212</v>
      </c>
      <c r="AP647" s="29">
        <f t="shared" ca="1" si="115"/>
        <v>209</v>
      </c>
      <c r="AR647" s="22">
        <v>45192</v>
      </c>
      <c r="AS647" s="26">
        <f t="shared" ca="1" si="97"/>
        <v>2.6810159078423879E-2</v>
      </c>
      <c r="AT647" s="29">
        <f t="shared" ca="1" si="116"/>
        <v>106</v>
      </c>
      <c r="AV647" s="22">
        <v>45192</v>
      </c>
      <c r="AW647" s="26">
        <f t="shared" ca="1" si="98"/>
        <v>0.55951238320392604</v>
      </c>
      <c r="AX647" s="29">
        <v>0</v>
      </c>
      <c r="AZ647" s="22">
        <v>45192</v>
      </c>
      <c r="BA647" s="26">
        <f t="shared" ca="1" si="99"/>
        <v>0.48762093345412993</v>
      </c>
      <c r="BB647" s="29">
        <v>0</v>
      </c>
      <c r="BC647"/>
      <c r="BD647" s="25"/>
      <c r="BF647" s="22">
        <v>45192</v>
      </c>
      <c r="BG647" s="26">
        <f t="shared" ca="1" si="100"/>
        <v>1.3778019602175284E-2</v>
      </c>
      <c r="BH647" s="29">
        <v>0</v>
      </c>
      <c r="BJ647" s="22">
        <v>45192</v>
      </c>
      <c r="BK647" s="26">
        <f t="shared" ca="1" si="101"/>
        <v>0.46865545748240811</v>
      </c>
      <c r="BL647" s="29">
        <v>0</v>
      </c>
      <c r="BN647" s="22">
        <v>45192</v>
      </c>
      <c r="BO647" s="26">
        <f t="shared" ca="1" si="102"/>
        <v>0.2293362322032354</v>
      </c>
      <c r="BP647" s="29">
        <v>0</v>
      </c>
      <c r="BR647" s="22">
        <v>45192</v>
      </c>
      <c r="BS647" s="26">
        <f t="shared" ca="1" si="103"/>
        <v>0.93541637482356355</v>
      </c>
      <c r="BT647" s="29">
        <v>0</v>
      </c>
      <c r="BV647" s="22">
        <v>45192</v>
      </c>
      <c r="BW647" s="26">
        <f t="shared" ca="1" si="104"/>
        <v>0.11410708145339876</v>
      </c>
      <c r="BX647" s="29">
        <v>0</v>
      </c>
    </row>
    <row r="648" spans="2:77" ht="12.75" x14ac:dyDescent="0.2">
      <c r="B648" s="22">
        <v>45193</v>
      </c>
      <c r="C648" s="26">
        <f t="shared" ca="1" si="68"/>
        <v>0.14331899165351236</v>
      </c>
      <c r="D648" s="29">
        <f t="shared" ca="1" si="106"/>
        <v>54</v>
      </c>
      <c r="F648" s="22">
        <v>45193</v>
      </c>
      <c r="G648" s="26">
        <f t="shared" ca="1" si="88"/>
        <v>0.27257219979733638</v>
      </c>
      <c r="H648" s="29">
        <f t="shared" ca="1" si="107"/>
        <v>207</v>
      </c>
      <c r="J648" s="22">
        <v>45193</v>
      </c>
      <c r="K648" s="26">
        <f t="shared" ca="1" si="89"/>
        <v>0.89670336256015082</v>
      </c>
      <c r="L648" s="29">
        <f t="shared" ca="1" si="108"/>
        <v>163</v>
      </c>
      <c r="N648" s="22">
        <v>45193</v>
      </c>
      <c r="O648" s="26">
        <f t="shared" ca="1" si="90"/>
        <v>0.21780865739086064</v>
      </c>
      <c r="P648" s="29">
        <f t="shared" ca="1" si="109"/>
        <v>218</v>
      </c>
      <c r="R648" s="22">
        <v>45193</v>
      </c>
      <c r="S648" s="26">
        <f t="shared" ca="1" si="91"/>
        <v>0.84361675409116277</v>
      </c>
      <c r="T648" s="29">
        <f t="shared" ca="1" si="110"/>
        <v>149</v>
      </c>
      <c r="V648" s="22">
        <v>45193</v>
      </c>
      <c r="W648" s="26">
        <f t="shared" ca="1" si="92"/>
        <v>0.48586449744469917</v>
      </c>
      <c r="X648" s="29">
        <f t="shared" ca="1" si="111"/>
        <v>225</v>
      </c>
      <c r="Z648" s="22">
        <v>45193</v>
      </c>
      <c r="AA648" s="26">
        <f t="shared" ca="1" si="93"/>
        <v>8.9253747067217115E-2</v>
      </c>
      <c r="AB648" s="29">
        <f t="shared" ca="1" si="112"/>
        <v>246</v>
      </c>
      <c r="AC648"/>
      <c r="AD648" s="25"/>
      <c r="AF648" s="22">
        <v>45193</v>
      </c>
      <c r="AG648" s="26">
        <f t="shared" ca="1" si="94"/>
        <v>0.3411931854322926</v>
      </c>
      <c r="AH648" s="29">
        <f t="shared" ca="1" si="113"/>
        <v>292</v>
      </c>
      <c r="AJ648" s="22">
        <v>45193</v>
      </c>
      <c r="AK648" s="26">
        <f t="shared" ca="1" si="95"/>
        <v>5.937355019715429E-2</v>
      </c>
      <c r="AL648" s="29">
        <f t="shared" ca="1" si="114"/>
        <v>106</v>
      </c>
      <c r="AN648" s="22">
        <v>45193</v>
      </c>
      <c r="AO648" s="26">
        <f t="shared" ca="1" si="96"/>
        <v>0.90703025488079081</v>
      </c>
      <c r="AP648" s="29">
        <f t="shared" ca="1" si="115"/>
        <v>200</v>
      </c>
      <c r="AR648" s="22">
        <v>45193</v>
      </c>
      <c r="AS648" s="26">
        <f t="shared" ca="1" si="97"/>
        <v>0.27430213978224749</v>
      </c>
      <c r="AT648" s="29">
        <f t="shared" ca="1" si="116"/>
        <v>183</v>
      </c>
      <c r="AV648" s="22">
        <v>45193</v>
      </c>
      <c r="AW648" s="26">
        <f t="shared" ca="1" si="98"/>
        <v>0.97618214732095965</v>
      </c>
      <c r="AX648" s="29">
        <v>0</v>
      </c>
      <c r="AZ648" s="22">
        <v>45193</v>
      </c>
      <c r="BA648" s="26">
        <f t="shared" ca="1" si="99"/>
        <v>0.93829859307331331</v>
      </c>
      <c r="BB648" s="29">
        <v>0</v>
      </c>
      <c r="BC648"/>
      <c r="BD648" s="25"/>
      <c r="BF648" s="22">
        <v>45193</v>
      </c>
      <c r="BG648" s="26">
        <f t="shared" ca="1" si="100"/>
        <v>0.1002657208677542</v>
      </c>
      <c r="BH648" s="29">
        <v>0</v>
      </c>
      <c r="BJ648" s="22">
        <v>45193</v>
      </c>
      <c r="BK648" s="26">
        <f t="shared" ca="1" si="101"/>
        <v>0.95456543384672354</v>
      </c>
      <c r="BL648" s="29">
        <v>0</v>
      </c>
      <c r="BN648" s="22">
        <v>45193</v>
      </c>
      <c r="BO648" s="26">
        <f t="shared" ca="1" si="102"/>
        <v>0.25966513682409953</v>
      </c>
      <c r="BP648" s="29">
        <v>0</v>
      </c>
      <c r="BR648" s="22">
        <v>45193</v>
      </c>
      <c r="BS648" s="26">
        <f t="shared" ca="1" si="103"/>
        <v>0.46960881278604982</v>
      </c>
      <c r="BT648" s="29">
        <v>0</v>
      </c>
      <c r="BV648" s="22">
        <v>45193</v>
      </c>
      <c r="BW648" s="26">
        <f t="shared" ca="1" si="104"/>
        <v>0.92772677742285203</v>
      </c>
      <c r="BX648" s="29">
        <v>0</v>
      </c>
    </row>
    <row r="649" spans="2:77" ht="12.75" x14ac:dyDescent="0.2">
      <c r="B649" s="22">
        <v>45194</v>
      </c>
      <c r="C649" s="26">
        <f t="shared" ca="1" si="68"/>
        <v>0.20911256440643822</v>
      </c>
      <c r="D649" s="29">
        <f t="shared" ca="1" si="106"/>
        <v>59</v>
      </c>
      <c r="F649" s="22">
        <v>45194</v>
      </c>
      <c r="G649" s="26">
        <f t="shared" ca="1" si="88"/>
        <v>0.32429460917669262</v>
      </c>
      <c r="H649" s="29">
        <f t="shared" ca="1" si="107"/>
        <v>209</v>
      </c>
      <c r="J649" s="22">
        <v>45194</v>
      </c>
      <c r="K649" s="26">
        <f t="shared" ca="1" si="89"/>
        <v>0.91165668910279385</v>
      </c>
      <c r="L649" s="29">
        <f t="shared" ca="1" si="108"/>
        <v>164</v>
      </c>
      <c r="N649" s="22">
        <v>45194</v>
      </c>
      <c r="O649" s="26">
        <f t="shared" ca="1" si="90"/>
        <v>0.99647828737769217</v>
      </c>
      <c r="P649" s="29">
        <f t="shared" ca="1" si="109"/>
        <v>271</v>
      </c>
      <c r="R649" s="22">
        <v>45194</v>
      </c>
      <c r="S649" s="26">
        <f t="shared" ca="1" si="91"/>
        <v>0.7413579990528909</v>
      </c>
      <c r="T649" s="29">
        <f t="shared" ca="1" si="110"/>
        <v>145</v>
      </c>
      <c r="V649" s="22">
        <v>45194</v>
      </c>
      <c r="W649" s="26">
        <f t="shared" ca="1" si="92"/>
        <v>0.71975241937945145</v>
      </c>
      <c r="X649" s="29">
        <f t="shared" ca="1" si="111"/>
        <v>234</v>
      </c>
      <c r="Z649" s="22">
        <v>45194</v>
      </c>
      <c r="AA649" s="26">
        <f t="shared" ca="1" si="93"/>
        <v>0.2122548770869539</v>
      </c>
      <c r="AB649" s="29">
        <f t="shared" ca="1" si="112"/>
        <v>256</v>
      </c>
      <c r="AC649"/>
      <c r="AD649" s="25"/>
      <c r="AF649" s="22">
        <v>45194</v>
      </c>
      <c r="AG649" s="26">
        <f t="shared" ca="1" si="94"/>
        <v>0.87941449583131304</v>
      </c>
      <c r="AH649" s="29">
        <f t="shared" ca="1" si="113"/>
        <v>430</v>
      </c>
      <c r="AJ649" s="22">
        <v>45194</v>
      </c>
      <c r="AK649" s="26">
        <f t="shared" ca="1" si="95"/>
        <v>0.64488077255497178</v>
      </c>
      <c r="AL649" s="29">
        <f t="shared" ca="1" si="114"/>
        <v>198</v>
      </c>
      <c r="AN649" s="22">
        <v>45194</v>
      </c>
      <c r="AO649" s="26">
        <f t="shared" ca="1" si="96"/>
        <v>0.7588855168227342</v>
      </c>
      <c r="AP649" s="29">
        <f t="shared" ca="1" si="115"/>
        <v>175</v>
      </c>
      <c r="AR649" s="22">
        <v>45194</v>
      </c>
      <c r="AS649" s="26">
        <f t="shared" ca="1" si="97"/>
        <v>0.83423243461539143</v>
      </c>
      <c r="AT649" s="29">
        <f t="shared" ca="1" si="116"/>
        <v>273</v>
      </c>
      <c r="AV649" s="22">
        <v>45194</v>
      </c>
      <c r="AW649" s="26">
        <f t="shared" ca="1" si="98"/>
        <v>0.57347193748127456</v>
      </c>
      <c r="AX649" s="29">
        <v>0</v>
      </c>
      <c r="AZ649" s="22">
        <v>45194</v>
      </c>
      <c r="BA649" s="26">
        <f t="shared" ca="1" si="99"/>
        <v>0.41118766748024516</v>
      </c>
      <c r="BB649" s="29">
        <v>0</v>
      </c>
      <c r="BC649"/>
      <c r="BD649" s="25"/>
      <c r="BF649" s="22">
        <v>45194</v>
      </c>
      <c r="BG649" s="26">
        <f t="shared" ca="1" si="100"/>
        <v>0.63025927203428367</v>
      </c>
      <c r="BH649" s="29">
        <v>0</v>
      </c>
      <c r="BJ649" s="22">
        <v>45194</v>
      </c>
      <c r="BK649" s="26">
        <f t="shared" ca="1" si="101"/>
        <v>0.43282385266796342</v>
      </c>
      <c r="BL649" s="29">
        <v>0</v>
      </c>
      <c r="BN649" s="22">
        <v>45194</v>
      </c>
      <c r="BO649" s="26">
        <f t="shared" ca="1" si="102"/>
        <v>0.19311983511809072</v>
      </c>
      <c r="BP649" s="29">
        <v>0</v>
      </c>
      <c r="BR649" s="22">
        <v>45194</v>
      </c>
      <c r="BS649" s="26">
        <f t="shared" ca="1" si="103"/>
        <v>0.4640995180959826</v>
      </c>
      <c r="BT649" s="29">
        <v>0</v>
      </c>
      <c r="BV649" s="22">
        <v>45194</v>
      </c>
      <c r="BW649" s="26">
        <f t="shared" ca="1" si="104"/>
        <v>0.57222548756765568</v>
      </c>
      <c r="BX649" s="29">
        <v>0</v>
      </c>
    </row>
    <row r="650" spans="2:77" ht="12.75" x14ac:dyDescent="0.2">
      <c r="B650" s="22">
        <v>45195</v>
      </c>
      <c r="C650" s="26">
        <f t="shared" ca="1" si="68"/>
        <v>0.86696832239054111</v>
      </c>
      <c r="D650" s="29">
        <f t="shared" ca="1" si="106"/>
        <v>98</v>
      </c>
      <c r="F650" s="22">
        <v>45195</v>
      </c>
      <c r="G650" s="26">
        <f t="shared" ca="1" si="88"/>
        <v>0.9331894036113233</v>
      </c>
      <c r="H650" s="29">
        <f t="shared" ca="1" si="107"/>
        <v>237</v>
      </c>
      <c r="J650" s="22">
        <v>45195</v>
      </c>
      <c r="K650" s="26">
        <f t="shared" ca="1" si="89"/>
        <v>0.67866340725847296</v>
      </c>
      <c r="L650" s="29">
        <f t="shared" ca="1" si="108"/>
        <v>155</v>
      </c>
      <c r="N650" s="22">
        <v>45195</v>
      </c>
      <c r="O650" s="26">
        <f t="shared" ca="1" si="90"/>
        <v>5.9269688621963246E-2</v>
      </c>
      <c r="P650" s="29">
        <f t="shared" ca="1" si="109"/>
        <v>206</v>
      </c>
      <c r="R650" s="22">
        <v>45195</v>
      </c>
      <c r="S650" s="26">
        <f t="shared" ca="1" si="91"/>
        <v>0.46370964411346871</v>
      </c>
      <c r="T650" s="29">
        <f t="shared" ca="1" si="110"/>
        <v>138</v>
      </c>
      <c r="V650" s="22">
        <v>45195</v>
      </c>
      <c r="W650" s="26">
        <f t="shared" ca="1" si="92"/>
        <v>3.9829161258839507E-2</v>
      </c>
      <c r="X650" s="29">
        <f t="shared" ca="1" si="111"/>
        <v>199</v>
      </c>
      <c r="Z650" s="22">
        <v>45195</v>
      </c>
      <c r="AA650" s="26">
        <f t="shared" ca="1" si="93"/>
        <v>0.64853754868076707</v>
      </c>
      <c r="AB650" s="29">
        <f t="shared" ca="1" si="112"/>
        <v>277</v>
      </c>
      <c r="AC650"/>
      <c r="AD650" s="25"/>
      <c r="AF650" s="22">
        <v>45195</v>
      </c>
      <c r="AG650" s="26">
        <f t="shared" ca="1" si="94"/>
        <v>0.48435980080528263</v>
      </c>
      <c r="AH650" s="29">
        <f t="shared" ca="1" si="113"/>
        <v>324</v>
      </c>
      <c r="AJ650" s="22">
        <v>45195</v>
      </c>
      <c r="AK650" s="26">
        <f t="shared" ca="1" si="95"/>
        <v>0.41578579918490655</v>
      </c>
      <c r="AL650" s="29">
        <f t="shared" ca="1" si="114"/>
        <v>170</v>
      </c>
      <c r="AN650" s="22">
        <v>45195</v>
      </c>
      <c r="AO650" s="26">
        <f t="shared" ca="1" si="96"/>
        <v>0.71791811950122508</v>
      </c>
      <c r="AP650" s="29">
        <f t="shared" ca="1" si="115"/>
        <v>170</v>
      </c>
      <c r="AR650" s="22">
        <v>45195</v>
      </c>
      <c r="AS650" s="26">
        <f t="shared" ca="1" si="97"/>
        <v>0.90027020025862603</v>
      </c>
      <c r="AT650" s="29">
        <f t="shared" ca="1" si="116"/>
        <v>291</v>
      </c>
      <c r="AV650" s="22">
        <v>45195</v>
      </c>
      <c r="AW650" s="26">
        <f t="shared" ca="1" si="98"/>
        <v>0.36622477965768474</v>
      </c>
      <c r="AX650" s="29">
        <v>0</v>
      </c>
      <c r="AZ650" s="22">
        <v>45195</v>
      </c>
      <c r="BA650" s="26">
        <f t="shared" ca="1" si="99"/>
        <v>0.8833030972951984</v>
      </c>
      <c r="BB650" s="29">
        <v>0</v>
      </c>
      <c r="BC650"/>
      <c r="BD650" s="25"/>
      <c r="BF650" s="22">
        <v>45195</v>
      </c>
      <c r="BG650" s="26">
        <f t="shared" ca="1" si="100"/>
        <v>0.15108164519462974</v>
      </c>
      <c r="BH650" s="29">
        <v>0</v>
      </c>
      <c r="BJ650" s="22">
        <v>45195</v>
      </c>
      <c r="BK650" s="26">
        <f t="shared" ca="1" si="101"/>
        <v>0.38828090459072329</v>
      </c>
      <c r="BL650" s="29">
        <v>0</v>
      </c>
      <c r="BN650" s="22">
        <v>45195</v>
      </c>
      <c r="BO650" s="26">
        <f t="shared" ca="1" si="102"/>
        <v>0.48834573236781231</v>
      </c>
      <c r="BP650" s="29">
        <v>0</v>
      </c>
      <c r="BR650" s="22">
        <v>45195</v>
      </c>
      <c r="BS650" s="26">
        <f t="shared" ca="1" si="103"/>
        <v>0.91026220228158206</v>
      </c>
      <c r="BT650" s="29">
        <v>0</v>
      </c>
      <c r="BV650" s="22">
        <v>45195</v>
      </c>
      <c r="BW650" s="26">
        <f t="shared" ca="1" si="104"/>
        <v>0.54397323924189267</v>
      </c>
      <c r="BX650" s="29">
        <v>0</v>
      </c>
    </row>
    <row r="651" spans="2:77" ht="12.75" x14ac:dyDescent="0.2">
      <c r="B651" s="22">
        <v>45196</v>
      </c>
      <c r="C651" s="26">
        <f t="shared" ca="1" si="68"/>
        <v>0.65410244689945041</v>
      </c>
      <c r="D651" s="29">
        <f t="shared" ca="1" si="106"/>
        <v>83</v>
      </c>
      <c r="F651" s="22">
        <v>45196</v>
      </c>
      <c r="G651" s="26">
        <f t="shared" ca="1" si="88"/>
        <v>0.72489396664245054</v>
      </c>
      <c r="H651" s="29">
        <f t="shared" ca="1" si="107"/>
        <v>224</v>
      </c>
      <c r="J651" s="22">
        <v>45196</v>
      </c>
      <c r="K651" s="26">
        <f t="shared" ca="1" si="89"/>
        <v>0.750470084300078</v>
      </c>
      <c r="L651" s="29">
        <f t="shared" ca="1" si="108"/>
        <v>157</v>
      </c>
      <c r="N651" s="22">
        <v>45196</v>
      </c>
      <c r="O651" s="26">
        <f t="shared" ca="1" si="90"/>
        <v>0.1210190929380428</v>
      </c>
      <c r="P651" s="29">
        <f t="shared" ca="1" si="109"/>
        <v>212</v>
      </c>
      <c r="R651" s="22">
        <v>45196</v>
      </c>
      <c r="S651" s="26">
        <f t="shared" ca="1" si="91"/>
        <v>0.31366157898773328</v>
      </c>
      <c r="T651" s="29">
        <f t="shared" ca="1" si="110"/>
        <v>135</v>
      </c>
      <c r="V651" s="22">
        <v>45196</v>
      </c>
      <c r="W651" s="26">
        <f t="shared" ca="1" si="92"/>
        <v>0.9783205718557324</v>
      </c>
      <c r="X651" s="29">
        <f t="shared" ca="1" si="111"/>
        <v>256</v>
      </c>
      <c r="Z651" s="22">
        <v>45196</v>
      </c>
      <c r="AA651" s="26">
        <f t="shared" ca="1" si="93"/>
        <v>0.4296731983172758</v>
      </c>
      <c r="AB651" s="29">
        <f t="shared" ca="1" si="112"/>
        <v>267</v>
      </c>
      <c r="AC651"/>
      <c r="AD651" s="25"/>
      <c r="AF651" s="22">
        <v>45196</v>
      </c>
      <c r="AG651" s="26">
        <f t="shared" ca="1" si="94"/>
        <v>0.31065152258237871</v>
      </c>
      <c r="AH651" s="29">
        <f t="shared" ca="1" si="113"/>
        <v>284</v>
      </c>
      <c r="AJ651" s="22">
        <v>45196</v>
      </c>
      <c r="AK651" s="26">
        <f t="shared" ca="1" si="95"/>
        <v>0.7690361675778844</v>
      </c>
      <c r="AL651" s="29">
        <f t="shared" ca="1" si="114"/>
        <v>216</v>
      </c>
      <c r="AN651" s="22">
        <v>45196</v>
      </c>
      <c r="AO651" s="26">
        <f t="shared" ca="1" si="96"/>
        <v>0.34308497139430416</v>
      </c>
      <c r="AP651" s="29">
        <f t="shared" ca="1" si="115"/>
        <v>132</v>
      </c>
      <c r="AR651" s="22">
        <v>45196</v>
      </c>
      <c r="AS651" s="26">
        <f t="shared" ca="1" si="97"/>
        <v>0.98796610798994289</v>
      </c>
      <c r="AT651" s="29">
        <f t="shared" ca="1" si="116"/>
        <v>348</v>
      </c>
      <c r="AV651" s="22">
        <v>45196</v>
      </c>
      <c r="AW651" s="26">
        <f t="shared" ca="1" si="98"/>
        <v>1.7137377995543601E-2</v>
      </c>
      <c r="AX651" s="29">
        <v>0</v>
      </c>
      <c r="AZ651" s="22">
        <v>45196</v>
      </c>
      <c r="BA651" s="26">
        <f t="shared" ca="1" si="99"/>
        <v>8.0674385984717323E-2</v>
      </c>
      <c r="BB651" s="29">
        <v>0</v>
      </c>
      <c r="BC651"/>
      <c r="BD651" s="25"/>
      <c r="BF651" s="22">
        <v>45196</v>
      </c>
      <c r="BG651" s="26">
        <f t="shared" ca="1" si="100"/>
        <v>0.34398453157240916</v>
      </c>
      <c r="BH651" s="29">
        <v>0</v>
      </c>
      <c r="BJ651" s="22">
        <v>45196</v>
      </c>
      <c r="BK651" s="26">
        <f t="shared" ca="1" si="101"/>
        <v>0.11788101454538702</v>
      </c>
      <c r="BL651" s="29">
        <v>0</v>
      </c>
      <c r="BN651" s="22">
        <v>45196</v>
      </c>
      <c r="BO651" s="26">
        <f t="shared" ca="1" si="102"/>
        <v>0.75847639554740309</v>
      </c>
      <c r="BP651" s="29">
        <v>0</v>
      </c>
      <c r="BR651" s="22">
        <v>45196</v>
      </c>
      <c r="BS651" s="26">
        <f t="shared" ca="1" si="103"/>
        <v>0.89516524042984869</v>
      </c>
      <c r="BT651" s="29">
        <v>0</v>
      </c>
      <c r="BV651" s="22">
        <v>45196</v>
      </c>
      <c r="BW651" s="26">
        <f t="shared" ca="1" si="104"/>
        <v>0.35782364514655851</v>
      </c>
      <c r="BX651" s="29">
        <v>0</v>
      </c>
    </row>
    <row r="652" spans="2:77" ht="12.75" x14ac:dyDescent="0.2">
      <c r="B652" s="22">
        <v>45197</v>
      </c>
      <c r="C652" s="26">
        <f t="shared" ca="1" si="68"/>
        <v>0.66577915304339652</v>
      </c>
      <c r="D652" s="29">
        <f t="shared" ca="1" si="106"/>
        <v>84</v>
      </c>
      <c r="F652" s="22">
        <v>45197</v>
      </c>
      <c r="G652" s="26">
        <f t="shared" ca="1" si="88"/>
        <v>0.26883829506241619</v>
      </c>
      <c r="H652" s="29">
        <f t="shared" ca="1" si="107"/>
        <v>207</v>
      </c>
      <c r="J652" s="22">
        <v>45197</v>
      </c>
      <c r="K652" s="26">
        <f t="shared" ca="1" si="89"/>
        <v>0.62835364326858045</v>
      </c>
      <c r="L652" s="29">
        <f t="shared" ca="1" si="108"/>
        <v>154</v>
      </c>
      <c r="N652" s="22">
        <v>45197</v>
      </c>
      <c r="O652" s="26">
        <f t="shared" ca="1" si="90"/>
        <v>0.52545483987851815</v>
      </c>
      <c r="P652" s="29">
        <f t="shared" ca="1" si="109"/>
        <v>231</v>
      </c>
      <c r="R652" s="22">
        <v>45197</v>
      </c>
      <c r="S652" s="26">
        <f t="shared" ca="1" si="91"/>
        <v>0.3556514655416757</v>
      </c>
      <c r="T652" s="29">
        <f t="shared" ca="1" si="110"/>
        <v>136</v>
      </c>
      <c r="V652" s="22">
        <v>45197</v>
      </c>
      <c r="W652" s="26">
        <f t="shared" ca="1" si="92"/>
        <v>0.94252946994630371</v>
      </c>
      <c r="X652" s="29">
        <f t="shared" ca="1" si="111"/>
        <v>249</v>
      </c>
      <c r="Z652" s="22">
        <v>45197</v>
      </c>
      <c r="AA652" s="26">
        <f t="shared" ca="1" si="93"/>
        <v>0.19508975299933229</v>
      </c>
      <c r="AB652" s="29">
        <f t="shared" ca="1" si="112"/>
        <v>255</v>
      </c>
      <c r="AC652"/>
      <c r="AD652" s="25"/>
      <c r="AF652" s="22">
        <v>45197</v>
      </c>
      <c r="AG652" s="26">
        <f t="shared" ca="1" si="94"/>
        <v>3.0033418657577027E-2</v>
      </c>
      <c r="AH652" s="29">
        <f t="shared" ca="1" si="113"/>
        <v>164</v>
      </c>
      <c r="AJ652" s="22">
        <v>45197</v>
      </c>
      <c r="AK652" s="26">
        <f t="shared" ca="1" si="95"/>
        <v>0.82006323079687937</v>
      </c>
      <c r="AL652" s="29">
        <f t="shared" ca="1" si="114"/>
        <v>224</v>
      </c>
      <c r="AN652" s="22">
        <v>45197</v>
      </c>
      <c r="AO652" s="26">
        <f t="shared" ca="1" si="96"/>
        <v>0.89241731022994775</v>
      </c>
      <c r="AP652" s="29">
        <f t="shared" ca="1" si="115"/>
        <v>196</v>
      </c>
      <c r="AR652" s="22">
        <v>45197</v>
      </c>
      <c r="AS652" s="26">
        <f t="shared" ca="1" si="97"/>
        <v>8.5529416130218139E-2</v>
      </c>
      <c r="AT652" s="29">
        <f t="shared" ca="1" si="116"/>
        <v>138</v>
      </c>
      <c r="AV652" s="22">
        <v>45197</v>
      </c>
      <c r="AW652" s="26">
        <f t="shared" ca="1" si="98"/>
        <v>1.4452123851399823E-2</v>
      </c>
      <c r="AX652" s="29">
        <v>0</v>
      </c>
      <c r="AZ652" s="22">
        <v>45197</v>
      </c>
      <c r="BA652" s="26">
        <f t="shared" ca="1" si="99"/>
        <v>0.69890719701771808</v>
      </c>
      <c r="BB652" s="29">
        <v>0</v>
      </c>
      <c r="BC652"/>
      <c r="BD652" s="25"/>
      <c r="BF652" s="22">
        <v>45197</v>
      </c>
      <c r="BG652" s="26">
        <f t="shared" ca="1" si="100"/>
        <v>0.73922096592060549</v>
      </c>
      <c r="BH652" s="29">
        <v>0</v>
      </c>
      <c r="BJ652" s="22">
        <v>45197</v>
      </c>
      <c r="BK652" s="26">
        <f t="shared" ca="1" si="101"/>
        <v>0.50627887724716036</v>
      </c>
      <c r="BL652" s="29">
        <v>0</v>
      </c>
      <c r="BN652" s="22">
        <v>45197</v>
      </c>
      <c r="BO652" s="26">
        <f t="shared" ca="1" si="102"/>
        <v>0.85750862902135105</v>
      </c>
      <c r="BP652" s="29">
        <v>0</v>
      </c>
      <c r="BR652" s="22">
        <v>45197</v>
      </c>
      <c r="BS652" s="26">
        <f t="shared" ca="1" si="103"/>
        <v>0.77209890301614914</v>
      </c>
      <c r="BT652" s="29">
        <v>0</v>
      </c>
      <c r="BV652" s="22">
        <v>45197</v>
      </c>
      <c r="BW652" s="26">
        <f t="shared" ca="1" si="104"/>
        <v>0.44269693311584324</v>
      </c>
      <c r="BX652" s="29">
        <v>0</v>
      </c>
    </row>
    <row r="653" spans="2:77" ht="12.75" x14ac:dyDescent="0.2">
      <c r="B653" s="22">
        <v>45198</v>
      </c>
      <c r="C653" s="26">
        <f t="shared" ca="1" si="68"/>
        <v>0.95021784565307998</v>
      </c>
      <c r="D653" s="29">
        <f t="shared" ca="1" si="106"/>
        <v>108</v>
      </c>
      <c r="F653" s="22">
        <v>45198</v>
      </c>
      <c r="G653" s="26">
        <f t="shared" ca="1" si="88"/>
        <v>0.36954971220316724</v>
      </c>
      <c r="H653" s="29">
        <f t="shared" ca="1" si="107"/>
        <v>211</v>
      </c>
      <c r="J653" s="22">
        <v>45198</v>
      </c>
      <c r="K653" s="26">
        <f t="shared" ca="1" si="89"/>
        <v>0.7994076115130504</v>
      </c>
      <c r="L653" s="29">
        <f t="shared" ca="1" si="108"/>
        <v>159</v>
      </c>
      <c r="N653" s="22">
        <v>45198</v>
      </c>
      <c r="O653" s="26">
        <f t="shared" ca="1" si="90"/>
        <v>0.36415296481053594</v>
      </c>
      <c r="P653" s="29">
        <f t="shared" ca="1" si="109"/>
        <v>225</v>
      </c>
      <c r="R653" s="22">
        <v>45198</v>
      </c>
      <c r="S653" s="26">
        <f t="shared" ca="1" si="91"/>
        <v>9.7607962660739012E-2</v>
      </c>
      <c r="T653" s="29">
        <f t="shared" ca="1" si="110"/>
        <v>127</v>
      </c>
      <c r="V653" s="22">
        <v>45198</v>
      </c>
      <c r="W653" s="26">
        <f t="shared" ca="1" si="92"/>
        <v>0.95392481615137625</v>
      </c>
      <c r="X653" s="29">
        <f t="shared" ca="1" si="111"/>
        <v>251</v>
      </c>
      <c r="Z653" s="22">
        <v>45198</v>
      </c>
      <c r="AA653" s="26">
        <f t="shared" ca="1" si="93"/>
        <v>0.71638613547699714</v>
      </c>
      <c r="AB653" s="29">
        <f t="shared" ca="1" si="112"/>
        <v>281</v>
      </c>
      <c r="AC653"/>
      <c r="AD653" s="25"/>
      <c r="AF653" s="22">
        <v>45198</v>
      </c>
      <c r="AG653" s="26">
        <f t="shared" ca="1" si="94"/>
        <v>0.49373437755010863</v>
      </c>
      <c r="AH653" s="29">
        <f t="shared" ca="1" si="113"/>
        <v>326</v>
      </c>
      <c r="AJ653" s="22">
        <v>45198</v>
      </c>
      <c r="AK653" s="26">
        <f t="shared" ca="1" si="95"/>
        <v>0.62586514029371709</v>
      </c>
      <c r="AL653" s="29">
        <f t="shared" ca="1" si="114"/>
        <v>196</v>
      </c>
      <c r="AN653" s="22">
        <v>45198</v>
      </c>
      <c r="AO653" s="26">
        <f t="shared" ca="1" si="96"/>
        <v>0.68066778314105769</v>
      </c>
      <c r="AP653" s="29">
        <f t="shared" ca="1" si="115"/>
        <v>166</v>
      </c>
      <c r="AR653" s="22">
        <v>45198</v>
      </c>
      <c r="AS653" s="26">
        <f t="shared" ca="1" si="97"/>
        <v>0.30641197905297612</v>
      </c>
      <c r="AT653" s="29">
        <f t="shared" ca="1" si="116"/>
        <v>188</v>
      </c>
      <c r="AV653" s="22">
        <v>45198</v>
      </c>
      <c r="AW653" s="26">
        <f t="shared" ca="1" si="98"/>
        <v>0.8450224111178799</v>
      </c>
      <c r="AX653" s="29">
        <v>0</v>
      </c>
      <c r="AZ653" s="22">
        <v>45198</v>
      </c>
      <c r="BA653" s="26">
        <f t="shared" ca="1" si="99"/>
        <v>0.83203249488028796</v>
      </c>
      <c r="BB653" s="29">
        <v>0</v>
      </c>
      <c r="BC653"/>
      <c r="BD653" s="25"/>
      <c r="BF653" s="22">
        <v>45198</v>
      </c>
      <c r="BG653" s="26">
        <f t="shared" ca="1" si="100"/>
        <v>0.54884786100774896</v>
      </c>
      <c r="BH653" s="29">
        <v>0</v>
      </c>
      <c r="BJ653" s="22">
        <v>45198</v>
      </c>
      <c r="BK653" s="26">
        <f t="shared" ca="1" si="101"/>
        <v>0.2984801400432372</v>
      </c>
      <c r="BL653" s="29">
        <v>0</v>
      </c>
      <c r="BN653" s="22">
        <v>45198</v>
      </c>
      <c r="BO653" s="26">
        <f t="shared" ca="1" si="102"/>
        <v>0.13599949172948322</v>
      </c>
      <c r="BP653" s="29">
        <v>0</v>
      </c>
      <c r="BR653" s="22">
        <v>45198</v>
      </c>
      <c r="BS653" s="26">
        <f t="shared" ca="1" si="103"/>
        <v>0.78576085233063098</v>
      </c>
      <c r="BT653" s="29">
        <v>0</v>
      </c>
      <c r="BV653" s="22">
        <v>45198</v>
      </c>
      <c r="BW653" s="26">
        <f t="shared" ca="1" si="104"/>
        <v>0.22024497525700093</v>
      </c>
      <c r="BX653" s="29">
        <v>0</v>
      </c>
    </row>
    <row r="654" spans="2:77" ht="12.75" x14ac:dyDescent="0.2">
      <c r="B654" s="22">
        <v>45199</v>
      </c>
      <c r="C654" s="26">
        <f t="shared" ca="1" si="68"/>
        <v>0.43881566327602894</v>
      </c>
      <c r="D654" s="29">
        <f t="shared" ca="1" si="106"/>
        <v>72</v>
      </c>
      <c r="E654">
        <v>2258</v>
      </c>
      <c r="F654" s="22">
        <v>45199</v>
      </c>
      <c r="G654" s="26">
        <f t="shared" ca="1" si="88"/>
        <v>0.7122871726639689</v>
      </c>
      <c r="H654" s="29">
        <f t="shared" ca="1" si="107"/>
        <v>224</v>
      </c>
      <c r="I654">
        <v>6300</v>
      </c>
      <c r="J654" s="22">
        <v>45199</v>
      </c>
      <c r="K654" s="26">
        <f t="shared" ca="1" si="89"/>
        <v>0.66385618679731251</v>
      </c>
      <c r="L654" s="29">
        <f t="shared" ca="1" si="108"/>
        <v>155</v>
      </c>
      <c r="M654">
        <v>4277</v>
      </c>
      <c r="N654" s="22">
        <v>45199</v>
      </c>
      <c r="O654" s="26">
        <f t="shared" ca="1" si="90"/>
        <v>0.66729380600217458</v>
      </c>
      <c r="P654" s="29">
        <f t="shared" ca="1" si="109"/>
        <v>236</v>
      </c>
      <c r="Q654">
        <v>6766</v>
      </c>
      <c r="R654" s="22">
        <v>45199</v>
      </c>
      <c r="S654" s="26">
        <f t="shared" ca="1" si="91"/>
        <v>0.1652880530923605</v>
      </c>
      <c r="T654" s="29">
        <f t="shared" ca="1" si="110"/>
        <v>130</v>
      </c>
      <c r="U654">
        <v>4139</v>
      </c>
      <c r="V654" s="22">
        <v>45199</v>
      </c>
      <c r="W654" s="26">
        <f t="shared" ca="1" si="92"/>
        <v>0.82940647604828643</v>
      </c>
      <c r="X654" s="29">
        <f t="shared" ca="1" si="111"/>
        <v>240</v>
      </c>
      <c r="Y654">
        <v>6542</v>
      </c>
      <c r="Z654" s="22">
        <v>45199</v>
      </c>
      <c r="AA654" s="26">
        <f t="shared" ca="1" si="93"/>
        <v>0.29490876107353148</v>
      </c>
      <c r="AB654" s="29">
        <f t="shared" ca="1" si="112"/>
        <v>261</v>
      </c>
      <c r="AC654">
        <v>7815</v>
      </c>
      <c r="AD654" s="25"/>
      <c r="AF654" s="22">
        <v>45199</v>
      </c>
      <c r="AG654" s="26">
        <f t="shared" ca="1" si="94"/>
        <v>0.34822938955029903</v>
      </c>
      <c r="AH654" s="29">
        <f t="shared" ca="1" si="113"/>
        <v>293</v>
      </c>
      <c r="AI654">
        <v>8837</v>
      </c>
      <c r="AJ654" s="22">
        <v>45199</v>
      </c>
      <c r="AK654" s="26">
        <f t="shared" ca="1" si="95"/>
        <v>0.74605291247417016</v>
      </c>
      <c r="AL654" s="29">
        <f t="shared" ca="1" si="114"/>
        <v>212</v>
      </c>
      <c r="AM654">
        <v>5583</v>
      </c>
      <c r="AN654" s="22">
        <v>45199</v>
      </c>
      <c r="AO654" s="26">
        <f t="shared" ca="1" si="96"/>
        <v>9.4945424731556871E-2</v>
      </c>
      <c r="AP654" s="29">
        <f t="shared" ca="1" si="115"/>
        <v>96</v>
      </c>
      <c r="AQ654">
        <v>4280</v>
      </c>
      <c r="AR654" s="22">
        <v>45199</v>
      </c>
      <c r="AS654" s="26">
        <f t="shared" ca="1" si="97"/>
        <v>0.84656517894919392</v>
      </c>
      <c r="AT654" s="29">
        <f t="shared" ca="1" si="116"/>
        <v>276</v>
      </c>
      <c r="AU654">
        <v>6297</v>
      </c>
      <c r="AV654" s="22">
        <v>45199</v>
      </c>
      <c r="AW654" s="26">
        <f t="shared" ca="1" si="98"/>
        <v>0.77854694010152137</v>
      </c>
      <c r="AX654" s="29">
        <v>0</v>
      </c>
      <c r="AY654">
        <v>0</v>
      </c>
      <c r="AZ654" s="22">
        <v>45199</v>
      </c>
      <c r="BA654" s="26">
        <f t="shared" ca="1" si="99"/>
        <v>0.75966108781475816</v>
      </c>
      <c r="BB654" s="29">
        <v>0</v>
      </c>
      <c r="BC654">
        <v>0</v>
      </c>
      <c r="BD654" s="25"/>
      <c r="BF654" s="22">
        <v>45199</v>
      </c>
      <c r="BG654" s="26">
        <f t="shared" ca="1" si="100"/>
        <v>0.81981907634480733</v>
      </c>
      <c r="BH654" s="29">
        <v>0</v>
      </c>
      <c r="BI654">
        <v>0</v>
      </c>
      <c r="BJ654" s="22">
        <v>45199</v>
      </c>
      <c r="BK654" s="26">
        <f t="shared" ca="1" si="101"/>
        <v>0.36000432762423129</v>
      </c>
      <c r="BL654" s="29">
        <v>0</v>
      </c>
      <c r="BM654">
        <v>0</v>
      </c>
      <c r="BN654" s="22">
        <v>45199</v>
      </c>
      <c r="BO654" s="26">
        <f t="shared" ca="1" si="102"/>
        <v>0.34256987582487686</v>
      </c>
      <c r="BP654" s="29">
        <v>0</v>
      </c>
      <c r="BQ654">
        <v>0</v>
      </c>
      <c r="BR654" s="22">
        <v>45199</v>
      </c>
      <c r="BS654" s="26">
        <f t="shared" ca="1" si="103"/>
        <v>0.91655376388831</v>
      </c>
      <c r="BT654" s="29">
        <v>0</v>
      </c>
      <c r="BU654">
        <v>0</v>
      </c>
      <c r="BV654" s="22">
        <v>45199</v>
      </c>
      <c r="BW654" s="26">
        <f t="shared" ca="1" si="104"/>
        <v>0.20270827876623931</v>
      </c>
      <c r="BX654" s="29">
        <v>0</v>
      </c>
      <c r="BY654">
        <v>0</v>
      </c>
    </row>
    <row r="655" spans="2:77" ht="12.75" x14ac:dyDescent="0.2">
      <c r="B655" s="22">
        <v>45200</v>
      </c>
      <c r="C655" s="26">
        <f t="shared" ca="1" si="68"/>
        <v>0.86505312519428756</v>
      </c>
      <c r="D655" s="29">
        <f ca="1">ROUNDUP(_xlfn.NORM.INV(C654,C$10,C$12),0)</f>
        <v>72</v>
      </c>
      <c r="F655" s="22">
        <v>45200</v>
      </c>
      <c r="G655" s="26">
        <f t="shared" ca="1" si="88"/>
        <v>0.15383584016954721</v>
      </c>
      <c r="H655" s="29">
        <f ca="1">ROUNDUP(_xlfn.NORM.INV(G654,G$10,G$12),0)</f>
        <v>224</v>
      </c>
      <c r="J655" s="22">
        <v>45200</v>
      </c>
      <c r="K655" s="26">
        <f t="shared" ca="1" si="89"/>
        <v>0.58062187366103846</v>
      </c>
      <c r="L655" s="29">
        <f ca="1">ROUNDUP(_xlfn.NORM.INV(K654,K$10,K$12),0)</f>
        <v>155</v>
      </c>
      <c r="N655" s="22">
        <v>45200</v>
      </c>
      <c r="O655" s="26">
        <f t="shared" ca="1" si="90"/>
        <v>0.93916838605294084</v>
      </c>
      <c r="P655" s="29">
        <f ca="1">ROUNDUP(_xlfn.NORM.INV(O654,O$10,O$12),0)</f>
        <v>236</v>
      </c>
      <c r="R655" s="22">
        <v>45200</v>
      </c>
      <c r="S655" s="26">
        <f t="shared" ca="1" si="91"/>
        <v>0.80184497568056201</v>
      </c>
      <c r="T655" s="29">
        <f ca="1">ROUNDUP(_xlfn.NORM.INV(S654,S$10,S$12),0)</f>
        <v>130</v>
      </c>
      <c r="V655" s="22">
        <v>45200</v>
      </c>
      <c r="W655" s="26">
        <f t="shared" ca="1" si="92"/>
        <v>0.88033273238604393</v>
      </c>
      <c r="X655" s="29">
        <f ca="1">ROUNDUP(_xlfn.NORM.INV(W654,W$10,W$12),0)</f>
        <v>240</v>
      </c>
      <c r="Z655" s="22">
        <v>45200</v>
      </c>
      <c r="AA655" s="26">
        <f t="shared" ca="1" si="93"/>
        <v>0.84718920738608228</v>
      </c>
      <c r="AB655" s="29">
        <f ca="1">ROUNDUP(_xlfn.NORM.INV(AA654,AA$10,AA$12),0)</f>
        <v>261</v>
      </c>
      <c r="AC655"/>
      <c r="AD655" s="25"/>
      <c r="AF655" s="22">
        <v>45200</v>
      </c>
      <c r="AG655" s="26">
        <f t="shared" ca="1" si="94"/>
        <v>0.17156975027199683</v>
      </c>
      <c r="AH655" s="29">
        <f ca="1">ROUNDUP(_xlfn.NORM.INV(AG654,AG$10,AG$12),0)</f>
        <v>293</v>
      </c>
      <c r="AJ655" s="22">
        <v>45200</v>
      </c>
      <c r="AK655" s="26">
        <f t="shared" ca="1" si="95"/>
        <v>0.45303366870257999</v>
      </c>
      <c r="AL655" s="29">
        <f ca="1">ROUNDUP(_xlfn.NORM.INV(AK654,AK$10,AK$12),0)</f>
        <v>212</v>
      </c>
      <c r="AN655" s="22">
        <v>45200</v>
      </c>
      <c r="AO655" s="26">
        <f t="shared" ca="1" si="96"/>
        <v>0.29901301732016661</v>
      </c>
      <c r="AP655" s="29">
        <f ca="1">ROUNDUP(_xlfn.NORM.INV(AO654,AO$10,AO$12),0)</f>
        <v>96</v>
      </c>
      <c r="AR655" s="22">
        <v>45200</v>
      </c>
      <c r="AS655" s="26">
        <f t="shared" ca="1" si="97"/>
        <v>0.25346666769599202</v>
      </c>
      <c r="AT655" s="29">
        <f ca="1">ROUNDUP(_xlfn.NORM.INV(AS654,AS$10,AS$12),0)</f>
        <v>276</v>
      </c>
      <c r="AV655" s="22">
        <v>45200</v>
      </c>
      <c r="AW655" s="26">
        <f t="shared" ca="1" si="98"/>
        <v>0.20146824302471467</v>
      </c>
      <c r="AX655" s="29">
        <v>0</v>
      </c>
      <c r="AZ655" s="22">
        <v>45200</v>
      </c>
      <c r="BA655" s="26">
        <f t="shared" ca="1" si="99"/>
        <v>0.71722416778251841</v>
      </c>
      <c r="BB655" s="29">
        <v>0</v>
      </c>
      <c r="BC655"/>
      <c r="BD655" s="25"/>
      <c r="BF655" s="22">
        <v>45200</v>
      </c>
      <c r="BG655" s="26">
        <f t="shared" ca="1" si="100"/>
        <v>0.29728889356824018</v>
      </c>
      <c r="BH655" s="29">
        <v>0</v>
      </c>
      <c r="BJ655" s="22">
        <v>45200</v>
      </c>
      <c r="BK655" s="26">
        <f t="shared" ca="1" si="101"/>
        <v>0.25781259852187866</v>
      </c>
      <c r="BL655" s="29">
        <v>0</v>
      </c>
      <c r="BN655" s="22">
        <v>45200</v>
      </c>
      <c r="BO655" s="26">
        <f t="shared" ca="1" si="102"/>
        <v>0.51313718675525233</v>
      </c>
      <c r="BP655" s="29">
        <v>0</v>
      </c>
      <c r="BR655" s="22">
        <v>45200</v>
      </c>
      <c r="BS655" s="26">
        <f t="shared" ca="1" si="103"/>
        <v>0.3353428273937229</v>
      </c>
      <c r="BT655" s="29">
        <v>0</v>
      </c>
      <c r="BV655" s="22">
        <v>45200</v>
      </c>
      <c r="BW655" s="26">
        <f t="shared" ca="1" si="104"/>
        <v>0.16951953895652894</v>
      </c>
      <c r="BX655" s="29">
        <v>0</v>
      </c>
    </row>
    <row r="656" spans="2:77" ht="12.75" x14ac:dyDescent="0.2">
      <c r="B656" s="22">
        <v>45201</v>
      </c>
      <c r="C656" s="26">
        <f t="shared" ca="1" si="68"/>
        <v>0.49667678904614776</v>
      </c>
      <c r="D656" s="29">
        <f t="shared" ca="1" si="106"/>
        <v>75</v>
      </c>
      <c r="F656" s="22">
        <v>45201</v>
      </c>
      <c r="G656" s="26">
        <f t="shared" ca="1" si="88"/>
        <v>0.17409124525903807</v>
      </c>
      <c r="H656" s="29">
        <f t="shared" ca="1" si="107"/>
        <v>202</v>
      </c>
      <c r="J656" s="22">
        <v>45201</v>
      </c>
      <c r="K656" s="26">
        <f t="shared" ca="1" si="89"/>
        <v>0.23027425567519821</v>
      </c>
      <c r="L656" s="29">
        <f t="shared" ca="1" si="108"/>
        <v>143</v>
      </c>
      <c r="N656" s="22">
        <v>45201</v>
      </c>
      <c r="O656" s="26">
        <f t="shared" ca="1" si="90"/>
        <v>0.26261418293964645</v>
      </c>
      <c r="P656" s="29">
        <f t="shared" ca="1" si="109"/>
        <v>220</v>
      </c>
      <c r="R656" s="22">
        <v>45201</v>
      </c>
      <c r="S656" s="26">
        <f t="shared" ca="1" si="91"/>
        <v>0.81723189648401362</v>
      </c>
      <c r="T656" s="29">
        <f t="shared" ca="1" si="110"/>
        <v>148</v>
      </c>
      <c r="V656" s="22">
        <v>45201</v>
      </c>
      <c r="W656" s="26">
        <f t="shared" ca="1" si="92"/>
        <v>0.19761766075467457</v>
      </c>
      <c r="X656" s="29">
        <f t="shared" ca="1" si="111"/>
        <v>213</v>
      </c>
      <c r="Z656" s="22">
        <v>45201</v>
      </c>
      <c r="AA656" s="26">
        <f t="shared" ca="1" si="93"/>
        <v>0.88441815778282162</v>
      </c>
      <c r="AB656" s="29">
        <f t="shared" ca="1" si="112"/>
        <v>292</v>
      </c>
      <c r="AC656"/>
      <c r="AD656" s="25"/>
      <c r="AF656" s="22">
        <v>45201</v>
      </c>
      <c r="AG656" s="26">
        <f t="shared" ca="1" si="94"/>
        <v>0.50279495798299167</v>
      </c>
      <c r="AH656" s="29">
        <f t="shared" ca="1" si="113"/>
        <v>328</v>
      </c>
      <c r="AJ656" s="22">
        <v>45201</v>
      </c>
      <c r="AK656" s="26">
        <f t="shared" ca="1" si="95"/>
        <v>0.3212235895312453</v>
      </c>
      <c r="AL656" s="29">
        <f t="shared" ca="1" si="114"/>
        <v>158</v>
      </c>
      <c r="AN656" s="22">
        <v>45201</v>
      </c>
      <c r="AO656" s="26">
        <f t="shared" ca="1" si="96"/>
        <v>0.94990913645874842</v>
      </c>
      <c r="AP656" s="29">
        <f t="shared" ca="1" si="115"/>
        <v>212</v>
      </c>
      <c r="AR656" s="22">
        <v>45201</v>
      </c>
      <c r="AS656" s="26">
        <f t="shared" ca="1" si="97"/>
        <v>0.24382752228476134</v>
      </c>
      <c r="AT656" s="29">
        <f t="shared" ca="1" si="116"/>
        <v>177</v>
      </c>
      <c r="AV656" s="22">
        <v>45201</v>
      </c>
      <c r="AW656" s="26">
        <f t="shared" ca="1" si="98"/>
        <v>0.57733575163937534</v>
      </c>
      <c r="AX656" s="29">
        <f t="shared" ref="AX656:AX688" ca="1" si="117">ROUNDUP(_xlfn.NORM.INV(AW656,AW$10,AW$12),0)</f>
        <v>202</v>
      </c>
      <c r="AZ656" s="22">
        <v>45201</v>
      </c>
      <c r="BA656" s="26">
        <f t="shared" ca="1" si="99"/>
        <v>0.141297021059552</v>
      </c>
      <c r="BB656" s="29">
        <v>0</v>
      </c>
      <c r="BC656"/>
      <c r="BD656" s="25"/>
      <c r="BF656" s="22">
        <v>45201</v>
      </c>
      <c r="BG656" s="26">
        <f t="shared" ca="1" si="100"/>
        <v>0.88329845006113605</v>
      </c>
      <c r="BH656" s="29">
        <v>0</v>
      </c>
      <c r="BJ656" s="22">
        <v>45201</v>
      </c>
      <c r="BK656" s="26">
        <f t="shared" ca="1" si="101"/>
        <v>0.68970930048761003</v>
      </c>
      <c r="BL656" s="29">
        <v>0</v>
      </c>
      <c r="BN656" s="22">
        <v>45201</v>
      </c>
      <c r="BO656" s="26">
        <f t="shared" ca="1" si="102"/>
        <v>0.39671244863203114</v>
      </c>
      <c r="BP656" s="29">
        <v>0</v>
      </c>
      <c r="BR656" s="22">
        <v>45201</v>
      </c>
      <c r="BS656" s="26">
        <f t="shared" ca="1" si="103"/>
        <v>0.90115838433304196</v>
      </c>
      <c r="BT656" s="29">
        <v>0</v>
      </c>
      <c r="BV656" s="22">
        <v>45201</v>
      </c>
      <c r="BW656" s="26">
        <f t="shared" ca="1" si="104"/>
        <v>0.81833249237761685</v>
      </c>
      <c r="BX656" s="29">
        <v>0</v>
      </c>
    </row>
    <row r="657" spans="2:76" ht="12.75" x14ac:dyDescent="0.2">
      <c r="B657" s="22">
        <v>45202</v>
      </c>
      <c r="C657" s="26">
        <f t="shared" ca="1" si="68"/>
        <v>0.36624611091780968</v>
      </c>
      <c r="D657" s="29">
        <f t="shared" ca="1" si="106"/>
        <v>69</v>
      </c>
      <c r="F657" s="22">
        <v>45202</v>
      </c>
      <c r="G657" s="26">
        <f t="shared" ca="1" si="88"/>
        <v>0.49541795642257391</v>
      </c>
      <c r="H657" s="29">
        <f t="shared" ca="1" si="107"/>
        <v>216</v>
      </c>
      <c r="J657" s="22">
        <v>45202</v>
      </c>
      <c r="K657" s="26">
        <f t="shared" ca="1" si="89"/>
        <v>0.76996392156923887</v>
      </c>
      <c r="L657" s="29">
        <f t="shared" ca="1" si="108"/>
        <v>158</v>
      </c>
      <c r="N657" s="22">
        <v>45202</v>
      </c>
      <c r="O657" s="26">
        <f t="shared" ca="1" si="90"/>
        <v>5.7413902548895002E-2</v>
      </c>
      <c r="P657" s="29">
        <f t="shared" ca="1" si="109"/>
        <v>206</v>
      </c>
      <c r="R657" s="22">
        <v>45202</v>
      </c>
      <c r="S657" s="26">
        <f t="shared" ca="1" si="91"/>
        <v>0.49763870430203372</v>
      </c>
      <c r="T657" s="29">
        <f t="shared" ca="1" si="110"/>
        <v>139</v>
      </c>
      <c r="V657" s="22">
        <v>45202</v>
      </c>
      <c r="W657" s="26">
        <f t="shared" ca="1" si="92"/>
        <v>0.70609845059367582</v>
      </c>
      <c r="X657" s="29">
        <f t="shared" ca="1" si="111"/>
        <v>234</v>
      </c>
      <c r="Z657" s="22">
        <v>45202</v>
      </c>
      <c r="AA657" s="26">
        <f t="shared" ca="1" si="93"/>
        <v>0.87820681363532815</v>
      </c>
      <c r="AB657" s="29">
        <f t="shared" ca="1" si="112"/>
        <v>291</v>
      </c>
      <c r="AC657"/>
      <c r="AD657" s="25"/>
      <c r="AF657" s="22">
        <v>45202</v>
      </c>
      <c r="AG657" s="26">
        <f t="shared" ca="1" si="94"/>
        <v>0.11583805905430666</v>
      </c>
      <c r="AH657" s="29">
        <f t="shared" ca="1" si="113"/>
        <v>223</v>
      </c>
      <c r="AJ657" s="22">
        <v>45202</v>
      </c>
      <c r="AK657" s="26">
        <f t="shared" ca="1" si="95"/>
        <v>0.52858941892318689</v>
      </c>
      <c r="AL657" s="29">
        <f t="shared" ca="1" si="114"/>
        <v>184</v>
      </c>
      <c r="AN657" s="22">
        <v>45202</v>
      </c>
      <c r="AO657" s="26">
        <f t="shared" ca="1" si="96"/>
        <v>0.81648655560697159</v>
      </c>
      <c r="AP657" s="29">
        <f t="shared" ca="1" si="115"/>
        <v>183</v>
      </c>
      <c r="AR657" s="22">
        <v>45202</v>
      </c>
      <c r="AS657" s="26">
        <f t="shared" ca="1" si="97"/>
        <v>0.81996343263381566</v>
      </c>
      <c r="AT657" s="29">
        <f t="shared" ca="1" si="116"/>
        <v>270</v>
      </c>
      <c r="AV657" s="22">
        <v>45202</v>
      </c>
      <c r="AW657" s="26">
        <f t="shared" ca="1" si="98"/>
        <v>0.97109122976762496</v>
      </c>
      <c r="AX657" s="29">
        <f t="shared" ca="1" si="117"/>
        <v>289</v>
      </c>
      <c r="AZ657" s="22">
        <v>45202</v>
      </c>
      <c r="BA657" s="26">
        <f t="shared" ca="1" si="99"/>
        <v>0.27928320749713531</v>
      </c>
      <c r="BB657" s="29">
        <v>0</v>
      </c>
      <c r="BC657"/>
      <c r="BD657" s="25"/>
      <c r="BF657" s="22">
        <v>45202</v>
      </c>
      <c r="BG657" s="26">
        <f t="shared" ca="1" si="100"/>
        <v>0.48486734516026131</v>
      </c>
      <c r="BH657" s="29">
        <v>0</v>
      </c>
      <c r="BJ657" s="22">
        <v>45202</v>
      </c>
      <c r="BK657" s="26">
        <f t="shared" ca="1" si="101"/>
        <v>8.8144267416095934E-2</v>
      </c>
      <c r="BL657" s="29">
        <v>0</v>
      </c>
      <c r="BN657" s="22">
        <v>45202</v>
      </c>
      <c r="BO657" s="26">
        <f t="shared" ca="1" si="102"/>
        <v>0.91995980460830717</v>
      </c>
      <c r="BP657" s="29">
        <v>0</v>
      </c>
      <c r="BR657" s="22">
        <v>45202</v>
      </c>
      <c r="BS657" s="26">
        <f t="shared" ca="1" si="103"/>
        <v>0.84127742968475139</v>
      </c>
      <c r="BT657" s="29">
        <v>0</v>
      </c>
      <c r="BV657" s="22">
        <v>45202</v>
      </c>
      <c r="BW657" s="26">
        <f t="shared" ca="1" si="104"/>
        <v>0.521297241856996</v>
      </c>
      <c r="BX657" s="29">
        <v>0</v>
      </c>
    </row>
    <row r="658" spans="2:76" ht="12.75" x14ac:dyDescent="0.2">
      <c r="B658" s="22">
        <v>45203</v>
      </c>
      <c r="C658" s="26">
        <f t="shared" ca="1" si="68"/>
        <v>0.49593919844095924</v>
      </c>
      <c r="D658" s="29">
        <f t="shared" ref="D658:D721" ca="1" si="118">ROUNDUP(_xlfn.NORM.INV(C658,C$10,C$12),0)</f>
        <v>75</v>
      </c>
      <c r="F658" s="22">
        <v>45203</v>
      </c>
      <c r="G658" s="26">
        <f t="shared" ca="1" si="88"/>
        <v>0.51924932115020905</v>
      </c>
      <c r="H658" s="29">
        <f t="shared" ca="1" si="107"/>
        <v>217</v>
      </c>
      <c r="J658" s="22">
        <v>45203</v>
      </c>
      <c r="K658" s="26">
        <f t="shared" ca="1" si="89"/>
        <v>0.98432361645034117</v>
      </c>
      <c r="L658" s="29">
        <f t="shared" ca="1" si="108"/>
        <v>172</v>
      </c>
      <c r="N658" s="22">
        <v>45203</v>
      </c>
      <c r="O658" s="26">
        <f t="shared" ca="1" si="90"/>
        <v>3.5988802374771089E-2</v>
      </c>
      <c r="P658" s="29">
        <f t="shared" ca="1" si="109"/>
        <v>202</v>
      </c>
      <c r="R658" s="22">
        <v>45203</v>
      </c>
      <c r="S658" s="26">
        <f t="shared" ca="1" si="91"/>
        <v>0.87456711257072339</v>
      </c>
      <c r="T658" s="29">
        <f t="shared" ca="1" si="110"/>
        <v>150</v>
      </c>
      <c r="V658" s="22">
        <v>45203</v>
      </c>
      <c r="W658" s="26">
        <f t="shared" ca="1" si="92"/>
        <v>0.82941885682128358</v>
      </c>
      <c r="X658" s="29">
        <f t="shared" ca="1" si="111"/>
        <v>240</v>
      </c>
      <c r="Z658" s="22">
        <v>45203</v>
      </c>
      <c r="AA658" s="26">
        <f t="shared" ca="1" si="93"/>
        <v>0.46571652166057331</v>
      </c>
      <c r="AB658" s="29">
        <f t="shared" ca="1" si="112"/>
        <v>269</v>
      </c>
      <c r="AC658"/>
      <c r="AD658" s="25"/>
      <c r="AF658" s="22">
        <v>45203</v>
      </c>
      <c r="AG658" s="26">
        <f t="shared" ca="1" si="94"/>
        <v>0.57747151917116513</v>
      </c>
      <c r="AH658" s="29">
        <f t="shared" ca="1" si="113"/>
        <v>345</v>
      </c>
      <c r="AJ658" s="22">
        <v>45203</v>
      </c>
      <c r="AK658" s="26">
        <f t="shared" ca="1" si="95"/>
        <v>0.88612256083885532</v>
      </c>
      <c r="AL658" s="29">
        <f t="shared" ca="1" si="114"/>
        <v>238</v>
      </c>
      <c r="AN658" s="22">
        <v>45203</v>
      </c>
      <c r="AO658" s="26">
        <f t="shared" ca="1" si="96"/>
        <v>0.52854065125335581</v>
      </c>
      <c r="AP658" s="29">
        <f t="shared" ca="1" si="115"/>
        <v>150</v>
      </c>
      <c r="AR658" s="22">
        <v>45203</v>
      </c>
      <c r="AS658" s="26">
        <f t="shared" ca="1" si="97"/>
        <v>9.2868835009286554E-3</v>
      </c>
      <c r="AT658" s="29">
        <f t="shared" ca="1" si="116"/>
        <v>81</v>
      </c>
      <c r="AV658" s="22">
        <v>45203</v>
      </c>
      <c r="AW658" s="26">
        <f t="shared" ca="1" si="98"/>
        <v>0.96477081970310352</v>
      </c>
      <c r="AX658" s="29">
        <f t="shared" ca="1" si="117"/>
        <v>285</v>
      </c>
      <c r="AZ658" s="22">
        <v>45203</v>
      </c>
      <c r="BA658" s="26">
        <f t="shared" ca="1" si="99"/>
        <v>0.9591306186623445</v>
      </c>
      <c r="BB658" s="29">
        <v>0</v>
      </c>
      <c r="BC658"/>
      <c r="BD658" s="25"/>
      <c r="BF658" s="22">
        <v>45203</v>
      </c>
      <c r="BG658" s="26">
        <f t="shared" ca="1" si="100"/>
        <v>0.11903327106054085</v>
      </c>
      <c r="BH658" s="29">
        <v>0</v>
      </c>
      <c r="BJ658" s="22">
        <v>45203</v>
      </c>
      <c r="BK658" s="26">
        <f t="shared" ca="1" si="101"/>
        <v>0.83314459976056487</v>
      </c>
      <c r="BL658" s="29">
        <v>0</v>
      </c>
      <c r="BN658" s="22">
        <v>45203</v>
      </c>
      <c r="BO658" s="26">
        <f t="shared" ca="1" si="102"/>
        <v>0.67036632892470072</v>
      </c>
      <c r="BP658" s="29">
        <v>0</v>
      </c>
      <c r="BR658" s="22">
        <v>45203</v>
      </c>
      <c r="BS658" s="26">
        <f t="shared" ca="1" si="103"/>
        <v>0.81294914441788013</v>
      </c>
      <c r="BT658" s="29">
        <v>0</v>
      </c>
      <c r="BV658" s="22">
        <v>45203</v>
      </c>
      <c r="BW658" s="26">
        <f t="shared" ca="1" si="104"/>
        <v>0.80575367893911831</v>
      </c>
      <c r="BX658" s="29">
        <v>0</v>
      </c>
    </row>
    <row r="659" spans="2:76" ht="12.75" x14ac:dyDescent="0.2">
      <c r="B659" s="22">
        <v>45204</v>
      </c>
      <c r="C659" s="26">
        <f t="shared" ca="1" si="68"/>
        <v>0.83511523202069704</v>
      </c>
      <c r="D659" s="29">
        <f t="shared" ca="1" si="118"/>
        <v>95</v>
      </c>
      <c r="F659" s="22">
        <v>45204</v>
      </c>
      <c r="G659" s="26">
        <f t="shared" ca="1" si="88"/>
        <v>0.10520255557571301</v>
      </c>
      <c r="H659" s="29">
        <f t="shared" ca="1" si="107"/>
        <v>198</v>
      </c>
      <c r="J659" s="22">
        <v>45204</v>
      </c>
      <c r="K659" s="26">
        <f t="shared" ca="1" si="89"/>
        <v>0.31729498036747672</v>
      </c>
      <c r="L659" s="29">
        <f t="shared" ca="1" si="108"/>
        <v>146</v>
      </c>
      <c r="N659" s="22">
        <v>45204</v>
      </c>
      <c r="O659" s="26">
        <f t="shared" ca="1" si="90"/>
        <v>0.64232272814265323</v>
      </c>
      <c r="P659" s="29">
        <f t="shared" ca="1" si="109"/>
        <v>235</v>
      </c>
      <c r="R659" s="22">
        <v>45204</v>
      </c>
      <c r="S659" s="26">
        <f t="shared" ca="1" si="91"/>
        <v>0.12333490106910372</v>
      </c>
      <c r="T659" s="29">
        <f t="shared" ca="1" si="110"/>
        <v>129</v>
      </c>
      <c r="V659" s="22">
        <v>45204</v>
      </c>
      <c r="W659" s="26">
        <f t="shared" ca="1" si="92"/>
        <v>0.73989738378681258</v>
      </c>
      <c r="X659" s="29">
        <f t="shared" ca="1" si="111"/>
        <v>235</v>
      </c>
      <c r="Z659" s="22">
        <v>45204</v>
      </c>
      <c r="AA659" s="26">
        <f t="shared" ca="1" si="93"/>
        <v>0.49897224093378323</v>
      </c>
      <c r="AB659" s="29">
        <f t="shared" ca="1" si="112"/>
        <v>270</v>
      </c>
      <c r="AC659"/>
      <c r="AD659" s="25"/>
      <c r="AF659" s="22">
        <v>45204</v>
      </c>
      <c r="AG659" s="26">
        <f t="shared" ca="1" si="94"/>
        <v>9.5162194952830959E-2</v>
      </c>
      <c r="AH659" s="29">
        <f t="shared" ca="1" si="113"/>
        <v>213</v>
      </c>
      <c r="AJ659" s="22">
        <v>45204</v>
      </c>
      <c r="AK659" s="26">
        <f t="shared" ca="1" si="95"/>
        <v>0.65737518754595303</v>
      </c>
      <c r="AL659" s="29">
        <f t="shared" ca="1" si="114"/>
        <v>200</v>
      </c>
      <c r="AN659" s="22">
        <v>45204</v>
      </c>
      <c r="AO659" s="26">
        <f t="shared" ca="1" si="96"/>
        <v>0.2393297085999988</v>
      </c>
      <c r="AP659" s="29">
        <f t="shared" ca="1" si="115"/>
        <v>120</v>
      </c>
      <c r="AR659" s="22">
        <v>45204</v>
      </c>
      <c r="AS659" s="26">
        <f t="shared" ca="1" si="97"/>
        <v>0.99152575336934146</v>
      </c>
      <c r="AT659" s="29">
        <f t="shared" ca="1" si="116"/>
        <v>355</v>
      </c>
      <c r="AV659" s="22">
        <v>45204</v>
      </c>
      <c r="AW659" s="26">
        <f t="shared" ca="1" si="98"/>
        <v>0.61668387906711941</v>
      </c>
      <c r="AX659" s="29">
        <f t="shared" ca="1" si="117"/>
        <v>207</v>
      </c>
      <c r="AZ659" s="22">
        <v>45204</v>
      </c>
      <c r="BA659" s="26">
        <f t="shared" ca="1" si="99"/>
        <v>0.43220316715384177</v>
      </c>
      <c r="BB659" s="29">
        <v>0</v>
      </c>
      <c r="BC659"/>
      <c r="BD659" s="25"/>
      <c r="BF659" s="22">
        <v>45204</v>
      </c>
      <c r="BG659" s="26">
        <f t="shared" ca="1" si="100"/>
        <v>0.75067022919312865</v>
      </c>
      <c r="BH659" s="29">
        <v>0</v>
      </c>
      <c r="BJ659" s="22">
        <v>45204</v>
      </c>
      <c r="BK659" s="26">
        <f t="shared" ca="1" si="101"/>
        <v>0.38424228166597751</v>
      </c>
      <c r="BL659" s="29">
        <v>0</v>
      </c>
      <c r="BN659" s="22">
        <v>45204</v>
      </c>
      <c r="BO659" s="26">
        <f t="shared" ca="1" si="102"/>
        <v>4.5393354562027755E-3</v>
      </c>
      <c r="BP659" s="29">
        <v>0</v>
      </c>
      <c r="BR659" s="22">
        <v>45204</v>
      </c>
      <c r="BS659" s="26">
        <f t="shared" ca="1" si="103"/>
        <v>0.47883755366662517</v>
      </c>
      <c r="BT659" s="29">
        <v>0</v>
      </c>
      <c r="BV659" s="22">
        <v>45204</v>
      </c>
      <c r="BW659" s="26">
        <f t="shared" ca="1" si="104"/>
        <v>0.55417932639469192</v>
      </c>
      <c r="BX659" s="29">
        <v>0</v>
      </c>
    </row>
    <row r="660" spans="2:76" ht="12.75" x14ac:dyDescent="0.2">
      <c r="B660" s="22">
        <v>45205</v>
      </c>
      <c r="C660" s="26">
        <f t="shared" ref="C660:C723" ca="1" si="119">RAND()</f>
        <v>0.93846657989990079</v>
      </c>
      <c r="D660" s="29">
        <f t="shared" ca="1" si="118"/>
        <v>106</v>
      </c>
      <c r="F660" s="22"/>
      <c r="G660" s="26">
        <f t="shared" ca="1" si="88"/>
        <v>0.15036625655173552</v>
      </c>
      <c r="H660" s="29">
        <f t="shared" ca="1" si="107"/>
        <v>201</v>
      </c>
      <c r="J660" s="22">
        <v>45205</v>
      </c>
      <c r="K660" s="26">
        <f t="shared" ca="1" si="89"/>
        <v>0.42538488031311039</v>
      </c>
      <c r="L660" s="29">
        <f t="shared" ca="1" si="108"/>
        <v>149</v>
      </c>
      <c r="N660" s="22">
        <v>45205</v>
      </c>
      <c r="O660" s="26">
        <f t="shared" ca="1" si="90"/>
        <v>0.77720152566113587</v>
      </c>
      <c r="P660" s="29">
        <f t="shared" ca="1" si="109"/>
        <v>242</v>
      </c>
      <c r="R660" s="22">
        <v>45205</v>
      </c>
      <c r="S660" s="26">
        <f t="shared" ca="1" si="91"/>
        <v>0.3022675591679197</v>
      </c>
      <c r="T660" s="29">
        <f t="shared" ca="1" si="110"/>
        <v>134</v>
      </c>
      <c r="V660" s="22">
        <v>45205</v>
      </c>
      <c r="W660" s="26">
        <f t="shared" ca="1" si="92"/>
        <v>0.94552532359739649</v>
      </c>
      <c r="X660" s="29">
        <f t="shared" ca="1" si="111"/>
        <v>250</v>
      </c>
      <c r="Z660" s="22">
        <v>45205</v>
      </c>
      <c r="AA660" s="26">
        <f t="shared" ca="1" si="93"/>
        <v>0.37867781137451229</v>
      </c>
      <c r="AB660" s="29">
        <f t="shared" ca="1" si="112"/>
        <v>265</v>
      </c>
      <c r="AC660"/>
      <c r="AD660" s="25"/>
      <c r="AF660" s="22">
        <v>45205</v>
      </c>
      <c r="AG660" s="26">
        <f t="shared" ca="1" si="94"/>
        <v>0.24062310349003657</v>
      </c>
      <c r="AH660" s="29">
        <f t="shared" ca="1" si="113"/>
        <v>266</v>
      </c>
      <c r="AJ660" s="22">
        <v>45205</v>
      </c>
      <c r="AK660" s="26">
        <f t="shared" ca="1" si="95"/>
        <v>0.18542126478417376</v>
      </c>
      <c r="AL660" s="29">
        <f t="shared" ca="1" si="114"/>
        <v>137</v>
      </c>
      <c r="AN660" s="22">
        <v>45205</v>
      </c>
      <c r="AO660" s="26">
        <f t="shared" ca="1" si="96"/>
        <v>0.56290024450269827</v>
      </c>
      <c r="AP660" s="29">
        <f t="shared" ca="1" si="115"/>
        <v>154</v>
      </c>
      <c r="AR660" s="22">
        <v>45205</v>
      </c>
      <c r="AS660" s="26">
        <f t="shared" ca="1" si="97"/>
        <v>0.54891433827220903</v>
      </c>
      <c r="AT660" s="29">
        <f t="shared" ca="1" si="116"/>
        <v>224</v>
      </c>
      <c r="AV660" s="22">
        <v>45205</v>
      </c>
      <c r="AW660" s="26">
        <f t="shared" ca="1" si="98"/>
        <v>6.7304515919059948E-2</v>
      </c>
      <c r="AX660" s="29">
        <f t="shared" ca="1" si="117"/>
        <v>116</v>
      </c>
      <c r="AZ660" s="22">
        <v>45205</v>
      </c>
      <c r="BA660" s="26">
        <f t="shared" ca="1" si="99"/>
        <v>0.19121543480811332</v>
      </c>
      <c r="BB660" s="29">
        <v>0</v>
      </c>
      <c r="BC660"/>
      <c r="BD660" s="25"/>
      <c r="BF660" s="22">
        <v>45205</v>
      </c>
      <c r="BG660" s="26">
        <f t="shared" ca="1" si="100"/>
        <v>0.25795143137396648</v>
      </c>
      <c r="BH660" s="29">
        <v>0</v>
      </c>
      <c r="BJ660" s="22">
        <v>45205</v>
      </c>
      <c r="BK660" s="26">
        <f t="shared" ca="1" si="101"/>
        <v>7.7216266652856413E-2</v>
      </c>
      <c r="BL660" s="29">
        <v>0</v>
      </c>
      <c r="BN660" s="22">
        <v>45205</v>
      </c>
      <c r="BO660" s="26">
        <f t="shared" ca="1" si="102"/>
        <v>0.74323399660199907</v>
      </c>
      <c r="BP660" s="29">
        <v>0</v>
      </c>
      <c r="BR660" s="22">
        <v>45205</v>
      </c>
      <c r="BS660" s="26">
        <f t="shared" ca="1" si="103"/>
        <v>0.53482346384026047</v>
      </c>
      <c r="BT660" s="29">
        <v>0</v>
      </c>
      <c r="BV660" s="22">
        <v>45205</v>
      </c>
      <c r="BW660" s="26">
        <f t="shared" ca="1" si="104"/>
        <v>0.49661460418270709</v>
      </c>
      <c r="BX660" s="29">
        <v>0</v>
      </c>
    </row>
    <row r="661" spans="2:76" ht="12.75" x14ac:dyDescent="0.2">
      <c r="B661" s="22">
        <v>45206</v>
      </c>
      <c r="C661" s="26">
        <f t="shared" ca="1" si="119"/>
        <v>0.54075580791375566</v>
      </c>
      <c r="D661" s="29">
        <f t="shared" ca="1" si="118"/>
        <v>78</v>
      </c>
      <c r="F661" s="22"/>
      <c r="G661" s="26">
        <f t="shared" ca="1" si="88"/>
        <v>0.35253944298134654</v>
      </c>
      <c r="H661" s="29">
        <f t="shared" ca="1" si="107"/>
        <v>210</v>
      </c>
      <c r="J661" s="22">
        <v>45206</v>
      </c>
      <c r="K661" s="26">
        <f t="shared" ca="1" si="89"/>
        <v>0.73967953632794192</v>
      </c>
      <c r="L661" s="29">
        <f t="shared" ca="1" si="108"/>
        <v>157</v>
      </c>
      <c r="N661" s="22">
        <v>45206</v>
      </c>
      <c r="O661" s="26">
        <f t="shared" ca="1" si="90"/>
        <v>0.46387123685250264</v>
      </c>
      <c r="P661" s="29">
        <f t="shared" ca="1" si="109"/>
        <v>228</v>
      </c>
      <c r="R661" s="22">
        <v>45206</v>
      </c>
      <c r="S661" s="26">
        <f t="shared" ca="1" si="91"/>
        <v>0.31126248883200636</v>
      </c>
      <c r="T661" s="29">
        <f t="shared" ca="1" si="110"/>
        <v>135</v>
      </c>
      <c r="V661" s="22">
        <v>45206</v>
      </c>
      <c r="W661" s="26">
        <f t="shared" ca="1" si="92"/>
        <v>0.83203199156267682</v>
      </c>
      <c r="X661" s="29">
        <f t="shared" ca="1" si="111"/>
        <v>240</v>
      </c>
      <c r="Z661" s="22">
        <v>45206</v>
      </c>
      <c r="AA661" s="26">
        <f t="shared" ca="1" si="93"/>
        <v>0.90271824090455999</v>
      </c>
      <c r="AB661" s="29">
        <f t="shared" ca="1" si="112"/>
        <v>294</v>
      </c>
      <c r="AC661"/>
      <c r="AD661" s="25"/>
      <c r="AF661" s="22">
        <v>45206</v>
      </c>
      <c r="AG661" s="26">
        <f t="shared" ca="1" si="94"/>
        <v>0.80380327006803243</v>
      </c>
      <c r="AH661" s="29">
        <f t="shared" ca="1" si="113"/>
        <v>402</v>
      </c>
      <c r="AJ661" s="22">
        <v>45206</v>
      </c>
      <c r="AK661" s="26">
        <f t="shared" ca="1" si="95"/>
        <v>0.12051398713207773</v>
      </c>
      <c r="AL661" s="29">
        <f t="shared" ca="1" si="114"/>
        <v>124</v>
      </c>
      <c r="AN661" s="22">
        <v>45206</v>
      </c>
      <c r="AO661" s="26">
        <f t="shared" ca="1" si="96"/>
        <v>0.23498088618094615</v>
      </c>
      <c r="AP661" s="29">
        <f t="shared" ca="1" si="115"/>
        <v>119</v>
      </c>
      <c r="AR661" s="22">
        <v>45206</v>
      </c>
      <c r="AS661" s="26">
        <f t="shared" ca="1" si="97"/>
        <v>0.72010549679877045</v>
      </c>
      <c r="AT661" s="29">
        <f t="shared" ca="1" si="116"/>
        <v>251</v>
      </c>
      <c r="AV661" s="22">
        <v>45206</v>
      </c>
      <c r="AW661" s="26">
        <f t="shared" ca="1" si="98"/>
        <v>0.28300744631069574</v>
      </c>
      <c r="AX661" s="29">
        <f t="shared" ca="1" si="117"/>
        <v>163</v>
      </c>
      <c r="AZ661" s="22">
        <v>45206</v>
      </c>
      <c r="BA661" s="26">
        <f t="shared" ca="1" si="99"/>
        <v>0.35273760120792308</v>
      </c>
      <c r="BB661" s="29">
        <v>0</v>
      </c>
      <c r="BC661"/>
      <c r="BD661" s="25"/>
      <c r="BF661" s="22">
        <v>45206</v>
      </c>
      <c r="BG661" s="26">
        <f t="shared" ca="1" si="100"/>
        <v>0.56153528010503384</v>
      </c>
      <c r="BH661" s="29">
        <v>0</v>
      </c>
      <c r="BJ661" s="22">
        <v>45206</v>
      </c>
      <c r="BK661" s="26">
        <f t="shared" ca="1" si="101"/>
        <v>0.9271825688853238</v>
      </c>
      <c r="BL661" s="29">
        <v>0</v>
      </c>
      <c r="BN661" s="22">
        <v>45206</v>
      </c>
      <c r="BO661" s="26">
        <f t="shared" ca="1" si="102"/>
        <v>0.9728199570058963</v>
      </c>
      <c r="BP661" s="29">
        <v>0</v>
      </c>
      <c r="BR661" s="22">
        <v>45206</v>
      </c>
      <c r="BS661" s="26">
        <f t="shared" ca="1" si="103"/>
        <v>0.91184171036047235</v>
      </c>
      <c r="BT661" s="29">
        <v>0</v>
      </c>
      <c r="BV661" s="22">
        <v>45206</v>
      </c>
      <c r="BW661" s="26">
        <f t="shared" ca="1" si="104"/>
        <v>0.85072826708959537</v>
      </c>
      <c r="BX661" s="29">
        <v>0</v>
      </c>
    </row>
    <row r="662" spans="2:76" ht="12.75" x14ac:dyDescent="0.2">
      <c r="B662" s="22">
        <v>45207</v>
      </c>
      <c r="C662" s="26">
        <f t="shared" ca="1" si="119"/>
        <v>0.82774725612361555</v>
      </c>
      <c r="D662" s="29">
        <f t="shared" ca="1" si="118"/>
        <v>94</v>
      </c>
      <c r="F662" s="22"/>
      <c r="G662" s="26">
        <f t="shared" ca="1" si="88"/>
        <v>0.60728102276923468</v>
      </c>
      <c r="H662" s="29">
        <f t="shared" ca="1" si="107"/>
        <v>220</v>
      </c>
      <c r="J662" s="22">
        <v>45207</v>
      </c>
      <c r="K662" s="26">
        <f t="shared" ca="1" si="89"/>
        <v>0.12509218783143861</v>
      </c>
      <c r="L662" s="29">
        <f t="shared" ca="1" si="108"/>
        <v>139</v>
      </c>
      <c r="N662" s="22">
        <v>45207</v>
      </c>
      <c r="O662" s="26">
        <f t="shared" ca="1" si="90"/>
        <v>0.42560617943244217</v>
      </c>
      <c r="P662" s="29">
        <f t="shared" ca="1" si="109"/>
        <v>227</v>
      </c>
      <c r="R662" s="22">
        <v>45207</v>
      </c>
      <c r="S662" s="26">
        <f t="shared" ca="1" si="91"/>
        <v>0.50566046095380424</v>
      </c>
      <c r="T662" s="29">
        <f t="shared" ca="1" si="110"/>
        <v>139</v>
      </c>
      <c r="V662" s="22">
        <v>45207</v>
      </c>
      <c r="W662" s="26">
        <f t="shared" ca="1" si="92"/>
        <v>0.36298635472444041</v>
      </c>
      <c r="X662" s="29">
        <f t="shared" ca="1" si="111"/>
        <v>220</v>
      </c>
      <c r="Z662" s="22">
        <v>45207</v>
      </c>
      <c r="AA662" s="26">
        <f t="shared" ca="1" si="93"/>
        <v>0.34979557578002063</v>
      </c>
      <c r="AB662" s="29">
        <f t="shared" ca="1" si="112"/>
        <v>264</v>
      </c>
      <c r="AC662"/>
      <c r="AD662" s="25"/>
      <c r="AF662" s="22">
        <v>45207</v>
      </c>
      <c r="AG662" s="26">
        <f t="shared" ca="1" si="94"/>
        <v>0.99642590039175127</v>
      </c>
      <c r="AH662" s="29">
        <f t="shared" ca="1" si="113"/>
        <v>562</v>
      </c>
      <c r="AJ662" s="22">
        <v>45207</v>
      </c>
      <c r="AK662" s="26">
        <f t="shared" ca="1" si="95"/>
        <v>2.1033387776356993E-2</v>
      </c>
      <c r="AL662" s="29">
        <f t="shared" ca="1" si="114"/>
        <v>83</v>
      </c>
      <c r="AN662" s="22">
        <v>45207</v>
      </c>
      <c r="AO662" s="26">
        <f t="shared" ca="1" si="96"/>
        <v>0.13768542639468595</v>
      </c>
      <c r="AP662" s="29">
        <f t="shared" ca="1" si="115"/>
        <v>105</v>
      </c>
      <c r="AR662" s="22">
        <v>45207</v>
      </c>
      <c r="AS662" s="26">
        <f t="shared" ca="1" si="97"/>
        <v>0.62992977903606351</v>
      </c>
      <c r="AT662" s="29">
        <f t="shared" ca="1" si="116"/>
        <v>236</v>
      </c>
      <c r="AV662" s="22">
        <v>45207</v>
      </c>
      <c r="AW662" s="26">
        <f t="shared" ca="1" si="98"/>
        <v>0.76739897707523552</v>
      </c>
      <c r="AX662" s="29">
        <f t="shared" ca="1" si="117"/>
        <v>230</v>
      </c>
      <c r="AZ662" s="22">
        <v>45207</v>
      </c>
      <c r="BA662" s="26">
        <f t="shared" ca="1" si="99"/>
        <v>0.32665335028897791</v>
      </c>
      <c r="BB662" s="29">
        <v>0</v>
      </c>
      <c r="BC662"/>
      <c r="BD662" s="25"/>
      <c r="BF662" s="22">
        <v>45207</v>
      </c>
      <c r="BG662" s="26">
        <f t="shared" ca="1" si="100"/>
        <v>0.49256931706642526</v>
      </c>
      <c r="BH662" s="29">
        <v>0</v>
      </c>
      <c r="BJ662" s="22">
        <v>45207</v>
      </c>
      <c r="BK662" s="26">
        <f t="shared" ca="1" si="101"/>
        <v>0.76412074827632026</v>
      </c>
      <c r="BL662" s="29">
        <v>0</v>
      </c>
      <c r="BN662" s="22">
        <v>45207</v>
      </c>
      <c r="BO662" s="26">
        <f t="shared" ca="1" si="102"/>
        <v>0.83487582619512335</v>
      </c>
      <c r="BP662" s="29">
        <v>0</v>
      </c>
      <c r="BR662" s="22">
        <v>45207</v>
      </c>
      <c r="BS662" s="26">
        <f t="shared" ca="1" si="103"/>
        <v>0.28006386326631494</v>
      </c>
      <c r="BT662" s="29">
        <v>0</v>
      </c>
      <c r="BV662" s="22">
        <v>45207</v>
      </c>
      <c r="BW662" s="26">
        <f t="shared" ca="1" si="104"/>
        <v>0.19749064119707593</v>
      </c>
      <c r="BX662" s="29">
        <v>0</v>
      </c>
    </row>
    <row r="663" spans="2:76" ht="12.75" x14ac:dyDescent="0.2">
      <c r="B663" s="22">
        <v>45208</v>
      </c>
      <c r="C663" s="26">
        <f t="shared" ca="1" si="119"/>
        <v>0.35838721772124327</v>
      </c>
      <c r="D663" s="29">
        <f t="shared" ca="1" si="118"/>
        <v>68</v>
      </c>
      <c r="F663" s="22"/>
      <c r="G663" s="26">
        <f t="shared" ca="1" si="88"/>
        <v>0.87743351065492148</v>
      </c>
      <c r="H663" s="29">
        <f t="shared" ca="1" si="107"/>
        <v>233</v>
      </c>
      <c r="J663" s="22">
        <v>45208</v>
      </c>
      <c r="K663" s="26">
        <f t="shared" ca="1" si="89"/>
        <v>0.64558014146746634</v>
      </c>
      <c r="L663" s="29">
        <f t="shared" ca="1" si="108"/>
        <v>154</v>
      </c>
      <c r="N663" s="22">
        <v>45208</v>
      </c>
      <c r="O663" s="26">
        <f t="shared" ca="1" si="90"/>
        <v>0.11930333979059926</v>
      </c>
      <c r="P663" s="29">
        <f t="shared" ca="1" si="109"/>
        <v>212</v>
      </c>
      <c r="R663" s="22">
        <v>45208</v>
      </c>
      <c r="S663" s="26">
        <f t="shared" ca="1" si="91"/>
        <v>8.8328199305106714E-2</v>
      </c>
      <c r="T663" s="29">
        <f t="shared" ca="1" si="110"/>
        <v>127</v>
      </c>
      <c r="V663" s="22">
        <v>45208</v>
      </c>
      <c r="W663" s="26">
        <f t="shared" ca="1" si="92"/>
        <v>0.5626675323565995</v>
      </c>
      <c r="X663" s="29">
        <f t="shared" ca="1" si="111"/>
        <v>228</v>
      </c>
      <c r="Z663" s="22">
        <v>45208</v>
      </c>
      <c r="AA663" s="26">
        <f t="shared" ca="1" si="93"/>
        <v>0.75618251429849836</v>
      </c>
      <c r="AB663" s="29">
        <f t="shared" ca="1" si="112"/>
        <v>283</v>
      </c>
      <c r="AC663"/>
      <c r="AD663" s="25"/>
      <c r="AF663" s="22">
        <v>45208</v>
      </c>
      <c r="AG663" s="26">
        <f t="shared" ca="1" si="94"/>
        <v>0.57676493856150712</v>
      </c>
      <c r="AH663" s="29">
        <f t="shared" ca="1" si="113"/>
        <v>344</v>
      </c>
      <c r="AJ663" s="22">
        <v>45208</v>
      </c>
      <c r="AK663" s="26">
        <f t="shared" ca="1" si="95"/>
        <v>0.59977767871818444</v>
      </c>
      <c r="AL663" s="29">
        <f t="shared" ca="1" si="114"/>
        <v>192</v>
      </c>
      <c r="AN663" s="22">
        <v>45208</v>
      </c>
      <c r="AO663" s="26">
        <f t="shared" ca="1" si="96"/>
        <v>0.23172298841918471</v>
      </c>
      <c r="AP663" s="29">
        <f t="shared" ca="1" si="115"/>
        <v>119</v>
      </c>
      <c r="AR663" s="22">
        <v>45208</v>
      </c>
      <c r="AS663" s="26">
        <f t="shared" ca="1" si="97"/>
        <v>9.1923245048495805E-2</v>
      </c>
      <c r="AT663" s="29">
        <f t="shared" ca="1" si="116"/>
        <v>140</v>
      </c>
      <c r="AV663" s="22">
        <v>45208</v>
      </c>
      <c r="AW663" s="26">
        <f t="shared" ca="1" si="98"/>
        <v>0.50897024341331487</v>
      </c>
      <c r="AX663" s="29">
        <f t="shared" ca="1" si="117"/>
        <v>193</v>
      </c>
      <c r="AZ663" s="22">
        <v>45208</v>
      </c>
      <c r="BA663" s="26">
        <f t="shared" ca="1" si="99"/>
        <v>0.19326591518974523</v>
      </c>
      <c r="BB663" s="29">
        <v>0</v>
      </c>
      <c r="BC663"/>
      <c r="BD663" s="25"/>
      <c r="BF663" s="22">
        <v>45208</v>
      </c>
      <c r="BG663" s="26">
        <f t="shared" ca="1" si="100"/>
        <v>0.83332481032208738</v>
      </c>
      <c r="BH663" s="29">
        <v>0</v>
      </c>
      <c r="BJ663" s="22">
        <v>45208</v>
      </c>
      <c r="BK663" s="26">
        <f t="shared" ca="1" si="101"/>
        <v>1.3946535890363543E-2</v>
      </c>
      <c r="BL663" s="29">
        <v>0</v>
      </c>
      <c r="BN663" s="22">
        <v>45208</v>
      </c>
      <c r="BO663" s="26">
        <f t="shared" ca="1" si="102"/>
        <v>0.40910804932529565</v>
      </c>
      <c r="BP663" s="29">
        <v>0</v>
      </c>
      <c r="BR663" s="22">
        <v>45208</v>
      </c>
      <c r="BS663" s="26">
        <f t="shared" ca="1" si="103"/>
        <v>6.1512068653209684E-2</v>
      </c>
      <c r="BT663" s="29">
        <v>0</v>
      </c>
      <c r="BV663" s="22">
        <v>45208</v>
      </c>
      <c r="BW663" s="26">
        <f t="shared" ca="1" si="104"/>
        <v>0.1103278105285439</v>
      </c>
      <c r="BX663" s="29">
        <v>0</v>
      </c>
    </row>
    <row r="664" spans="2:76" ht="12.75" x14ac:dyDescent="0.2">
      <c r="B664" s="22">
        <v>45209</v>
      </c>
      <c r="C664" s="26">
        <f t="shared" ca="1" si="119"/>
        <v>0.18142828202989114</v>
      </c>
      <c r="D664" s="29">
        <f t="shared" ca="1" si="118"/>
        <v>57</v>
      </c>
      <c r="F664" s="22"/>
      <c r="G664" s="26">
        <f t="shared" ca="1" si="88"/>
        <v>0.94790208283256006</v>
      </c>
      <c r="H664" s="29">
        <f t="shared" ca="1" si="107"/>
        <v>239</v>
      </c>
      <c r="J664" s="22">
        <v>45209</v>
      </c>
      <c r="K664" s="26">
        <f t="shared" ca="1" si="89"/>
        <v>0.19767859143832311</v>
      </c>
      <c r="L664" s="29">
        <f t="shared" ca="1" si="108"/>
        <v>142</v>
      </c>
      <c r="N664" s="22">
        <v>45209</v>
      </c>
      <c r="O664" s="26">
        <f t="shared" ca="1" si="90"/>
        <v>0.64562564535074274</v>
      </c>
      <c r="P664" s="29">
        <f t="shared" ca="1" si="109"/>
        <v>236</v>
      </c>
      <c r="R664" s="22">
        <v>45209</v>
      </c>
      <c r="S664" s="26">
        <f t="shared" ca="1" si="91"/>
        <v>0.76198940515273073</v>
      </c>
      <c r="T664" s="29">
        <f t="shared" ca="1" si="110"/>
        <v>146</v>
      </c>
      <c r="V664" s="22">
        <v>45209</v>
      </c>
      <c r="W664" s="26">
        <f t="shared" ca="1" si="92"/>
        <v>0.67034321434489541</v>
      </c>
      <c r="X664" s="29">
        <f t="shared" ca="1" si="111"/>
        <v>232</v>
      </c>
      <c r="Z664" s="22">
        <v>45209</v>
      </c>
      <c r="AA664" s="26">
        <f t="shared" ca="1" si="93"/>
        <v>0.3265377173489431</v>
      </c>
      <c r="AB664" s="29">
        <f t="shared" ca="1" si="112"/>
        <v>262</v>
      </c>
      <c r="AC664"/>
      <c r="AD664" s="25"/>
      <c r="AF664" s="22">
        <v>45209</v>
      </c>
      <c r="AG664" s="26">
        <f t="shared" ca="1" si="94"/>
        <v>0.54761267354018917</v>
      </c>
      <c r="AH664" s="29">
        <f t="shared" ca="1" si="113"/>
        <v>338</v>
      </c>
      <c r="AJ664" s="22">
        <v>45209</v>
      </c>
      <c r="AK664" s="26">
        <f t="shared" ca="1" si="95"/>
        <v>0.58315147106637688</v>
      </c>
      <c r="AL664" s="29">
        <f t="shared" ca="1" si="114"/>
        <v>190</v>
      </c>
      <c r="AN664" s="22">
        <v>45209</v>
      </c>
      <c r="AO664" s="26">
        <f t="shared" ca="1" si="96"/>
        <v>7.5836213545628417E-2</v>
      </c>
      <c r="AP664" s="29">
        <f t="shared" ca="1" si="115"/>
        <v>91</v>
      </c>
      <c r="AR664" s="22">
        <v>45209</v>
      </c>
      <c r="AS664" s="26">
        <f t="shared" ca="1" si="97"/>
        <v>0.70812858321914851</v>
      </c>
      <c r="AT664" s="29">
        <f t="shared" ca="1" si="116"/>
        <v>249</v>
      </c>
      <c r="AV664" s="22">
        <v>45209</v>
      </c>
      <c r="AW664" s="26">
        <f t="shared" ca="1" si="98"/>
        <v>0.35206491108611537</v>
      </c>
      <c r="AX664" s="29">
        <f t="shared" ca="1" si="117"/>
        <v>173</v>
      </c>
      <c r="AZ664" s="22">
        <v>45209</v>
      </c>
      <c r="BA664" s="26">
        <f t="shared" ca="1" si="99"/>
        <v>0.8217747290446118</v>
      </c>
      <c r="BB664" s="29">
        <v>0</v>
      </c>
      <c r="BC664"/>
      <c r="BD664" s="25"/>
      <c r="BF664" s="22">
        <v>45209</v>
      </c>
      <c r="BG664" s="26">
        <f t="shared" ca="1" si="100"/>
        <v>0.11582689018941073</v>
      </c>
      <c r="BH664" s="29">
        <v>0</v>
      </c>
      <c r="BJ664" s="22">
        <v>45209</v>
      </c>
      <c r="BK664" s="26">
        <f t="shared" ca="1" si="101"/>
        <v>0.45255121920312325</v>
      </c>
      <c r="BL664" s="29">
        <v>0</v>
      </c>
      <c r="BN664" s="22">
        <v>45209</v>
      </c>
      <c r="BO664" s="26">
        <f t="shared" ca="1" si="102"/>
        <v>0.96675022464465477</v>
      </c>
      <c r="BP664" s="29">
        <v>0</v>
      </c>
      <c r="BR664" s="22">
        <v>45209</v>
      </c>
      <c r="BS664" s="26">
        <f t="shared" ca="1" si="103"/>
        <v>0.84335457472678221</v>
      </c>
      <c r="BT664" s="29">
        <v>0</v>
      </c>
      <c r="BV664" s="22">
        <v>45209</v>
      </c>
      <c r="BW664" s="26">
        <f t="shared" ca="1" si="104"/>
        <v>0.87647712798382493</v>
      </c>
      <c r="BX664" s="29">
        <v>0</v>
      </c>
    </row>
    <row r="665" spans="2:76" ht="12.75" x14ac:dyDescent="0.2">
      <c r="B665" s="22">
        <v>45210</v>
      </c>
      <c r="C665" s="26">
        <f t="shared" ca="1" si="119"/>
        <v>0.2004536551306314</v>
      </c>
      <c r="D665" s="29">
        <f t="shared" ca="1" si="118"/>
        <v>59</v>
      </c>
      <c r="F665" s="22"/>
      <c r="G665" s="26">
        <f t="shared" ca="1" si="88"/>
        <v>7.237023374183793E-2</v>
      </c>
      <c r="H665" s="29">
        <f t="shared" ca="1" si="107"/>
        <v>195</v>
      </c>
      <c r="J665" s="22">
        <v>45210</v>
      </c>
      <c r="K665" s="26">
        <f t="shared" ca="1" si="89"/>
        <v>0.32846581992431079</v>
      </c>
      <c r="L665" s="29">
        <f t="shared" ca="1" si="108"/>
        <v>146</v>
      </c>
      <c r="N665" s="22">
        <v>45210</v>
      </c>
      <c r="O665" s="26">
        <f t="shared" ca="1" si="90"/>
        <v>0.23029731839194845</v>
      </c>
      <c r="P665" s="29">
        <f t="shared" ca="1" si="109"/>
        <v>219</v>
      </c>
      <c r="R665" s="22">
        <v>45210</v>
      </c>
      <c r="S665" s="26">
        <f t="shared" ca="1" si="91"/>
        <v>0.33241062163581492</v>
      </c>
      <c r="T665" s="29">
        <f t="shared" ca="1" si="110"/>
        <v>135</v>
      </c>
      <c r="V665" s="22">
        <v>45210</v>
      </c>
      <c r="W665" s="26">
        <f t="shared" ca="1" si="92"/>
        <v>0.29436675961051262</v>
      </c>
      <c r="X665" s="29">
        <f t="shared" ca="1" si="111"/>
        <v>217</v>
      </c>
      <c r="Z665" s="22">
        <v>45210</v>
      </c>
      <c r="AA665" s="26">
        <f t="shared" ca="1" si="93"/>
        <v>0.32870702267436303</v>
      </c>
      <c r="AB665" s="29">
        <f t="shared" ca="1" si="112"/>
        <v>263</v>
      </c>
      <c r="AC665"/>
      <c r="AD665" s="25"/>
      <c r="AF665" s="22">
        <v>45210</v>
      </c>
      <c r="AG665" s="26">
        <f t="shared" ca="1" si="94"/>
        <v>0.38448492322559691</v>
      </c>
      <c r="AH665" s="29">
        <f t="shared" ca="1" si="113"/>
        <v>302</v>
      </c>
      <c r="AJ665" s="22">
        <v>45210</v>
      </c>
      <c r="AK665" s="26">
        <f t="shared" ca="1" si="95"/>
        <v>0.97815202528818479</v>
      </c>
      <c r="AL665" s="29">
        <f t="shared" ca="1" si="114"/>
        <v>277</v>
      </c>
      <c r="AN665" s="22">
        <v>45210</v>
      </c>
      <c r="AO665" s="26">
        <f t="shared" ca="1" si="96"/>
        <v>0.17524396011659327</v>
      </c>
      <c r="AP665" s="29">
        <f t="shared" ca="1" si="115"/>
        <v>111</v>
      </c>
      <c r="AR665" s="22">
        <v>45210</v>
      </c>
      <c r="AS665" s="26">
        <f t="shared" ca="1" si="97"/>
        <v>0.14240658000891981</v>
      </c>
      <c r="AT665" s="29">
        <f t="shared" ca="1" si="116"/>
        <v>155</v>
      </c>
      <c r="AV665" s="22">
        <v>45210</v>
      </c>
      <c r="AW665" s="26">
        <f t="shared" ca="1" si="98"/>
        <v>0.66663016889548821</v>
      </c>
      <c r="AX665" s="29">
        <f t="shared" ca="1" si="117"/>
        <v>214</v>
      </c>
      <c r="AZ665" s="22">
        <v>45210</v>
      </c>
      <c r="BA665" s="26">
        <f t="shared" ca="1" si="99"/>
        <v>0.70311797343763793</v>
      </c>
      <c r="BB665" s="29">
        <v>0</v>
      </c>
      <c r="BC665"/>
      <c r="BD665" s="25"/>
      <c r="BF665" s="22">
        <v>45210</v>
      </c>
      <c r="BG665" s="26">
        <f t="shared" ca="1" si="100"/>
        <v>0.52077839041574114</v>
      </c>
      <c r="BH665" s="29">
        <v>0</v>
      </c>
      <c r="BJ665" s="22">
        <v>45210</v>
      </c>
      <c r="BK665" s="26">
        <f t="shared" ca="1" si="101"/>
        <v>0.82291156300227031</v>
      </c>
      <c r="BL665" s="29">
        <v>0</v>
      </c>
      <c r="BN665" s="22">
        <v>45210</v>
      </c>
      <c r="BO665" s="26">
        <f t="shared" ca="1" si="102"/>
        <v>0.11649788779351566</v>
      </c>
      <c r="BP665" s="29">
        <v>0</v>
      </c>
      <c r="BR665" s="22">
        <v>45210</v>
      </c>
      <c r="BS665" s="26">
        <f t="shared" ca="1" si="103"/>
        <v>0.27875657446665059</v>
      </c>
      <c r="BT665" s="29">
        <v>0</v>
      </c>
      <c r="BV665" s="22">
        <v>45210</v>
      </c>
      <c r="BW665" s="26">
        <f t="shared" ca="1" si="104"/>
        <v>0.25471344175177224</v>
      </c>
      <c r="BX665" s="29">
        <v>0</v>
      </c>
    </row>
    <row r="666" spans="2:76" ht="12.75" x14ac:dyDescent="0.2">
      <c r="B666" s="22">
        <v>45211</v>
      </c>
      <c r="C666" s="26">
        <f t="shared" ca="1" si="119"/>
        <v>0.86357466884366274</v>
      </c>
      <c r="D666" s="29">
        <f t="shared" ca="1" si="118"/>
        <v>97</v>
      </c>
      <c r="F666" s="22"/>
      <c r="G666" s="26">
        <f t="shared" ca="1" si="88"/>
        <v>0.63709033604465759</v>
      </c>
      <c r="H666" s="29">
        <f t="shared" ca="1" si="107"/>
        <v>221</v>
      </c>
      <c r="J666" s="22">
        <v>45211</v>
      </c>
      <c r="K666" s="26">
        <f t="shared" ca="1" si="89"/>
        <v>7.1064425166197043E-2</v>
      </c>
      <c r="L666" s="29">
        <f t="shared" ca="1" si="108"/>
        <v>136</v>
      </c>
      <c r="N666" s="22">
        <v>45211</v>
      </c>
      <c r="O666" s="26">
        <f t="shared" ca="1" si="90"/>
        <v>0.50629516342222702</v>
      </c>
      <c r="P666" s="29">
        <f t="shared" ca="1" si="109"/>
        <v>230</v>
      </c>
      <c r="R666" s="22">
        <v>45211</v>
      </c>
      <c r="S666" s="26">
        <f t="shared" ca="1" si="91"/>
        <v>0.65423432221989897</v>
      </c>
      <c r="T666" s="29">
        <f t="shared" ca="1" si="110"/>
        <v>143</v>
      </c>
      <c r="V666" s="22">
        <v>45211</v>
      </c>
      <c r="W666" s="26">
        <f t="shared" ca="1" si="92"/>
        <v>0.54811392032506512</v>
      </c>
      <c r="X666" s="29">
        <f t="shared" ca="1" si="111"/>
        <v>227</v>
      </c>
      <c r="Z666" s="22">
        <v>45211</v>
      </c>
      <c r="AA666" s="26">
        <f t="shared" ca="1" si="93"/>
        <v>5.429729724643606E-2</v>
      </c>
      <c r="AB666" s="29">
        <f t="shared" ca="1" si="112"/>
        <v>242</v>
      </c>
      <c r="AC666"/>
      <c r="AD666" s="25"/>
      <c r="AF666" s="22">
        <v>45211</v>
      </c>
      <c r="AG666" s="26">
        <f t="shared" ca="1" si="94"/>
        <v>0.17809022127269247</v>
      </c>
      <c r="AH666" s="29">
        <f t="shared" ca="1" si="113"/>
        <v>247</v>
      </c>
      <c r="AJ666" s="22">
        <v>45211</v>
      </c>
      <c r="AK666" s="26">
        <f t="shared" ca="1" si="95"/>
        <v>0.56455510926046404</v>
      </c>
      <c r="AL666" s="29">
        <f t="shared" ca="1" si="114"/>
        <v>188</v>
      </c>
      <c r="AN666" s="22">
        <v>45211</v>
      </c>
      <c r="AO666" s="26">
        <f t="shared" ca="1" si="96"/>
        <v>0.34280342760511806</v>
      </c>
      <c r="AP666" s="29">
        <f t="shared" ca="1" si="115"/>
        <v>132</v>
      </c>
      <c r="AR666" s="22">
        <v>45211</v>
      </c>
      <c r="AS666" s="26">
        <f t="shared" ca="1" si="97"/>
        <v>0.33205445687337254</v>
      </c>
      <c r="AT666" s="29">
        <f t="shared" ca="1" si="116"/>
        <v>192</v>
      </c>
      <c r="AV666" s="22">
        <v>45211</v>
      </c>
      <c r="AW666" s="26">
        <f t="shared" ca="1" si="98"/>
        <v>0.38548320463366403</v>
      </c>
      <c r="AX666" s="29">
        <f t="shared" ca="1" si="117"/>
        <v>177</v>
      </c>
      <c r="AZ666" s="22">
        <v>45211</v>
      </c>
      <c r="BA666" s="26">
        <f t="shared" ca="1" si="99"/>
        <v>0.91952187715179379</v>
      </c>
      <c r="BB666" s="29">
        <v>0</v>
      </c>
      <c r="BC666"/>
      <c r="BD666" s="25"/>
      <c r="BF666" s="22">
        <v>45211</v>
      </c>
      <c r="BG666" s="26">
        <f t="shared" ca="1" si="100"/>
        <v>0.95324853074296323</v>
      </c>
      <c r="BH666" s="29">
        <v>0</v>
      </c>
      <c r="BJ666" s="22">
        <v>45211</v>
      </c>
      <c r="BK666" s="26">
        <f t="shared" ca="1" si="101"/>
        <v>0.60593278483136748</v>
      </c>
      <c r="BL666" s="29">
        <v>0</v>
      </c>
      <c r="BN666" s="22">
        <v>45211</v>
      </c>
      <c r="BO666" s="26">
        <f t="shared" ca="1" si="102"/>
        <v>0.7074815721406198</v>
      </c>
      <c r="BP666" s="29">
        <v>0</v>
      </c>
      <c r="BR666" s="22">
        <v>45211</v>
      </c>
      <c r="BS666" s="26">
        <f t="shared" ca="1" si="103"/>
        <v>0.34539751340288261</v>
      </c>
      <c r="BT666" s="29">
        <v>0</v>
      </c>
      <c r="BV666" s="22">
        <v>45211</v>
      </c>
      <c r="BW666" s="26">
        <f t="shared" ca="1" si="104"/>
        <v>0.39283332454459707</v>
      </c>
      <c r="BX666" s="29">
        <v>0</v>
      </c>
    </row>
    <row r="667" spans="2:76" ht="12.75" x14ac:dyDescent="0.2">
      <c r="B667" s="22">
        <v>45212</v>
      </c>
      <c r="C667" s="26">
        <f t="shared" ca="1" si="119"/>
        <v>0.74453293463774739</v>
      </c>
      <c r="D667" s="29">
        <f t="shared" ca="1" si="118"/>
        <v>89</v>
      </c>
      <c r="F667" s="22"/>
      <c r="G667" s="26">
        <f t="shared" ca="1" si="88"/>
        <v>0.75686651517167713</v>
      </c>
      <c r="H667" s="29">
        <f t="shared" ca="1" si="107"/>
        <v>226</v>
      </c>
      <c r="J667" s="22">
        <v>45212</v>
      </c>
      <c r="K667" s="26">
        <f t="shared" ca="1" si="89"/>
        <v>0.87315940443821805</v>
      </c>
      <c r="L667" s="29">
        <f t="shared" ca="1" si="108"/>
        <v>162</v>
      </c>
      <c r="N667" s="22">
        <v>45212</v>
      </c>
      <c r="O667" s="26">
        <f t="shared" ca="1" si="90"/>
        <v>0.8761084495597703</v>
      </c>
      <c r="P667" s="29">
        <f t="shared" ca="1" si="109"/>
        <v>248</v>
      </c>
      <c r="R667" s="22">
        <v>45212</v>
      </c>
      <c r="S667" s="26">
        <f t="shared" ca="1" si="91"/>
        <v>0.82958444270766352</v>
      </c>
      <c r="T667" s="29">
        <f t="shared" ca="1" si="110"/>
        <v>148</v>
      </c>
      <c r="V667" s="22">
        <v>45212</v>
      </c>
      <c r="W667" s="26">
        <f t="shared" ca="1" si="92"/>
        <v>0.87294655519742359</v>
      </c>
      <c r="X667" s="29">
        <f t="shared" ca="1" si="111"/>
        <v>243</v>
      </c>
      <c r="Z667" s="22">
        <v>45212</v>
      </c>
      <c r="AA667" s="26">
        <f t="shared" ca="1" si="93"/>
        <v>3.2179309021710512E-2</v>
      </c>
      <c r="AB667" s="29">
        <f t="shared" ca="1" si="112"/>
        <v>237</v>
      </c>
      <c r="AC667"/>
      <c r="AD667" s="25"/>
      <c r="AF667" s="22">
        <v>45212</v>
      </c>
      <c r="AG667" s="26">
        <f t="shared" ca="1" si="94"/>
        <v>0.50901608166580781</v>
      </c>
      <c r="AH667" s="29">
        <f t="shared" ca="1" si="113"/>
        <v>329</v>
      </c>
      <c r="AJ667" s="22">
        <v>45212</v>
      </c>
      <c r="AK667" s="26">
        <f t="shared" ca="1" si="95"/>
        <v>0.42627802662729797</v>
      </c>
      <c r="AL667" s="29">
        <f t="shared" ca="1" si="114"/>
        <v>171</v>
      </c>
      <c r="AN667" s="22">
        <v>45212</v>
      </c>
      <c r="AO667" s="26">
        <f t="shared" ca="1" si="96"/>
        <v>0.22488082381162122</v>
      </c>
      <c r="AP667" s="29">
        <f t="shared" ca="1" si="115"/>
        <v>118</v>
      </c>
      <c r="AR667" s="22">
        <v>45212</v>
      </c>
      <c r="AS667" s="26">
        <f t="shared" ca="1" si="97"/>
        <v>0.3026323611096261</v>
      </c>
      <c r="AT667" s="29">
        <f t="shared" ca="1" si="116"/>
        <v>187</v>
      </c>
      <c r="AV667" s="22">
        <v>45212</v>
      </c>
      <c r="AW667" s="26">
        <f t="shared" ca="1" si="98"/>
        <v>0.18177101926154071</v>
      </c>
      <c r="AX667" s="29">
        <f t="shared" ca="1" si="117"/>
        <v>146</v>
      </c>
      <c r="AZ667" s="22">
        <v>45212</v>
      </c>
      <c r="BA667" s="26">
        <f t="shared" ca="1" si="99"/>
        <v>0.15127894078465487</v>
      </c>
      <c r="BB667" s="29">
        <v>0</v>
      </c>
      <c r="BC667"/>
      <c r="BD667" s="25"/>
      <c r="BF667" s="22">
        <v>45212</v>
      </c>
      <c r="BG667" s="26">
        <f t="shared" ca="1" si="100"/>
        <v>0.88175513883361523</v>
      </c>
      <c r="BH667" s="29">
        <v>0</v>
      </c>
      <c r="BJ667" s="22">
        <v>45212</v>
      </c>
      <c r="BK667" s="26">
        <f t="shared" ca="1" si="101"/>
        <v>3.9510278803890686E-2</v>
      </c>
      <c r="BL667" s="29">
        <v>0</v>
      </c>
      <c r="BN667" s="22">
        <v>45212</v>
      </c>
      <c r="BO667" s="26">
        <f t="shared" ca="1" si="102"/>
        <v>0.42721205340945811</v>
      </c>
      <c r="BP667" s="29">
        <v>0</v>
      </c>
      <c r="BR667" s="22">
        <v>45212</v>
      </c>
      <c r="BS667" s="26">
        <f t="shared" ca="1" si="103"/>
        <v>0.64925234678528154</v>
      </c>
      <c r="BT667" s="29">
        <v>0</v>
      </c>
      <c r="BV667" s="22">
        <v>45212</v>
      </c>
      <c r="BW667" s="26">
        <f t="shared" ca="1" si="104"/>
        <v>0.33947238707557759</v>
      </c>
      <c r="BX667" s="29">
        <v>0</v>
      </c>
    </row>
    <row r="668" spans="2:76" ht="12.75" x14ac:dyDescent="0.2">
      <c r="B668" s="22">
        <v>45213</v>
      </c>
      <c r="C668" s="26">
        <f t="shared" ca="1" si="119"/>
        <v>9.4027547387724786E-2</v>
      </c>
      <c r="D668" s="29">
        <f t="shared" ca="1" si="118"/>
        <v>49</v>
      </c>
      <c r="F668" s="22"/>
      <c r="G668" s="26">
        <f t="shared" ca="1" si="88"/>
        <v>0.95626364851919055</v>
      </c>
      <c r="H668" s="29">
        <f t="shared" ca="1" si="107"/>
        <v>240</v>
      </c>
      <c r="J668" s="22">
        <v>45213</v>
      </c>
      <c r="K668" s="26">
        <f t="shared" ca="1" si="89"/>
        <v>0.88968587739213922</v>
      </c>
      <c r="L668" s="29">
        <f t="shared" ca="1" si="108"/>
        <v>163</v>
      </c>
      <c r="N668" s="22">
        <v>45213</v>
      </c>
      <c r="O668" s="26">
        <f t="shared" ca="1" si="90"/>
        <v>0.25585115472025477</v>
      </c>
      <c r="P668" s="29">
        <f t="shared" ca="1" si="109"/>
        <v>220</v>
      </c>
      <c r="R668" s="22">
        <v>45213</v>
      </c>
      <c r="S668" s="26">
        <f t="shared" ca="1" si="91"/>
        <v>5.1368024824518299E-2</v>
      </c>
      <c r="T668" s="29">
        <f t="shared" ca="1" si="110"/>
        <v>124</v>
      </c>
      <c r="V668" s="22">
        <v>45213</v>
      </c>
      <c r="W668" s="26">
        <f t="shared" ca="1" si="92"/>
        <v>0.15279123339929579</v>
      </c>
      <c r="X668" s="29">
        <f t="shared" ca="1" si="111"/>
        <v>210</v>
      </c>
      <c r="Z668" s="22">
        <v>45213</v>
      </c>
      <c r="AA668" s="26">
        <f t="shared" ca="1" si="93"/>
        <v>0.27708111423909654</v>
      </c>
      <c r="AB668" s="29">
        <f t="shared" ca="1" si="112"/>
        <v>260</v>
      </c>
      <c r="AC668"/>
      <c r="AD668" s="25"/>
      <c r="AF668" s="22">
        <v>45213</v>
      </c>
      <c r="AG668" s="26">
        <f t="shared" ca="1" si="94"/>
        <v>0.21405687133322282</v>
      </c>
      <c r="AH668" s="29">
        <f t="shared" ca="1" si="113"/>
        <v>258</v>
      </c>
      <c r="AJ668" s="22">
        <v>45213</v>
      </c>
      <c r="AK668" s="26">
        <f t="shared" ca="1" si="95"/>
        <v>0.16536180382604082</v>
      </c>
      <c r="AL668" s="29">
        <f t="shared" ca="1" si="114"/>
        <v>134</v>
      </c>
      <c r="AN668" s="22">
        <v>45213</v>
      </c>
      <c r="AO668" s="26">
        <f t="shared" ca="1" si="96"/>
        <v>0.4830301623969554</v>
      </c>
      <c r="AP668" s="29">
        <f t="shared" ca="1" si="115"/>
        <v>146</v>
      </c>
      <c r="AR668" s="22">
        <v>45213</v>
      </c>
      <c r="AS668" s="26">
        <f t="shared" ca="1" si="97"/>
        <v>0.99255876179464919</v>
      </c>
      <c r="AT668" s="29">
        <f t="shared" ca="1" si="116"/>
        <v>358</v>
      </c>
      <c r="AV668" s="22">
        <v>45213</v>
      </c>
      <c r="AW668" s="26">
        <f t="shared" ca="1" si="98"/>
        <v>0.56309910163234866</v>
      </c>
      <c r="AX668" s="29">
        <f t="shared" ca="1" si="117"/>
        <v>200</v>
      </c>
      <c r="AZ668" s="22">
        <v>45213</v>
      </c>
      <c r="BA668" s="26">
        <f t="shared" ca="1" si="99"/>
        <v>0.65533840093448847</v>
      </c>
      <c r="BB668" s="29">
        <v>0</v>
      </c>
      <c r="BC668"/>
      <c r="BD668" s="25"/>
      <c r="BF668" s="22">
        <v>45213</v>
      </c>
      <c r="BG668" s="26">
        <f t="shared" ca="1" si="100"/>
        <v>0.8402916039054501</v>
      </c>
      <c r="BH668" s="29">
        <v>0</v>
      </c>
      <c r="BJ668" s="22">
        <v>45213</v>
      </c>
      <c r="BK668" s="26">
        <f t="shared" ca="1" si="101"/>
        <v>0.4911524468377465</v>
      </c>
      <c r="BL668" s="29">
        <v>0</v>
      </c>
      <c r="BN668" s="22">
        <v>45213</v>
      </c>
      <c r="BO668" s="26">
        <f t="shared" ca="1" si="102"/>
        <v>0.21547756681568908</v>
      </c>
      <c r="BP668" s="29">
        <v>0</v>
      </c>
      <c r="BR668" s="22">
        <v>45213</v>
      </c>
      <c r="BS668" s="26">
        <f t="shared" ca="1" si="103"/>
        <v>5.2346256450543693E-2</v>
      </c>
      <c r="BT668" s="29">
        <v>0</v>
      </c>
      <c r="BV668" s="22">
        <v>45213</v>
      </c>
      <c r="BW668" s="26">
        <f t="shared" ca="1" si="104"/>
        <v>0.90305211431695565</v>
      </c>
      <c r="BX668" s="29">
        <v>0</v>
      </c>
    </row>
    <row r="669" spans="2:76" ht="12.75" x14ac:dyDescent="0.2">
      <c r="B669" s="22">
        <v>45214</v>
      </c>
      <c r="C669" s="26">
        <f t="shared" ca="1" si="119"/>
        <v>0.3823409799009162</v>
      </c>
      <c r="D669" s="29">
        <f t="shared" ca="1" si="118"/>
        <v>70</v>
      </c>
      <c r="F669" s="22"/>
      <c r="G669" s="26">
        <f t="shared" ca="1" si="88"/>
        <v>0.35963516366801529</v>
      </c>
      <c r="H669" s="29">
        <f t="shared" ca="1" si="107"/>
        <v>211</v>
      </c>
      <c r="J669" s="22">
        <v>45214</v>
      </c>
      <c r="K669" s="26">
        <f t="shared" ca="1" si="89"/>
        <v>0.99372592890895195</v>
      </c>
      <c r="L669" s="29">
        <f t="shared" ca="1" si="108"/>
        <v>175</v>
      </c>
      <c r="N669" s="22">
        <v>45214</v>
      </c>
      <c r="O669" s="26">
        <f t="shared" ca="1" si="90"/>
        <v>0.2980557091239131</v>
      </c>
      <c r="P669" s="29">
        <f t="shared" ca="1" si="109"/>
        <v>222</v>
      </c>
      <c r="R669" s="22">
        <v>45214</v>
      </c>
      <c r="S669" s="26">
        <f t="shared" ca="1" si="91"/>
        <v>0.634113087934564</v>
      </c>
      <c r="T669" s="29">
        <f t="shared" ca="1" si="110"/>
        <v>142</v>
      </c>
      <c r="V669" s="22">
        <v>45214</v>
      </c>
      <c r="W669" s="26">
        <f t="shared" ca="1" si="92"/>
        <v>0.16995092174092352</v>
      </c>
      <c r="X669" s="29">
        <f t="shared" ca="1" si="111"/>
        <v>211</v>
      </c>
      <c r="Z669" s="22">
        <v>45214</v>
      </c>
      <c r="AA669" s="26">
        <f t="shared" ca="1" si="93"/>
        <v>7.930947122433385E-2</v>
      </c>
      <c r="AB669" s="29">
        <f t="shared" ca="1" si="112"/>
        <v>245</v>
      </c>
      <c r="AC669"/>
      <c r="AD669" s="25"/>
      <c r="AF669" s="22">
        <v>45214</v>
      </c>
      <c r="AG669" s="26">
        <f t="shared" ca="1" si="94"/>
        <v>0.57339867617896034</v>
      </c>
      <c r="AH669" s="29">
        <f t="shared" ca="1" si="113"/>
        <v>344</v>
      </c>
      <c r="AJ669" s="22">
        <v>45214</v>
      </c>
      <c r="AK669" s="26">
        <f t="shared" ca="1" si="95"/>
        <v>0.22125418277103936</v>
      </c>
      <c r="AL669" s="29">
        <f t="shared" ca="1" si="114"/>
        <v>144</v>
      </c>
      <c r="AN669" s="22">
        <v>45214</v>
      </c>
      <c r="AO669" s="26">
        <f t="shared" ca="1" si="96"/>
        <v>0.57525703624659508</v>
      </c>
      <c r="AP669" s="29">
        <f t="shared" ca="1" si="115"/>
        <v>155</v>
      </c>
      <c r="AR669" s="22">
        <v>45214</v>
      </c>
      <c r="AS669" s="26">
        <f t="shared" ca="1" si="97"/>
        <v>0.21384730405286823</v>
      </c>
      <c r="AT669" s="29">
        <f t="shared" ca="1" si="116"/>
        <v>171</v>
      </c>
      <c r="AV669" s="22">
        <v>45214</v>
      </c>
      <c r="AW669" s="26">
        <f t="shared" ca="1" si="98"/>
        <v>2.2777895601980847E-2</v>
      </c>
      <c r="AX669" s="29">
        <f t="shared" ca="1" si="117"/>
        <v>90</v>
      </c>
      <c r="AZ669" s="22">
        <v>45214</v>
      </c>
      <c r="BA669" s="26">
        <f t="shared" ca="1" si="99"/>
        <v>0.95404335097899373</v>
      </c>
      <c r="BB669" s="29">
        <v>0</v>
      </c>
      <c r="BC669"/>
      <c r="BD669" s="25"/>
      <c r="BF669" s="22">
        <v>45214</v>
      </c>
      <c r="BG669" s="26">
        <f t="shared" ca="1" si="100"/>
        <v>0.64493026593046432</v>
      </c>
      <c r="BH669" s="29">
        <v>0</v>
      </c>
      <c r="BJ669" s="22">
        <v>45214</v>
      </c>
      <c r="BK669" s="26">
        <f t="shared" ca="1" si="101"/>
        <v>0.73469890488943823</v>
      </c>
      <c r="BL669" s="29">
        <v>0</v>
      </c>
      <c r="BN669" s="22">
        <v>45214</v>
      </c>
      <c r="BO669" s="26">
        <f t="shared" ca="1" si="102"/>
        <v>0.87250454007929723</v>
      </c>
      <c r="BP669" s="29">
        <v>0</v>
      </c>
      <c r="BR669" s="22">
        <v>45214</v>
      </c>
      <c r="BS669" s="26">
        <f t="shared" ca="1" si="103"/>
        <v>0.98066416436570625</v>
      </c>
      <c r="BT669" s="29">
        <v>0</v>
      </c>
      <c r="BV669" s="22">
        <v>45214</v>
      </c>
      <c r="BW669" s="26">
        <f t="shared" ca="1" si="104"/>
        <v>0.36536569318472145</v>
      </c>
      <c r="BX669" s="29">
        <v>0</v>
      </c>
    </row>
    <row r="670" spans="2:76" ht="12.75" x14ac:dyDescent="0.2">
      <c r="B670" s="22">
        <v>45215</v>
      </c>
      <c r="C670" s="26">
        <f t="shared" ca="1" si="119"/>
        <v>0.55903111798489558</v>
      </c>
      <c r="D670" s="29">
        <f t="shared" ca="1" si="118"/>
        <v>78</v>
      </c>
      <c r="F670" s="22"/>
      <c r="G670" s="26">
        <f t="shared" ca="1" si="88"/>
        <v>0.36209019718439672</v>
      </c>
      <c r="H670" s="29">
        <f t="shared" ca="1" si="107"/>
        <v>211</v>
      </c>
      <c r="J670" s="22">
        <v>45215</v>
      </c>
      <c r="K670" s="26">
        <f t="shared" ca="1" si="89"/>
        <v>0.54749455038260975</v>
      </c>
      <c r="L670" s="29">
        <f t="shared" ca="1" si="108"/>
        <v>152</v>
      </c>
      <c r="N670" s="22">
        <v>45215</v>
      </c>
      <c r="O670" s="26">
        <f t="shared" ca="1" si="90"/>
        <v>0.88218293911909085</v>
      </c>
      <c r="P670" s="29">
        <f t="shared" ca="1" si="109"/>
        <v>248</v>
      </c>
      <c r="R670" s="22">
        <v>45215</v>
      </c>
      <c r="S670" s="26">
        <f t="shared" ca="1" si="91"/>
        <v>0.92060975385104027</v>
      </c>
      <c r="T670" s="29">
        <f t="shared" ca="1" si="110"/>
        <v>152</v>
      </c>
      <c r="V670" s="22">
        <v>45215</v>
      </c>
      <c r="W670" s="26">
        <f t="shared" ca="1" si="92"/>
        <v>0.18054687571312877</v>
      </c>
      <c r="X670" s="29">
        <f t="shared" ca="1" si="111"/>
        <v>212</v>
      </c>
      <c r="Z670" s="22">
        <v>45215</v>
      </c>
      <c r="AA670" s="26">
        <f t="shared" ca="1" si="93"/>
        <v>0.56419862421765798</v>
      </c>
      <c r="AB670" s="29">
        <f t="shared" ca="1" si="112"/>
        <v>273</v>
      </c>
      <c r="AC670"/>
      <c r="AD670" s="25"/>
      <c r="AF670" s="22">
        <v>45215</v>
      </c>
      <c r="AG670" s="26">
        <f t="shared" ca="1" si="94"/>
        <v>0.28079678417483933</v>
      </c>
      <c r="AH670" s="29">
        <f t="shared" ca="1" si="113"/>
        <v>277</v>
      </c>
      <c r="AJ670" s="22">
        <v>45215</v>
      </c>
      <c r="AK670" s="26">
        <f t="shared" ca="1" si="95"/>
        <v>0.3114928276016663</v>
      </c>
      <c r="AL670" s="29">
        <f t="shared" ca="1" si="114"/>
        <v>157</v>
      </c>
      <c r="AN670" s="22">
        <v>45215</v>
      </c>
      <c r="AO670" s="26">
        <f t="shared" ca="1" si="96"/>
        <v>0.97976906486183513</v>
      </c>
      <c r="AP670" s="29">
        <f t="shared" ca="1" si="115"/>
        <v>228</v>
      </c>
      <c r="AR670" s="22">
        <v>45215</v>
      </c>
      <c r="AS670" s="26">
        <f t="shared" ca="1" si="97"/>
        <v>0.94540639864939791</v>
      </c>
      <c r="AT670" s="29">
        <f t="shared" ca="1" si="116"/>
        <v>310</v>
      </c>
      <c r="AV670" s="22">
        <v>45215</v>
      </c>
      <c r="AW670" s="26">
        <f t="shared" ca="1" si="98"/>
        <v>5.0489048402802883E-2</v>
      </c>
      <c r="AX670" s="29">
        <f t="shared" ca="1" si="117"/>
        <v>108</v>
      </c>
      <c r="AZ670" s="22">
        <v>45215</v>
      </c>
      <c r="BA670" s="26">
        <f t="shared" ca="1" si="99"/>
        <v>0.13031788149154167</v>
      </c>
      <c r="BB670" s="29">
        <v>0</v>
      </c>
      <c r="BC670"/>
      <c r="BD670" s="25"/>
      <c r="BF670" s="22">
        <v>45215</v>
      </c>
      <c r="BG670" s="26">
        <f t="shared" ca="1" si="100"/>
        <v>0.93805735949770219</v>
      </c>
      <c r="BH670" s="29">
        <v>0</v>
      </c>
      <c r="BJ670" s="22">
        <v>45215</v>
      </c>
      <c r="BK670" s="26">
        <f t="shared" ca="1" si="101"/>
        <v>0.1853670403073262</v>
      </c>
      <c r="BL670" s="29">
        <v>0</v>
      </c>
      <c r="BN670" s="22">
        <v>45215</v>
      </c>
      <c r="BO670" s="26">
        <f t="shared" ca="1" si="102"/>
        <v>0.15310948591575502</v>
      </c>
      <c r="BP670" s="29">
        <v>0</v>
      </c>
      <c r="BR670" s="22">
        <v>45215</v>
      </c>
      <c r="BS670" s="26">
        <f t="shared" ca="1" si="103"/>
        <v>0.80326655714304507</v>
      </c>
      <c r="BT670" s="29">
        <v>0</v>
      </c>
      <c r="BV670" s="22">
        <v>45215</v>
      </c>
      <c r="BW670" s="26">
        <f t="shared" ca="1" si="104"/>
        <v>7.6224026544789991E-2</v>
      </c>
      <c r="BX670" s="29">
        <v>0</v>
      </c>
    </row>
    <row r="671" spans="2:76" ht="12.75" x14ac:dyDescent="0.2">
      <c r="B671" s="22">
        <v>45216</v>
      </c>
      <c r="C671" s="26">
        <f t="shared" ca="1" si="119"/>
        <v>0.74790371657587063</v>
      </c>
      <c r="D671" s="29">
        <v>0</v>
      </c>
      <c r="F671" s="22"/>
      <c r="G671" s="26">
        <f t="shared" ca="1" si="88"/>
        <v>0.97405842737696524</v>
      </c>
      <c r="H671" s="29">
        <v>0</v>
      </c>
      <c r="J671" s="22">
        <v>45216</v>
      </c>
      <c r="K671" s="26">
        <f t="shared" ca="1" si="89"/>
        <v>0.47628365184025723</v>
      </c>
      <c r="L671" s="29">
        <v>0</v>
      </c>
      <c r="N671" s="22">
        <v>45216</v>
      </c>
      <c r="O671" s="26">
        <f t="shared" ca="1" si="90"/>
        <v>0.40684334176290449</v>
      </c>
      <c r="P671" s="29">
        <v>0</v>
      </c>
      <c r="R671" s="22">
        <v>45216</v>
      </c>
      <c r="S671" s="26">
        <f t="shared" ca="1" si="91"/>
        <v>0.74231355873815985</v>
      </c>
      <c r="T671" s="29">
        <v>0</v>
      </c>
      <c r="V671" s="22">
        <v>45216</v>
      </c>
      <c r="W671" s="26">
        <f t="shared" ca="1" si="92"/>
        <v>4.6316700177833736E-2</v>
      </c>
      <c r="X671" s="29">
        <v>0</v>
      </c>
      <c r="Z671" s="22">
        <v>45216</v>
      </c>
      <c r="AA671" s="26">
        <f t="shared" ca="1" si="93"/>
        <v>0.78401396437720827</v>
      </c>
      <c r="AB671" s="29">
        <v>0</v>
      </c>
      <c r="AC671"/>
      <c r="AD671" s="25"/>
      <c r="AF671" s="22">
        <v>45216</v>
      </c>
      <c r="AG671" s="26">
        <f t="shared" ca="1" si="94"/>
        <v>0.42974753281933464</v>
      </c>
      <c r="AH671" s="29">
        <v>0</v>
      </c>
      <c r="AJ671" s="22">
        <v>45216</v>
      </c>
      <c r="AK671" s="26">
        <f t="shared" ca="1" si="95"/>
        <v>0.20906736832618655</v>
      </c>
      <c r="AL671" s="29">
        <v>0</v>
      </c>
      <c r="AN671" s="22">
        <v>45216</v>
      </c>
      <c r="AO671" s="26">
        <f t="shared" ca="1" si="96"/>
        <v>0.75678535194021479</v>
      </c>
      <c r="AP671" s="29">
        <v>0</v>
      </c>
      <c r="AR671" s="22">
        <v>45216</v>
      </c>
      <c r="AS671" s="26">
        <f t="shared" ca="1" si="97"/>
        <v>0.66668900533865449</v>
      </c>
      <c r="AT671" s="29">
        <v>0</v>
      </c>
      <c r="AV671" s="22">
        <v>45216</v>
      </c>
      <c r="AW671" s="26">
        <f t="shared" ca="1" si="98"/>
        <v>0.76302138267531361</v>
      </c>
      <c r="AX671" s="29">
        <v>0</v>
      </c>
      <c r="AZ671" s="22">
        <v>45216</v>
      </c>
      <c r="BA671" s="26">
        <f t="shared" ca="1" si="99"/>
        <v>0.67408636392252419</v>
      </c>
      <c r="BB671" s="29">
        <v>0</v>
      </c>
      <c r="BC671"/>
      <c r="BD671" s="25"/>
      <c r="BF671" s="22">
        <v>45216</v>
      </c>
      <c r="BG671" s="26">
        <f t="shared" ca="1" si="100"/>
        <v>0.52941747778203618</v>
      </c>
      <c r="BH671" s="29">
        <v>0</v>
      </c>
      <c r="BJ671" s="22">
        <v>45216</v>
      </c>
      <c r="BK671" s="26">
        <f t="shared" ca="1" si="101"/>
        <v>0.32252859102786469</v>
      </c>
      <c r="BL671" s="29">
        <v>0</v>
      </c>
      <c r="BN671" s="22">
        <v>45216</v>
      </c>
      <c r="BO671" s="26">
        <f t="shared" ca="1" si="102"/>
        <v>0.93105251845993886</v>
      </c>
      <c r="BP671" s="29">
        <v>0</v>
      </c>
      <c r="BR671" s="22">
        <v>45216</v>
      </c>
      <c r="BS671" s="26">
        <f t="shared" ca="1" si="103"/>
        <v>0.84692622496637526</v>
      </c>
      <c r="BT671" s="29">
        <v>0</v>
      </c>
      <c r="BV671" s="22">
        <v>45216</v>
      </c>
      <c r="BW671" s="26">
        <f t="shared" ca="1" si="104"/>
        <v>0.27764521192052016</v>
      </c>
      <c r="BX671" s="29">
        <v>0</v>
      </c>
    </row>
    <row r="672" spans="2:76" ht="12.75" x14ac:dyDescent="0.2">
      <c r="B672" s="22">
        <v>45217</v>
      </c>
      <c r="C672" s="26">
        <f t="shared" ca="1" si="119"/>
        <v>0.88722714397177049</v>
      </c>
      <c r="D672" s="29">
        <v>0</v>
      </c>
      <c r="F672" s="22"/>
      <c r="G672" s="26">
        <f t="shared" ca="1" si="88"/>
        <v>0.64661021781201278</v>
      </c>
      <c r="H672" s="29">
        <v>0</v>
      </c>
      <c r="J672" s="22">
        <v>45217</v>
      </c>
      <c r="K672" s="26">
        <f t="shared" ca="1" si="89"/>
        <v>0.87634100099970491</v>
      </c>
      <c r="L672" s="29">
        <v>0</v>
      </c>
      <c r="N672" s="22">
        <v>45217</v>
      </c>
      <c r="O672" s="26">
        <f t="shared" ca="1" si="90"/>
        <v>0.40733547131731673</v>
      </c>
      <c r="P672" s="29">
        <v>0</v>
      </c>
      <c r="R672" s="22">
        <v>45217</v>
      </c>
      <c r="S672" s="26">
        <f t="shared" ca="1" si="91"/>
        <v>8.195358581550749E-2</v>
      </c>
      <c r="T672" s="29">
        <v>0</v>
      </c>
      <c r="V672" s="22">
        <v>45217</v>
      </c>
      <c r="W672" s="26">
        <f t="shared" ca="1" si="92"/>
        <v>0.2590398235982968</v>
      </c>
      <c r="X672" s="29">
        <v>0</v>
      </c>
      <c r="Z672" s="22">
        <v>45217</v>
      </c>
      <c r="AA672" s="26">
        <f t="shared" ca="1" si="93"/>
        <v>0.36298648489066998</v>
      </c>
      <c r="AB672" s="29">
        <v>0</v>
      </c>
      <c r="AC672"/>
      <c r="AD672" s="25"/>
      <c r="AF672" s="22">
        <v>45217</v>
      </c>
      <c r="AG672" s="26">
        <f t="shared" ca="1" si="94"/>
        <v>0.57920536982623239</v>
      </c>
      <c r="AH672" s="29">
        <v>0</v>
      </c>
      <c r="AJ672" s="22">
        <v>45217</v>
      </c>
      <c r="AK672" s="26">
        <f t="shared" ca="1" si="95"/>
        <v>6.2086181346430735E-2</v>
      </c>
      <c r="AL672" s="29">
        <v>0</v>
      </c>
      <c r="AN672" s="22">
        <v>45217</v>
      </c>
      <c r="AO672" s="26">
        <f t="shared" ca="1" si="96"/>
        <v>0.74064539405415897</v>
      </c>
      <c r="AP672" s="29">
        <v>0</v>
      </c>
      <c r="AR672" s="22">
        <v>45217</v>
      </c>
      <c r="AS672" s="26">
        <f t="shared" ca="1" si="97"/>
        <v>1.7377158337106069E-2</v>
      </c>
      <c r="AT672" s="29">
        <v>0</v>
      </c>
      <c r="AV672" s="22">
        <v>45217</v>
      </c>
      <c r="AW672" s="26">
        <f t="shared" ca="1" si="98"/>
        <v>0.84126443353852942</v>
      </c>
      <c r="AX672" s="29">
        <v>0</v>
      </c>
      <c r="AZ672" s="22">
        <v>45217</v>
      </c>
      <c r="BA672" s="26">
        <f t="shared" ca="1" si="99"/>
        <v>0.90327686967544207</v>
      </c>
      <c r="BB672" s="29">
        <v>0</v>
      </c>
      <c r="BC672"/>
      <c r="BD672" s="25"/>
      <c r="BF672" s="22">
        <v>45217</v>
      </c>
      <c r="BG672" s="26">
        <f t="shared" ca="1" si="100"/>
        <v>0.84105499483229718</v>
      </c>
      <c r="BH672" s="29">
        <v>0</v>
      </c>
      <c r="BJ672" s="22">
        <v>45217</v>
      </c>
      <c r="BK672" s="26">
        <f t="shared" ca="1" si="101"/>
        <v>0.59753371904487351</v>
      </c>
      <c r="BL672" s="29">
        <v>0</v>
      </c>
      <c r="BN672" s="22">
        <v>45217</v>
      </c>
      <c r="BO672" s="26">
        <f t="shared" ca="1" si="102"/>
        <v>0.80127495512262181</v>
      </c>
      <c r="BP672" s="29">
        <v>0</v>
      </c>
      <c r="BR672" s="22">
        <v>45217</v>
      </c>
      <c r="BS672" s="26">
        <f t="shared" ca="1" si="103"/>
        <v>7.7511686524413648E-2</v>
      </c>
      <c r="BT672" s="29">
        <v>0</v>
      </c>
      <c r="BV672" s="22">
        <v>45217</v>
      </c>
      <c r="BW672" s="26">
        <f t="shared" ca="1" si="104"/>
        <v>0.63053731849302075</v>
      </c>
      <c r="BX672" s="29">
        <v>0</v>
      </c>
    </row>
    <row r="673" spans="2:77" ht="12.75" x14ac:dyDescent="0.2">
      <c r="B673" s="22">
        <v>45218</v>
      </c>
      <c r="C673" s="26">
        <f t="shared" ca="1" si="119"/>
        <v>0.36221506807115345</v>
      </c>
      <c r="D673" s="29">
        <v>0</v>
      </c>
      <c r="F673" s="22"/>
      <c r="G673" s="26">
        <f t="shared" ca="1" si="88"/>
        <v>0.66940944206374264</v>
      </c>
      <c r="H673" s="29">
        <v>0</v>
      </c>
      <c r="J673" s="22">
        <v>45218</v>
      </c>
      <c r="K673" s="26">
        <f t="shared" ca="1" si="89"/>
        <v>0.60716353419760938</v>
      </c>
      <c r="L673" s="29">
        <v>0</v>
      </c>
      <c r="N673" s="22">
        <v>45218</v>
      </c>
      <c r="O673" s="26">
        <f t="shared" ca="1" si="90"/>
        <v>0.37902607588964821</v>
      </c>
      <c r="P673" s="29">
        <v>0</v>
      </c>
      <c r="R673" s="22">
        <v>45218</v>
      </c>
      <c r="S673" s="26">
        <f t="shared" ca="1" si="91"/>
        <v>0.3429222596337187</v>
      </c>
      <c r="T673" s="29">
        <v>0</v>
      </c>
      <c r="V673" s="22">
        <v>45218</v>
      </c>
      <c r="W673" s="26">
        <f t="shared" ca="1" si="92"/>
        <v>0.90120536629867909</v>
      </c>
      <c r="X673" s="29">
        <v>0</v>
      </c>
      <c r="Z673" s="22">
        <v>45218</v>
      </c>
      <c r="AA673" s="26">
        <f t="shared" ca="1" si="93"/>
        <v>6.4455944986411606E-2</v>
      </c>
      <c r="AB673" s="29">
        <v>0</v>
      </c>
      <c r="AC673"/>
      <c r="AD673" s="25"/>
      <c r="AF673" s="22">
        <v>45218</v>
      </c>
      <c r="AG673" s="26">
        <f t="shared" ca="1" si="94"/>
        <v>0.41110204025815533</v>
      </c>
      <c r="AH673" s="29">
        <v>0</v>
      </c>
      <c r="AJ673" s="22">
        <v>45218</v>
      </c>
      <c r="AK673" s="26">
        <f t="shared" ca="1" si="95"/>
        <v>0.1321946745154402</v>
      </c>
      <c r="AL673" s="29">
        <v>0</v>
      </c>
      <c r="AN673" s="22">
        <v>45218</v>
      </c>
      <c r="AO673" s="26">
        <f t="shared" ca="1" si="96"/>
        <v>0.98614632807260882</v>
      </c>
      <c r="AP673" s="29">
        <v>0</v>
      </c>
      <c r="AR673" s="22">
        <v>45218</v>
      </c>
      <c r="AS673" s="26">
        <f t="shared" ca="1" si="97"/>
        <v>0.90122667498345665</v>
      </c>
      <c r="AT673" s="29">
        <v>0</v>
      </c>
      <c r="AV673" s="22">
        <v>45218</v>
      </c>
      <c r="AW673" s="26">
        <f t="shared" ca="1" si="98"/>
        <v>0.67726479172780574</v>
      </c>
      <c r="AX673" s="29">
        <v>0</v>
      </c>
      <c r="AZ673" s="22">
        <v>45218</v>
      </c>
      <c r="BA673" s="26">
        <f t="shared" ca="1" si="99"/>
        <v>0.77168944515369087</v>
      </c>
      <c r="BB673" s="29">
        <v>0</v>
      </c>
      <c r="BC673"/>
      <c r="BD673" s="25"/>
      <c r="BF673" s="22">
        <v>45218</v>
      </c>
      <c r="BG673" s="26">
        <f t="shared" ca="1" si="100"/>
        <v>0.71717898262847835</v>
      </c>
      <c r="BH673" s="29">
        <v>0</v>
      </c>
      <c r="BJ673" s="22">
        <v>45218</v>
      </c>
      <c r="BK673" s="26">
        <f t="shared" ca="1" si="101"/>
        <v>0.18028673031063769</v>
      </c>
      <c r="BL673" s="29">
        <v>0</v>
      </c>
      <c r="BN673" s="22">
        <v>45218</v>
      </c>
      <c r="BO673" s="26">
        <f t="shared" ca="1" si="102"/>
        <v>0.17316745370277908</v>
      </c>
      <c r="BP673" s="29">
        <v>0</v>
      </c>
      <c r="BR673" s="22">
        <v>45218</v>
      </c>
      <c r="BS673" s="26">
        <f t="shared" ca="1" si="103"/>
        <v>8.1201528114603239E-2</v>
      </c>
      <c r="BT673" s="29">
        <v>0</v>
      </c>
      <c r="BV673" s="22">
        <v>45218</v>
      </c>
      <c r="BW673" s="26">
        <f t="shared" ca="1" si="104"/>
        <v>0.39408950191198733</v>
      </c>
      <c r="BX673" s="29">
        <v>0</v>
      </c>
    </row>
    <row r="674" spans="2:77" ht="12.75" x14ac:dyDescent="0.2">
      <c r="B674" s="22">
        <v>45219</v>
      </c>
      <c r="C674" s="26">
        <f t="shared" ca="1" si="119"/>
        <v>0.184556368763093</v>
      </c>
      <c r="D674" s="29">
        <v>0</v>
      </c>
      <c r="F674" s="22"/>
      <c r="G674" s="26">
        <f t="shared" ca="1" si="88"/>
        <v>0.74233259076780811</v>
      </c>
      <c r="H674" s="29">
        <v>0</v>
      </c>
      <c r="J674" s="22">
        <v>45219</v>
      </c>
      <c r="K674" s="26">
        <f t="shared" ca="1" si="89"/>
        <v>0.71553209971691201</v>
      </c>
      <c r="L674" s="29">
        <v>0</v>
      </c>
      <c r="N674" s="22">
        <v>45219</v>
      </c>
      <c r="O674" s="26">
        <f t="shared" ca="1" si="90"/>
        <v>0.81085806139074823</v>
      </c>
      <c r="P674" s="29">
        <v>0</v>
      </c>
      <c r="R674" s="22">
        <v>45219</v>
      </c>
      <c r="S674" s="26">
        <f t="shared" ca="1" si="91"/>
        <v>0.41511356472389582</v>
      </c>
      <c r="T674" s="29">
        <v>0</v>
      </c>
      <c r="V674" s="22">
        <v>45219</v>
      </c>
      <c r="W674" s="26">
        <f t="shared" ca="1" si="92"/>
        <v>0.75414536426055856</v>
      </c>
      <c r="X674" s="29">
        <v>0</v>
      </c>
      <c r="Z674" s="22">
        <v>45219</v>
      </c>
      <c r="AA674" s="26">
        <f t="shared" ca="1" si="93"/>
        <v>0.34648796564097484</v>
      </c>
      <c r="AB674" s="29">
        <v>0</v>
      </c>
      <c r="AC674"/>
      <c r="AD674" s="25"/>
      <c r="AF674" s="22">
        <v>45219</v>
      </c>
      <c r="AG674" s="26">
        <f t="shared" ca="1" si="94"/>
        <v>0.86783561339142712</v>
      </c>
      <c r="AH674" s="29">
        <v>0</v>
      </c>
      <c r="AJ674" s="22">
        <v>45219</v>
      </c>
      <c r="AK674" s="26">
        <f t="shared" ca="1" si="95"/>
        <v>0.18681041641132312</v>
      </c>
      <c r="AL674" s="29">
        <v>0</v>
      </c>
      <c r="AN674" s="22">
        <v>45219</v>
      </c>
      <c r="AO674" s="26">
        <f t="shared" ca="1" si="96"/>
        <v>0.64955250923547425</v>
      </c>
      <c r="AP674" s="29">
        <v>0</v>
      </c>
      <c r="AR674" s="22">
        <v>45219</v>
      </c>
      <c r="AS674" s="26">
        <f t="shared" ca="1" si="97"/>
        <v>0.58364998142700275</v>
      </c>
      <c r="AT674" s="29">
        <v>0</v>
      </c>
      <c r="AV674" s="22">
        <v>45219</v>
      </c>
      <c r="AW674" s="26">
        <f t="shared" ca="1" si="98"/>
        <v>0.23351148922164855</v>
      </c>
      <c r="AX674" s="29">
        <v>0</v>
      </c>
      <c r="AZ674" s="22">
        <v>45219</v>
      </c>
      <c r="BA674" s="26">
        <f t="shared" ca="1" si="99"/>
        <v>0.49710312687144431</v>
      </c>
      <c r="BB674" s="29">
        <v>0</v>
      </c>
      <c r="BC674"/>
      <c r="BD674" s="25"/>
      <c r="BF674" s="22">
        <v>45219</v>
      </c>
      <c r="BG674" s="26">
        <f t="shared" ca="1" si="100"/>
        <v>0.17360505162114281</v>
      </c>
      <c r="BH674" s="29">
        <v>0</v>
      </c>
      <c r="BJ674" s="22">
        <v>45219</v>
      </c>
      <c r="BK674" s="26">
        <f t="shared" ca="1" si="101"/>
        <v>0.44222916938179546</v>
      </c>
      <c r="BL674" s="29">
        <v>0</v>
      </c>
      <c r="BN674" s="22">
        <v>45219</v>
      </c>
      <c r="BO674" s="26">
        <f t="shared" ca="1" si="102"/>
        <v>0.83726185931533692</v>
      </c>
      <c r="BP674" s="29">
        <v>0</v>
      </c>
      <c r="BR674" s="22">
        <v>45219</v>
      </c>
      <c r="BS674" s="26">
        <f t="shared" ca="1" si="103"/>
        <v>0.95939818761123274</v>
      </c>
      <c r="BT674" s="29">
        <v>0</v>
      </c>
      <c r="BV674" s="22">
        <v>45219</v>
      </c>
      <c r="BW674" s="26">
        <f t="shared" ca="1" si="104"/>
        <v>0.25915180428480378</v>
      </c>
      <c r="BX674" s="29">
        <v>0</v>
      </c>
    </row>
    <row r="675" spans="2:77" ht="12.75" x14ac:dyDescent="0.2">
      <c r="B675" s="22">
        <v>45220</v>
      </c>
      <c r="C675" s="26">
        <f t="shared" ca="1" si="119"/>
        <v>0.20123962930981121</v>
      </c>
      <c r="D675" s="29">
        <v>0</v>
      </c>
      <c r="F675" s="22"/>
      <c r="G675" s="26">
        <f t="shared" ca="1" si="88"/>
        <v>0.10721163556949542</v>
      </c>
      <c r="H675" s="29">
        <v>0</v>
      </c>
      <c r="J675" s="22">
        <v>45220</v>
      </c>
      <c r="K675" s="26">
        <f t="shared" ca="1" si="89"/>
        <v>0.75681512516031191</v>
      </c>
      <c r="L675" s="29">
        <v>0</v>
      </c>
      <c r="N675" s="22">
        <v>45220</v>
      </c>
      <c r="O675" s="26">
        <f t="shared" ca="1" si="90"/>
        <v>0.23130340359040225</v>
      </c>
      <c r="P675" s="29">
        <v>0</v>
      </c>
      <c r="R675" s="22">
        <v>45220</v>
      </c>
      <c r="S675" s="26">
        <f t="shared" ca="1" si="91"/>
        <v>9.4354474950913425E-2</v>
      </c>
      <c r="T675" s="29">
        <v>0</v>
      </c>
      <c r="V675" s="22">
        <v>45220</v>
      </c>
      <c r="W675" s="26">
        <f t="shared" ca="1" si="92"/>
        <v>0.92744251989863036</v>
      </c>
      <c r="X675" s="29">
        <v>0</v>
      </c>
      <c r="Z675" s="22">
        <v>45220</v>
      </c>
      <c r="AA675" s="26">
        <f t="shared" ca="1" si="93"/>
        <v>0.57009698954993915</v>
      </c>
      <c r="AB675" s="29">
        <v>0</v>
      </c>
      <c r="AC675"/>
      <c r="AD675" s="25"/>
      <c r="AF675" s="22">
        <v>45220</v>
      </c>
      <c r="AG675" s="26">
        <f t="shared" ca="1" si="94"/>
        <v>0.70237764440358186</v>
      </c>
      <c r="AH675" s="29">
        <v>0</v>
      </c>
      <c r="AJ675" s="22">
        <v>45220</v>
      </c>
      <c r="AK675" s="26">
        <f t="shared" ca="1" si="95"/>
        <v>0.52416676523189343</v>
      </c>
      <c r="AL675" s="29">
        <v>0</v>
      </c>
      <c r="AN675" s="22">
        <v>45220</v>
      </c>
      <c r="AO675" s="26">
        <f t="shared" ca="1" si="96"/>
        <v>0.38583708688002238</v>
      </c>
      <c r="AP675" s="29">
        <v>0</v>
      </c>
      <c r="AR675" s="22">
        <v>45220</v>
      </c>
      <c r="AS675" s="26">
        <f t="shared" ca="1" si="97"/>
        <v>0.84223317755479421</v>
      </c>
      <c r="AT675" s="29">
        <v>0</v>
      </c>
      <c r="AV675" s="22">
        <v>45220</v>
      </c>
      <c r="AW675" s="26">
        <f t="shared" ca="1" si="98"/>
        <v>0.96840032559818201</v>
      </c>
      <c r="AX675" s="29">
        <v>0</v>
      </c>
      <c r="AZ675" s="22">
        <v>45220</v>
      </c>
      <c r="BA675" s="26">
        <f t="shared" ca="1" si="99"/>
        <v>0.59937447387233289</v>
      </c>
      <c r="BB675" s="29">
        <v>0</v>
      </c>
      <c r="BC675"/>
      <c r="BD675" s="25"/>
      <c r="BF675" s="22">
        <v>45220</v>
      </c>
      <c r="BG675" s="26">
        <f t="shared" ca="1" si="100"/>
        <v>0.89172095370899496</v>
      </c>
      <c r="BH675" s="29">
        <v>0</v>
      </c>
      <c r="BJ675" s="22">
        <v>45220</v>
      </c>
      <c r="BK675" s="26">
        <f t="shared" ca="1" si="101"/>
        <v>0.15806255339748276</v>
      </c>
      <c r="BL675" s="29">
        <v>0</v>
      </c>
      <c r="BN675" s="22">
        <v>45220</v>
      </c>
      <c r="BO675" s="26">
        <f t="shared" ca="1" si="102"/>
        <v>0.16630098874280941</v>
      </c>
      <c r="BP675" s="29">
        <v>0</v>
      </c>
      <c r="BR675" s="22">
        <v>45220</v>
      </c>
      <c r="BS675" s="26">
        <f t="shared" ca="1" si="103"/>
        <v>0.24042345947258204</v>
      </c>
      <c r="BT675" s="29">
        <v>0</v>
      </c>
      <c r="BV675" s="22">
        <v>45220</v>
      </c>
      <c r="BW675" s="26">
        <f t="shared" ca="1" si="104"/>
        <v>0.38363730485561665</v>
      </c>
      <c r="BX675" s="29">
        <v>0</v>
      </c>
    </row>
    <row r="676" spans="2:77" ht="12.75" x14ac:dyDescent="0.2">
      <c r="B676" s="22">
        <v>45221</v>
      </c>
      <c r="C676" s="26">
        <f t="shared" ca="1" si="119"/>
        <v>0.42939865369315344</v>
      </c>
      <c r="D676" s="29">
        <v>0</v>
      </c>
      <c r="F676" s="22"/>
      <c r="G676" s="26">
        <f t="shared" ca="1" si="88"/>
        <v>0.26518879399425177</v>
      </c>
      <c r="H676" s="29">
        <v>0</v>
      </c>
      <c r="J676" s="22">
        <v>45221</v>
      </c>
      <c r="K676" s="26">
        <f t="shared" ca="1" si="89"/>
        <v>0.49585378568135408</v>
      </c>
      <c r="L676" s="29">
        <v>0</v>
      </c>
      <c r="N676" s="22">
        <v>45221</v>
      </c>
      <c r="O676" s="26">
        <f t="shared" ca="1" si="90"/>
        <v>0.4960767335032632</v>
      </c>
      <c r="P676" s="29">
        <v>0</v>
      </c>
      <c r="R676" s="22">
        <v>45221</v>
      </c>
      <c r="S676" s="26">
        <f t="shared" ca="1" si="91"/>
        <v>2.018279588885119E-3</v>
      </c>
      <c r="T676" s="29">
        <v>0</v>
      </c>
      <c r="V676" s="22">
        <v>45221</v>
      </c>
      <c r="W676" s="26">
        <f t="shared" ca="1" si="92"/>
        <v>9.4421073252009657E-2</v>
      </c>
      <c r="X676" s="29">
        <v>0</v>
      </c>
      <c r="Z676" s="22">
        <v>45221</v>
      </c>
      <c r="AA676" s="26">
        <f t="shared" ca="1" si="93"/>
        <v>3.5186124187262302E-2</v>
      </c>
      <c r="AB676" s="29">
        <v>0</v>
      </c>
      <c r="AC676"/>
      <c r="AD676" s="25"/>
      <c r="AF676" s="22">
        <v>45221</v>
      </c>
      <c r="AG676" s="26">
        <f t="shared" ca="1" si="94"/>
        <v>0.67529863983019678</v>
      </c>
      <c r="AH676" s="29">
        <v>0</v>
      </c>
      <c r="AJ676" s="22">
        <v>45221</v>
      </c>
      <c r="AK676" s="26">
        <f t="shared" ca="1" si="95"/>
        <v>0.9834777436593759</v>
      </c>
      <c r="AL676" s="29">
        <v>0</v>
      </c>
      <c r="AN676" s="22">
        <v>45221</v>
      </c>
      <c r="AO676" s="26">
        <f t="shared" ca="1" si="96"/>
        <v>0.47069262956750602</v>
      </c>
      <c r="AP676" s="29">
        <v>0</v>
      </c>
      <c r="AR676" s="22">
        <v>45221</v>
      </c>
      <c r="AS676" s="26">
        <f t="shared" ca="1" si="97"/>
        <v>0.41795581203146903</v>
      </c>
      <c r="AT676" s="29">
        <v>0</v>
      </c>
      <c r="AV676" s="22">
        <v>45221</v>
      </c>
      <c r="AW676" s="26">
        <f t="shared" ca="1" si="98"/>
        <v>0.72106954843096605</v>
      </c>
      <c r="AX676" s="29">
        <v>0</v>
      </c>
      <c r="AZ676" s="22">
        <v>45221</v>
      </c>
      <c r="BA676" s="26">
        <f t="shared" ca="1" si="99"/>
        <v>0.57301474970018063</v>
      </c>
      <c r="BB676" s="29">
        <v>0</v>
      </c>
      <c r="BC676"/>
      <c r="BD676" s="25"/>
      <c r="BF676" s="22">
        <v>45221</v>
      </c>
      <c r="BG676" s="26">
        <f t="shared" ca="1" si="100"/>
        <v>0.15245400329832215</v>
      </c>
      <c r="BH676" s="29">
        <v>0</v>
      </c>
      <c r="BJ676" s="22">
        <v>45221</v>
      </c>
      <c r="BK676" s="26">
        <f t="shared" ca="1" si="101"/>
        <v>0.13734750600577439</v>
      </c>
      <c r="BL676" s="29">
        <v>0</v>
      </c>
      <c r="BN676" s="22">
        <v>45221</v>
      </c>
      <c r="BO676" s="26">
        <f t="shared" ca="1" si="102"/>
        <v>0.80058719558724911</v>
      </c>
      <c r="BP676" s="29">
        <v>0</v>
      </c>
      <c r="BR676" s="22">
        <v>45221</v>
      </c>
      <c r="BS676" s="26">
        <f t="shared" ca="1" si="103"/>
        <v>0.38940381695088666</v>
      </c>
      <c r="BT676" s="29">
        <v>0</v>
      </c>
      <c r="BV676" s="22">
        <v>45221</v>
      </c>
      <c r="BW676" s="26">
        <f t="shared" ca="1" si="104"/>
        <v>0.32117612993055489</v>
      </c>
      <c r="BX676" s="29">
        <v>0</v>
      </c>
    </row>
    <row r="677" spans="2:77" ht="12.75" x14ac:dyDescent="0.2">
      <c r="B677" s="22">
        <v>45222</v>
      </c>
      <c r="C677" s="26">
        <f t="shared" ca="1" si="119"/>
        <v>0.43500020521605209</v>
      </c>
      <c r="D677" s="29">
        <v>0</v>
      </c>
      <c r="F677" s="22"/>
      <c r="G677" s="26">
        <f t="shared" ca="1" si="88"/>
        <v>0.67874046727851367</v>
      </c>
      <c r="H677" s="29">
        <v>0</v>
      </c>
      <c r="J677" s="22">
        <v>45222</v>
      </c>
      <c r="K677" s="26">
        <f t="shared" ca="1" si="89"/>
        <v>0.56654235247777907</v>
      </c>
      <c r="L677" s="29">
        <v>0</v>
      </c>
      <c r="N677" s="22">
        <v>45222</v>
      </c>
      <c r="O677" s="26">
        <f t="shared" ca="1" si="90"/>
        <v>0.5993707266481243</v>
      </c>
      <c r="P677" s="29">
        <v>0</v>
      </c>
      <c r="R677" s="22">
        <v>45222</v>
      </c>
      <c r="S677" s="26">
        <f t="shared" ca="1" si="91"/>
        <v>0.5652245669217798</v>
      </c>
      <c r="T677" s="29">
        <v>0</v>
      </c>
      <c r="V677" s="22">
        <v>45222</v>
      </c>
      <c r="W677" s="26">
        <f t="shared" ca="1" si="92"/>
        <v>0.74015677384502654</v>
      </c>
      <c r="X677" s="29">
        <v>0</v>
      </c>
      <c r="Z677" s="22">
        <v>45222</v>
      </c>
      <c r="AA677" s="26">
        <f t="shared" ca="1" si="93"/>
        <v>0.39031773228429534</v>
      </c>
      <c r="AB677" s="29">
        <v>0</v>
      </c>
      <c r="AC677"/>
      <c r="AD677" s="25"/>
      <c r="AF677" s="22">
        <v>45222</v>
      </c>
      <c r="AG677" s="26">
        <f t="shared" ca="1" si="94"/>
        <v>0.37721051742230516</v>
      </c>
      <c r="AH677" s="29">
        <v>0</v>
      </c>
      <c r="AJ677" s="22">
        <v>45222</v>
      </c>
      <c r="AK677" s="26">
        <f t="shared" ca="1" si="95"/>
        <v>0.55052953976172114</v>
      </c>
      <c r="AL677" s="29">
        <v>0</v>
      </c>
      <c r="AN677" s="22">
        <v>45222</v>
      </c>
      <c r="AO677" s="26">
        <f t="shared" ca="1" si="96"/>
        <v>0.42593810012323041</v>
      </c>
      <c r="AP677" s="29">
        <v>0</v>
      </c>
      <c r="AR677" s="22">
        <v>45222</v>
      </c>
      <c r="AS677" s="26">
        <f t="shared" ca="1" si="97"/>
        <v>0.32376620533068501</v>
      </c>
      <c r="AT677" s="29">
        <v>0</v>
      </c>
      <c r="AV677" s="22">
        <v>45222</v>
      </c>
      <c r="AW677" s="26">
        <f t="shared" ca="1" si="98"/>
        <v>0.1554568392667387</v>
      </c>
      <c r="AX677" s="29">
        <v>0</v>
      </c>
      <c r="AZ677" s="22">
        <v>45222</v>
      </c>
      <c r="BA677" s="26">
        <f t="shared" ca="1" si="99"/>
        <v>0.49542946850532299</v>
      </c>
      <c r="BB677" s="29">
        <v>0</v>
      </c>
      <c r="BC677"/>
      <c r="BD677" s="25"/>
      <c r="BF677" s="22">
        <v>45222</v>
      </c>
      <c r="BG677" s="26">
        <f t="shared" ca="1" si="100"/>
        <v>0.79358850415811844</v>
      </c>
      <c r="BH677" s="29">
        <v>0</v>
      </c>
      <c r="BJ677" s="22">
        <v>45222</v>
      </c>
      <c r="BK677" s="26">
        <f t="shared" ca="1" si="101"/>
        <v>0.58123203559408843</v>
      </c>
      <c r="BL677" s="29">
        <v>0</v>
      </c>
      <c r="BN677" s="22">
        <v>45222</v>
      </c>
      <c r="BO677" s="26">
        <f t="shared" ca="1" si="102"/>
        <v>0.48446893650153233</v>
      </c>
      <c r="BP677" s="29">
        <v>0</v>
      </c>
      <c r="BR677" s="22">
        <v>45222</v>
      </c>
      <c r="BS677" s="26">
        <f t="shared" ca="1" si="103"/>
        <v>0.22175793748126249</v>
      </c>
      <c r="BT677" s="29">
        <v>0</v>
      </c>
      <c r="BV677" s="22">
        <v>45222</v>
      </c>
      <c r="BW677" s="26">
        <f t="shared" ca="1" si="104"/>
        <v>0.54493806193755956</v>
      </c>
      <c r="BX677" s="29">
        <v>0</v>
      </c>
    </row>
    <row r="678" spans="2:77" ht="12.75" x14ac:dyDescent="0.2">
      <c r="B678" s="22">
        <v>45223</v>
      </c>
      <c r="C678" s="26">
        <f t="shared" ca="1" si="119"/>
        <v>0.45779751947722946</v>
      </c>
      <c r="D678" s="29">
        <v>0</v>
      </c>
      <c r="F678" s="22"/>
      <c r="G678" s="26">
        <f t="shared" ca="1" si="88"/>
        <v>0.60754951670251223</v>
      </c>
      <c r="H678" s="29">
        <v>0</v>
      </c>
      <c r="J678" s="22">
        <v>45223</v>
      </c>
      <c r="K678" s="26">
        <f t="shared" ca="1" si="89"/>
        <v>0.48868094721748279</v>
      </c>
      <c r="L678" s="29">
        <v>0</v>
      </c>
      <c r="N678" s="22">
        <v>45223</v>
      </c>
      <c r="O678" s="26">
        <f t="shared" ca="1" si="90"/>
        <v>0.61613618422689997</v>
      </c>
      <c r="P678" s="29">
        <v>0</v>
      </c>
      <c r="R678" s="22">
        <v>45223</v>
      </c>
      <c r="S678" s="26">
        <f t="shared" ca="1" si="91"/>
        <v>0.45129000997948809</v>
      </c>
      <c r="T678" s="29">
        <v>0</v>
      </c>
      <c r="V678" s="22">
        <v>45223</v>
      </c>
      <c r="W678" s="26">
        <f t="shared" ca="1" si="92"/>
        <v>0.16502659719857649</v>
      </c>
      <c r="X678" s="29">
        <v>0</v>
      </c>
      <c r="Z678" s="22">
        <v>45223</v>
      </c>
      <c r="AA678" s="26">
        <f t="shared" ca="1" si="93"/>
        <v>3.2298725321121324E-2</v>
      </c>
      <c r="AB678" s="29">
        <v>0</v>
      </c>
      <c r="AC678"/>
      <c r="AD678" s="25"/>
      <c r="AF678" s="22">
        <v>45223</v>
      </c>
      <c r="AG678" s="26">
        <f t="shared" ca="1" si="94"/>
        <v>0.77882694732502455</v>
      </c>
      <c r="AH678" s="29">
        <v>0</v>
      </c>
      <c r="AJ678" s="22">
        <v>45223</v>
      </c>
      <c r="AK678" s="26">
        <f t="shared" ca="1" si="95"/>
        <v>0.99657123503907608</v>
      </c>
      <c r="AL678" s="29">
        <v>0</v>
      </c>
      <c r="AN678" s="22">
        <v>45223</v>
      </c>
      <c r="AO678" s="26">
        <f t="shared" ca="1" si="96"/>
        <v>4.243429104290819E-2</v>
      </c>
      <c r="AP678" s="29">
        <v>0</v>
      </c>
      <c r="AR678" s="22">
        <v>45223</v>
      </c>
      <c r="AS678" s="26">
        <f t="shared" ca="1" si="97"/>
        <v>0.78086563509918971</v>
      </c>
      <c r="AT678" s="29">
        <v>0</v>
      </c>
      <c r="AV678" s="22">
        <v>45223</v>
      </c>
      <c r="AW678" s="26">
        <f t="shared" ca="1" si="98"/>
        <v>0.94046879859160648</v>
      </c>
      <c r="AX678" s="29">
        <v>0</v>
      </c>
      <c r="AZ678" s="22">
        <v>45223</v>
      </c>
      <c r="BA678" s="26">
        <f t="shared" ca="1" si="99"/>
        <v>0.77689006604918731</v>
      </c>
      <c r="BB678" s="29">
        <v>0</v>
      </c>
      <c r="BC678"/>
      <c r="BD678" s="25"/>
      <c r="BF678" s="22">
        <v>45223</v>
      </c>
      <c r="BG678" s="26">
        <f t="shared" ca="1" si="100"/>
        <v>0.18437634078460363</v>
      </c>
      <c r="BH678" s="29">
        <v>0</v>
      </c>
      <c r="BJ678" s="22">
        <v>45223</v>
      </c>
      <c r="BK678" s="26">
        <f t="shared" ca="1" si="101"/>
        <v>0.87074952944317718</v>
      </c>
      <c r="BL678" s="29">
        <v>0</v>
      </c>
      <c r="BN678" s="22">
        <v>45223</v>
      </c>
      <c r="BO678" s="26">
        <f t="shared" ca="1" si="102"/>
        <v>0.41833593866925778</v>
      </c>
      <c r="BP678" s="29">
        <v>0</v>
      </c>
      <c r="BR678" s="22">
        <v>45223</v>
      </c>
      <c r="BS678" s="26">
        <f t="shared" ca="1" si="103"/>
        <v>0.29258756130158403</v>
      </c>
      <c r="BT678" s="29">
        <v>0</v>
      </c>
      <c r="BV678" s="22">
        <v>45223</v>
      </c>
      <c r="BW678" s="26">
        <f t="shared" ca="1" si="104"/>
        <v>0.99456986041001627</v>
      </c>
      <c r="BX678" s="29">
        <v>0</v>
      </c>
    </row>
    <row r="679" spans="2:77" ht="12.75" x14ac:dyDescent="0.2">
      <c r="B679" s="22">
        <v>45224</v>
      </c>
      <c r="C679" s="26">
        <f t="shared" ca="1" si="119"/>
        <v>0.19593086722905928</v>
      </c>
      <c r="D679" s="29">
        <v>0</v>
      </c>
      <c r="F679" s="22"/>
      <c r="G679" s="26">
        <f t="shared" ca="1" si="88"/>
        <v>0.74305675926670345</v>
      </c>
      <c r="H679" s="29">
        <v>0</v>
      </c>
      <c r="J679" s="22">
        <v>45224</v>
      </c>
      <c r="K679" s="26">
        <f t="shared" ca="1" si="89"/>
        <v>0.96217688398944634</v>
      </c>
      <c r="L679" s="29">
        <v>0</v>
      </c>
      <c r="N679" s="22">
        <v>45224</v>
      </c>
      <c r="O679" s="26">
        <f t="shared" ca="1" si="90"/>
        <v>9.4934886903226601E-2</v>
      </c>
      <c r="P679" s="29">
        <v>0</v>
      </c>
      <c r="R679" s="22">
        <v>45224</v>
      </c>
      <c r="S679" s="26">
        <f t="shared" ca="1" si="91"/>
        <v>0.76607322206911099</v>
      </c>
      <c r="T679" s="29">
        <v>0</v>
      </c>
      <c r="V679" s="22">
        <v>45224</v>
      </c>
      <c r="W679" s="26">
        <f t="shared" ca="1" si="92"/>
        <v>0.81121930957869082</v>
      </c>
      <c r="X679" s="29">
        <v>0</v>
      </c>
      <c r="Z679" s="22">
        <v>45224</v>
      </c>
      <c r="AA679" s="26">
        <f t="shared" ca="1" si="93"/>
        <v>0.29405121569823989</v>
      </c>
      <c r="AB679" s="29">
        <v>0</v>
      </c>
      <c r="AC679"/>
      <c r="AD679" s="25"/>
      <c r="AF679" s="22">
        <v>45224</v>
      </c>
      <c r="AG679" s="26">
        <f t="shared" ca="1" si="94"/>
        <v>0.99243171366323391</v>
      </c>
      <c r="AH679" s="29">
        <v>0</v>
      </c>
      <c r="AJ679" s="22">
        <v>45224</v>
      </c>
      <c r="AK679" s="26">
        <f t="shared" ca="1" si="95"/>
        <v>0.69499167802677986</v>
      </c>
      <c r="AL679" s="29">
        <v>0</v>
      </c>
      <c r="AN679" s="22">
        <v>45224</v>
      </c>
      <c r="AO679" s="26">
        <f t="shared" ca="1" si="96"/>
        <v>0.87432349616292304</v>
      </c>
      <c r="AP679" s="29">
        <v>0</v>
      </c>
      <c r="AR679" s="22">
        <v>45224</v>
      </c>
      <c r="AS679" s="26">
        <f t="shared" ca="1" si="97"/>
        <v>0.84913682106443533</v>
      </c>
      <c r="AT679" s="29">
        <v>0</v>
      </c>
      <c r="AV679" s="22">
        <v>45224</v>
      </c>
      <c r="AW679" s="26">
        <f t="shared" ca="1" si="98"/>
        <v>0.11716258140379321</v>
      </c>
      <c r="AX679" s="29">
        <v>0</v>
      </c>
      <c r="AZ679" s="22">
        <v>45224</v>
      </c>
      <c r="BA679" s="26">
        <f t="shared" ca="1" si="99"/>
        <v>0.1043292649632882</v>
      </c>
      <c r="BB679" s="29">
        <v>0</v>
      </c>
      <c r="BC679"/>
      <c r="BD679" s="25"/>
      <c r="BF679" s="22">
        <v>45224</v>
      </c>
      <c r="BG679" s="26">
        <f t="shared" ca="1" si="100"/>
        <v>0.84763618167033628</v>
      </c>
      <c r="BH679" s="29">
        <v>0</v>
      </c>
      <c r="BJ679" s="22">
        <v>45224</v>
      </c>
      <c r="BK679" s="26">
        <f t="shared" ca="1" si="101"/>
        <v>0.77769094673428685</v>
      </c>
      <c r="BL679" s="29">
        <v>0</v>
      </c>
      <c r="BN679" s="22">
        <v>45224</v>
      </c>
      <c r="BO679" s="26">
        <f t="shared" ca="1" si="102"/>
        <v>5.7157202799814733E-2</v>
      </c>
      <c r="BP679" s="29">
        <v>0</v>
      </c>
      <c r="BR679" s="22">
        <v>45224</v>
      </c>
      <c r="BS679" s="26">
        <f t="shared" ca="1" si="103"/>
        <v>0.30021880586050798</v>
      </c>
      <c r="BT679" s="29">
        <v>0</v>
      </c>
      <c r="BV679" s="22">
        <v>45224</v>
      </c>
      <c r="BW679" s="26">
        <f t="shared" ca="1" si="104"/>
        <v>0.40916353944105732</v>
      </c>
      <c r="BX679" s="29">
        <v>0</v>
      </c>
    </row>
    <row r="680" spans="2:77" ht="12.75" x14ac:dyDescent="0.2">
      <c r="B680" s="22">
        <v>45225</v>
      </c>
      <c r="C680" s="26">
        <f t="shared" ca="1" si="119"/>
        <v>2.3029227787809692E-3</v>
      </c>
      <c r="D680" s="29">
        <f t="shared" ca="1" si="118"/>
        <v>19</v>
      </c>
      <c r="F680" s="22"/>
      <c r="G680" s="26">
        <f t="shared" ca="1" si="88"/>
        <v>0.79001796165608007</v>
      </c>
      <c r="H680" s="29">
        <f t="shared" ca="1" si="107"/>
        <v>227</v>
      </c>
      <c r="J680" s="22">
        <v>45225</v>
      </c>
      <c r="K680" s="26">
        <f t="shared" ca="1" si="89"/>
        <v>0.33351579499395989</v>
      </c>
      <c r="L680" s="29">
        <f t="shared" ca="1" si="108"/>
        <v>146</v>
      </c>
      <c r="N680" s="22">
        <v>45225</v>
      </c>
      <c r="O680" s="26">
        <f t="shared" ca="1" si="90"/>
        <v>0.248589987557988</v>
      </c>
      <c r="P680" s="29">
        <f t="shared" ca="1" si="109"/>
        <v>219</v>
      </c>
      <c r="R680" s="22">
        <v>45225</v>
      </c>
      <c r="S680" s="26">
        <f t="shared" ca="1" si="91"/>
        <v>0.95374450662322141</v>
      </c>
      <c r="T680" s="29">
        <f t="shared" ca="1" si="110"/>
        <v>155</v>
      </c>
      <c r="V680" s="22">
        <v>45225</v>
      </c>
      <c r="W680" s="26">
        <f t="shared" ca="1" si="92"/>
        <v>0.80189917723849968</v>
      </c>
      <c r="X680" s="29">
        <f t="shared" ca="1" si="111"/>
        <v>238</v>
      </c>
      <c r="Z680" s="22">
        <v>45225</v>
      </c>
      <c r="AA680" s="26">
        <f t="shared" ca="1" si="93"/>
        <v>0.51789164832549217</v>
      </c>
      <c r="AB680" s="29">
        <f t="shared" ca="1" si="112"/>
        <v>271</v>
      </c>
      <c r="AC680"/>
      <c r="AD680" s="25"/>
      <c r="AF680" s="22">
        <v>45225</v>
      </c>
      <c r="AG680" s="26">
        <f t="shared" ca="1" si="94"/>
        <v>0.79708746287886068</v>
      </c>
      <c r="AH680" s="29">
        <f t="shared" ca="1" si="113"/>
        <v>400</v>
      </c>
      <c r="AJ680" s="22">
        <v>45225</v>
      </c>
      <c r="AK680" s="26">
        <f t="shared" ca="1" si="95"/>
        <v>0.98367967624826302</v>
      </c>
      <c r="AL680" s="29">
        <f t="shared" ca="1" si="114"/>
        <v>283</v>
      </c>
      <c r="AN680" s="22">
        <v>45225</v>
      </c>
      <c r="AO680" s="26">
        <f t="shared" ca="1" si="96"/>
        <v>0.8939103760990863</v>
      </c>
      <c r="AP680" s="29">
        <f t="shared" ca="1" si="115"/>
        <v>197</v>
      </c>
      <c r="AR680" s="22">
        <v>45225</v>
      </c>
      <c r="AS680" s="26">
        <f t="shared" ca="1" si="97"/>
        <v>0.14997532000632763</v>
      </c>
      <c r="AT680" s="29">
        <f t="shared" ca="1" si="116"/>
        <v>157</v>
      </c>
      <c r="AV680" s="22">
        <v>45225</v>
      </c>
      <c r="AW680" s="26">
        <f t="shared" ca="1" si="98"/>
        <v>0.96734097295083932</v>
      </c>
      <c r="AX680" s="29">
        <f t="shared" ca="1" si="117"/>
        <v>286</v>
      </c>
      <c r="AZ680" s="22">
        <v>45225</v>
      </c>
      <c r="BA680" s="26">
        <f t="shared" ca="1" si="99"/>
        <v>0.50486262209540567</v>
      </c>
      <c r="BB680" s="29">
        <v>0</v>
      </c>
      <c r="BC680"/>
      <c r="BD680" s="25"/>
      <c r="BF680" s="22">
        <v>45225</v>
      </c>
      <c r="BG680" s="26">
        <f t="shared" ca="1" si="100"/>
        <v>0.86868275644866044</v>
      </c>
      <c r="BH680" s="29">
        <v>0</v>
      </c>
      <c r="BJ680" s="22">
        <v>45225</v>
      </c>
      <c r="BK680" s="26">
        <f t="shared" ca="1" si="101"/>
        <v>0.1572854088749448</v>
      </c>
      <c r="BL680" s="29">
        <v>0</v>
      </c>
      <c r="BN680" s="22">
        <v>45225</v>
      </c>
      <c r="BO680" s="26">
        <f t="shared" ca="1" si="102"/>
        <v>0.3248655387251389</v>
      </c>
      <c r="BP680" s="29">
        <v>0</v>
      </c>
      <c r="BR680" s="22">
        <v>45225</v>
      </c>
      <c r="BS680" s="26">
        <f t="shared" ca="1" si="103"/>
        <v>0.42655215632062882</v>
      </c>
      <c r="BT680" s="29">
        <v>0</v>
      </c>
      <c r="BV680" s="22">
        <v>45225</v>
      </c>
      <c r="BW680" s="26">
        <f t="shared" ca="1" si="104"/>
        <v>0.33202802315539581</v>
      </c>
      <c r="BX680" s="29">
        <v>0</v>
      </c>
    </row>
    <row r="681" spans="2:77" ht="12.75" x14ac:dyDescent="0.2">
      <c r="B681" s="22">
        <v>45226</v>
      </c>
      <c r="C681" s="26">
        <f t="shared" ca="1" si="119"/>
        <v>0.62316793319719799</v>
      </c>
      <c r="D681" s="29">
        <f t="shared" ca="1" si="118"/>
        <v>82</v>
      </c>
      <c r="F681" s="22"/>
      <c r="G681" s="26">
        <f t="shared" ca="1" si="88"/>
        <v>6.7256773055183405E-2</v>
      </c>
      <c r="H681" s="29">
        <f t="shared" ca="1" si="107"/>
        <v>194</v>
      </c>
      <c r="J681" s="22">
        <v>45226</v>
      </c>
      <c r="K681" s="26">
        <f t="shared" ca="1" si="89"/>
        <v>0.33987016546136817</v>
      </c>
      <c r="L681" s="29">
        <f t="shared" ca="1" si="108"/>
        <v>146</v>
      </c>
      <c r="N681" s="22">
        <v>45226</v>
      </c>
      <c r="O681" s="26">
        <f t="shared" ca="1" si="90"/>
        <v>0.21802610413782109</v>
      </c>
      <c r="P681" s="29">
        <f t="shared" ca="1" si="109"/>
        <v>218</v>
      </c>
      <c r="R681" s="22">
        <v>45226</v>
      </c>
      <c r="S681" s="26">
        <f t="shared" ca="1" si="91"/>
        <v>0.78986163683959243</v>
      </c>
      <c r="T681" s="29">
        <f t="shared" ca="1" si="110"/>
        <v>147</v>
      </c>
      <c r="V681" s="22">
        <v>45226</v>
      </c>
      <c r="W681" s="26">
        <f t="shared" ca="1" si="92"/>
        <v>0.63973057316110538</v>
      </c>
      <c r="X681" s="29">
        <f t="shared" ca="1" si="111"/>
        <v>231</v>
      </c>
      <c r="Z681" s="22">
        <v>45226</v>
      </c>
      <c r="AA681" s="26">
        <f t="shared" ca="1" si="93"/>
        <v>8.2179420521406921E-2</v>
      </c>
      <c r="AB681" s="29">
        <f t="shared" ca="1" si="112"/>
        <v>245</v>
      </c>
      <c r="AC681"/>
      <c r="AD681" s="25"/>
      <c r="AF681" s="22">
        <v>45226</v>
      </c>
      <c r="AG681" s="26">
        <f t="shared" ca="1" si="94"/>
        <v>0.32774810922899</v>
      </c>
      <c r="AH681" s="29">
        <f t="shared" ca="1" si="113"/>
        <v>289</v>
      </c>
      <c r="AJ681" s="22">
        <v>45226</v>
      </c>
      <c r="AK681" s="26">
        <f t="shared" ca="1" si="95"/>
        <v>0.18410480034880683</v>
      </c>
      <c r="AL681" s="29">
        <f t="shared" ca="1" si="114"/>
        <v>137</v>
      </c>
      <c r="AN681" s="22">
        <v>45226</v>
      </c>
      <c r="AO681" s="26">
        <f t="shared" ca="1" si="96"/>
        <v>0.86483657785919588</v>
      </c>
      <c r="AP681" s="29">
        <f t="shared" ca="1" si="115"/>
        <v>191</v>
      </c>
      <c r="AR681" s="22">
        <v>45226</v>
      </c>
      <c r="AS681" s="26">
        <f t="shared" ca="1" si="97"/>
        <v>0.4898752228184674</v>
      </c>
      <c r="AT681" s="29">
        <f t="shared" ca="1" si="116"/>
        <v>216</v>
      </c>
      <c r="AV681" s="22">
        <v>45226</v>
      </c>
      <c r="AW681" s="26">
        <f t="shared" ca="1" si="98"/>
        <v>0.41185300875537056</v>
      </c>
      <c r="AX681" s="29">
        <f t="shared" ca="1" si="117"/>
        <v>181</v>
      </c>
      <c r="AZ681" s="22">
        <v>45226</v>
      </c>
      <c r="BA681" s="26">
        <f t="shared" ca="1" si="99"/>
        <v>0.5473044381762755</v>
      </c>
      <c r="BB681" s="29">
        <v>0</v>
      </c>
      <c r="BC681"/>
      <c r="BD681" s="25"/>
      <c r="BF681" s="22">
        <v>45226</v>
      </c>
      <c r="BG681" s="26">
        <f t="shared" ca="1" si="100"/>
        <v>0.1880015996820773</v>
      </c>
      <c r="BH681" s="29">
        <v>0</v>
      </c>
      <c r="BJ681" s="22">
        <v>45226</v>
      </c>
      <c r="BK681" s="26">
        <f t="shared" ca="1" si="101"/>
        <v>0.54066658758730612</v>
      </c>
      <c r="BL681" s="29">
        <v>0</v>
      </c>
      <c r="BN681" s="22">
        <v>45226</v>
      </c>
      <c r="BO681" s="26">
        <f t="shared" ca="1" si="102"/>
        <v>0.75843626075164161</v>
      </c>
      <c r="BP681" s="29">
        <v>0</v>
      </c>
      <c r="BR681" s="22">
        <v>45226</v>
      </c>
      <c r="BS681" s="26">
        <f t="shared" ca="1" si="103"/>
        <v>0.63114819080464457</v>
      </c>
      <c r="BT681" s="29">
        <v>0</v>
      </c>
      <c r="BV681" s="22">
        <v>45226</v>
      </c>
      <c r="BW681" s="26">
        <f t="shared" ca="1" si="104"/>
        <v>4.1922296458964836E-2</v>
      </c>
      <c r="BX681" s="29">
        <v>0</v>
      </c>
    </row>
    <row r="682" spans="2:77" ht="12.75" x14ac:dyDescent="0.2">
      <c r="B682" s="22">
        <v>45227</v>
      </c>
      <c r="C682" s="26">
        <f t="shared" ca="1" si="119"/>
        <v>0.40187175860350466</v>
      </c>
      <c r="D682" s="29">
        <f t="shared" ca="1" si="118"/>
        <v>71</v>
      </c>
      <c r="F682" s="22"/>
      <c r="G682" s="26">
        <f t="shared" ca="1" si="88"/>
        <v>0.65756167625757345</v>
      </c>
      <c r="H682" s="29">
        <f t="shared" ca="1" si="107"/>
        <v>222</v>
      </c>
      <c r="J682" s="22">
        <v>45227</v>
      </c>
      <c r="K682" s="26">
        <f t="shared" ca="1" si="89"/>
        <v>0.33869448016836945</v>
      </c>
      <c r="L682" s="29">
        <f t="shared" ca="1" si="108"/>
        <v>146</v>
      </c>
      <c r="N682" s="22">
        <v>45227</v>
      </c>
      <c r="O682" s="26">
        <f t="shared" ca="1" si="90"/>
        <v>0.87805085309179554</v>
      </c>
      <c r="P682" s="29">
        <f t="shared" ca="1" si="109"/>
        <v>248</v>
      </c>
      <c r="R682" s="22">
        <v>45227</v>
      </c>
      <c r="S682" s="26">
        <f t="shared" ca="1" si="91"/>
        <v>0.93684351095146301</v>
      </c>
      <c r="T682" s="29">
        <f t="shared" ca="1" si="110"/>
        <v>153</v>
      </c>
      <c r="V682" s="22">
        <v>45227</v>
      </c>
      <c r="W682" s="26">
        <f t="shared" ca="1" si="92"/>
        <v>0.35554707271368824</v>
      </c>
      <c r="X682" s="29">
        <f t="shared" ca="1" si="111"/>
        <v>220</v>
      </c>
      <c r="Z682" s="22">
        <v>45227</v>
      </c>
      <c r="AA682" s="26">
        <f t="shared" ca="1" si="93"/>
        <v>0.83675810511480908</v>
      </c>
      <c r="AB682" s="29">
        <f t="shared" ca="1" si="112"/>
        <v>288</v>
      </c>
      <c r="AC682"/>
      <c r="AD682" s="25"/>
      <c r="AF682" s="22">
        <v>45227</v>
      </c>
      <c r="AG682" s="26">
        <f t="shared" ca="1" si="94"/>
        <v>9.2686602366249593E-2</v>
      </c>
      <c r="AH682" s="29">
        <f t="shared" ca="1" si="113"/>
        <v>212</v>
      </c>
      <c r="AJ682" s="22">
        <v>45227</v>
      </c>
      <c r="AK682" s="26">
        <f t="shared" ca="1" si="95"/>
        <v>0.96579844116946889</v>
      </c>
      <c r="AL682" s="29">
        <f t="shared" ca="1" si="114"/>
        <v>268</v>
      </c>
      <c r="AN682" s="22">
        <v>45227</v>
      </c>
      <c r="AO682" s="26">
        <f t="shared" ca="1" si="96"/>
        <v>0.64590649220118335</v>
      </c>
      <c r="AP682" s="29">
        <f t="shared" ca="1" si="115"/>
        <v>162</v>
      </c>
      <c r="AR682" s="22">
        <v>45227</v>
      </c>
      <c r="AS682" s="26">
        <f t="shared" ca="1" si="97"/>
        <v>0.95271430806794943</v>
      </c>
      <c r="AT682" s="29">
        <f t="shared" ca="1" si="116"/>
        <v>314</v>
      </c>
      <c r="AV682" s="22">
        <v>45227</v>
      </c>
      <c r="AW682" s="26">
        <f t="shared" ca="1" si="98"/>
        <v>0.56141640242998669</v>
      </c>
      <c r="AX682" s="29">
        <f t="shared" ca="1" si="117"/>
        <v>200</v>
      </c>
      <c r="AZ682" s="22">
        <v>45227</v>
      </c>
      <c r="BA682" s="26">
        <f t="shared" ca="1" si="99"/>
        <v>0.4713391942819235</v>
      </c>
      <c r="BB682" s="29">
        <v>0</v>
      </c>
      <c r="BC682"/>
      <c r="BD682" s="25"/>
      <c r="BF682" s="22">
        <v>45227</v>
      </c>
      <c r="BG682" s="26">
        <f t="shared" ca="1" si="100"/>
        <v>0.13664868642233785</v>
      </c>
      <c r="BH682" s="29">
        <v>0</v>
      </c>
      <c r="BJ682" s="22">
        <v>45227</v>
      </c>
      <c r="BK682" s="26">
        <f t="shared" ca="1" si="101"/>
        <v>2.5985995697192399E-2</v>
      </c>
      <c r="BL682" s="29">
        <v>0</v>
      </c>
      <c r="BN682" s="22">
        <v>45227</v>
      </c>
      <c r="BO682" s="26">
        <f t="shared" ca="1" si="102"/>
        <v>8.8748126094863045E-2</v>
      </c>
      <c r="BP682" s="29">
        <v>0</v>
      </c>
      <c r="BR682" s="22">
        <v>45227</v>
      </c>
      <c r="BS682" s="26">
        <f t="shared" ca="1" si="103"/>
        <v>0.28509423794431321</v>
      </c>
      <c r="BT682" s="29">
        <v>0</v>
      </c>
      <c r="BV682" s="22">
        <v>45227</v>
      </c>
      <c r="BW682" s="26">
        <f t="shared" ca="1" si="104"/>
        <v>0.63764928032922785</v>
      </c>
      <c r="BX682" s="29">
        <v>0</v>
      </c>
    </row>
    <row r="683" spans="2:77" ht="12.75" x14ac:dyDescent="0.2">
      <c r="B683" s="22">
        <v>45228</v>
      </c>
      <c r="C683" s="26">
        <f t="shared" ca="1" si="119"/>
        <v>0.6408990025565634</v>
      </c>
      <c r="D683" s="29">
        <f t="shared" ca="1" si="118"/>
        <v>83</v>
      </c>
      <c r="F683" s="22"/>
      <c r="G683" s="26">
        <f t="shared" ca="1" si="88"/>
        <v>0.3555694067122861</v>
      </c>
      <c r="H683" s="29">
        <f t="shared" ca="1" si="107"/>
        <v>211</v>
      </c>
      <c r="J683" s="22">
        <v>45228</v>
      </c>
      <c r="K683" s="26">
        <f t="shared" ca="1" si="89"/>
        <v>0.1300797806453805</v>
      </c>
      <c r="L683" s="29">
        <f t="shared" ca="1" si="108"/>
        <v>139</v>
      </c>
      <c r="N683" s="22">
        <v>45228</v>
      </c>
      <c r="O683" s="26">
        <f t="shared" ca="1" si="90"/>
        <v>0.7626611296381145</v>
      </c>
      <c r="P683" s="29">
        <f t="shared" ca="1" si="109"/>
        <v>241</v>
      </c>
      <c r="R683" s="22">
        <v>45228</v>
      </c>
      <c r="S683" s="26">
        <f t="shared" ca="1" si="91"/>
        <v>0.94471210164531461</v>
      </c>
      <c r="T683" s="29">
        <f t="shared" ca="1" si="110"/>
        <v>154</v>
      </c>
      <c r="V683" s="22">
        <v>45228</v>
      </c>
      <c r="W683" s="26">
        <f t="shared" ca="1" si="92"/>
        <v>0.43741807301953517</v>
      </c>
      <c r="X683" s="29">
        <f t="shared" ca="1" si="111"/>
        <v>223</v>
      </c>
      <c r="Z683" s="22">
        <v>45228</v>
      </c>
      <c r="AA683" s="26">
        <f t="shared" ca="1" si="93"/>
        <v>0.81192216550607832</v>
      </c>
      <c r="AB683" s="29">
        <f t="shared" ca="1" si="112"/>
        <v>286</v>
      </c>
      <c r="AC683"/>
      <c r="AD683" s="25"/>
      <c r="AF683" s="22">
        <v>45228</v>
      </c>
      <c r="AG683" s="26">
        <f t="shared" ca="1" si="94"/>
        <v>0.52107002810536207</v>
      </c>
      <c r="AH683" s="29">
        <f t="shared" ca="1" si="113"/>
        <v>332</v>
      </c>
      <c r="AJ683" s="22">
        <v>45228</v>
      </c>
      <c r="AK683" s="26">
        <f t="shared" ca="1" si="95"/>
        <v>0.32617505008273462</v>
      </c>
      <c r="AL683" s="29">
        <f t="shared" ca="1" si="114"/>
        <v>159</v>
      </c>
      <c r="AN683" s="22">
        <v>45228</v>
      </c>
      <c r="AO683" s="26">
        <f t="shared" ca="1" si="96"/>
        <v>0.89051838324191379</v>
      </c>
      <c r="AP683" s="29">
        <f t="shared" ca="1" si="115"/>
        <v>196</v>
      </c>
      <c r="AR683" s="22">
        <v>45228</v>
      </c>
      <c r="AS683" s="26">
        <f t="shared" ca="1" si="97"/>
        <v>0.23689850280821145</v>
      </c>
      <c r="AT683" s="29">
        <f t="shared" ca="1" si="116"/>
        <v>176</v>
      </c>
      <c r="AV683" s="22">
        <v>45228</v>
      </c>
      <c r="AW683" s="26">
        <f t="shared" ca="1" si="98"/>
        <v>0.28056161978108696</v>
      </c>
      <c r="AX683" s="29">
        <f t="shared" ca="1" si="117"/>
        <v>162</v>
      </c>
      <c r="AZ683" s="22">
        <v>45228</v>
      </c>
      <c r="BA683" s="26">
        <f t="shared" ca="1" si="99"/>
        <v>0.42364868310839021</v>
      </c>
      <c r="BB683" s="29">
        <v>0</v>
      </c>
      <c r="BC683"/>
      <c r="BD683" s="25"/>
      <c r="BF683" s="22">
        <v>45228</v>
      </c>
      <c r="BG683" s="26">
        <f t="shared" ca="1" si="100"/>
        <v>0.65783994688342973</v>
      </c>
      <c r="BH683" s="29">
        <v>0</v>
      </c>
      <c r="BJ683" s="22">
        <v>45228</v>
      </c>
      <c r="BK683" s="26">
        <f t="shared" ca="1" si="101"/>
        <v>1.7125589757085447E-3</v>
      </c>
      <c r="BL683" s="29">
        <v>0</v>
      </c>
      <c r="BN683" s="22">
        <v>45228</v>
      </c>
      <c r="BO683" s="26">
        <f t="shared" ca="1" si="102"/>
        <v>0.67471947646680275</v>
      </c>
      <c r="BP683" s="29">
        <v>0</v>
      </c>
      <c r="BR683" s="22">
        <v>45228</v>
      </c>
      <c r="BS683" s="26">
        <f t="shared" ca="1" si="103"/>
        <v>0.98795246652679292</v>
      </c>
      <c r="BT683" s="29">
        <v>0</v>
      </c>
      <c r="BV683" s="22">
        <v>45228</v>
      </c>
      <c r="BW683" s="26">
        <f t="shared" ca="1" si="104"/>
        <v>0.39069607345993029</v>
      </c>
      <c r="BX683" s="29">
        <v>0</v>
      </c>
    </row>
    <row r="684" spans="2:77" ht="12.75" x14ac:dyDescent="0.2">
      <c r="B684" s="22">
        <v>45229</v>
      </c>
      <c r="C684" s="26">
        <f t="shared" ca="1" si="119"/>
        <v>0.69018971087359748</v>
      </c>
      <c r="D684" s="29">
        <f t="shared" ca="1" si="118"/>
        <v>85</v>
      </c>
      <c r="F684" s="22"/>
      <c r="G684" s="26">
        <f t="shared" ca="1" si="88"/>
        <v>0.16008366212928926</v>
      </c>
      <c r="H684" s="29">
        <f t="shared" ca="1" si="107"/>
        <v>202</v>
      </c>
      <c r="J684" s="22">
        <v>45229</v>
      </c>
      <c r="K684" s="26">
        <f t="shared" ca="1" si="89"/>
        <v>0.17598367970511108</v>
      </c>
      <c r="L684" s="29">
        <f t="shared" ca="1" si="108"/>
        <v>141</v>
      </c>
      <c r="N684" s="22">
        <v>45229</v>
      </c>
      <c r="O684" s="26">
        <f t="shared" ca="1" si="90"/>
        <v>0.87991234445750866</v>
      </c>
      <c r="P684" s="29">
        <f t="shared" ca="1" si="109"/>
        <v>248</v>
      </c>
      <c r="R684" s="22">
        <v>45229</v>
      </c>
      <c r="S684" s="26">
        <f t="shared" ca="1" si="91"/>
        <v>0.803242839535106</v>
      </c>
      <c r="T684" s="29">
        <f t="shared" ca="1" si="110"/>
        <v>147</v>
      </c>
      <c r="V684" s="22">
        <v>45229</v>
      </c>
      <c r="W684" s="26">
        <f t="shared" ca="1" si="92"/>
        <v>0.22403783665096932</v>
      </c>
      <c r="X684" s="29">
        <f t="shared" ca="1" si="111"/>
        <v>214</v>
      </c>
      <c r="Z684" s="22">
        <v>45229</v>
      </c>
      <c r="AA684" s="26">
        <f t="shared" ca="1" si="93"/>
        <v>0.53995356915676007</v>
      </c>
      <c r="AB684" s="29">
        <f t="shared" ca="1" si="112"/>
        <v>272</v>
      </c>
      <c r="AC684"/>
      <c r="AD684" s="25"/>
      <c r="AF684" s="22">
        <v>45229</v>
      </c>
      <c r="AG684" s="26">
        <f t="shared" ca="1" si="94"/>
        <v>3.5852410470462281E-2</v>
      </c>
      <c r="AH684" s="29">
        <f t="shared" ca="1" si="113"/>
        <v>170</v>
      </c>
      <c r="AJ684" s="22">
        <v>45229</v>
      </c>
      <c r="AK684" s="26">
        <f t="shared" ca="1" si="95"/>
        <v>0.91431513134667253</v>
      </c>
      <c r="AL684" s="29">
        <f t="shared" ca="1" si="114"/>
        <v>246</v>
      </c>
      <c r="AN684" s="22">
        <v>45229</v>
      </c>
      <c r="AO684" s="26">
        <f t="shared" ca="1" si="96"/>
        <v>0.82303915700706232</v>
      </c>
      <c r="AP684" s="29">
        <f t="shared" ca="1" si="115"/>
        <v>184</v>
      </c>
      <c r="AR684" s="22">
        <v>45229</v>
      </c>
      <c r="AS684" s="26">
        <f t="shared" ca="1" si="97"/>
        <v>0.42428873614871798</v>
      </c>
      <c r="AT684" s="29">
        <f t="shared" ca="1" si="116"/>
        <v>206</v>
      </c>
      <c r="AV684" s="22">
        <v>45229</v>
      </c>
      <c r="AW684" s="26">
        <f t="shared" ca="1" si="98"/>
        <v>0.39177942325685822</v>
      </c>
      <c r="AX684" s="29">
        <f t="shared" ca="1" si="117"/>
        <v>178</v>
      </c>
      <c r="AZ684" s="22">
        <v>45229</v>
      </c>
      <c r="BA684" s="26">
        <f t="shared" ca="1" si="99"/>
        <v>0.62105029609939533</v>
      </c>
      <c r="BB684" s="29">
        <v>0</v>
      </c>
      <c r="BC684"/>
      <c r="BD684" s="25"/>
      <c r="BF684" s="22">
        <v>45229</v>
      </c>
      <c r="BG684" s="26">
        <f t="shared" ca="1" si="100"/>
        <v>0.3100386919446344</v>
      </c>
      <c r="BH684" s="29">
        <v>0</v>
      </c>
      <c r="BJ684" s="22">
        <v>45229</v>
      </c>
      <c r="BK684" s="26">
        <f t="shared" ca="1" si="101"/>
        <v>0.20953464110933595</v>
      </c>
      <c r="BL684" s="29">
        <v>0</v>
      </c>
      <c r="BN684" s="22">
        <v>45229</v>
      </c>
      <c r="BO684" s="26">
        <f t="shared" ca="1" si="102"/>
        <v>0.20077274932303424</v>
      </c>
      <c r="BP684" s="29">
        <v>0</v>
      </c>
      <c r="BR684" s="22">
        <v>45229</v>
      </c>
      <c r="BS684" s="26">
        <f t="shared" ca="1" si="103"/>
        <v>6.3643520920085739E-2</v>
      </c>
      <c r="BT684" s="29">
        <v>0</v>
      </c>
      <c r="BV684" s="22">
        <v>45229</v>
      </c>
      <c r="BW684" s="26">
        <f t="shared" ca="1" si="104"/>
        <v>0.82900071242938622</v>
      </c>
      <c r="BX684" s="29">
        <v>0</v>
      </c>
    </row>
    <row r="685" spans="2:77" ht="12.75" x14ac:dyDescent="0.2">
      <c r="B685" s="22">
        <v>45230</v>
      </c>
      <c r="C685" s="26">
        <f t="shared" ca="1" si="119"/>
        <v>0.16435860180255968</v>
      </c>
      <c r="D685" s="29">
        <f t="shared" ca="1" si="118"/>
        <v>56</v>
      </c>
      <c r="E685">
        <v>1512</v>
      </c>
      <c r="F685" s="22"/>
      <c r="G685" s="26">
        <f t="shared" ca="1" si="88"/>
        <v>0.12526218333341466</v>
      </c>
      <c r="H685" s="29">
        <f t="shared" ca="1" si="107"/>
        <v>199</v>
      </c>
      <c r="I685">
        <v>1670</v>
      </c>
      <c r="J685" s="22">
        <v>45230</v>
      </c>
      <c r="K685" s="26">
        <f t="shared" ca="1" si="89"/>
        <v>0.48795830514332639</v>
      </c>
      <c r="L685" s="29">
        <f t="shared" ca="1" si="108"/>
        <v>150</v>
      </c>
      <c r="M685">
        <v>3252</v>
      </c>
      <c r="N685" s="22">
        <v>45230</v>
      </c>
      <c r="O685" s="26">
        <f t="shared" ca="1" si="90"/>
        <v>0.44121008185259536</v>
      </c>
      <c r="P685" s="29">
        <f t="shared" ca="1" si="109"/>
        <v>228</v>
      </c>
      <c r="Q685">
        <v>5016</v>
      </c>
      <c r="R685" s="22">
        <v>45230</v>
      </c>
      <c r="S685" s="26">
        <f t="shared" ca="1" si="91"/>
        <v>0.14507549953336074</v>
      </c>
      <c r="T685" s="29">
        <f t="shared" ca="1" si="110"/>
        <v>129</v>
      </c>
      <c r="U685">
        <v>3103</v>
      </c>
      <c r="V685" s="22">
        <v>45230</v>
      </c>
      <c r="W685" s="26">
        <f t="shared" ca="1" si="92"/>
        <v>0.20969014984925682</v>
      </c>
      <c r="X685" s="29">
        <f t="shared" ca="1" si="111"/>
        <v>213</v>
      </c>
      <c r="Y685">
        <v>4924</v>
      </c>
      <c r="Z685" s="22">
        <v>45230</v>
      </c>
      <c r="AA685" s="26">
        <f t="shared" ca="1" si="93"/>
        <v>0.2927297284989081</v>
      </c>
      <c r="AB685" s="29">
        <f t="shared" ca="1" si="112"/>
        <v>261</v>
      </c>
      <c r="AC685">
        <v>5988</v>
      </c>
      <c r="AD685" s="25"/>
      <c r="AF685" s="22">
        <v>45230</v>
      </c>
      <c r="AG685" s="26">
        <f t="shared" ca="1" si="94"/>
        <v>0.88775780093388601</v>
      </c>
      <c r="AH685" s="29">
        <f t="shared" ca="1" si="113"/>
        <v>433</v>
      </c>
      <c r="AI685">
        <v>6724</v>
      </c>
      <c r="AJ685" s="22">
        <v>45230</v>
      </c>
      <c r="AK685" s="26">
        <f t="shared" ca="1" si="95"/>
        <v>0.3347181390916697</v>
      </c>
      <c r="AL685" s="29">
        <f t="shared" ca="1" si="114"/>
        <v>160</v>
      </c>
      <c r="AM685">
        <v>3884</v>
      </c>
      <c r="AN685" s="22">
        <v>45230</v>
      </c>
      <c r="AO685" s="26">
        <f t="shared" ca="1" si="96"/>
        <v>0.23404009038718843</v>
      </c>
      <c r="AP685" s="29">
        <f t="shared" ca="1" si="115"/>
        <v>119</v>
      </c>
      <c r="AQ685">
        <v>3246</v>
      </c>
      <c r="AR685" s="22">
        <v>45230</v>
      </c>
      <c r="AS685" s="26">
        <f t="shared" ca="1" si="97"/>
        <v>0.82332398758698777</v>
      </c>
      <c r="AT685" s="29">
        <f t="shared" ca="1" si="116"/>
        <v>271</v>
      </c>
      <c r="AU685">
        <v>4717</v>
      </c>
      <c r="AV685" s="22">
        <v>45230</v>
      </c>
      <c r="AW685" s="26">
        <f t="shared" ca="1" si="98"/>
        <v>0.4173566096138005</v>
      </c>
      <c r="AX685" s="29">
        <f t="shared" ca="1" si="117"/>
        <v>182</v>
      </c>
      <c r="AY685">
        <v>4011</v>
      </c>
      <c r="AZ685" s="22">
        <v>45230</v>
      </c>
      <c r="BA685" s="26">
        <f t="shared" ca="1" si="99"/>
        <v>0.19789576931643182</v>
      </c>
      <c r="BB685" s="29">
        <v>0</v>
      </c>
      <c r="BC685">
        <v>0</v>
      </c>
      <c r="BD685" s="25"/>
      <c r="BF685" s="22">
        <v>45230</v>
      </c>
      <c r="BG685" s="26">
        <f t="shared" ca="1" si="100"/>
        <v>0.99727382460947411</v>
      </c>
      <c r="BH685" s="29">
        <v>0</v>
      </c>
      <c r="BI685">
        <v>0</v>
      </c>
      <c r="BJ685" s="22">
        <v>45230</v>
      </c>
      <c r="BK685" s="26">
        <f t="shared" ca="1" si="101"/>
        <v>6.1184486835860086E-2</v>
      </c>
      <c r="BL685" s="29">
        <v>0</v>
      </c>
      <c r="BM685">
        <v>0</v>
      </c>
      <c r="BN685" s="22">
        <v>45230</v>
      </c>
      <c r="BO685" s="26">
        <f t="shared" ca="1" si="102"/>
        <v>0.38765840536525231</v>
      </c>
      <c r="BP685" s="29">
        <v>0</v>
      </c>
      <c r="BQ685">
        <v>0</v>
      </c>
      <c r="BR685" s="22">
        <v>45230</v>
      </c>
      <c r="BS685" s="26">
        <f t="shared" ca="1" si="103"/>
        <v>4.746057944510651E-2</v>
      </c>
      <c r="BT685" s="29">
        <v>0</v>
      </c>
      <c r="BU685">
        <v>0</v>
      </c>
      <c r="BV685" s="22">
        <v>45230</v>
      </c>
      <c r="BW685" s="26">
        <f t="shared" ca="1" si="104"/>
        <v>0.13912598097103213</v>
      </c>
      <c r="BX685" s="29">
        <v>0</v>
      </c>
      <c r="BY685">
        <v>0</v>
      </c>
    </row>
    <row r="686" spans="2:77" ht="12.75" x14ac:dyDescent="0.2">
      <c r="B686" s="22">
        <v>45231</v>
      </c>
      <c r="C686" s="26">
        <f t="shared" ca="1" si="119"/>
        <v>0.30363004097046442</v>
      </c>
      <c r="D686" s="29">
        <f ca="1">ROUNDUP(_xlfn.NORM.INV(C685,C$10,C$12),0)</f>
        <v>56</v>
      </c>
      <c r="F686" s="22"/>
      <c r="G686" s="26">
        <f t="shared" ca="1" si="88"/>
        <v>0.90006557798526421</v>
      </c>
      <c r="H686" s="29">
        <f ca="1">ROUNDUP(_xlfn.NORM.INV(G685,G$10,G$12),0)</f>
        <v>199</v>
      </c>
      <c r="J686" s="22">
        <v>45231</v>
      </c>
      <c r="K686" s="26">
        <f t="shared" ca="1" si="89"/>
        <v>0.11659981603366132</v>
      </c>
      <c r="L686" s="29">
        <f ca="1">ROUNDUP(_xlfn.NORM.INV(K685,K$10,K$12),0)</f>
        <v>150</v>
      </c>
      <c r="N686" s="22">
        <v>45231</v>
      </c>
      <c r="O686" s="26">
        <f t="shared" ca="1" si="90"/>
        <v>0.95198228862223133</v>
      </c>
      <c r="P686" s="29">
        <f ca="1">ROUNDUP(_xlfn.NORM.INV(O685,O$10,O$12),0)</f>
        <v>228</v>
      </c>
      <c r="R686" s="22">
        <v>45231</v>
      </c>
      <c r="S686" s="26">
        <f t="shared" ca="1" si="91"/>
        <v>0.51148925075057539</v>
      </c>
      <c r="T686" s="29">
        <f ca="1">ROUNDUP(_xlfn.NORM.INV(S685,S$10,S$12),0)</f>
        <v>129</v>
      </c>
      <c r="V686" s="22">
        <v>45231</v>
      </c>
      <c r="W686" s="26">
        <f t="shared" ca="1" si="92"/>
        <v>0.15573728843897716</v>
      </c>
      <c r="X686" s="29">
        <f ca="1">ROUNDUP(_xlfn.NORM.INV(W685,W$10,W$12),0)</f>
        <v>213</v>
      </c>
      <c r="Z686" s="22">
        <v>45231</v>
      </c>
      <c r="AA686" s="26">
        <f t="shared" ca="1" si="93"/>
        <v>0.65331403607820582</v>
      </c>
      <c r="AB686" s="29">
        <f ca="1">ROUNDUP(_xlfn.NORM.INV(AA685,AA$10,AA$12),0)</f>
        <v>261</v>
      </c>
      <c r="AC686"/>
      <c r="AD686" s="25"/>
      <c r="AF686" s="22">
        <v>45231</v>
      </c>
      <c r="AG686" s="26">
        <f t="shared" ca="1" si="94"/>
        <v>0.18460645659985775</v>
      </c>
      <c r="AH686" s="29">
        <f ca="1">ROUNDUP(_xlfn.NORM.INV(AG685,AG$10,AG$12),0)</f>
        <v>433</v>
      </c>
      <c r="AJ686" s="22">
        <v>45231</v>
      </c>
      <c r="AK686" s="26">
        <f t="shared" ca="1" si="95"/>
        <v>5.8422758418226972E-2</v>
      </c>
      <c r="AL686" s="29">
        <f ca="1">ROUNDUP(_xlfn.NORM.INV(AK685,AK$10,AK$12),0)</f>
        <v>160</v>
      </c>
      <c r="AN686" s="22">
        <v>45231</v>
      </c>
      <c r="AO686" s="26">
        <f t="shared" ca="1" si="96"/>
        <v>0.58787866730521909</v>
      </c>
      <c r="AP686" s="29">
        <f ca="1">ROUNDUP(_xlfn.NORM.INV(AO685,AO$10,AO$12),0)</f>
        <v>119</v>
      </c>
      <c r="AR686" s="22">
        <v>45231</v>
      </c>
      <c r="AS686" s="26">
        <f t="shared" ca="1" si="97"/>
        <v>0.17355471916368281</v>
      </c>
      <c r="AT686" s="29">
        <f ca="1">ROUNDUP(_xlfn.NORM.INV(AS685,AS$10,AS$12),0)</f>
        <v>271</v>
      </c>
      <c r="AV686" s="22">
        <v>45231</v>
      </c>
      <c r="AW686" s="26">
        <f t="shared" ca="1" si="98"/>
        <v>0.59770495267184587</v>
      </c>
      <c r="AX686" s="29">
        <f ca="1">ROUNDUP(_xlfn.NORM.INV(AW685,AW$10,AW$12),0)</f>
        <v>182</v>
      </c>
      <c r="AZ686" s="22">
        <v>45231</v>
      </c>
      <c r="BA686" s="26">
        <f t="shared" ca="1" si="99"/>
        <v>0.26231386991546324</v>
      </c>
      <c r="BB686" s="29">
        <v>0</v>
      </c>
      <c r="BC686"/>
      <c r="BD686" s="25"/>
      <c r="BF686" s="22">
        <v>45231</v>
      </c>
      <c r="BG686" s="26">
        <f t="shared" ca="1" si="100"/>
        <v>0.87013343238176788</v>
      </c>
      <c r="BH686" s="29">
        <v>0</v>
      </c>
      <c r="BJ686" s="22">
        <v>45231</v>
      </c>
      <c r="BK686" s="26">
        <f t="shared" ca="1" si="101"/>
        <v>0.96571104033372013</v>
      </c>
      <c r="BL686" s="29">
        <v>0</v>
      </c>
      <c r="BN686" s="22">
        <v>45231</v>
      </c>
      <c r="BO686" s="26">
        <f t="shared" ca="1" si="102"/>
        <v>0.8126507911811881</v>
      </c>
      <c r="BP686" s="29">
        <v>0</v>
      </c>
      <c r="BR686" s="22">
        <v>45231</v>
      </c>
      <c r="BS686" s="26">
        <f t="shared" ca="1" si="103"/>
        <v>0.51001765635422647</v>
      </c>
      <c r="BT686" s="29">
        <v>0</v>
      </c>
      <c r="BV686" s="22">
        <v>45231</v>
      </c>
      <c r="BW686" s="26">
        <f t="shared" ca="1" si="104"/>
        <v>0.10513435716026365</v>
      </c>
      <c r="BX686" s="29">
        <v>0</v>
      </c>
    </row>
    <row r="687" spans="2:77" ht="12.75" x14ac:dyDescent="0.2">
      <c r="B687" s="22">
        <v>45232</v>
      </c>
      <c r="C687" s="26">
        <f t="shared" ca="1" si="119"/>
        <v>0.23944960736783405</v>
      </c>
      <c r="D687" s="29">
        <f t="shared" ca="1" si="118"/>
        <v>61</v>
      </c>
      <c r="F687" s="22"/>
      <c r="G687" s="26">
        <f t="shared" ca="1" si="88"/>
        <v>0.43560496623934397</v>
      </c>
      <c r="H687" s="29">
        <f t="shared" ca="1" si="107"/>
        <v>214</v>
      </c>
      <c r="J687" s="22">
        <v>45232</v>
      </c>
      <c r="K687" s="26">
        <f t="shared" ca="1" si="89"/>
        <v>0.92233121411738173</v>
      </c>
      <c r="L687" s="29">
        <f t="shared" ca="1" si="108"/>
        <v>165</v>
      </c>
      <c r="N687" s="22">
        <v>45232</v>
      </c>
      <c r="O687" s="26">
        <f t="shared" ca="1" si="90"/>
        <v>0.77534975538250306</v>
      </c>
      <c r="P687" s="29">
        <f t="shared" ca="1" si="109"/>
        <v>241</v>
      </c>
      <c r="R687" s="22">
        <v>45232</v>
      </c>
      <c r="S687" s="26">
        <f t="shared" ca="1" si="91"/>
        <v>7.9962773425456324E-2</v>
      </c>
      <c r="T687" s="29">
        <f t="shared" ca="1" si="110"/>
        <v>126</v>
      </c>
      <c r="V687" s="22">
        <v>45232</v>
      </c>
      <c r="W687" s="26">
        <f t="shared" ca="1" si="92"/>
        <v>0.31122863437272941</v>
      </c>
      <c r="X687" s="29">
        <f t="shared" ca="1" si="111"/>
        <v>218</v>
      </c>
      <c r="Z687" s="22">
        <v>45232</v>
      </c>
      <c r="AA687" s="26">
        <f t="shared" ca="1" si="93"/>
        <v>0.9561559005494511</v>
      </c>
      <c r="AB687" s="29">
        <f t="shared" ca="1" si="112"/>
        <v>301</v>
      </c>
      <c r="AC687"/>
      <c r="AD687" s="25"/>
      <c r="AF687" s="22">
        <v>45232</v>
      </c>
      <c r="AG687" s="26">
        <f t="shared" ca="1" si="94"/>
        <v>0.11631570799870672</v>
      </c>
      <c r="AH687" s="29">
        <f t="shared" ca="1" si="113"/>
        <v>223</v>
      </c>
      <c r="AJ687" s="22">
        <v>45232</v>
      </c>
      <c r="AK687" s="26">
        <f t="shared" ca="1" si="95"/>
        <v>0.84677734665514792</v>
      </c>
      <c r="AL687" s="29">
        <f t="shared" ca="1" si="114"/>
        <v>229</v>
      </c>
      <c r="AN687" s="22">
        <v>45232</v>
      </c>
      <c r="AO687" s="26">
        <f t="shared" ca="1" si="96"/>
        <v>0.94647490427711178</v>
      </c>
      <c r="AP687" s="29">
        <f t="shared" ca="1" si="115"/>
        <v>211</v>
      </c>
      <c r="AR687" s="22">
        <v>45232</v>
      </c>
      <c r="AS687" s="26">
        <f t="shared" ca="1" si="97"/>
        <v>8.5122220205457566E-2</v>
      </c>
      <c r="AT687" s="29">
        <f t="shared" ca="1" si="116"/>
        <v>138</v>
      </c>
      <c r="AV687" s="22">
        <v>45232</v>
      </c>
      <c r="AW687" s="26">
        <f t="shared" ca="1" si="98"/>
        <v>2.2633191889840143E-2</v>
      </c>
      <c r="AX687" s="29">
        <f t="shared" ca="1" si="117"/>
        <v>90</v>
      </c>
      <c r="AZ687" s="22">
        <v>45232</v>
      </c>
      <c r="BA687" s="26">
        <f t="shared" ca="1" si="99"/>
        <v>0.64500847563208685</v>
      </c>
      <c r="BB687" s="29">
        <f t="shared" ref="BB687:BB688" ca="1" si="120">ROUNDUP(_xlfn.NORM.INV(BA687,BA$10,BA$12),0)</f>
        <v>198</v>
      </c>
      <c r="BC687"/>
      <c r="BD687" s="25"/>
      <c r="BF687" s="22">
        <v>45232</v>
      </c>
      <c r="BG687" s="26">
        <f t="shared" ca="1" si="100"/>
        <v>5.5232238928234145E-2</v>
      </c>
      <c r="BH687" s="29">
        <v>0</v>
      </c>
      <c r="BJ687" s="22">
        <v>45232</v>
      </c>
      <c r="BK687" s="26">
        <f t="shared" ca="1" si="101"/>
        <v>0.51055984117677766</v>
      </c>
      <c r="BL687" s="29">
        <v>0</v>
      </c>
      <c r="BN687" s="22">
        <v>45232</v>
      </c>
      <c r="BO687" s="26">
        <f t="shared" ca="1" si="102"/>
        <v>0.91472085552197968</v>
      </c>
      <c r="BP687" s="29">
        <v>0</v>
      </c>
      <c r="BR687" s="22">
        <v>45232</v>
      </c>
      <c r="BS687" s="26">
        <f t="shared" ca="1" si="103"/>
        <v>0.37035583012538431</v>
      </c>
      <c r="BT687" s="29">
        <v>0</v>
      </c>
      <c r="BV687" s="22">
        <v>45232</v>
      </c>
      <c r="BW687" s="26">
        <f t="shared" ca="1" si="104"/>
        <v>0.71023536245475627</v>
      </c>
      <c r="BX687" s="29">
        <v>0</v>
      </c>
    </row>
    <row r="688" spans="2:77" ht="12.75" x14ac:dyDescent="0.2">
      <c r="B688" s="22">
        <v>45233</v>
      </c>
      <c r="C688" s="26">
        <f t="shared" ca="1" si="119"/>
        <v>0.87473371024683488</v>
      </c>
      <c r="D688" s="29">
        <f t="shared" ca="1" si="118"/>
        <v>98</v>
      </c>
      <c r="F688" s="22"/>
      <c r="G688" s="26">
        <f t="shared" ca="1" si="88"/>
        <v>0.84564156075659258</v>
      </c>
      <c r="H688" s="29">
        <f t="shared" ca="1" si="107"/>
        <v>231</v>
      </c>
      <c r="J688" s="22">
        <v>45233</v>
      </c>
      <c r="K688" s="26">
        <f t="shared" ca="1" si="89"/>
        <v>8.8609884239801762E-2</v>
      </c>
      <c r="L688" s="29">
        <f t="shared" ca="1" si="108"/>
        <v>137</v>
      </c>
      <c r="N688" s="22">
        <v>45233</v>
      </c>
      <c r="O688" s="26">
        <f t="shared" ca="1" si="90"/>
        <v>0.84087012555666019</v>
      </c>
      <c r="P688" s="29">
        <f t="shared" ca="1" si="109"/>
        <v>245</v>
      </c>
      <c r="R688" s="22">
        <v>45233</v>
      </c>
      <c r="S688" s="26">
        <f t="shared" ca="1" si="91"/>
        <v>0.12627805625125132</v>
      </c>
      <c r="T688" s="29">
        <f t="shared" ca="1" si="110"/>
        <v>129</v>
      </c>
      <c r="V688" s="22">
        <v>45233</v>
      </c>
      <c r="W688" s="26">
        <f t="shared" ca="1" si="92"/>
        <v>0.30381884846974594</v>
      </c>
      <c r="X688" s="29">
        <f t="shared" ca="1" si="111"/>
        <v>218</v>
      </c>
      <c r="Z688" s="22">
        <v>45233</v>
      </c>
      <c r="AA688" s="26">
        <f t="shared" ca="1" si="93"/>
        <v>0.33829026220225522</v>
      </c>
      <c r="AB688" s="29">
        <f t="shared" ca="1" si="112"/>
        <v>263</v>
      </c>
      <c r="AC688"/>
      <c r="AD688" s="25"/>
      <c r="AF688" s="22">
        <v>45233</v>
      </c>
      <c r="AG688" s="26">
        <f t="shared" ca="1" si="94"/>
        <v>0.51236648848098798</v>
      </c>
      <c r="AH688" s="29">
        <f t="shared" ca="1" si="113"/>
        <v>330</v>
      </c>
      <c r="AJ688" s="22">
        <v>45233</v>
      </c>
      <c r="AK688" s="26">
        <f t="shared" ca="1" si="95"/>
        <v>0.47704395380416054</v>
      </c>
      <c r="AL688" s="29">
        <f t="shared" ca="1" si="114"/>
        <v>178</v>
      </c>
      <c r="AN688" s="22">
        <v>45233</v>
      </c>
      <c r="AO688" s="26">
        <f t="shared" ca="1" si="96"/>
        <v>0.21466260545764537</v>
      </c>
      <c r="AP688" s="29">
        <f t="shared" ca="1" si="115"/>
        <v>117</v>
      </c>
      <c r="AR688" s="22">
        <v>45233</v>
      </c>
      <c r="AS688" s="26">
        <f t="shared" ca="1" si="97"/>
        <v>0.10991022097798986</v>
      </c>
      <c r="AT688" s="29">
        <f t="shared" ca="1" si="116"/>
        <v>146</v>
      </c>
      <c r="AV688" s="22">
        <v>45233</v>
      </c>
      <c r="AW688" s="26">
        <f t="shared" ca="1" si="98"/>
        <v>0.34197698256627973</v>
      </c>
      <c r="AX688" s="29">
        <f t="shared" ca="1" si="117"/>
        <v>171</v>
      </c>
      <c r="AZ688" s="22">
        <v>45233</v>
      </c>
      <c r="BA688" s="26">
        <f t="shared" ca="1" si="99"/>
        <v>0.1412674522660512</v>
      </c>
      <c r="BB688" s="29">
        <f t="shared" ca="1" si="120"/>
        <v>129</v>
      </c>
      <c r="BC688"/>
      <c r="BD688" s="25"/>
      <c r="BF688" s="22">
        <v>45233</v>
      </c>
      <c r="BG688" s="26">
        <f t="shared" ca="1" si="100"/>
        <v>0.24260011595430331</v>
      </c>
      <c r="BH688" s="29">
        <v>0</v>
      </c>
      <c r="BJ688" s="22">
        <v>45233</v>
      </c>
      <c r="BK688" s="26">
        <f t="shared" ca="1" si="101"/>
        <v>0.65982041078793141</v>
      </c>
      <c r="BL688" s="29">
        <v>0</v>
      </c>
      <c r="BN688" s="22">
        <v>45233</v>
      </c>
      <c r="BO688" s="26">
        <f t="shared" ca="1" si="102"/>
        <v>8.034404112107274E-2</v>
      </c>
      <c r="BP688" s="29">
        <v>0</v>
      </c>
      <c r="BR688" s="22">
        <v>45233</v>
      </c>
      <c r="BS688" s="26">
        <f t="shared" ca="1" si="103"/>
        <v>0.97360246518474769</v>
      </c>
      <c r="BT688" s="29">
        <v>0</v>
      </c>
      <c r="BV688" s="22">
        <v>45233</v>
      </c>
      <c r="BW688" s="26">
        <f t="shared" ca="1" si="104"/>
        <v>0.75116614825827466</v>
      </c>
      <c r="BX688" s="29">
        <v>0</v>
      </c>
    </row>
    <row r="689" spans="2:76" ht="12.75" x14ac:dyDescent="0.2">
      <c r="B689" s="22">
        <v>45234</v>
      </c>
      <c r="C689" s="26">
        <f t="shared" ca="1" si="119"/>
        <v>0.60876256929429484</v>
      </c>
      <c r="D689" s="29">
        <f t="shared" ca="1" si="118"/>
        <v>81</v>
      </c>
      <c r="F689" s="22"/>
      <c r="G689" s="26">
        <f t="shared" ca="1" si="88"/>
        <v>0.37819550289219983</v>
      </c>
      <c r="H689" s="29">
        <f t="shared" ref="H689:H752" ca="1" si="121">ROUNDUP(_xlfn.NORM.INV(G689,G$10,G$12),0)</f>
        <v>211</v>
      </c>
      <c r="J689" s="22">
        <v>45234</v>
      </c>
      <c r="K689" s="26">
        <f t="shared" ca="1" si="89"/>
        <v>0.43475202964266246</v>
      </c>
      <c r="L689" s="29">
        <f t="shared" ref="L689:L752" ca="1" si="122">ROUNDUP(_xlfn.NORM.INV(K689,K$10,K$12),0)</f>
        <v>149</v>
      </c>
      <c r="N689" s="22">
        <v>45234</v>
      </c>
      <c r="O689" s="26">
        <f t="shared" ca="1" si="90"/>
        <v>0.28592544267824216</v>
      </c>
      <c r="P689" s="29">
        <f t="shared" ref="P689:P752" ca="1" si="123">ROUNDUP(_xlfn.NORM.INV(O689,O$10,O$12),0)</f>
        <v>221</v>
      </c>
      <c r="R689" s="22">
        <v>45234</v>
      </c>
      <c r="S689" s="26">
        <f t="shared" ca="1" si="91"/>
        <v>0.53018724235687598</v>
      </c>
      <c r="T689" s="29">
        <f t="shared" ref="T689:T752" ca="1" si="124">ROUNDUP(_xlfn.NORM.INV(S689,S$10,S$12),0)</f>
        <v>140</v>
      </c>
      <c r="V689" s="22">
        <v>45234</v>
      </c>
      <c r="W689" s="26">
        <f t="shared" ca="1" si="92"/>
        <v>0.43633151318347752</v>
      </c>
      <c r="X689" s="29">
        <f t="shared" ref="X689:X752" ca="1" si="125">ROUNDUP(_xlfn.NORM.INV(W689,W$10,W$12),0)</f>
        <v>223</v>
      </c>
      <c r="Z689" s="22">
        <v>45234</v>
      </c>
      <c r="AA689" s="26">
        <f t="shared" ca="1" si="93"/>
        <v>0.77632334527224311</v>
      </c>
      <c r="AB689" s="29">
        <f t="shared" ref="AB689:AB752" ca="1" si="126">ROUNDUP(_xlfn.NORM.INV(AA689,AA$10,AA$12),0)</f>
        <v>284</v>
      </c>
      <c r="AC689"/>
      <c r="AD689" s="25"/>
      <c r="AF689" s="22">
        <v>45234</v>
      </c>
      <c r="AG689" s="26">
        <f t="shared" ca="1" si="94"/>
        <v>0.88518329227269921</v>
      </c>
      <c r="AH689" s="29">
        <f t="shared" ref="AH689:AH752" ca="1" si="127">ROUNDUP(_xlfn.NORM.INV(AG689,AG$10,AG$12),0)</f>
        <v>432</v>
      </c>
      <c r="AJ689" s="22">
        <v>45234</v>
      </c>
      <c r="AK689" s="26">
        <f t="shared" ca="1" si="95"/>
        <v>0.76182871362652749</v>
      </c>
      <c r="AL689" s="29">
        <f t="shared" ref="AL689:AL752" ca="1" si="128">ROUNDUP(_xlfn.NORM.INV(AK689,AK$10,AK$12),0)</f>
        <v>215</v>
      </c>
      <c r="AN689" s="22">
        <v>45234</v>
      </c>
      <c r="AO689" s="26">
        <f t="shared" ca="1" si="96"/>
        <v>0.94425950436828965</v>
      </c>
      <c r="AP689" s="29">
        <f t="shared" ref="AP689:AP752" ca="1" si="129">ROUNDUP(_xlfn.NORM.INV(AO689,AO$10,AO$12),0)</f>
        <v>210</v>
      </c>
      <c r="AR689" s="22">
        <v>45234</v>
      </c>
      <c r="AS689" s="26">
        <f t="shared" ca="1" si="97"/>
        <v>0.60237929558584558</v>
      </c>
      <c r="AT689" s="29">
        <f t="shared" ref="AT689:AT752" ca="1" si="130">ROUNDUP(_xlfn.NORM.INV(AS689,AS$10,AS$12),0)</f>
        <v>232</v>
      </c>
      <c r="AV689" s="22">
        <v>45234</v>
      </c>
      <c r="AW689" s="26">
        <f t="shared" ca="1" si="98"/>
        <v>0.73903684251543877</v>
      </c>
      <c r="AX689" s="29">
        <f t="shared" ref="AX689:AX752" ca="1" si="131">ROUNDUP(_xlfn.NORM.INV(AW689,AW$10,AW$12),0)</f>
        <v>225</v>
      </c>
      <c r="AZ689" s="22">
        <v>45234</v>
      </c>
      <c r="BA689" s="26">
        <f t="shared" ca="1" si="99"/>
        <v>0.60976959144913057</v>
      </c>
      <c r="BB689" s="29">
        <f t="shared" ref="BB689:BB752" ca="1" si="132">ROUNDUP(_xlfn.NORM.INV(BA689,BA$10,BA$12),0)</f>
        <v>194</v>
      </c>
      <c r="BC689"/>
      <c r="BD689" s="25"/>
      <c r="BF689" s="22">
        <v>45234</v>
      </c>
      <c r="BG689" s="26">
        <f t="shared" ca="1" si="100"/>
        <v>0.83973079943764994</v>
      </c>
      <c r="BH689" s="29">
        <v>0</v>
      </c>
      <c r="BJ689" s="22">
        <v>45234</v>
      </c>
      <c r="BK689" s="26">
        <f t="shared" ca="1" si="101"/>
        <v>0.69284995334896571</v>
      </c>
      <c r="BL689" s="29">
        <v>0</v>
      </c>
      <c r="BN689" s="22">
        <v>45234</v>
      </c>
      <c r="BO689" s="26">
        <f t="shared" ca="1" si="102"/>
        <v>3.3010236797423875E-3</v>
      </c>
      <c r="BP689" s="29">
        <v>0</v>
      </c>
      <c r="BR689" s="22">
        <v>45234</v>
      </c>
      <c r="BS689" s="26">
        <f t="shared" ca="1" si="103"/>
        <v>0.48608996437278262</v>
      </c>
      <c r="BT689" s="29">
        <v>0</v>
      </c>
      <c r="BV689" s="22">
        <v>45234</v>
      </c>
      <c r="BW689" s="26">
        <f t="shared" ca="1" si="104"/>
        <v>0.71831835479799278</v>
      </c>
      <c r="BX689" s="29">
        <v>0</v>
      </c>
    </row>
    <row r="690" spans="2:76" ht="12.75" x14ac:dyDescent="0.2">
      <c r="B690" s="22">
        <v>45235</v>
      </c>
      <c r="C690" s="26">
        <f t="shared" ca="1" si="119"/>
        <v>0.95836481278247632</v>
      </c>
      <c r="D690" s="29">
        <f t="shared" ca="1" si="118"/>
        <v>110</v>
      </c>
      <c r="F690" s="22"/>
      <c r="G690" s="26">
        <f t="shared" ca="1" si="88"/>
        <v>0.31319623188259904</v>
      </c>
      <c r="H690" s="29">
        <f t="shared" ca="1" si="121"/>
        <v>209</v>
      </c>
      <c r="J690" s="22">
        <v>45235</v>
      </c>
      <c r="K690" s="26">
        <f t="shared" ca="1" si="89"/>
        <v>0.53158476289857326</v>
      </c>
      <c r="L690" s="29">
        <f t="shared" ca="1" si="122"/>
        <v>151</v>
      </c>
      <c r="N690" s="22">
        <v>45235</v>
      </c>
      <c r="O690" s="26">
        <f t="shared" ca="1" si="90"/>
        <v>0.91222902977741838</v>
      </c>
      <c r="P690" s="29">
        <f t="shared" ca="1" si="123"/>
        <v>251</v>
      </c>
      <c r="R690" s="22">
        <v>45235</v>
      </c>
      <c r="S690" s="26">
        <f t="shared" ca="1" si="91"/>
        <v>7.0198860611491054E-2</v>
      </c>
      <c r="T690" s="29">
        <f t="shared" ca="1" si="124"/>
        <v>126</v>
      </c>
      <c r="V690" s="22">
        <v>45235</v>
      </c>
      <c r="W690" s="26">
        <f t="shared" ca="1" si="92"/>
        <v>0.93535069591489772</v>
      </c>
      <c r="X690" s="29">
        <f t="shared" ca="1" si="125"/>
        <v>248</v>
      </c>
      <c r="Z690" s="22">
        <v>45235</v>
      </c>
      <c r="AA690" s="26">
        <f t="shared" ca="1" si="93"/>
        <v>8.2571471638840821E-2</v>
      </c>
      <c r="AB690" s="29">
        <f t="shared" ca="1" si="126"/>
        <v>246</v>
      </c>
      <c r="AC690"/>
      <c r="AD690" s="25"/>
      <c r="AF690" s="22">
        <v>45235</v>
      </c>
      <c r="AG690" s="26">
        <f t="shared" ca="1" si="94"/>
        <v>0.33067255321845868</v>
      </c>
      <c r="AH690" s="29">
        <f t="shared" ca="1" si="127"/>
        <v>289</v>
      </c>
      <c r="AJ690" s="22">
        <v>45235</v>
      </c>
      <c r="AK690" s="26">
        <f t="shared" ca="1" si="95"/>
        <v>0.24370806366563835</v>
      </c>
      <c r="AL690" s="29">
        <f t="shared" ca="1" si="128"/>
        <v>147</v>
      </c>
      <c r="AN690" s="22">
        <v>45235</v>
      </c>
      <c r="AO690" s="26">
        <f t="shared" ca="1" si="96"/>
        <v>0.57879588046469266</v>
      </c>
      <c r="AP690" s="29">
        <f t="shared" ca="1" si="129"/>
        <v>155</v>
      </c>
      <c r="AR690" s="22">
        <v>45235</v>
      </c>
      <c r="AS690" s="26">
        <f t="shared" ca="1" si="97"/>
        <v>0.3266190400575355</v>
      </c>
      <c r="AT690" s="29">
        <f t="shared" ca="1" si="130"/>
        <v>191</v>
      </c>
      <c r="AV690" s="22">
        <v>45235</v>
      </c>
      <c r="AW690" s="26">
        <f t="shared" ca="1" si="98"/>
        <v>0.80095527695416269</v>
      </c>
      <c r="AX690" s="29">
        <f t="shared" ca="1" si="131"/>
        <v>235</v>
      </c>
      <c r="AZ690" s="22">
        <v>45235</v>
      </c>
      <c r="BA690" s="26">
        <f t="shared" ca="1" si="99"/>
        <v>0.92678463891625562</v>
      </c>
      <c r="BB690" s="29">
        <f t="shared" ca="1" si="132"/>
        <v>250</v>
      </c>
      <c r="BC690"/>
      <c r="BD690" s="25"/>
      <c r="BF690" s="22">
        <v>45235</v>
      </c>
      <c r="BG690" s="26">
        <f t="shared" ca="1" si="100"/>
        <v>5.0529826685559387E-2</v>
      </c>
      <c r="BH690" s="29">
        <v>0</v>
      </c>
      <c r="BJ690" s="22">
        <v>45235</v>
      </c>
      <c r="BK690" s="26">
        <f t="shared" ca="1" si="101"/>
        <v>0.7584667214393781</v>
      </c>
      <c r="BL690" s="29">
        <v>0</v>
      </c>
      <c r="BN690" s="22">
        <v>45235</v>
      </c>
      <c r="BO690" s="26">
        <f t="shared" ca="1" si="102"/>
        <v>0.12871399662708261</v>
      </c>
      <c r="BP690" s="29">
        <v>0</v>
      </c>
      <c r="BR690" s="22">
        <v>45235</v>
      </c>
      <c r="BS690" s="26">
        <f t="shared" ca="1" si="103"/>
        <v>6.8989945646855788E-2</v>
      </c>
      <c r="BT690" s="29">
        <v>0</v>
      </c>
      <c r="BV690" s="22">
        <v>45235</v>
      </c>
      <c r="BW690" s="26">
        <f t="shared" ca="1" si="104"/>
        <v>0.38008164795032862</v>
      </c>
      <c r="BX690" s="29">
        <v>0</v>
      </c>
    </row>
    <row r="691" spans="2:76" ht="12.75" x14ac:dyDescent="0.2">
      <c r="B691" s="22">
        <v>45236</v>
      </c>
      <c r="C691" s="26">
        <f t="shared" ca="1" si="119"/>
        <v>0.74792976335443651</v>
      </c>
      <c r="D691" s="29">
        <f t="shared" ca="1" si="118"/>
        <v>89</v>
      </c>
      <c r="F691" s="22"/>
      <c r="G691" s="26">
        <f t="shared" ca="1" si="88"/>
        <v>0.90267055366067495</v>
      </c>
      <c r="H691" s="29">
        <f t="shared" ca="1" si="121"/>
        <v>235</v>
      </c>
      <c r="J691" s="22">
        <v>45236</v>
      </c>
      <c r="K691" s="26">
        <f t="shared" ca="1" si="89"/>
        <v>0.59166187151186889</v>
      </c>
      <c r="L691" s="29">
        <f t="shared" ca="1" si="122"/>
        <v>153</v>
      </c>
      <c r="N691" s="22">
        <v>45236</v>
      </c>
      <c r="O691" s="26">
        <f t="shared" ca="1" si="90"/>
        <v>0.93434123109414013</v>
      </c>
      <c r="P691" s="29">
        <f t="shared" ca="1" si="123"/>
        <v>253</v>
      </c>
      <c r="R691" s="22">
        <v>45236</v>
      </c>
      <c r="S691" s="26">
        <f t="shared" ca="1" si="91"/>
        <v>0.98205936236927738</v>
      </c>
      <c r="T691" s="29">
        <f t="shared" ca="1" si="124"/>
        <v>159</v>
      </c>
      <c r="V691" s="22">
        <v>45236</v>
      </c>
      <c r="W691" s="26">
        <f t="shared" ca="1" si="92"/>
        <v>0.92904589450143138</v>
      </c>
      <c r="X691" s="29">
        <f t="shared" ca="1" si="125"/>
        <v>248</v>
      </c>
      <c r="Z691" s="22">
        <v>45236</v>
      </c>
      <c r="AA691" s="26">
        <f t="shared" ca="1" si="93"/>
        <v>0.82463233927794943</v>
      </c>
      <c r="AB691" s="29">
        <f t="shared" ca="1" si="126"/>
        <v>287</v>
      </c>
      <c r="AC691"/>
      <c r="AD691" s="25"/>
      <c r="AF691" s="22">
        <v>45236</v>
      </c>
      <c r="AG691" s="26">
        <f t="shared" ca="1" si="94"/>
        <v>0.54994149571913087</v>
      </c>
      <c r="AH691" s="29">
        <f t="shared" ca="1" si="127"/>
        <v>338</v>
      </c>
      <c r="AJ691" s="22">
        <v>45236</v>
      </c>
      <c r="AK691" s="26">
        <f t="shared" ca="1" si="95"/>
        <v>5.0534092432069633E-2</v>
      </c>
      <c r="AL691" s="29">
        <f t="shared" ca="1" si="128"/>
        <v>102</v>
      </c>
      <c r="AN691" s="22">
        <v>45236</v>
      </c>
      <c r="AO691" s="26">
        <f t="shared" ca="1" si="96"/>
        <v>0.15162949197563369</v>
      </c>
      <c r="AP691" s="29">
        <f t="shared" ca="1" si="129"/>
        <v>107</v>
      </c>
      <c r="AR691" s="22">
        <v>45236</v>
      </c>
      <c r="AS691" s="26">
        <f t="shared" ca="1" si="97"/>
        <v>0.56030879535283928</v>
      </c>
      <c r="AT691" s="29">
        <f t="shared" ca="1" si="130"/>
        <v>226</v>
      </c>
      <c r="AV691" s="22">
        <v>45236</v>
      </c>
      <c r="AW691" s="26">
        <f t="shared" ca="1" si="98"/>
        <v>0.8160374029571128</v>
      </c>
      <c r="AX691" s="29">
        <f t="shared" ca="1" si="131"/>
        <v>238</v>
      </c>
      <c r="AZ691" s="22">
        <v>45236</v>
      </c>
      <c r="BA691" s="26">
        <f t="shared" ca="1" si="99"/>
        <v>0.8037303687014058</v>
      </c>
      <c r="BB691" s="29">
        <f t="shared" ca="1" si="132"/>
        <v>221</v>
      </c>
      <c r="BC691"/>
      <c r="BD691" s="25"/>
      <c r="BF691" s="22">
        <v>45236</v>
      </c>
      <c r="BG691" s="26">
        <f t="shared" ca="1" si="100"/>
        <v>0.98660062470353638</v>
      </c>
      <c r="BH691" s="29">
        <v>0</v>
      </c>
      <c r="BJ691" s="22">
        <v>45236</v>
      </c>
      <c r="BK691" s="26">
        <f t="shared" ca="1" si="101"/>
        <v>0.27283492838605905</v>
      </c>
      <c r="BL691" s="29">
        <v>0</v>
      </c>
      <c r="BN691" s="22">
        <v>45236</v>
      </c>
      <c r="BO691" s="26">
        <f t="shared" ca="1" si="102"/>
        <v>9.8742649438589014E-3</v>
      </c>
      <c r="BP691" s="29">
        <v>0</v>
      </c>
      <c r="BR691" s="22">
        <v>45236</v>
      </c>
      <c r="BS691" s="26">
        <f t="shared" ca="1" si="103"/>
        <v>0.20225910243796186</v>
      </c>
      <c r="BT691" s="29">
        <v>0</v>
      </c>
      <c r="BV691" s="22">
        <v>45236</v>
      </c>
      <c r="BW691" s="26">
        <f t="shared" ca="1" si="104"/>
        <v>0.7459683697624121</v>
      </c>
      <c r="BX691" s="29">
        <v>0</v>
      </c>
    </row>
    <row r="692" spans="2:76" ht="12.75" x14ac:dyDescent="0.2">
      <c r="B692" s="22">
        <v>45237</v>
      </c>
      <c r="C692" s="26">
        <f t="shared" ca="1" si="119"/>
        <v>0.56217919421356755</v>
      </c>
      <c r="D692" s="29">
        <f t="shared" ca="1" si="118"/>
        <v>79</v>
      </c>
      <c r="F692" s="22"/>
      <c r="G692" s="26">
        <f t="shared" ca="1" si="88"/>
        <v>0.46527828605322241</v>
      </c>
      <c r="H692" s="29">
        <f t="shared" ca="1" si="121"/>
        <v>215</v>
      </c>
      <c r="J692" s="22">
        <v>45237</v>
      </c>
      <c r="K692" s="26">
        <f t="shared" ca="1" si="89"/>
        <v>0.74194623530669213</v>
      </c>
      <c r="L692" s="29">
        <f t="shared" ca="1" si="122"/>
        <v>157</v>
      </c>
      <c r="N692" s="22">
        <v>45237</v>
      </c>
      <c r="O692" s="26">
        <f t="shared" ca="1" si="90"/>
        <v>0.33767171301698096</v>
      </c>
      <c r="P692" s="29">
        <f t="shared" ca="1" si="123"/>
        <v>223</v>
      </c>
      <c r="R692" s="22">
        <v>45237</v>
      </c>
      <c r="S692" s="26">
        <f t="shared" ca="1" si="91"/>
        <v>0.22324836436129014</v>
      </c>
      <c r="T692" s="29">
        <f t="shared" ca="1" si="124"/>
        <v>132</v>
      </c>
      <c r="V692" s="22">
        <v>45237</v>
      </c>
      <c r="W692" s="26">
        <f t="shared" ca="1" si="92"/>
        <v>0.17736697413360203</v>
      </c>
      <c r="X692" s="29">
        <f t="shared" ca="1" si="125"/>
        <v>212</v>
      </c>
      <c r="Z692" s="22">
        <v>45237</v>
      </c>
      <c r="AA692" s="26">
        <f t="shared" ca="1" si="93"/>
        <v>0.62055814352798633</v>
      </c>
      <c r="AB692" s="29">
        <f t="shared" ca="1" si="126"/>
        <v>276</v>
      </c>
      <c r="AC692"/>
      <c r="AD692" s="25"/>
      <c r="AF692" s="22">
        <v>45237</v>
      </c>
      <c r="AG692" s="26">
        <f t="shared" ca="1" si="94"/>
        <v>7.279708449381006E-2</v>
      </c>
      <c r="AH692" s="29">
        <f t="shared" ca="1" si="127"/>
        <v>201</v>
      </c>
      <c r="AJ692" s="22">
        <v>45237</v>
      </c>
      <c r="AK692" s="26">
        <f t="shared" ca="1" si="95"/>
        <v>0.35065264640012095</v>
      </c>
      <c r="AL692" s="29">
        <f t="shared" ca="1" si="128"/>
        <v>162</v>
      </c>
      <c r="AN692" s="22">
        <v>45237</v>
      </c>
      <c r="AO692" s="26">
        <f t="shared" ca="1" si="96"/>
        <v>0.99778426101870532</v>
      </c>
      <c r="AP692" s="29">
        <f t="shared" ca="1" si="129"/>
        <v>259</v>
      </c>
      <c r="AR692" s="22">
        <v>45237</v>
      </c>
      <c r="AS692" s="26">
        <f t="shared" ca="1" si="97"/>
        <v>0.22409558092143012</v>
      </c>
      <c r="AT692" s="29">
        <f t="shared" ca="1" si="130"/>
        <v>173</v>
      </c>
      <c r="AV692" s="22">
        <v>45237</v>
      </c>
      <c r="AW692" s="26">
        <f t="shared" ca="1" si="98"/>
        <v>6.9846368724258312E-2</v>
      </c>
      <c r="AX692" s="29">
        <f t="shared" ca="1" si="131"/>
        <v>117</v>
      </c>
      <c r="AZ692" s="22">
        <v>45237</v>
      </c>
      <c r="BA692" s="26">
        <f t="shared" ca="1" si="99"/>
        <v>0.42376135899180989</v>
      </c>
      <c r="BB692" s="29">
        <f t="shared" ca="1" si="132"/>
        <v>171</v>
      </c>
      <c r="BC692"/>
      <c r="BD692" s="25"/>
      <c r="BF692" s="22">
        <v>45237</v>
      </c>
      <c r="BG692" s="26">
        <f t="shared" ca="1" si="100"/>
        <v>0.78519495584268939</v>
      </c>
      <c r="BH692" s="29">
        <v>0</v>
      </c>
      <c r="BJ692" s="22">
        <v>45237</v>
      </c>
      <c r="BK692" s="26">
        <f t="shared" ca="1" si="101"/>
        <v>4.5376648158516497E-2</v>
      </c>
      <c r="BL692" s="29">
        <v>0</v>
      </c>
      <c r="BN692" s="22">
        <v>45237</v>
      </c>
      <c r="BO692" s="26">
        <f t="shared" ca="1" si="102"/>
        <v>0.85613568448799071</v>
      </c>
      <c r="BP692" s="29">
        <v>0</v>
      </c>
      <c r="BR692" s="22">
        <v>45237</v>
      </c>
      <c r="BS692" s="26">
        <f t="shared" ca="1" si="103"/>
        <v>0.64985831995344201</v>
      </c>
      <c r="BT692" s="29">
        <v>0</v>
      </c>
      <c r="BV692" s="22">
        <v>45237</v>
      </c>
      <c r="BW692" s="26">
        <f t="shared" ca="1" si="104"/>
        <v>0.25347482355154449</v>
      </c>
      <c r="BX692" s="29">
        <v>0</v>
      </c>
    </row>
    <row r="693" spans="2:76" ht="12.75" x14ac:dyDescent="0.2">
      <c r="B693" s="22">
        <v>45238</v>
      </c>
      <c r="C693" s="26">
        <f t="shared" ca="1" si="119"/>
        <v>0.84801279824291886</v>
      </c>
      <c r="D693" s="29">
        <f t="shared" ca="1" si="118"/>
        <v>96</v>
      </c>
      <c r="F693" s="22"/>
      <c r="G693" s="26">
        <f t="shared" ca="1" si="88"/>
        <v>2.2920740808599516E-2</v>
      </c>
      <c r="H693" s="29">
        <f t="shared" ca="1" si="121"/>
        <v>187</v>
      </c>
      <c r="J693" s="22">
        <v>45238</v>
      </c>
      <c r="K693" s="26">
        <f t="shared" ca="1" si="89"/>
        <v>0.64421014761070095</v>
      </c>
      <c r="L693" s="29">
        <f t="shared" ca="1" si="122"/>
        <v>154</v>
      </c>
      <c r="N693" s="22">
        <v>45238</v>
      </c>
      <c r="O693" s="26">
        <f t="shared" ca="1" si="90"/>
        <v>0.84662041396198329</v>
      </c>
      <c r="P693" s="29">
        <f t="shared" ca="1" si="123"/>
        <v>245</v>
      </c>
      <c r="R693" s="22">
        <v>45238</v>
      </c>
      <c r="S693" s="26">
        <f t="shared" ca="1" si="91"/>
        <v>0.63137493549273727</v>
      </c>
      <c r="T693" s="29">
        <f t="shared" ca="1" si="124"/>
        <v>142</v>
      </c>
      <c r="V693" s="22">
        <v>45238</v>
      </c>
      <c r="W693" s="26">
        <f t="shared" ca="1" si="92"/>
        <v>0.10107621451521875</v>
      </c>
      <c r="X693" s="29">
        <f t="shared" ca="1" si="125"/>
        <v>206</v>
      </c>
      <c r="Z693" s="22">
        <v>45238</v>
      </c>
      <c r="AA693" s="26">
        <f t="shared" ca="1" si="93"/>
        <v>0.92252712837698625</v>
      </c>
      <c r="AB693" s="29">
        <f t="shared" ca="1" si="126"/>
        <v>296</v>
      </c>
      <c r="AC693"/>
      <c r="AD693" s="25"/>
      <c r="AF693" s="22">
        <v>45238</v>
      </c>
      <c r="AG693" s="26">
        <f t="shared" ca="1" si="94"/>
        <v>0.57680171655303059</v>
      </c>
      <c r="AH693" s="29">
        <f t="shared" ca="1" si="127"/>
        <v>344</v>
      </c>
      <c r="AJ693" s="22">
        <v>45238</v>
      </c>
      <c r="AK693" s="26">
        <f t="shared" ca="1" si="95"/>
        <v>0.51023229492255973</v>
      </c>
      <c r="AL693" s="29">
        <f t="shared" ca="1" si="128"/>
        <v>182</v>
      </c>
      <c r="AN693" s="22">
        <v>45238</v>
      </c>
      <c r="AO693" s="26">
        <f t="shared" ca="1" si="96"/>
        <v>0.64186642167303365</v>
      </c>
      <c r="AP693" s="29">
        <f t="shared" ca="1" si="129"/>
        <v>162</v>
      </c>
      <c r="AR693" s="22">
        <v>45238</v>
      </c>
      <c r="AS693" s="26">
        <f t="shared" ca="1" si="97"/>
        <v>0.47279570373554525</v>
      </c>
      <c r="AT693" s="29">
        <f t="shared" ca="1" si="130"/>
        <v>213</v>
      </c>
      <c r="AV693" s="22">
        <v>45238</v>
      </c>
      <c r="AW693" s="26">
        <f t="shared" ca="1" si="98"/>
        <v>0.6361182025322677</v>
      </c>
      <c r="AX693" s="29">
        <f t="shared" ca="1" si="131"/>
        <v>210</v>
      </c>
      <c r="AZ693" s="22">
        <v>45238</v>
      </c>
      <c r="BA693" s="26">
        <f t="shared" ca="1" si="99"/>
        <v>0.38460951573924762</v>
      </c>
      <c r="BB693" s="29">
        <f t="shared" ca="1" si="132"/>
        <v>166</v>
      </c>
      <c r="BC693"/>
      <c r="BD693" s="25"/>
      <c r="BF693" s="22">
        <v>45238</v>
      </c>
      <c r="BG693" s="26">
        <f t="shared" ca="1" si="100"/>
        <v>0.61411891303011934</v>
      </c>
      <c r="BH693" s="29">
        <v>0</v>
      </c>
      <c r="BJ693" s="22">
        <v>45238</v>
      </c>
      <c r="BK693" s="26">
        <f t="shared" ca="1" si="101"/>
        <v>0.46525453061662814</v>
      </c>
      <c r="BL693" s="29">
        <v>0</v>
      </c>
      <c r="BN693" s="22">
        <v>45238</v>
      </c>
      <c r="BO693" s="26">
        <f t="shared" ca="1" si="102"/>
        <v>4.197017077726628E-2</v>
      </c>
      <c r="BP693" s="29">
        <v>0</v>
      </c>
      <c r="BR693" s="22">
        <v>45238</v>
      </c>
      <c r="BS693" s="26">
        <f t="shared" ca="1" si="103"/>
        <v>0.48440542530286257</v>
      </c>
      <c r="BT693" s="29">
        <v>0</v>
      </c>
      <c r="BV693" s="22">
        <v>45238</v>
      </c>
      <c r="BW693" s="26">
        <f t="shared" ca="1" si="104"/>
        <v>0.89655669895182877</v>
      </c>
      <c r="BX693" s="29">
        <v>0</v>
      </c>
    </row>
    <row r="694" spans="2:76" ht="12.75" x14ac:dyDescent="0.2">
      <c r="B694" s="22">
        <v>45239</v>
      </c>
      <c r="C694" s="26">
        <f t="shared" ca="1" si="119"/>
        <v>0.7124968339312453</v>
      </c>
      <c r="D694" s="29">
        <f t="shared" ca="1" si="118"/>
        <v>87</v>
      </c>
      <c r="F694" s="22"/>
      <c r="G694" s="26">
        <f t="shared" ca="1" si="88"/>
        <v>0.14586712298762561</v>
      </c>
      <c r="H694" s="29">
        <f t="shared" ca="1" si="121"/>
        <v>201</v>
      </c>
      <c r="J694" s="22">
        <v>45239</v>
      </c>
      <c r="K694" s="26">
        <f t="shared" ca="1" si="89"/>
        <v>0.24915132837128851</v>
      </c>
      <c r="L694" s="29">
        <f t="shared" ca="1" si="122"/>
        <v>144</v>
      </c>
      <c r="N694" s="22">
        <v>45239</v>
      </c>
      <c r="O694" s="26">
        <f t="shared" ca="1" si="90"/>
        <v>0.47547344928552115</v>
      </c>
      <c r="P694" s="29">
        <f t="shared" ca="1" si="123"/>
        <v>229</v>
      </c>
      <c r="R694" s="22">
        <v>45239</v>
      </c>
      <c r="S694" s="26">
        <f t="shared" ca="1" si="91"/>
        <v>0.73438818031834241</v>
      </c>
      <c r="T694" s="29">
        <f t="shared" ca="1" si="124"/>
        <v>145</v>
      </c>
      <c r="V694" s="22">
        <v>45239</v>
      </c>
      <c r="W694" s="26">
        <f t="shared" ca="1" si="92"/>
        <v>0.13868129265852802</v>
      </c>
      <c r="X694" s="29">
        <f t="shared" ca="1" si="125"/>
        <v>209</v>
      </c>
      <c r="Z694" s="22">
        <v>45239</v>
      </c>
      <c r="AA694" s="26">
        <f t="shared" ca="1" si="93"/>
        <v>0.4352979344720328</v>
      </c>
      <c r="AB694" s="29">
        <f t="shared" ca="1" si="126"/>
        <v>268</v>
      </c>
      <c r="AC694"/>
      <c r="AD694" s="25"/>
      <c r="AF694" s="22">
        <v>45239</v>
      </c>
      <c r="AG694" s="26">
        <f t="shared" ca="1" si="94"/>
        <v>0.33458851238253029</v>
      </c>
      <c r="AH694" s="29">
        <f t="shared" ca="1" si="127"/>
        <v>290</v>
      </c>
      <c r="AJ694" s="22">
        <v>45239</v>
      </c>
      <c r="AK694" s="26">
        <f t="shared" ca="1" si="95"/>
        <v>0.88277328302400004</v>
      </c>
      <c r="AL694" s="29">
        <f t="shared" ca="1" si="128"/>
        <v>237</v>
      </c>
      <c r="AN694" s="22">
        <v>45239</v>
      </c>
      <c r="AO694" s="26">
        <f t="shared" ca="1" si="96"/>
        <v>0.14651195872305411</v>
      </c>
      <c r="AP694" s="29">
        <f t="shared" ca="1" si="129"/>
        <v>106</v>
      </c>
      <c r="AR694" s="22">
        <v>45239</v>
      </c>
      <c r="AS694" s="26">
        <f t="shared" ca="1" si="97"/>
        <v>0.38723993419848235</v>
      </c>
      <c r="AT694" s="29">
        <f t="shared" ca="1" si="130"/>
        <v>201</v>
      </c>
      <c r="AV694" s="22">
        <v>45239</v>
      </c>
      <c r="AW694" s="26">
        <f t="shared" ca="1" si="98"/>
        <v>0.40794337811548786</v>
      </c>
      <c r="AX694" s="29">
        <f t="shared" ca="1" si="131"/>
        <v>180</v>
      </c>
      <c r="AZ694" s="22">
        <v>45239</v>
      </c>
      <c r="BA694" s="26">
        <f t="shared" ca="1" si="99"/>
        <v>0.86943661102055181</v>
      </c>
      <c r="BB694" s="29">
        <f t="shared" ca="1" si="132"/>
        <v>234</v>
      </c>
      <c r="BC694"/>
      <c r="BD694" s="25"/>
      <c r="BF694" s="22">
        <v>45239</v>
      </c>
      <c r="BG694" s="26">
        <f t="shared" ca="1" si="100"/>
        <v>0.61217264551116102</v>
      </c>
      <c r="BH694" s="29">
        <v>0</v>
      </c>
      <c r="BJ694" s="22">
        <v>45239</v>
      </c>
      <c r="BK694" s="26">
        <f t="shared" ca="1" si="101"/>
        <v>0.26176347959070656</v>
      </c>
      <c r="BL694" s="29">
        <v>0</v>
      </c>
      <c r="BN694" s="22">
        <v>45239</v>
      </c>
      <c r="BO694" s="26">
        <f t="shared" ca="1" si="102"/>
        <v>0.28004420730812152</v>
      </c>
      <c r="BP694" s="29">
        <v>0</v>
      </c>
      <c r="BR694" s="22">
        <v>45239</v>
      </c>
      <c r="BS694" s="26">
        <f t="shared" ca="1" si="103"/>
        <v>0.66932595798116734</v>
      </c>
      <c r="BT694" s="29">
        <v>0</v>
      </c>
      <c r="BV694" s="22">
        <v>45239</v>
      </c>
      <c r="BW694" s="26">
        <f t="shared" ca="1" si="104"/>
        <v>0.41104650667044551</v>
      </c>
      <c r="BX694" s="29">
        <v>0</v>
      </c>
    </row>
    <row r="695" spans="2:76" ht="12.75" x14ac:dyDescent="0.2">
      <c r="B695" s="22">
        <v>45240</v>
      </c>
      <c r="C695" s="26">
        <f t="shared" ca="1" si="119"/>
        <v>0.52028860164527224</v>
      </c>
      <c r="D695" s="29">
        <f t="shared" ca="1" si="118"/>
        <v>77</v>
      </c>
      <c r="F695" s="22"/>
      <c r="G695" s="26">
        <f t="shared" ca="1" si="88"/>
        <v>0.37856500618009448</v>
      </c>
      <c r="H695" s="29">
        <f t="shared" ca="1" si="121"/>
        <v>211</v>
      </c>
      <c r="J695" s="22">
        <v>45240</v>
      </c>
      <c r="K695" s="26">
        <f t="shared" ca="1" si="89"/>
        <v>1.6998693579569402E-2</v>
      </c>
      <c r="L695" s="29">
        <f t="shared" ca="1" si="122"/>
        <v>129</v>
      </c>
      <c r="N695" s="22">
        <v>45240</v>
      </c>
      <c r="O695" s="26">
        <f t="shared" ca="1" si="90"/>
        <v>0.45399071444732253</v>
      </c>
      <c r="P695" s="29">
        <f t="shared" ca="1" si="123"/>
        <v>228</v>
      </c>
      <c r="R695" s="22">
        <v>45240</v>
      </c>
      <c r="S695" s="26">
        <f t="shared" ca="1" si="91"/>
        <v>0.95092068802422558</v>
      </c>
      <c r="T695" s="29">
        <f t="shared" ca="1" si="124"/>
        <v>155</v>
      </c>
      <c r="V695" s="22">
        <v>45240</v>
      </c>
      <c r="W695" s="26">
        <f t="shared" ca="1" si="92"/>
        <v>0.53378926649358216</v>
      </c>
      <c r="X695" s="29">
        <f t="shared" ca="1" si="125"/>
        <v>227</v>
      </c>
      <c r="Z695" s="22">
        <v>45240</v>
      </c>
      <c r="AA695" s="26">
        <f t="shared" ca="1" si="93"/>
        <v>0.6185940598028109</v>
      </c>
      <c r="AB695" s="29">
        <f t="shared" ca="1" si="126"/>
        <v>276</v>
      </c>
      <c r="AC695"/>
      <c r="AD695" s="25"/>
      <c r="AF695" s="22">
        <v>45240</v>
      </c>
      <c r="AG695" s="26">
        <f t="shared" ca="1" si="94"/>
        <v>0.96955561812195268</v>
      </c>
      <c r="AH695" s="29">
        <f t="shared" ca="1" si="127"/>
        <v>491</v>
      </c>
      <c r="AJ695" s="22">
        <v>45240</v>
      </c>
      <c r="AK695" s="26">
        <f t="shared" ca="1" si="95"/>
        <v>0.84516688879634838</v>
      </c>
      <c r="AL695" s="29">
        <f t="shared" ca="1" si="128"/>
        <v>229</v>
      </c>
      <c r="AN695" s="22">
        <v>45240</v>
      </c>
      <c r="AO695" s="26">
        <f t="shared" ca="1" si="96"/>
        <v>0.13393304942413475</v>
      </c>
      <c r="AP695" s="29">
        <f t="shared" ca="1" si="129"/>
        <v>104</v>
      </c>
      <c r="AR695" s="22">
        <v>45240</v>
      </c>
      <c r="AS695" s="26">
        <f t="shared" ca="1" si="97"/>
        <v>0.60504821780792661</v>
      </c>
      <c r="AT695" s="29">
        <f t="shared" ca="1" si="130"/>
        <v>233</v>
      </c>
      <c r="AV695" s="22">
        <v>45240</v>
      </c>
      <c r="AW695" s="26">
        <f t="shared" ca="1" si="98"/>
        <v>1.0145312787303906E-2</v>
      </c>
      <c r="AX695" s="29">
        <f t="shared" ca="1" si="131"/>
        <v>74</v>
      </c>
      <c r="AZ695" s="22">
        <v>45240</v>
      </c>
      <c r="BA695" s="26">
        <f t="shared" ca="1" si="99"/>
        <v>0.88318230665118969</v>
      </c>
      <c r="BB695" s="29">
        <f t="shared" ca="1" si="132"/>
        <v>237</v>
      </c>
      <c r="BC695"/>
      <c r="BD695" s="25"/>
      <c r="BF695" s="22">
        <v>45240</v>
      </c>
      <c r="BG695" s="26">
        <f t="shared" ca="1" si="100"/>
        <v>5.3943144897028006E-2</v>
      </c>
      <c r="BH695" s="29">
        <v>0</v>
      </c>
      <c r="BJ695" s="22">
        <v>45240</v>
      </c>
      <c r="BK695" s="26">
        <f t="shared" ca="1" si="101"/>
        <v>0.66851912997349772</v>
      </c>
      <c r="BL695" s="29">
        <v>0</v>
      </c>
      <c r="BN695" s="22">
        <v>45240</v>
      </c>
      <c r="BO695" s="26">
        <f t="shared" ca="1" si="102"/>
        <v>0.11693801712901586</v>
      </c>
      <c r="BP695" s="29">
        <v>0</v>
      </c>
      <c r="BR695" s="22">
        <v>45240</v>
      </c>
      <c r="BS695" s="26">
        <f t="shared" ca="1" si="103"/>
        <v>0.47852182244659169</v>
      </c>
      <c r="BT695" s="29">
        <v>0</v>
      </c>
      <c r="BV695" s="22">
        <v>45240</v>
      </c>
      <c r="BW695" s="26">
        <f t="shared" ca="1" si="104"/>
        <v>0.90534101265203337</v>
      </c>
      <c r="BX695" s="29">
        <v>0</v>
      </c>
    </row>
    <row r="696" spans="2:76" ht="12.75" x14ac:dyDescent="0.2">
      <c r="B696" s="22">
        <v>45241</v>
      </c>
      <c r="C696" s="26">
        <f t="shared" ca="1" si="119"/>
        <v>0.19156101928455627</v>
      </c>
      <c r="D696" s="29">
        <f t="shared" ca="1" si="118"/>
        <v>58</v>
      </c>
      <c r="F696" s="22"/>
      <c r="G696" s="26">
        <f t="shared" ca="1" si="88"/>
        <v>0.93476746349139594</v>
      </c>
      <c r="H696" s="29">
        <f t="shared" ca="1" si="121"/>
        <v>238</v>
      </c>
      <c r="J696" s="22">
        <v>45241</v>
      </c>
      <c r="K696" s="26">
        <f t="shared" ca="1" si="89"/>
        <v>0.16163395390343327</v>
      </c>
      <c r="L696" s="29">
        <f t="shared" ca="1" si="122"/>
        <v>141</v>
      </c>
      <c r="N696" s="22">
        <v>45241</v>
      </c>
      <c r="O696" s="26">
        <f t="shared" ca="1" si="90"/>
        <v>0.6981944451958616</v>
      </c>
      <c r="P696" s="29">
        <f t="shared" ca="1" si="123"/>
        <v>238</v>
      </c>
      <c r="R696" s="22">
        <v>45241</v>
      </c>
      <c r="S696" s="26">
        <f t="shared" ca="1" si="91"/>
        <v>0.35036258254390973</v>
      </c>
      <c r="T696" s="29">
        <f t="shared" ca="1" si="124"/>
        <v>136</v>
      </c>
      <c r="V696" s="22">
        <v>45241</v>
      </c>
      <c r="W696" s="26">
        <f t="shared" ca="1" si="92"/>
        <v>0.52745605082584712</v>
      </c>
      <c r="X696" s="29">
        <f t="shared" ca="1" si="125"/>
        <v>227</v>
      </c>
      <c r="Z696" s="22">
        <v>45241</v>
      </c>
      <c r="AA696" s="26">
        <f t="shared" ca="1" si="93"/>
        <v>0.40930943385554519</v>
      </c>
      <c r="AB696" s="29">
        <f t="shared" ca="1" si="126"/>
        <v>266</v>
      </c>
      <c r="AC696"/>
      <c r="AD696" s="25"/>
      <c r="AF696" s="22">
        <v>45241</v>
      </c>
      <c r="AG696" s="26">
        <f t="shared" ca="1" si="94"/>
        <v>0.13109698948784876</v>
      </c>
      <c r="AH696" s="29">
        <f t="shared" ca="1" si="127"/>
        <v>230</v>
      </c>
      <c r="AJ696" s="22">
        <v>45241</v>
      </c>
      <c r="AK696" s="26">
        <f t="shared" ca="1" si="95"/>
        <v>0.22786846311981646</v>
      </c>
      <c r="AL696" s="29">
        <f t="shared" ca="1" si="128"/>
        <v>145</v>
      </c>
      <c r="AN696" s="22">
        <v>45241</v>
      </c>
      <c r="AO696" s="26">
        <f t="shared" ca="1" si="96"/>
        <v>0.13485076603234247</v>
      </c>
      <c r="AP696" s="29">
        <f t="shared" ca="1" si="129"/>
        <v>104</v>
      </c>
      <c r="AR696" s="22">
        <v>45241</v>
      </c>
      <c r="AS696" s="26">
        <f t="shared" ca="1" si="97"/>
        <v>0.79985316885822433</v>
      </c>
      <c r="AT696" s="29">
        <f t="shared" ca="1" si="130"/>
        <v>266</v>
      </c>
      <c r="AV696" s="22">
        <v>45241</v>
      </c>
      <c r="AW696" s="26">
        <f t="shared" ca="1" si="98"/>
        <v>0.94109674843064162</v>
      </c>
      <c r="AX696" s="29">
        <f t="shared" ca="1" si="131"/>
        <v>272</v>
      </c>
      <c r="AZ696" s="22">
        <v>45241</v>
      </c>
      <c r="BA696" s="26">
        <f t="shared" ca="1" si="99"/>
        <v>0.18028417847305023</v>
      </c>
      <c r="BB696" s="29">
        <f t="shared" ca="1" si="132"/>
        <v>137</v>
      </c>
      <c r="BC696"/>
      <c r="BD696" s="25"/>
      <c r="BF696" s="22">
        <v>45241</v>
      </c>
      <c r="BG696" s="26">
        <f t="shared" ca="1" si="100"/>
        <v>0.13707702772703978</v>
      </c>
      <c r="BH696" s="29">
        <v>0</v>
      </c>
      <c r="BJ696" s="22">
        <v>45241</v>
      </c>
      <c r="BK696" s="26">
        <f t="shared" ca="1" si="101"/>
        <v>0.41207605583200424</v>
      </c>
      <c r="BL696" s="29">
        <v>0</v>
      </c>
      <c r="BN696" s="22">
        <v>45241</v>
      </c>
      <c r="BO696" s="26">
        <f t="shared" ca="1" si="102"/>
        <v>0.63583031491631903</v>
      </c>
      <c r="BP696" s="29">
        <v>0</v>
      </c>
      <c r="BR696" s="22">
        <v>45241</v>
      </c>
      <c r="BS696" s="26">
        <f t="shared" ca="1" si="103"/>
        <v>0.62588842576734549</v>
      </c>
      <c r="BT696" s="29">
        <v>0</v>
      </c>
      <c r="BV696" s="22">
        <v>45241</v>
      </c>
      <c r="BW696" s="26">
        <f t="shared" ca="1" si="104"/>
        <v>0.9299738244527378</v>
      </c>
      <c r="BX696" s="29">
        <v>0</v>
      </c>
    </row>
    <row r="697" spans="2:76" ht="12.75" x14ac:dyDescent="0.2">
      <c r="B697" s="22">
        <v>45242</v>
      </c>
      <c r="C697" s="26">
        <f t="shared" ca="1" si="119"/>
        <v>0.29144207526227583</v>
      </c>
      <c r="D697" s="29">
        <f t="shared" ca="1" si="118"/>
        <v>65</v>
      </c>
      <c r="F697" s="22"/>
      <c r="G697" s="26">
        <f t="shared" ca="1" si="88"/>
        <v>0.94582166686233571</v>
      </c>
      <c r="H697" s="29">
        <f t="shared" ca="1" si="121"/>
        <v>239</v>
      </c>
      <c r="J697" s="22">
        <v>45242</v>
      </c>
      <c r="K697" s="26">
        <f t="shared" ca="1" si="89"/>
        <v>0.79056232533413295</v>
      </c>
      <c r="L697" s="29">
        <f t="shared" ca="1" si="122"/>
        <v>159</v>
      </c>
      <c r="N697" s="22">
        <v>45242</v>
      </c>
      <c r="O697" s="26">
        <f t="shared" ca="1" si="90"/>
        <v>9.5107252380672302E-2</v>
      </c>
      <c r="P697" s="29">
        <f t="shared" ca="1" si="123"/>
        <v>210</v>
      </c>
      <c r="R697" s="22">
        <v>45242</v>
      </c>
      <c r="S697" s="26">
        <f t="shared" ca="1" si="91"/>
        <v>0.11118237349495563</v>
      </c>
      <c r="T697" s="29">
        <f t="shared" ca="1" si="124"/>
        <v>128</v>
      </c>
      <c r="V697" s="22">
        <v>45242</v>
      </c>
      <c r="W697" s="26">
        <f t="shared" ca="1" si="92"/>
        <v>0.64030887258849412</v>
      </c>
      <c r="X697" s="29">
        <f t="shared" ca="1" si="125"/>
        <v>231</v>
      </c>
      <c r="Z697" s="22">
        <v>45242</v>
      </c>
      <c r="AA697" s="26">
        <f t="shared" ca="1" si="93"/>
        <v>0.48786731189289656</v>
      </c>
      <c r="AB697" s="29">
        <f t="shared" ca="1" si="126"/>
        <v>270</v>
      </c>
      <c r="AC697"/>
      <c r="AD697" s="25"/>
      <c r="AF697" s="22">
        <v>45242</v>
      </c>
      <c r="AG697" s="26">
        <f t="shared" ca="1" si="94"/>
        <v>0.64094290271535292</v>
      </c>
      <c r="AH697" s="29">
        <f t="shared" ca="1" si="127"/>
        <v>359</v>
      </c>
      <c r="AJ697" s="22">
        <v>45242</v>
      </c>
      <c r="AK697" s="26">
        <f t="shared" ca="1" si="95"/>
        <v>0.32399214744396942</v>
      </c>
      <c r="AL697" s="29">
        <f t="shared" ca="1" si="128"/>
        <v>158</v>
      </c>
      <c r="AN697" s="22">
        <v>45242</v>
      </c>
      <c r="AO697" s="26">
        <f t="shared" ca="1" si="96"/>
        <v>0.46479020487074785</v>
      </c>
      <c r="AP697" s="29">
        <f t="shared" ca="1" si="129"/>
        <v>144</v>
      </c>
      <c r="AR697" s="22">
        <v>45242</v>
      </c>
      <c r="AS697" s="26">
        <f t="shared" ca="1" si="97"/>
        <v>0.7343097599881655</v>
      </c>
      <c r="AT697" s="29">
        <f t="shared" ca="1" si="130"/>
        <v>253</v>
      </c>
      <c r="AV697" s="22">
        <v>45242</v>
      </c>
      <c r="AW697" s="26">
        <f t="shared" ca="1" si="98"/>
        <v>0.42252652389486489</v>
      </c>
      <c r="AX697" s="29">
        <f t="shared" ca="1" si="131"/>
        <v>182</v>
      </c>
      <c r="AZ697" s="22">
        <v>45242</v>
      </c>
      <c r="BA697" s="26">
        <f t="shared" ca="1" si="99"/>
        <v>0.10578193982074147</v>
      </c>
      <c r="BB697" s="29">
        <f t="shared" ca="1" si="132"/>
        <v>120</v>
      </c>
      <c r="BC697"/>
      <c r="BD697" s="25"/>
      <c r="BF697" s="22">
        <v>45242</v>
      </c>
      <c r="BG697" s="26">
        <f t="shared" ca="1" si="100"/>
        <v>0.82860433227402963</v>
      </c>
      <c r="BH697" s="29">
        <v>0</v>
      </c>
      <c r="BJ697" s="22">
        <v>45242</v>
      </c>
      <c r="BK697" s="26">
        <f t="shared" ca="1" si="101"/>
        <v>0.48700532663274421</v>
      </c>
      <c r="BL697" s="29">
        <v>0</v>
      </c>
      <c r="BN697" s="22">
        <v>45242</v>
      </c>
      <c r="BO697" s="26">
        <f t="shared" ca="1" si="102"/>
        <v>0.3397174209025613</v>
      </c>
      <c r="BP697" s="29">
        <v>0</v>
      </c>
      <c r="BR697" s="22">
        <v>45242</v>
      </c>
      <c r="BS697" s="26">
        <f t="shared" ca="1" si="103"/>
        <v>0.51072121789449554</v>
      </c>
      <c r="BT697" s="29">
        <v>0</v>
      </c>
      <c r="BV697" s="22">
        <v>45242</v>
      </c>
      <c r="BW697" s="26">
        <f t="shared" ca="1" si="104"/>
        <v>0.88957031367122619</v>
      </c>
      <c r="BX697" s="29">
        <v>0</v>
      </c>
    </row>
    <row r="698" spans="2:76" ht="12.75" x14ac:dyDescent="0.2">
      <c r="B698" s="22">
        <v>45243</v>
      </c>
      <c r="C698" s="26">
        <f t="shared" ca="1" si="119"/>
        <v>0.82676386738975116</v>
      </c>
      <c r="D698" s="29">
        <f t="shared" ca="1" si="118"/>
        <v>94</v>
      </c>
      <c r="F698" s="22"/>
      <c r="G698" s="26">
        <f t="shared" ca="1" si="88"/>
        <v>0.28645966066379336</v>
      </c>
      <c r="H698" s="29">
        <f t="shared" ca="1" si="121"/>
        <v>208</v>
      </c>
      <c r="J698" s="22">
        <v>45243</v>
      </c>
      <c r="K698" s="26">
        <f t="shared" ca="1" si="89"/>
        <v>0.69662787589041308</v>
      </c>
      <c r="L698" s="29">
        <f t="shared" ca="1" si="122"/>
        <v>156</v>
      </c>
      <c r="N698" s="22">
        <v>45243</v>
      </c>
      <c r="O698" s="26">
        <f t="shared" ca="1" si="90"/>
        <v>0.15208395970988509</v>
      </c>
      <c r="P698" s="29">
        <f t="shared" ca="1" si="123"/>
        <v>214</v>
      </c>
      <c r="R698" s="22">
        <v>45243</v>
      </c>
      <c r="S698" s="26">
        <f t="shared" ca="1" si="91"/>
        <v>0.40425634344484651</v>
      </c>
      <c r="T698" s="29">
        <f t="shared" ca="1" si="124"/>
        <v>137</v>
      </c>
      <c r="V698" s="22">
        <v>45243</v>
      </c>
      <c r="W698" s="26">
        <f t="shared" ca="1" si="92"/>
        <v>0.90839438588267452</v>
      </c>
      <c r="X698" s="29">
        <f t="shared" ca="1" si="125"/>
        <v>245</v>
      </c>
      <c r="Z698" s="22">
        <v>45243</v>
      </c>
      <c r="AA698" s="26">
        <f t="shared" ca="1" si="93"/>
        <v>0.67559691743637895</v>
      </c>
      <c r="AB698" s="29">
        <f t="shared" ca="1" si="126"/>
        <v>279</v>
      </c>
      <c r="AC698"/>
      <c r="AD698" s="25"/>
      <c r="AF698" s="22">
        <v>45243</v>
      </c>
      <c r="AG698" s="26">
        <f t="shared" ca="1" si="94"/>
        <v>0.29772700717805456</v>
      </c>
      <c r="AH698" s="29">
        <f t="shared" ca="1" si="127"/>
        <v>281</v>
      </c>
      <c r="AJ698" s="22">
        <v>45243</v>
      </c>
      <c r="AK698" s="26">
        <f t="shared" ca="1" si="95"/>
        <v>0.28766210717711682</v>
      </c>
      <c r="AL698" s="29">
        <f t="shared" ca="1" si="128"/>
        <v>153</v>
      </c>
      <c r="AN698" s="22">
        <v>45243</v>
      </c>
      <c r="AO698" s="26">
        <f t="shared" ca="1" si="96"/>
        <v>9.4311533215174159E-2</v>
      </c>
      <c r="AP698" s="29">
        <f t="shared" ca="1" si="129"/>
        <v>96</v>
      </c>
      <c r="AR698" s="22">
        <v>45243</v>
      </c>
      <c r="AS698" s="26">
        <f t="shared" ca="1" si="97"/>
        <v>0.64766751092094899</v>
      </c>
      <c r="AT698" s="29">
        <f t="shared" ca="1" si="130"/>
        <v>239</v>
      </c>
      <c r="AV698" s="22">
        <v>45243</v>
      </c>
      <c r="AW698" s="26">
        <f t="shared" ca="1" si="98"/>
        <v>0.25731463854193692</v>
      </c>
      <c r="AX698" s="29">
        <f t="shared" ca="1" si="131"/>
        <v>159</v>
      </c>
      <c r="AZ698" s="22">
        <v>45243</v>
      </c>
      <c r="BA698" s="26">
        <f t="shared" ca="1" si="99"/>
        <v>0.99857054731202322</v>
      </c>
      <c r="BB698" s="29">
        <f t="shared" ca="1" si="132"/>
        <v>323</v>
      </c>
      <c r="BC698"/>
      <c r="BD698" s="25"/>
      <c r="BF698" s="22">
        <v>45243</v>
      </c>
      <c r="BG698" s="26">
        <f t="shared" ca="1" si="100"/>
        <v>0.5318224821893659</v>
      </c>
      <c r="BH698" s="29">
        <v>0</v>
      </c>
      <c r="BJ698" s="22">
        <v>45243</v>
      </c>
      <c r="BK698" s="26">
        <f t="shared" ca="1" si="101"/>
        <v>9.6335319669807795E-2</v>
      </c>
      <c r="BL698" s="29">
        <v>0</v>
      </c>
      <c r="BN698" s="22">
        <v>45243</v>
      </c>
      <c r="BO698" s="26">
        <f t="shared" ca="1" si="102"/>
        <v>0.99851481410540899</v>
      </c>
      <c r="BP698" s="29">
        <v>0</v>
      </c>
      <c r="BR698" s="22">
        <v>45243</v>
      </c>
      <c r="BS698" s="26">
        <f t="shared" ca="1" si="103"/>
        <v>0.97529882202617391</v>
      </c>
      <c r="BT698" s="29">
        <v>0</v>
      </c>
      <c r="BV698" s="22">
        <v>45243</v>
      </c>
      <c r="BW698" s="26">
        <f t="shared" ca="1" si="104"/>
        <v>0.55399102548148338</v>
      </c>
      <c r="BX698" s="29">
        <v>0</v>
      </c>
    </row>
    <row r="699" spans="2:76" ht="12.75" x14ac:dyDescent="0.2">
      <c r="B699" s="22">
        <v>45244</v>
      </c>
      <c r="C699" s="26">
        <f t="shared" ca="1" si="119"/>
        <v>0.10994661456983301</v>
      </c>
      <c r="D699" s="29">
        <f t="shared" ca="1" si="118"/>
        <v>51</v>
      </c>
      <c r="F699" s="22"/>
      <c r="G699" s="26">
        <f t="shared" ca="1" si="88"/>
        <v>0.37881089684764702</v>
      </c>
      <c r="H699" s="29">
        <f t="shared" ca="1" si="121"/>
        <v>211</v>
      </c>
      <c r="J699" s="22">
        <v>45244</v>
      </c>
      <c r="K699" s="26">
        <f t="shared" ca="1" si="89"/>
        <v>0.63007002234254139</v>
      </c>
      <c r="L699" s="29">
        <f t="shared" ca="1" si="122"/>
        <v>154</v>
      </c>
      <c r="N699" s="22">
        <v>45244</v>
      </c>
      <c r="O699" s="26">
        <f t="shared" ca="1" si="90"/>
        <v>0.3663067310250222</v>
      </c>
      <c r="P699" s="29">
        <f t="shared" ca="1" si="123"/>
        <v>225</v>
      </c>
      <c r="R699" s="22">
        <v>45244</v>
      </c>
      <c r="S699" s="26">
        <f t="shared" ca="1" si="91"/>
        <v>0.18742527103290429</v>
      </c>
      <c r="T699" s="29">
        <f t="shared" ca="1" si="124"/>
        <v>131</v>
      </c>
      <c r="V699" s="22">
        <v>45244</v>
      </c>
      <c r="W699" s="26">
        <f t="shared" ca="1" si="92"/>
        <v>0.10751976686838471</v>
      </c>
      <c r="X699" s="29">
        <f t="shared" ca="1" si="125"/>
        <v>207</v>
      </c>
      <c r="Z699" s="22">
        <v>45244</v>
      </c>
      <c r="AA699" s="26">
        <f t="shared" ca="1" si="93"/>
        <v>0.12519934335808625</v>
      </c>
      <c r="AB699" s="29">
        <f t="shared" ca="1" si="126"/>
        <v>250</v>
      </c>
      <c r="AC699"/>
      <c r="AD699" s="25"/>
      <c r="AF699" s="22">
        <v>45244</v>
      </c>
      <c r="AG699" s="26">
        <f t="shared" ca="1" si="94"/>
        <v>0.6715186458770307</v>
      </c>
      <c r="AH699" s="29">
        <f t="shared" ca="1" si="127"/>
        <v>366</v>
      </c>
      <c r="AJ699" s="22">
        <v>45244</v>
      </c>
      <c r="AK699" s="26">
        <f t="shared" ca="1" si="95"/>
        <v>0.44868437573118625</v>
      </c>
      <c r="AL699" s="29">
        <f t="shared" ca="1" si="128"/>
        <v>174</v>
      </c>
      <c r="AN699" s="22">
        <v>45244</v>
      </c>
      <c r="AO699" s="26">
        <f t="shared" ca="1" si="96"/>
        <v>0.72021568181026285</v>
      </c>
      <c r="AP699" s="29">
        <f t="shared" ca="1" si="129"/>
        <v>171</v>
      </c>
      <c r="AR699" s="22">
        <v>45244</v>
      </c>
      <c r="AS699" s="26">
        <f t="shared" ca="1" si="97"/>
        <v>0.88872705823927978</v>
      </c>
      <c r="AT699" s="29">
        <f t="shared" ca="1" si="130"/>
        <v>288</v>
      </c>
      <c r="AV699" s="22">
        <v>45244</v>
      </c>
      <c r="AW699" s="26">
        <f t="shared" ca="1" si="98"/>
        <v>0.6052981573091134</v>
      </c>
      <c r="AX699" s="29">
        <f t="shared" ca="1" si="131"/>
        <v>206</v>
      </c>
      <c r="AZ699" s="22">
        <v>45244</v>
      </c>
      <c r="BA699" s="26">
        <f t="shared" ca="1" si="99"/>
        <v>0.34368353436148769</v>
      </c>
      <c r="BB699" s="29">
        <f t="shared" ca="1" si="132"/>
        <v>161</v>
      </c>
      <c r="BC699"/>
      <c r="BD699" s="25"/>
      <c r="BF699" s="22">
        <v>45244</v>
      </c>
      <c r="BG699" s="26">
        <f t="shared" ca="1" si="100"/>
        <v>7.8990398215665447E-2</v>
      </c>
      <c r="BH699" s="29">
        <v>0</v>
      </c>
      <c r="BJ699" s="22">
        <v>45244</v>
      </c>
      <c r="BK699" s="26">
        <f t="shared" ca="1" si="101"/>
        <v>0.55545470979324141</v>
      </c>
      <c r="BL699" s="29">
        <v>0</v>
      </c>
      <c r="BN699" s="22">
        <v>45244</v>
      </c>
      <c r="BO699" s="26">
        <f t="shared" ca="1" si="102"/>
        <v>8.2633867968928021E-2</v>
      </c>
      <c r="BP699" s="29">
        <v>0</v>
      </c>
      <c r="BR699" s="22">
        <v>45244</v>
      </c>
      <c r="BS699" s="26">
        <f t="shared" ca="1" si="103"/>
        <v>0.92913348396951234</v>
      </c>
      <c r="BT699" s="29">
        <v>0</v>
      </c>
      <c r="BV699" s="22">
        <v>45244</v>
      </c>
      <c r="BW699" s="26">
        <f t="shared" ca="1" si="104"/>
        <v>0.36753870238855291</v>
      </c>
      <c r="BX699" s="29">
        <v>0</v>
      </c>
    </row>
    <row r="700" spans="2:76" ht="12.75" x14ac:dyDescent="0.2">
      <c r="B700" s="22">
        <v>45245</v>
      </c>
      <c r="C700" s="26">
        <f t="shared" ca="1" si="119"/>
        <v>0.81246116364280208</v>
      </c>
      <c r="D700" s="29">
        <f t="shared" ca="1" si="118"/>
        <v>93</v>
      </c>
      <c r="F700" s="22"/>
      <c r="G700" s="26">
        <f t="shared" ca="1" si="88"/>
        <v>0.74461178558128016</v>
      </c>
      <c r="H700" s="29">
        <f t="shared" ca="1" si="121"/>
        <v>225</v>
      </c>
      <c r="J700" s="22">
        <v>45245</v>
      </c>
      <c r="K700" s="26">
        <f t="shared" ca="1" si="89"/>
        <v>0.8824369918691316</v>
      </c>
      <c r="L700" s="29">
        <f t="shared" ca="1" si="122"/>
        <v>162</v>
      </c>
      <c r="N700" s="22">
        <v>45245</v>
      </c>
      <c r="O700" s="26">
        <f t="shared" ca="1" si="90"/>
        <v>0.53342227354715899</v>
      </c>
      <c r="P700" s="29">
        <f t="shared" ca="1" si="123"/>
        <v>231</v>
      </c>
      <c r="R700" s="22">
        <v>45245</v>
      </c>
      <c r="S700" s="26">
        <f t="shared" ca="1" si="91"/>
        <v>0.14146378238401214</v>
      </c>
      <c r="T700" s="29">
        <f t="shared" ca="1" si="124"/>
        <v>129</v>
      </c>
      <c r="V700" s="22">
        <v>45245</v>
      </c>
      <c r="W700" s="26">
        <f t="shared" ca="1" si="92"/>
        <v>5.1277411379938354E-2</v>
      </c>
      <c r="X700" s="29">
        <f t="shared" ca="1" si="125"/>
        <v>201</v>
      </c>
      <c r="Z700" s="22">
        <v>45245</v>
      </c>
      <c r="AA700" s="26">
        <f t="shared" ca="1" si="93"/>
        <v>4.7362061721055726E-3</v>
      </c>
      <c r="AB700" s="29">
        <f t="shared" ca="1" si="126"/>
        <v>224</v>
      </c>
      <c r="AC700"/>
      <c r="AD700" s="25"/>
      <c r="AF700" s="22">
        <v>45245</v>
      </c>
      <c r="AG700" s="26">
        <f t="shared" ca="1" si="94"/>
        <v>0.63282151606528514</v>
      </c>
      <c r="AH700" s="29">
        <f t="shared" ca="1" si="127"/>
        <v>357</v>
      </c>
      <c r="AJ700" s="22">
        <v>45245</v>
      </c>
      <c r="AK700" s="26">
        <f t="shared" ca="1" si="95"/>
        <v>0.60029564051005835</v>
      </c>
      <c r="AL700" s="29">
        <f t="shared" ca="1" si="128"/>
        <v>193</v>
      </c>
      <c r="AN700" s="22">
        <v>45245</v>
      </c>
      <c r="AO700" s="26">
        <f t="shared" ca="1" si="96"/>
        <v>0.43801034273706896</v>
      </c>
      <c r="AP700" s="29">
        <f t="shared" ca="1" si="129"/>
        <v>142</v>
      </c>
      <c r="AR700" s="22">
        <v>45245</v>
      </c>
      <c r="AS700" s="26">
        <f t="shared" ca="1" si="97"/>
        <v>0.23934238010341913</v>
      </c>
      <c r="AT700" s="29">
        <f t="shared" ca="1" si="130"/>
        <v>176</v>
      </c>
      <c r="AV700" s="22">
        <v>45245</v>
      </c>
      <c r="AW700" s="26">
        <f t="shared" ca="1" si="98"/>
        <v>0.70991682050688076</v>
      </c>
      <c r="AX700" s="29">
        <f t="shared" ca="1" si="131"/>
        <v>220</v>
      </c>
      <c r="AZ700" s="22">
        <v>45245</v>
      </c>
      <c r="BA700" s="26">
        <f t="shared" ca="1" si="99"/>
        <v>0.52746164588106281</v>
      </c>
      <c r="BB700" s="29">
        <f t="shared" ca="1" si="132"/>
        <v>184</v>
      </c>
      <c r="BC700"/>
      <c r="BD700" s="25"/>
      <c r="BF700" s="22">
        <v>45245</v>
      </c>
      <c r="BG700" s="26">
        <f t="shared" ca="1" si="100"/>
        <v>0.38854664181708698</v>
      </c>
      <c r="BH700" s="29">
        <v>0</v>
      </c>
      <c r="BJ700" s="22">
        <v>45245</v>
      </c>
      <c r="BK700" s="26">
        <f t="shared" ca="1" si="101"/>
        <v>0.22882220343001991</v>
      </c>
      <c r="BL700" s="29">
        <v>0</v>
      </c>
      <c r="BN700" s="22">
        <v>45245</v>
      </c>
      <c r="BO700" s="26">
        <f t="shared" ca="1" si="102"/>
        <v>9.6547100606463321E-3</v>
      </c>
      <c r="BP700" s="29">
        <v>0</v>
      </c>
      <c r="BR700" s="22">
        <v>45245</v>
      </c>
      <c r="BS700" s="26">
        <f t="shared" ca="1" si="103"/>
        <v>0.69845294742697761</v>
      </c>
      <c r="BT700" s="29">
        <v>0</v>
      </c>
      <c r="BV700" s="22">
        <v>45245</v>
      </c>
      <c r="BW700" s="26">
        <f t="shared" ca="1" si="104"/>
        <v>0.80870922422098723</v>
      </c>
      <c r="BX700" s="29">
        <v>0</v>
      </c>
    </row>
    <row r="701" spans="2:76" ht="12.75" x14ac:dyDescent="0.2">
      <c r="B701" s="22">
        <v>45246</v>
      </c>
      <c r="C701" s="26">
        <f t="shared" ca="1" si="119"/>
        <v>0.9210388599947632</v>
      </c>
      <c r="D701" s="29">
        <f t="shared" ca="1" si="118"/>
        <v>104</v>
      </c>
      <c r="F701" s="22"/>
      <c r="G701" s="26">
        <f t="shared" ca="1" si="88"/>
        <v>0.17228555243101074</v>
      </c>
      <c r="H701" s="29">
        <f t="shared" ca="1" si="121"/>
        <v>202</v>
      </c>
      <c r="J701" s="22">
        <v>45246</v>
      </c>
      <c r="K701" s="26">
        <f t="shared" ca="1" si="89"/>
        <v>0.50803826175495415</v>
      </c>
      <c r="L701" s="29">
        <f t="shared" ca="1" si="122"/>
        <v>151</v>
      </c>
      <c r="N701" s="22">
        <v>45246</v>
      </c>
      <c r="O701" s="26">
        <f t="shared" ca="1" si="90"/>
        <v>5.8711253760010296E-2</v>
      </c>
      <c r="P701" s="29">
        <f t="shared" ca="1" si="123"/>
        <v>206</v>
      </c>
      <c r="R701" s="22">
        <v>45246</v>
      </c>
      <c r="S701" s="26">
        <f t="shared" ca="1" si="91"/>
        <v>0.46004367977957972</v>
      </c>
      <c r="T701" s="29">
        <f t="shared" ca="1" si="124"/>
        <v>138</v>
      </c>
      <c r="V701" s="22">
        <v>45246</v>
      </c>
      <c r="W701" s="26">
        <f t="shared" ca="1" si="92"/>
        <v>0.74889429963042198</v>
      </c>
      <c r="X701" s="29">
        <f t="shared" ca="1" si="125"/>
        <v>236</v>
      </c>
      <c r="Z701" s="22">
        <v>45246</v>
      </c>
      <c r="AA701" s="26">
        <f t="shared" ca="1" si="93"/>
        <v>0.90988431690910576</v>
      </c>
      <c r="AB701" s="29">
        <f t="shared" ca="1" si="126"/>
        <v>295</v>
      </c>
      <c r="AC701"/>
      <c r="AD701" s="25"/>
      <c r="AF701" s="22">
        <v>45246</v>
      </c>
      <c r="AG701" s="26">
        <f t="shared" ca="1" si="94"/>
        <v>0.67176238363564045</v>
      </c>
      <c r="AH701" s="29">
        <f t="shared" ca="1" si="127"/>
        <v>366</v>
      </c>
      <c r="AJ701" s="22">
        <v>45246</v>
      </c>
      <c r="AK701" s="26">
        <f t="shared" ca="1" si="95"/>
        <v>0.79959019916710006</v>
      </c>
      <c r="AL701" s="29">
        <f t="shared" ca="1" si="128"/>
        <v>221</v>
      </c>
      <c r="AN701" s="22">
        <v>45246</v>
      </c>
      <c r="AO701" s="26">
        <f t="shared" ca="1" si="96"/>
        <v>0.65245880665127909</v>
      </c>
      <c r="AP701" s="29">
        <f t="shared" ca="1" si="129"/>
        <v>163</v>
      </c>
      <c r="AR701" s="22">
        <v>45246</v>
      </c>
      <c r="AS701" s="26">
        <f t="shared" ca="1" si="97"/>
        <v>0.15875863190491246</v>
      </c>
      <c r="AT701" s="29">
        <f t="shared" ca="1" si="130"/>
        <v>159</v>
      </c>
      <c r="AV701" s="22">
        <v>45246</v>
      </c>
      <c r="AW701" s="26">
        <f t="shared" ca="1" si="98"/>
        <v>0.59761672548883771</v>
      </c>
      <c r="AX701" s="29">
        <f t="shared" ca="1" si="131"/>
        <v>205</v>
      </c>
      <c r="AZ701" s="22">
        <v>45246</v>
      </c>
      <c r="BA701" s="26">
        <f t="shared" ca="1" si="99"/>
        <v>0.77049998977054868</v>
      </c>
      <c r="BB701" s="29">
        <f t="shared" ca="1" si="132"/>
        <v>216</v>
      </c>
      <c r="BC701"/>
      <c r="BD701" s="25"/>
      <c r="BF701" s="22">
        <v>45246</v>
      </c>
      <c r="BG701" s="26">
        <f t="shared" ca="1" si="100"/>
        <v>0.16544609991725889</v>
      </c>
      <c r="BH701" s="29">
        <v>0</v>
      </c>
      <c r="BJ701" s="22">
        <v>45246</v>
      </c>
      <c r="BK701" s="26">
        <f t="shared" ca="1" si="101"/>
        <v>0.94572910462483495</v>
      </c>
      <c r="BL701" s="29">
        <v>0</v>
      </c>
      <c r="BN701" s="22">
        <v>45246</v>
      </c>
      <c r="BO701" s="26">
        <f t="shared" ca="1" si="102"/>
        <v>0.97614868251317499</v>
      </c>
      <c r="BP701" s="29">
        <v>0</v>
      </c>
      <c r="BR701" s="22">
        <v>45246</v>
      </c>
      <c r="BS701" s="26">
        <f t="shared" ca="1" si="103"/>
        <v>0.43553425782340072</v>
      </c>
      <c r="BT701" s="29">
        <v>0</v>
      </c>
      <c r="BV701" s="22">
        <v>45246</v>
      </c>
      <c r="BW701" s="26">
        <f t="shared" ca="1" si="104"/>
        <v>0.96906843666350317</v>
      </c>
      <c r="BX701" s="29">
        <v>0</v>
      </c>
    </row>
    <row r="702" spans="2:76" ht="12.75" x14ac:dyDescent="0.2">
      <c r="B702" s="22">
        <v>45247</v>
      </c>
      <c r="C702" s="26">
        <f t="shared" ca="1" si="119"/>
        <v>0.30120770485821036</v>
      </c>
      <c r="D702" s="29">
        <f t="shared" ca="1" si="118"/>
        <v>65</v>
      </c>
      <c r="F702" s="22"/>
      <c r="G702" s="26">
        <f t="shared" ca="1" si="88"/>
        <v>0.31088935829618736</v>
      </c>
      <c r="H702" s="29">
        <f t="shared" ca="1" si="121"/>
        <v>209</v>
      </c>
      <c r="J702" s="22">
        <v>45247</v>
      </c>
      <c r="K702" s="26">
        <f t="shared" ca="1" si="89"/>
        <v>0.38744525578514455</v>
      </c>
      <c r="L702" s="29">
        <f t="shared" ca="1" si="122"/>
        <v>148</v>
      </c>
      <c r="N702" s="22">
        <v>45247</v>
      </c>
      <c r="O702" s="26">
        <f t="shared" ca="1" si="90"/>
        <v>0.23203406510418134</v>
      </c>
      <c r="P702" s="29">
        <f t="shared" ca="1" si="123"/>
        <v>219</v>
      </c>
      <c r="R702" s="22">
        <v>45247</v>
      </c>
      <c r="S702" s="26">
        <f t="shared" ca="1" si="91"/>
        <v>0.44059218093760355</v>
      </c>
      <c r="T702" s="29">
        <f t="shared" ca="1" si="124"/>
        <v>138</v>
      </c>
      <c r="V702" s="22">
        <v>45247</v>
      </c>
      <c r="W702" s="26">
        <f t="shared" ca="1" si="92"/>
        <v>0.54660104650337793</v>
      </c>
      <c r="X702" s="29">
        <f t="shared" ca="1" si="125"/>
        <v>227</v>
      </c>
      <c r="Z702" s="22">
        <v>45247</v>
      </c>
      <c r="AA702" s="26">
        <f t="shared" ca="1" si="93"/>
        <v>0.51402516114992147</v>
      </c>
      <c r="AB702" s="29">
        <f t="shared" ca="1" si="126"/>
        <v>271</v>
      </c>
      <c r="AC702"/>
      <c r="AD702" s="25"/>
      <c r="AF702" s="22">
        <v>45247</v>
      </c>
      <c r="AG702" s="26">
        <f t="shared" ca="1" si="94"/>
        <v>0.15889417675057538</v>
      </c>
      <c r="AH702" s="29">
        <f t="shared" ca="1" si="127"/>
        <v>240</v>
      </c>
      <c r="AJ702" s="22">
        <v>45247</v>
      </c>
      <c r="AK702" s="26">
        <f t="shared" ca="1" si="95"/>
        <v>0.616689853610773</v>
      </c>
      <c r="AL702" s="29">
        <f t="shared" ca="1" si="128"/>
        <v>195</v>
      </c>
      <c r="AN702" s="22">
        <v>45247</v>
      </c>
      <c r="AO702" s="26">
        <f t="shared" ca="1" si="96"/>
        <v>0.57150806880788996</v>
      </c>
      <c r="AP702" s="29">
        <f t="shared" ca="1" si="129"/>
        <v>155</v>
      </c>
      <c r="AR702" s="22">
        <v>45247</v>
      </c>
      <c r="AS702" s="26">
        <f t="shared" ca="1" si="97"/>
        <v>0.8221408464032619</v>
      </c>
      <c r="AT702" s="29">
        <f t="shared" ca="1" si="130"/>
        <v>271</v>
      </c>
      <c r="AV702" s="22">
        <v>45247</v>
      </c>
      <c r="AW702" s="26">
        <f t="shared" ca="1" si="98"/>
        <v>0.45545734762122569</v>
      </c>
      <c r="AX702" s="29">
        <f t="shared" ca="1" si="131"/>
        <v>186</v>
      </c>
      <c r="AZ702" s="22">
        <v>45247</v>
      </c>
      <c r="BA702" s="26">
        <f t="shared" ca="1" si="99"/>
        <v>0.54807641461960721</v>
      </c>
      <c r="BB702" s="29">
        <f t="shared" ca="1" si="132"/>
        <v>186</v>
      </c>
      <c r="BC702"/>
      <c r="BD702" s="25"/>
      <c r="BF702" s="22">
        <v>45247</v>
      </c>
      <c r="BG702" s="26">
        <f t="shared" ca="1" si="100"/>
        <v>0.60723613448572877</v>
      </c>
      <c r="BH702" s="29">
        <v>0</v>
      </c>
      <c r="BJ702" s="22">
        <v>45247</v>
      </c>
      <c r="BK702" s="26">
        <f t="shared" ca="1" si="101"/>
        <v>0.58974606820317854</v>
      </c>
      <c r="BL702" s="29">
        <v>0</v>
      </c>
      <c r="BN702" s="22">
        <v>45247</v>
      </c>
      <c r="BO702" s="26">
        <f t="shared" ca="1" si="102"/>
        <v>0.55589721728234087</v>
      </c>
      <c r="BP702" s="29">
        <v>0</v>
      </c>
      <c r="BR702" s="22">
        <v>45247</v>
      </c>
      <c r="BS702" s="26">
        <f t="shared" ca="1" si="103"/>
        <v>0.89257085624577626</v>
      </c>
      <c r="BT702" s="29">
        <v>0</v>
      </c>
      <c r="BV702" s="22">
        <v>45247</v>
      </c>
      <c r="BW702" s="26">
        <f t="shared" ca="1" si="104"/>
        <v>0.15015231370080828</v>
      </c>
      <c r="BX702" s="29">
        <v>0</v>
      </c>
    </row>
    <row r="703" spans="2:76" ht="12.75" x14ac:dyDescent="0.2">
      <c r="B703" s="22">
        <v>45248</v>
      </c>
      <c r="C703" s="26">
        <f t="shared" ca="1" si="119"/>
        <v>0.6870928657767168</v>
      </c>
      <c r="D703" s="29">
        <f t="shared" ca="1" si="118"/>
        <v>85</v>
      </c>
      <c r="F703" s="22"/>
      <c r="G703" s="26">
        <f t="shared" ca="1" si="88"/>
        <v>0.57822995457591708</v>
      </c>
      <c r="H703" s="29">
        <f t="shared" ca="1" si="121"/>
        <v>219</v>
      </c>
      <c r="J703" s="22">
        <v>45248</v>
      </c>
      <c r="K703" s="26">
        <f t="shared" ca="1" si="89"/>
        <v>0.93044247861718365</v>
      </c>
      <c r="L703" s="29">
        <f t="shared" ca="1" si="122"/>
        <v>165</v>
      </c>
      <c r="N703" s="22">
        <v>45248</v>
      </c>
      <c r="O703" s="26">
        <f t="shared" ca="1" si="90"/>
        <v>0.58153858992832796</v>
      </c>
      <c r="P703" s="29">
        <f t="shared" ca="1" si="123"/>
        <v>233</v>
      </c>
      <c r="R703" s="22">
        <v>45248</v>
      </c>
      <c r="S703" s="26">
        <f t="shared" ca="1" si="91"/>
        <v>0.83792728575750908</v>
      </c>
      <c r="T703" s="29">
        <f t="shared" ca="1" si="124"/>
        <v>148</v>
      </c>
      <c r="V703" s="22">
        <v>45248</v>
      </c>
      <c r="W703" s="26">
        <f t="shared" ca="1" si="92"/>
        <v>0.4461019652914896</v>
      </c>
      <c r="X703" s="29">
        <f t="shared" ca="1" si="125"/>
        <v>223</v>
      </c>
      <c r="Z703" s="22">
        <v>45248</v>
      </c>
      <c r="AA703" s="26">
        <f t="shared" ca="1" si="93"/>
        <v>0.61387470840165859</v>
      </c>
      <c r="AB703" s="29">
        <f t="shared" ca="1" si="126"/>
        <v>276</v>
      </c>
      <c r="AC703"/>
      <c r="AD703" s="25"/>
      <c r="AF703" s="22">
        <v>45248</v>
      </c>
      <c r="AG703" s="26">
        <f t="shared" ca="1" si="94"/>
        <v>0.59653891834688566</v>
      </c>
      <c r="AH703" s="29">
        <f t="shared" ca="1" si="127"/>
        <v>349</v>
      </c>
      <c r="AJ703" s="22">
        <v>45248</v>
      </c>
      <c r="AK703" s="26">
        <f t="shared" ca="1" si="95"/>
        <v>0.70854636797600501</v>
      </c>
      <c r="AL703" s="29">
        <f t="shared" ca="1" si="128"/>
        <v>207</v>
      </c>
      <c r="AN703" s="22">
        <v>45248</v>
      </c>
      <c r="AO703" s="26">
        <f t="shared" ca="1" si="96"/>
        <v>0.82837816745133441</v>
      </c>
      <c r="AP703" s="29">
        <f t="shared" ca="1" si="129"/>
        <v>185</v>
      </c>
      <c r="AR703" s="22">
        <v>45248</v>
      </c>
      <c r="AS703" s="26">
        <f t="shared" ca="1" si="97"/>
        <v>9.2420474283781751E-2</v>
      </c>
      <c r="AT703" s="29">
        <f t="shared" ca="1" si="130"/>
        <v>141</v>
      </c>
      <c r="AV703" s="22">
        <v>45248</v>
      </c>
      <c r="AW703" s="26">
        <f t="shared" ca="1" si="98"/>
        <v>0.40119498499641437</v>
      </c>
      <c r="AX703" s="29">
        <f t="shared" ca="1" si="131"/>
        <v>179</v>
      </c>
      <c r="AZ703" s="22">
        <v>45248</v>
      </c>
      <c r="BA703" s="26">
        <f t="shared" ca="1" si="99"/>
        <v>0.68943413776306772</v>
      </c>
      <c r="BB703" s="29">
        <f t="shared" ca="1" si="132"/>
        <v>204</v>
      </c>
      <c r="BC703"/>
      <c r="BD703" s="25"/>
      <c r="BF703" s="22">
        <v>45248</v>
      </c>
      <c r="BG703" s="26">
        <f t="shared" ca="1" si="100"/>
        <v>0.42929723230202899</v>
      </c>
      <c r="BH703" s="29">
        <v>0</v>
      </c>
      <c r="BJ703" s="22">
        <v>45248</v>
      </c>
      <c r="BK703" s="26">
        <f t="shared" ca="1" si="101"/>
        <v>0.45985359089904654</v>
      </c>
      <c r="BL703" s="29">
        <v>0</v>
      </c>
      <c r="BN703" s="22">
        <v>45248</v>
      </c>
      <c r="BO703" s="26">
        <f t="shared" ca="1" si="102"/>
        <v>0.76302312194040567</v>
      </c>
      <c r="BP703" s="29">
        <v>0</v>
      </c>
      <c r="BR703" s="22">
        <v>45248</v>
      </c>
      <c r="BS703" s="26">
        <f t="shared" ca="1" si="103"/>
        <v>0.77223052271526349</v>
      </c>
      <c r="BT703" s="29">
        <v>0</v>
      </c>
      <c r="BV703" s="22">
        <v>45248</v>
      </c>
      <c r="BW703" s="26">
        <f t="shared" ca="1" si="104"/>
        <v>0.39682063130030676</v>
      </c>
      <c r="BX703" s="29">
        <v>0</v>
      </c>
    </row>
    <row r="704" spans="2:76" ht="12.75" x14ac:dyDescent="0.2">
      <c r="B704" s="22">
        <v>45249</v>
      </c>
      <c r="C704" s="26">
        <f t="shared" ca="1" si="119"/>
        <v>0.3363525057084612</v>
      </c>
      <c r="D704" s="29">
        <f t="shared" ca="1" si="118"/>
        <v>67</v>
      </c>
      <c r="F704" s="22"/>
      <c r="G704" s="26">
        <f t="shared" ca="1" si="88"/>
        <v>0.10096336905624081</v>
      </c>
      <c r="H704" s="29">
        <f t="shared" ca="1" si="121"/>
        <v>198</v>
      </c>
      <c r="J704" s="22">
        <v>45249</v>
      </c>
      <c r="K704" s="26">
        <f t="shared" ca="1" si="89"/>
        <v>0.64631401472890482</v>
      </c>
      <c r="L704" s="29">
        <f t="shared" ca="1" si="122"/>
        <v>154</v>
      </c>
      <c r="N704" s="22">
        <v>45249</v>
      </c>
      <c r="O704" s="26">
        <f t="shared" ca="1" si="90"/>
        <v>0.62456658486746852</v>
      </c>
      <c r="P704" s="29">
        <f t="shared" ca="1" si="123"/>
        <v>235</v>
      </c>
      <c r="R704" s="22">
        <v>45249</v>
      </c>
      <c r="S704" s="26">
        <f t="shared" ca="1" si="91"/>
        <v>0.64489140879993045</v>
      </c>
      <c r="T704" s="29">
        <f t="shared" ca="1" si="124"/>
        <v>143</v>
      </c>
      <c r="V704" s="22">
        <v>45249</v>
      </c>
      <c r="W704" s="26">
        <f t="shared" ca="1" si="92"/>
        <v>0.60527457559921982</v>
      </c>
      <c r="X704" s="29">
        <f t="shared" ca="1" si="125"/>
        <v>230</v>
      </c>
      <c r="Z704" s="22">
        <v>45249</v>
      </c>
      <c r="AA704" s="26">
        <f t="shared" ca="1" si="93"/>
        <v>0.12204684362795082</v>
      </c>
      <c r="AB704" s="29">
        <f t="shared" ca="1" si="126"/>
        <v>250</v>
      </c>
      <c r="AC704"/>
      <c r="AD704" s="25"/>
      <c r="AF704" s="22">
        <v>45249</v>
      </c>
      <c r="AG704" s="26">
        <f t="shared" ca="1" si="94"/>
        <v>0.73874606957415545</v>
      </c>
      <c r="AH704" s="29">
        <f t="shared" ca="1" si="127"/>
        <v>383</v>
      </c>
      <c r="AJ704" s="22">
        <v>45249</v>
      </c>
      <c r="AK704" s="26">
        <f t="shared" ca="1" si="95"/>
        <v>0.92371801792297525</v>
      </c>
      <c r="AL704" s="29">
        <f t="shared" ca="1" si="128"/>
        <v>249</v>
      </c>
      <c r="AN704" s="22">
        <v>45249</v>
      </c>
      <c r="AO704" s="26">
        <f t="shared" ca="1" si="96"/>
        <v>0.53116908913843408</v>
      </c>
      <c r="AP704" s="29">
        <f t="shared" ca="1" si="129"/>
        <v>151</v>
      </c>
      <c r="AR704" s="22">
        <v>45249</v>
      </c>
      <c r="AS704" s="26">
        <f t="shared" ca="1" si="97"/>
        <v>0.95875110062685265</v>
      </c>
      <c r="AT704" s="29">
        <f t="shared" ca="1" si="130"/>
        <v>318</v>
      </c>
      <c r="AV704" s="22">
        <v>45249</v>
      </c>
      <c r="AW704" s="26">
        <f t="shared" ca="1" si="98"/>
        <v>0.12990767792873747</v>
      </c>
      <c r="AX704" s="29">
        <f t="shared" ca="1" si="131"/>
        <v>135</v>
      </c>
      <c r="AZ704" s="22">
        <v>45249</v>
      </c>
      <c r="BA704" s="26">
        <f t="shared" ca="1" si="99"/>
        <v>0.81300614880783695</v>
      </c>
      <c r="BB704" s="29">
        <f t="shared" ca="1" si="132"/>
        <v>223</v>
      </c>
      <c r="BC704"/>
      <c r="BD704" s="25"/>
      <c r="BF704" s="22">
        <v>45249</v>
      </c>
      <c r="BG704" s="26">
        <f t="shared" ca="1" si="100"/>
        <v>0.96194517691064996</v>
      </c>
      <c r="BH704" s="29">
        <v>0</v>
      </c>
      <c r="BJ704" s="22">
        <v>45249</v>
      </c>
      <c r="BK704" s="26">
        <f t="shared" ca="1" si="101"/>
        <v>9.4687634213815097E-2</v>
      </c>
      <c r="BL704" s="29">
        <v>0</v>
      </c>
      <c r="BN704" s="22">
        <v>45249</v>
      </c>
      <c r="BO704" s="26">
        <f t="shared" ca="1" si="102"/>
        <v>8.3172291704617929E-2</v>
      </c>
      <c r="BP704" s="29">
        <v>0</v>
      </c>
      <c r="BR704" s="22">
        <v>45249</v>
      </c>
      <c r="BS704" s="26">
        <f t="shared" ca="1" si="103"/>
        <v>0.55813054694869979</v>
      </c>
      <c r="BT704" s="29">
        <v>0</v>
      </c>
      <c r="BV704" s="22">
        <v>45249</v>
      </c>
      <c r="BW704" s="26">
        <f t="shared" ca="1" si="104"/>
        <v>0.19381483080854023</v>
      </c>
      <c r="BX704" s="29">
        <v>0</v>
      </c>
    </row>
    <row r="705" spans="2:77" ht="12.75" x14ac:dyDescent="0.2">
      <c r="B705" s="22">
        <v>45250</v>
      </c>
      <c r="C705" s="26">
        <f t="shared" ca="1" si="119"/>
        <v>0.77931907902824793</v>
      </c>
      <c r="D705" s="29">
        <f t="shared" ca="1" si="118"/>
        <v>91</v>
      </c>
      <c r="F705" s="22"/>
      <c r="G705" s="26">
        <f t="shared" ca="1" si="88"/>
        <v>0.83986751602715581</v>
      </c>
      <c r="H705" s="29">
        <f t="shared" ca="1" si="121"/>
        <v>230</v>
      </c>
      <c r="J705" s="22">
        <v>45250</v>
      </c>
      <c r="K705" s="26">
        <f t="shared" ca="1" si="89"/>
        <v>0.43415172109664624</v>
      </c>
      <c r="L705" s="29">
        <f t="shared" ca="1" si="122"/>
        <v>149</v>
      </c>
      <c r="N705" s="22">
        <v>45250</v>
      </c>
      <c r="O705" s="26">
        <f t="shared" ca="1" si="90"/>
        <v>0.71120160617054984</v>
      </c>
      <c r="P705" s="29">
        <f t="shared" ca="1" si="123"/>
        <v>238</v>
      </c>
      <c r="R705" s="22">
        <v>45250</v>
      </c>
      <c r="S705" s="26">
        <f t="shared" ca="1" si="91"/>
        <v>0.8929992303690506</v>
      </c>
      <c r="T705" s="29">
        <f t="shared" ca="1" si="124"/>
        <v>151</v>
      </c>
      <c r="V705" s="22">
        <v>45250</v>
      </c>
      <c r="W705" s="26">
        <f t="shared" ca="1" si="92"/>
        <v>4.3688401987325931E-2</v>
      </c>
      <c r="X705" s="29">
        <f t="shared" ca="1" si="125"/>
        <v>200</v>
      </c>
      <c r="Z705" s="22">
        <v>45250</v>
      </c>
      <c r="AA705" s="26">
        <f t="shared" ca="1" si="93"/>
        <v>0.18597487738477081</v>
      </c>
      <c r="AB705" s="29">
        <f t="shared" ca="1" si="126"/>
        <v>254</v>
      </c>
      <c r="AC705"/>
      <c r="AD705" s="25"/>
      <c r="AF705" s="22">
        <v>45250</v>
      </c>
      <c r="AG705" s="26">
        <f t="shared" ca="1" si="94"/>
        <v>0.27824041722289683</v>
      </c>
      <c r="AH705" s="29">
        <f t="shared" ca="1" si="127"/>
        <v>276</v>
      </c>
      <c r="AJ705" s="22">
        <v>45250</v>
      </c>
      <c r="AK705" s="26">
        <f t="shared" ca="1" si="95"/>
        <v>0.37561283589757744</v>
      </c>
      <c r="AL705" s="29">
        <f t="shared" ca="1" si="128"/>
        <v>165</v>
      </c>
      <c r="AN705" s="22">
        <v>45250</v>
      </c>
      <c r="AO705" s="26">
        <f t="shared" ca="1" si="96"/>
        <v>0.77935819512430748</v>
      </c>
      <c r="AP705" s="29">
        <f t="shared" ca="1" si="129"/>
        <v>178</v>
      </c>
      <c r="AR705" s="22">
        <v>45250</v>
      </c>
      <c r="AS705" s="26">
        <f t="shared" ca="1" si="97"/>
        <v>0.1594454938172668</v>
      </c>
      <c r="AT705" s="29">
        <f t="shared" ca="1" si="130"/>
        <v>160</v>
      </c>
      <c r="AV705" s="22">
        <v>45250</v>
      </c>
      <c r="AW705" s="26">
        <f t="shared" ca="1" si="98"/>
        <v>2.8988025601614398E-2</v>
      </c>
      <c r="AX705" s="29">
        <f t="shared" ca="1" si="131"/>
        <v>95</v>
      </c>
      <c r="AZ705" s="22">
        <v>45250</v>
      </c>
      <c r="BA705" s="26">
        <f t="shared" ca="1" si="99"/>
        <v>0.92637226056998456</v>
      </c>
      <c r="BB705" s="29">
        <f t="shared" ca="1" si="132"/>
        <v>250</v>
      </c>
      <c r="BC705"/>
      <c r="BD705" s="25"/>
      <c r="BF705" s="22">
        <v>45250</v>
      </c>
      <c r="BG705" s="26">
        <f t="shared" ca="1" si="100"/>
        <v>0.19683129988399195</v>
      </c>
      <c r="BH705" s="29">
        <v>0</v>
      </c>
      <c r="BJ705" s="22">
        <v>45250</v>
      </c>
      <c r="BK705" s="26">
        <f t="shared" ca="1" si="101"/>
        <v>0.63153244712225742</v>
      </c>
      <c r="BL705" s="29">
        <v>0</v>
      </c>
      <c r="BN705" s="22">
        <v>45250</v>
      </c>
      <c r="BO705" s="26">
        <f t="shared" ca="1" si="102"/>
        <v>3.526500829319601E-3</v>
      </c>
      <c r="BP705" s="29">
        <v>0</v>
      </c>
      <c r="BR705" s="22">
        <v>45250</v>
      </c>
      <c r="BS705" s="26">
        <f t="shared" ca="1" si="103"/>
        <v>6.0631160441519949E-2</v>
      </c>
      <c r="BT705" s="29">
        <v>0</v>
      </c>
      <c r="BV705" s="22">
        <v>45250</v>
      </c>
      <c r="BW705" s="26">
        <f t="shared" ca="1" si="104"/>
        <v>0.65004744017920613</v>
      </c>
      <c r="BX705" s="29">
        <v>0</v>
      </c>
    </row>
    <row r="706" spans="2:77" ht="12.75" x14ac:dyDescent="0.2">
      <c r="B706" s="22">
        <v>45251</v>
      </c>
      <c r="C706" s="26">
        <f t="shared" ca="1" si="119"/>
        <v>0.43538104636088992</v>
      </c>
      <c r="D706" s="29">
        <f t="shared" ca="1" si="118"/>
        <v>72</v>
      </c>
      <c r="F706" s="22"/>
      <c r="G706" s="26">
        <f t="shared" ca="1" si="88"/>
        <v>0.69520160658593755</v>
      </c>
      <c r="H706" s="29">
        <f t="shared" ca="1" si="121"/>
        <v>223</v>
      </c>
      <c r="J706" s="22">
        <v>45251</v>
      </c>
      <c r="K706" s="26">
        <f t="shared" ca="1" si="89"/>
        <v>0.51578708136096429</v>
      </c>
      <c r="L706" s="29">
        <f t="shared" ca="1" si="122"/>
        <v>151</v>
      </c>
      <c r="N706" s="22">
        <v>45251</v>
      </c>
      <c r="O706" s="26">
        <f t="shared" ca="1" si="90"/>
        <v>0.92539548776778724</v>
      </c>
      <c r="P706" s="29">
        <f t="shared" ca="1" si="123"/>
        <v>252</v>
      </c>
      <c r="R706" s="22">
        <v>45251</v>
      </c>
      <c r="S706" s="26">
        <f t="shared" ca="1" si="91"/>
        <v>0.58315710597120507</v>
      </c>
      <c r="T706" s="29">
        <f t="shared" ca="1" si="124"/>
        <v>141</v>
      </c>
      <c r="V706" s="22">
        <v>45251</v>
      </c>
      <c r="W706" s="26">
        <f t="shared" ca="1" si="92"/>
        <v>0.26193723787962786</v>
      </c>
      <c r="X706" s="29">
        <f t="shared" ca="1" si="125"/>
        <v>216</v>
      </c>
      <c r="Z706" s="22">
        <v>45251</v>
      </c>
      <c r="AA706" s="26">
        <f t="shared" ca="1" si="93"/>
        <v>0.15653650156774235</v>
      </c>
      <c r="AB706" s="29">
        <f t="shared" ca="1" si="126"/>
        <v>252</v>
      </c>
      <c r="AC706"/>
      <c r="AD706" s="25"/>
      <c r="AF706" s="22">
        <v>45251</v>
      </c>
      <c r="AG706" s="26">
        <f t="shared" ca="1" si="94"/>
        <v>0.76134161244750398</v>
      </c>
      <c r="AH706" s="29">
        <f t="shared" ca="1" si="127"/>
        <v>389</v>
      </c>
      <c r="AJ706" s="22">
        <v>45251</v>
      </c>
      <c r="AK706" s="26">
        <f t="shared" ca="1" si="95"/>
        <v>0.81411199655312561</v>
      </c>
      <c r="AL706" s="29">
        <f t="shared" ca="1" si="128"/>
        <v>223</v>
      </c>
      <c r="AN706" s="22">
        <v>45251</v>
      </c>
      <c r="AO706" s="26">
        <f t="shared" ca="1" si="96"/>
        <v>0.45833276160264169</v>
      </c>
      <c r="AP706" s="29">
        <f t="shared" ca="1" si="129"/>
        <v>144</v>
      </c>
      <c r="AR706" s="22">
        <v>45251</v>
      </c>
      <c r="AS706" s="26">
        <f t="shared" ca="1" si="97"/>
        <v>0.65052996408606778</v>
      </c>
      <c r="AT706" s="29">
        <f t="shared" ca="1" si="130"/>
        <v>240</v>
      </c>
      <c r="AV706" s="22">
        <v>45251</v>
      </c>
      <c r="AW706" s="26">
        <f t="shared" ca="1" si="98"/>
        <v>0.69922348855660621</v>
      </c>
      <c r="AX706" s="29">
        <f t="shared" ca="1" si="131"/>
        <v>219</v>
      </c>
      <c r="AZ706" s="22">
        <v>45251</v>
      </c>
      <c r="BA706" s="26">
        <f t="shared" ca="1" si="99"/>
        <v>0.71159716390766492</v>
      </c>
      <c r="BB706" s="29">
        <f t="shared" ca="1" si="132"/>
        <v>207</v>
      </c>
      <c r="BC706"/>
      <c r="BD706" s="25"/>
      <c r="BF706" s="22">
        <v>45251</v>
      </c>
      <c r="BG706" s="26">
        <f t="shared" ca="1" si="100"/>
        <v>0.50740213034753245</v>
      </c>
      <c r="BH706" s="29">
        <v>0</v>
      </c>
      <c r="BJ706" s="22">
        <v>45251</v>
      </c>
      <c r="BK706" s="26">
        <f t="shared" ca="1" si="101"/>
        <v>0.60660161700898674</v>
      </c>
      <c r="BL706" s="29">
        <v>0</v>
      </c>
      <c r="BN706" s="22">
        <v>45251</v>
      </c>
      <c r="BO706" s="26">
        <f t="shared" ca="1" si="102"/>
        <v>0.1640806473422195</v>
      </c>
      <c r="BP706" s="29">
        <v>0</v>
      </c>
      <c r="BR706" s="22">
        <v>45251</v>
      </c>
      <c r="BS706" s="26">
        <f t="shared" ca="1" si="103"/>
        <v>0.58172044154553049</v>
      </c>
      <c r="BT706" s="29">
        <v>0</v>
      </c>
      <c r="BV706" s="22">
        <v>45251</v>
      </c>
      <c r="BW706" s="26">
        <f t="shared" ca="1" si="104"/>
        <v>0.61697450342638072</v>
      </c>
      <c r="BX706" s="29">
        <v>0</v>
      </c>
    </row>
    <row r="707" spans="2:77" ht="12.75" x14ac:dyDescent="0.2">
      <c r="B707" s="22">
        <v>45252</v>
      </c>
      <c r="C707" s="26">
        <f t="shared" ca="1" si="119"/>
        <v>0.27509970798591599</v>
      </c>
      <c r="D707" s="29">
        <f t="shared" ca="1" si="118"/>
        <v>64</v>
      </c>
      <c r="F707" s="22"/>
      <c r="G707" s="26">
        <f t="shared" ca="1" si="88"/>
        <v>3.0145105297788577E-2</v>
      </c>
      <c r="H707" s="29">
        <f t="shared" ca="1" si="121"/>
        <v>189</v>
      </c>
      <c r="J707" s="22">
        <v>45252</v>
      </c>
      <c r="K707" s="26">
        <f t="shared" ca="1" si="89"/>
        <v>0.90144733152452505</v>
      </c>
      <c r="L707" s="29">
        <f t="shared" ca="1" si="122"/>
        <v>163</v>
      </c>
      <c r="N707" s="22">
        <v>45252</v>
      </c>
      <c r="O707" s="26">
        <f t="shared" ca="1" si="90"/>
        <v>0.33921016717098607</v>
      </c>
      <c r="P707" s="29">
        <f t="shared" ca="1" si="123"/>
        <v>224</v>
      </c>
      <c r="R707" s="22">
        <v>45252</v>
      </c>
      <c r="S707" s="26">
        <f t="shared" ca="1" si="91"/>
        <v>7.9126393845206144E-2</v>
      </c>
      <c r="T707" s="29">
        <f t="shared" ca="1" si="124"/>
        <v>126</v>
      </c>
      <c r="V707" s="22">
        <v>45252</v>
      </c>
      <c r="W707" s="26">
        <f t="shared" ca="1" si="92"/>
        <v>3.7085207566042833E-2</v>
      </c>
      <c r="X707" s="29">
        <f t="shared" ca="1" si="125"/>
        <v>199</v>
      </c>
      <c r="Z707" s="22">
        <v>45252</v>
      </c>
      <c r="AA707" s="26">
        <f t="shared" ca="1" si="93"/>
        <v>0.77403632244386744</v>
      </c>
      <c r="AB707" s="29">
        <f t="shared" ca="1" si="126"/>
        <v>284</v>
      </c>
      <c r="AC707"/>
      <c r="AD707" s="25"/>
      <c r="AF707" s="22">
        <v>45252</v>
      </c>
      <c r="AG707" s="26">
        <f t="shared" ca="1" si="94"/>
        <v>0.29091978376861416</v>
      </c>
      <c r="AH707" s="29">
        <f t="shared" ca="1" si="127"/>
        <v>279</v>
      </c>
      <c r="AJ707" s="22">
        <v>45252</v>
      </c>
      <c r="AK707" s="26">
        <f t="shared" ca="1" si="95"/>
        <v>0.53303320912276186</v>
      </c>
      <c r="AL707" s="29">
        <f t="shared" ca="1" si="128"/>
        <v>184</v>
      </c>
      <c r="AN707" s="22">
        <v>45252</v>
      </c>
      <c r="AO707" s="26">
        <f t="shared" ca="1" si="96"/>
        <v>0.91608654667586431</v>
      </c>
      <c r="AP707" s="29">
        <f t="shared" ca="1" si="129"/>
        <v>202</v>
      </c>
      <c r="AR707" s="22">
        <v>45252</v>
      </c>
      <c r="AS707" s="26">
        <f t="shared" ca="1" si="97"/>
        <v>0.64550978811599236</v>
      </c>
      <c r="AT707" s="29">
        <f t="shared" ca="1" si="130"/>
        <v>239</v>
      </c>
      <c r="AV707" s="22">
        <v>45252</v>
      </c>
      <c r="AW707" s="26">
        <f t="shared" ca="1" si="98"/>
        <v>0.68705036629150407</v>
      </c>
      <c r="AX707" s="29">
        <f t="shared" ca="1" si="131"/>
        <v>217</v>
      </c>
      <c r="AZ707" s="22">
        <v>45252</v>
      </c>
      <c r="BA707" s="26">
        <f t="shared" ca="1" si="99"/>
        <v>0.60238844429860827</v>
      </c>
      <c r="BB707" s="29">
        <f t="shared" ca="1" si="132"/>
        <v>193</v>
      </c>
      <c r="BC707"/>
      <c r="BD707" s="25"/>
      <c r="BF707" s="22">
        <v>45252</v>
      </c>
      <c r="BG707" s="26">
        <f t="shared" ca="1" si="100"/>
        <v>8.6149224791590706E-3</v>
      </c>
      <c r="BH707" s="29">
        <v>0</v>
      </c>
      <c r="BJ707" s="22">
        <v>45252</v>
      </c>
      <c r="BK707" s="26">
        <f t="shared" ca="1" si="101"/>
        <v>0.84588728978026217</v>
      </c>
      <c r="BL707" s="29">
        <v>0</v>
      </c>
      <c r="BN707" s="22">
        <v>45252</v>
      </c>
      <c r="BO707" s="26">
        <f t="shared" ca="1" si="102"/>
        <v>0.36088057135904439</v>
      </c>
      <c r="BP707" s="29">
        <v>0</v>
      </c>
      <c r="BR707" s="22">
        <v>45252</v>
      </c>
      <c r="BS707" s="26">
        <f t="shared" ca="1" si="103"/>
        <v>0.29816042626924955</v>
      </c>
      <c r="BT707" s="29">
        <v>0</v>
      </c>
      <c r="BV707" s="22">
        <v>45252</v>
      </c>
      <c r="BW707" s="26">
        <f t="shared" ca="1" si="104"/>
        <v>0.19910717596987992</v>
      </c>
      <c r="BX707" s="29">
        <v>0</v>
      </c>
    </row>
    <row r="708" spans="2:77" ht="12.75" x14ac:dyDescent="0.2">
      <c r="B708" s="22">
        <v>45253</v>
      </c>
      <c r="C708" s="26">
        <f t="shared" ca="1" si="119"/>
        <v>0.71339470499039959</v>
      </c>
      <c r="D708" s="29">
        <f t="shared" ca="1" si="118"/>
        <v>87</v>
      </c>
      <c r="F708" s="22"/>
      <c r="G708" s="26">
        <f t="shared" ca="1" si="88"/>
        <v>0.26065074590814974</v>
      </c>
      <c r="H708" s="29">
        <f t="shared" ca="1" si="121"/>
        <v>207</v>
      </c>
      <c r="J708" s="22">
        <v>45253</v>
      </c>
      <c r="K708" s="26">
        <f t="shared" ca="1" si="89"/>
        <v>0.77117573106348691</v>
      </c>
      <c r="L708" s="29">
        <f t="shared" ca="1" si="122"/>
        <v>158</v>
      </c>
      <c r="N708" s="22">
        <v>45253</v>
      </c>
      <c r="O708" s="26">
        <f t="shared" ca="1" si="90"/>
        <v>0.92453437899642565</v>
      </c>
      <c r="P708" s="29">
        <f t="shared" ca="1" si="123"/>
        <v>252</v>
      </c>
      <c r="R708" s="22">
        <v>45253</v>
      </c>
      <c r="S708" s="26">
        <f t="shared" ca="1" si="91"/>
        <v>2.9219636797014781E-2</v>
      </c>
      <c r="T708" s="29">
        <f t="shared" ca="1" si="124"/>
        <v>122</v>
      </c>
      <c r="V708" s="22">
        <v>45253</v>
      </c>
      <c r="W708" s="26">
        <f t="shared" ca="1" si="92"/>
        <v>0.12110485003811078</v>
      </c>
      <c r="X708" s="29">
        <f t="shared" ca="1" si="125"/>
        <v>208</v>
      </c>
      <c r="Z708" s="22">
        <v>45253</v>
      </c>
      <c r="AA708" s="26">
        <f t="shared" ca="1" si="93"/>
        <v>0.4896810440745949</v>
      </c>
      <c r="AB708" s="29">
        <f t="shared" ca="1" si="126"/>
        <v>270</v>
      </c>
      <c r="AC708"/>
      <c r="AD708" s="25"/>
      <c r="AF708" s="22">
        <v>45253</v>
      </c>
      <c r="AG708" s="26">
        <f t="shared" ca="1" si="94"/>
        <v>0.34343895332079777</v>
      </c>
      <c r="AH708" s="29">
        <f t="shared" ca="1" si="127"/>
        <v>292</v>
      </c>
      <c r="AJ708" s="22">
        <v>45253</v>
      </c>
      <c r="AK708" s="26">
        <f t="shared" ca="1" si="95"/>
        <v>0.28157611335008215</v>
      </c>
      <c r="AL708" s="29">
        <f t="shared" ca="1" si="128"/>
        <v>153</v>
      </c>
      <c r="AN708" s="22">
        <v>45253</v>
      </c>
      <c r="AO708" s="26">
        <f t="shared" ca="1" si="96"/>
        <v>0.7023647165664807</v>
      </c>
      <c r="AP708" s="29">
        <f t="shared" ca="1" si="129"/>
        <v>168</v>
      </c>
      <c r="AR708" s="22">
        <v>45253</v>
      </c>
      <c r="AS708" s="26">
        <f t="shared" ca="1" si="97"/>
        <v>0.55851223205406109</v>
      </c>
      <c r="AT708" s="29">
        <f t="shared" ca="1" si="130"/>
        <v>226</v>
      </c>
      <c r="AV708" s="22">
        <v>45253</v>
      </c>
      <c r="AW708" s="26">
        <f t="shared" ca="1" si="98"/>
        <v>0.68130328067184864</v>
      </c>
      <c r="AX708" s="29">
        <f t="shared" ca="1" si="131"/>
        <v>216</v>
      </c>
      <c r="AZ708" s="22">
        <v>45253</v>
      </c>
      <c r="BA708" s="26">
        <f t="shared" ca="1" si="99"/>
        <v>0.4967531618337141</v>
      </c>
      <c r="BB708" s="29">
        <f t="shared" ca="1" si="132"/>
        <v>180</v>
      </c>
      <c r="BC708"/>
      <c r="BD708" s="25"/>
      <c r="BF708" s="22">
        <v>45253</v>
      </c>
      <c r="BG708" s="26">
        <f t="shared" ca="1" si="100"/>
        <v>0.78693815867068617</v>
      </c>
      <c r="BH708" s="29">
        <v>0</v>
      </c>
      <c r="BJ708" s="22">
        <v>45253</v>
      </c>
      <c r="BK708" s="26">
        <f t="shared" ca="1" si="101"/>
        <v>0.32950706857970125</v>
      </c>
      <c r="BL708" s="29">
        <v>0</v>
      </c>
      <c r="BN708" s="22">
        <v>45253</v>
      </c>
      <c r="BO708" s="26">
        <f t="shared" ca="1" si="102"/>
        <v>0.18838779039945308</v>
      </c>
      <c r="BP708" s="29">
        <v>0</v>
      </c>
      <c r="BR708" s="22">
        <v>45253</v>
      </c>
      <c r="BS708" s="26">
        <f t="shared" ca="1" si="103"/>
        <v>0.91412197931934269</v>
      </c>
      <c r="BT708" s="29">
        <v>0</v>
      </c>
      <c r="BV708" s="22">
        <v>45253</v>
      </c>
      <c r="BW708" s="26">
        <f t="shared" ca="1" si="104"/>
        <v>0.59954921233889003</v>
      </c>
      <c r="BX708" s="29">
        <v>0</v>
      </c>
    </row>
    <row r="709" spans="2:77" ht="12.75" x14ac:dyDescent="0.2">
      <c r="B709" s="22">
        <v>45254</v>
      </c>
      <c r="C709" s="26">
        <f t="shared" ca="1" si="119"/>
        <v>0.60451409490463059</v>
      </c>
      <c r="D709" s="29">
        <f t="shared" ca="1" si="118"/>
        <v>81</v>
      </c>
      <c r="F709" s="22"/>
      <c r="G709" s="26">
        <f t="shared" ca="1" si="88"/>
        <v>0.57838505034581433</v>
      </c>
      <c r="H709" s="29">
        <f t="shared" ca="1" si="121"/>
        <v>219</v>
      </c>
      <c r="J709" s="22">
        <v>45254</v>
      </c>
      <c r="K709" s="26">
        <f t="shared" ca="1" si="89"/>
        <v>0.75318884871284164</v>
      </c>
      <c r="L709" s="29">
        <f t="shared" ca="1" si="122"/>
        <v>157</v>
      </c>
      <c r="N709" s="22">
        <v>45254</v>
      </c>
      <c r="O709" s="26">
        <f t="shared" ca="1" si="90"/>
        <v>0.37292391351971965</v>
      </c>
      <c r="P709" s="29">
        <f t="shared" ca="1" si="123"/>
        <v>225</v>
      </c>
      <c r="R709" s="22">
        <v>45254</v>
      </c>
      <c r="S709" s="26">
        <f t="shared" ca="1" si="91"/>
        <v>0.96676057540810867</v>
      </c>
      <c r="T709" s="29">
        <f t="shared" ca="1" si="124"/>
        <v>156</v>
      </c>
      <c r="V709" s="22">
        <v>45254</v>
      </c>
      <c r="W709" s="26">
        <f t="shared" ca="1" si="92"/>
        <v>7.0799767472104702E-2</v>
      </c>
      <c r="X709" s="29">
        <f t="shared" ca="1" si="125"/>
        <v>203</v>
      </c>
      <c r="Z709" s="22">
        <v>45254</v>
      </c>
      <c r="AA709" s="26">
        <f t="shared" ca="1" si="93"/>
        <v>0.37616591997872806</v>
      </c>
      <c r="AB709" s="29">
        <f t="shared" ca="1" si="126"/>
        <v>265</v>
      </c>
      <c r="AC709"/>
      <c r="AD709" s="25"/>
      <c r="AF709" s="22">
        <v>45254</v>
      </c>
      <c r="AG709" s="26">
        <f t="shared" ca="1" si="94"/>
        <v>0.85128584951332431</v>
      </c>
      <c r="AH709" s="29">
        <f t="shared" ca="1" si="127"/>
        <v>418</v>
      </c>
      <c r="AJ709" s="22">
        <v>45254</v>
      </c>
      <c r="AK709" s="26">
        <f t="shared" ca="1" si="95"/>
        <v>0.84937300299762319</v>
      </c>
      <c r="AL709" s="29">
        <f t="shared" ca="1" si="128"/>
        <v>230</v>
      </c>
      <c r="AN709" s="22">
        <v>45254</v>
      </c>
      <c r="AO709" s="26">
        <f t="shared" ca="1" si="96"/>
        <v>0.7672361940173581</v>
      </c>
      <c r="AP709" s="29">
        <f t="shared" ca="1" si="129"/>
        <v>176</v>
      </c>
      <c r="AR709" s="22">
        <v>45254</v>
      </c>
      <c r="AS709" s="26">
        <f t="shared" ca="1" si="97"/>
        <v>0.85687117334460183</v>
      </c>
      <c r="AT709" s="29">
        <f t="shared" ca="1" si="130"/>
        <v>279</v>
      </c>
      <c r="AV709" s="22">
        <v>45254</v>
      </c>
      <c r="AW709" s="26">
        <f t="shared" ca="1" si="98"/>
        <v>0.20081766382001598</v>
      </c>
      <c r="AX709" s="29">
        <f t="shared" ca="1" si="131"/>
        <v>149</v>
      </c>
      <c r="AZ709" s="22">
        <v>45254</v>
      </c>
      <c r="BA709" s="26">
        <f t="shared" ca="1" si="99"/>
        <v>0.17504701085358132</v>
      </c>
      <c r="BB709" s="29">
        <f t="shared" ca="1" si="132"/>
        <v>136</v>
      </c>
      <c r="BC709"/>
      <c r="BD709" s="25"/>
      <c r="BF709" s="22">
        <v>45254</v>
      </c>
      <c r="BG709" s="26">
        <f t="shared" ca="1" si="100"/>
        <v>0.65485567990206817</v>
      </c>
      <c r="BH709" s="29">
        <v>0</v>
      </c>
      <c r="BJ709" s="22">
        <v>45254</v>
      </c>
      <c r="BK709" s="26">
        <f t="shared" ca="1" si="101"/>
        <v>0.24107975571110452</v>
      </c>
      <c r="BL709" s="29">
        <v>0</v>
      </c>
      <c r="BN709" s="22">
        <v>45254</v>
      </c>
      <c r="BO709" s="26">
        <f t="shared" ca="1" si="102"/>
        <v>0.6228377253845695</v>
      </c>
      <c r="BP709" s="29">
        <v>0</v>
      </c>
      <c r="BR709" s="22">
        <v>45254</v>
      </c>
      <c r="BS709" s="26">
        <f t="shared" ca="1" si="103"/>
        <v>0.1159359759123183</v>
      </c>
      <c r="BT709" s="29">
        <v>0</v>
      </c>
      <c r="BV709" s="22">
        <v>45254</v>
      </c>
      <c r="BW709" s="26">
        <f t="shared" ca="1" si="104"/>
        <v>0.43875003902835041</v>
      </c>
      <c r="BX709" s="29">
        <v>0</v>
      </c>
    </row>
    <row r="710" spans="2:77" ht="12.75" x14ac:dyDescent="0.2">
      <c r="B710" s="22">
        <v>45255</v>
      </c>
      <c r="C710" s="26">
        <f t="shared" ca="1" si="119"/>
        <v>0.31662885533214202</v>
      </c>
      <c r="D710" s="29">
        <f t="shared" ca="1" si="118"/>
        <v>66</v>
      </c>
      <c r="F710" s="22"/>
      <c r="G710" s="26">
        <f t="shared" ca="1" si="88"/>
        <v>0.87298592491668214</v>
      </c>
      <c r="H710" s="29">
        <f t="shared" ca="1" si="121"/>
        <v>232</v>
      </c>
      <c r="J710" s="22">
        <v>45255</v>
      </c>
      <c r="K710" s="26">
        <f t="shared" ca="1" si="89"/>
        <v>0.48890736026361181</v>
      </c>
      <c r="L710" s="29">
        <f t="shared" ca="1" si="122"/>
        <v>150</v>
      </c>
      <c r="N710" s="22">
        <v>45255</v>
      </c>
      <c r="O710" s="26">
        <f t="shared" ca="1" si="90"/>
        <v>0.50351107445831966</v>
      </c>
      <c r="P710" s="29">
        <f t="shared" ca="1" si="123"/>
        <v>230</v>
      </c>
      <c r="R710" s="22">
        <v>45255</v>
      </c>
      <c r="S710" s="26">
        <f t="shared" ca="1" si="91"/>
        <v>0.72909733556716494</v>
      </c>
      <c r="T710" s="29">
        <f t="shared" ca="1" si="124"/>
        <v>145</v>
      </c>
      <c r="V710" s="22">
        <v>45255</v>
      </c>
      <c r="W710" s="26">
        <f t="shared" ca="1" si="92"/>
        <v>0.41741174203562093</v>
      </c>
      <c r="X710" s="29">
        <f t="shared" ca="1" si="125"/>
        <v>222</v>
      </c>
      <c r="Z710" s="22">
        <v>45255</v>
      </c>
      <c r="AA710" s="26">
        <f t="shared" ca="1" si="93"/>
        <v>7.4409933444531284E-2</v>
      </c>
      <c r="AB710" s="29">
        <f t="shared" ca="1" si="126"/>
        <v>245</v>
      </c>
      <c r="AC710"/>
      <c r="AD710" s="25"/>
      <c r="AF710" s="22">
        <v>45255</v>
      </c>
      <c r="AG710" s="26">
        <f t="shared" ca="1" si="94"/>
        <v>0.57291366850757441</v>
      </c>
      <c r="AH710" s="29">
        <f t="shared" ca="1" si="127"/>
        <v>344</v>
      </c>
      <c r="AJ710" s="22">
        <v>45255</v>
      </c>
      <c r="AK710" s="26">
        <f t="shared" ca="1" si="95"/>
        <v>0.20618168175437179</v>
      </c>
      <c r="AL710" s="29">
        <f t="shared" ca="1" si="128"/>
        <v>141</v>
      </c>
      <c r="AN710" s="22">
        <v>45255</v>
      </c>
      <c r="AO710" s="26">
        <f t="shared" ca="1" si="96"/>
        <v>0.26524655958048859</v>
      </c>
      <c r="AP710" s="29">
        <f t="shared" ca="1" si="129"/>
        <v>123</v>
      </c>
      <c r="AR710" s="22">
        <v>45255</v>
      </c>
      <c r="AS710" s="26">
        <f t="shared" ca="1" si="97"/>
        <v>0.51356415315395987</v>
      </c>
      <c r="AT710" s="29">
        <f t="shared" ca="1" si="130"/>
        <v>219</v>
      </c>
      <c r="AV710" s="22">
        <v>45255</v>
      </c>
      <c r="AW710" s="26">
        <f t="shared" ca="1" si="98"/>
        <v>0.13991079446851618</v>
      </c>
      <c r="AX710" s="29">
        <f t="shared" ca="1" si="131"/>
        <v>137</v>
      </c>
      <c r="AZ710" s="22">
        <v>45255</v>
      </c>
      <c r="BA710" s="26">
        <f t="shared" ca="1" si="99"/>
        <v>0.13170478312593392</v>
      </c>
      <c r="BB710" s="29">
        <f t="shared" ca="1" si="132"/>
        <v>127</v>
      </c>
      <c r="BC710"/>
      <c r="BD710" s="25"/>
      <c r="BF710" s="22">
        <v>45255</v>
      </c>
      <c r="BG710" s="26">
        <f t="shared" ca="1" si="100"/>
        <v>0.4128441197213325</v>
      </c>
      <c r="BH710" s="29">
        <v>0</v>
      </c>
      <c r="BJ710" s="22">
        <v>45255</v>
      </c>
      <c r="BK710" s="26">
        <f t="shared" ca="1" si="101"/>
        <v>0.76105065088394064</v>
      </c>
      <c r="BL710" s="29">
        <v>0</v>
      </c>
      <c r="BN710" s="22">
        <v>45255</v>
      </c>
      <c r="BO710" s="26">
        <f t="shared" ca="1" si="102"/>
        <v>0.38030383083444419</v>
      </c>
      <c r="BP710" s="29">
        <v>0</v>
      </c>
      <c r="BR710" s="22">
        <v>45255</v>
      </c>
      <c r="BS710" s="26">
        <f t="shared" ca="1" si="103"/>
        <v>0.51176521092562999</v>
      </c>
      <c r="BT710" s="29">
        <v>0</v>
      </c>
      <c r="BV710" s="22">
        <v>45255</v>
      </c>
      <c r="BW710" s="26">
        <f t="shared" ca="1" si="104"/>
        <v>0.44903184575054056</v>
      </c>
      <c r="BX710" s="29">
        <v>0</v>
      </c>
    </row>
    <row r="711" spans="2:77" ht="12.75" x14ac:dyDescent="0.2">
      <c r="B711" s="22">
        <v>45256</v>
      </c>
      <c r="C711" s="26">
        <f t="shared" ca="1" si="119"/>
        <v>0.54986466755337482</v>
      </c>
      <c r="D711" s="29">
        <f t="shared" ca="1" si="118"/>
        <v>78</v>
      </c>
      <c r="F711" s="22"/>
      <c r="G711" s="26">
        <f t="shared" ca="1" si="88"/>
        <v>0.40226805798326259</v>
      </c>
      <c r="H711" s="29">
        <f t="shared" ca="1" si="121"/>
        <v>212</v>
      </c>
      <c r="J711" s="22">
        <v>45256</v>
      </c>
      <c r="K711" s="26">
        <f t="shared" ca="1" si="89"/>
        <v>0.72686206485999738</v>
      </c>
      <c r="L711" s="29">
        <f t="shared" ca="1" si="122"/>
        <v>157</v>
      </c>
      <c r="N711" s="22">
        <v>45256</v>
      </c>
      <c r="O711" s="26">
        <f t="shared" ca="1" si="90"/>
        <v>0.21364767941639085</v>
      </c>
      <c r="P711" s="29">
        <f t="shared" ca="1" si="123"/>
        <v>218</v>
      </c>
      <c r="R711" s="22">
        <v>45256</v>
      </c>
      <c r="S711" s="26">
        <f t="shared" ca="1" si="91"/>
        <v>0.59921405032791808</v>
      </c>
      <c r="T711" s="29">
        <f t="shared" ca="1" si="124"/>
        <v>142</v>
      </c>
      <c r="V711" s="22">
        <v>45256</v>
      </c>
      <c r="W711" s="26">
        <f t="shared" ca="1" si="92"/>
        <v>0.32916816610348709</v>
      </c>
      <c r="X711" s="29">
        <f t="shared" ca="1" si="125"/>
        <v>219</v>
      </c>
      <c r="Z711" s="22">
        <v>45256</v>
      </c>
      <c r="AA711" s="26">
        <f t="shared" ca="1" si="93"/>
        <v>0.27673515155599671</v>
      </c>
      <c r="AB711" s="29">
        <f t="shared" ca="1" si="126"/>
        <v>260</v>
      </c>
      <c r="AC711"/>
      <c r="AD711" s="25"/>
      <c r="AF711" s="22">
        <v>45256</v>
      </c>
      <c r="AG711" s="26">
        <f t="shared" ca="1" si="94"/>
        <v>0.25893022396969212</v>
      </c>
      <c r="AH711" s="29">
        <f t="shared" ca="1" si="127"/>
        <v>271</v>
      </c>
      <c r="AJ711" s="22">
        <v>45256</v>
      </c>
      <c r="AK711" s="26">
        <f t="shared" ca="1" si="95"/>
        <v>0.6541583482436033</v>
      </c>
      <c r="AL711" s="29">
        <f t="shared" ca="1" si="128"/>
        <v>199</v>
      </c>
      <c r="AN711" s="22">
        <v>45256</v>
      </c>
      <c r="AO711" s="26">
        <f t="shared" ca="1" si="96"/>
        <v>0.99178958865770772</v>
      </c>
      <c r="AP711" s="29">
        <f t="shared" ca="1" si="129"/>
        <v>242</v>
      </c>
      <c r="AR711" s="22">
        <v>45256</v>
      </c>
      <c r="AS711" s="26">
        <f t="shared" ca="1" si="97"/>
        <v>5.0280085567517507E-2</v>
      </c>
      <c r="AT711" s="29">
        <f t="shared" ca="1" si="130"/>
        <v>122</v>
      </c>
      <c r="AV711" s="22">
        <v>45256</v>
      </c>
      <c r="AW711" s="26">
        <f t="shared" ca="1" si="98"/>
        <v>0.68563230416143739</v>
      </c>
      <c r="AX711" s="29">
        <f t="shared" ca="1" si="131"/>
        <v>217</v>
      </c>
      <c r="AZ711" s="22">
        <v>45256</v>
      </c>
      <c r="BA711" s="26">
        <f t="shared" ca="1" si="99"/>
        <v>0.51317709628629138</v>
      </c>
      <c r="BB711" s="29">
        <f t="shared" ca="1" si="132"/>
        <v>182</v>
      </c>
      <c r="BC711"/>
      <c r="BD711" s="25"/>
      <c r="BF711" s="22">
        <v>45256</v>
      </c>
      <c r="BG711" s="26">
        <f t="shared" ca="1" si="100"/>
        <v>0.13890853963242689</v>
      </c>
      <c r="BH711" s="29">
        <v>0</v>
      </c>
      <c r="BJ711" s="22">
        <v>45256</v>
      </c>
      <c r="BK711" s="26">
        <f t="shared" ca="1" si="101"/>
        <v>0.33578130743518775</v>
      </c>
      <c r="BL711" s="29">
        <v>0</v>
      </c>
      <c r="BN711" s="22">
        <v>45256</v>
      </c>
      <c r="BO711" s="26">
        <f t="shared" ca="1" si="102"/>
        <v>0.73627365088509233</v>
      </c>
      <c r="BP711" s="29">
        <v>0</v>
      </c>
      <c r="BR711" s="22">
        <v>45256</v>
      </c>
      <c r="BS711" s="26">
        <f t="shared" ca="1" si="103"/>
        <v>0.67706435457554259</v>
      </c>
      <c r="BT711" s="29">
        <v>0</v>
      </c>
      <c r="BV711" s="22">
        <v>45256</v>
      </c>
      <c r="BW711" s="26">
        <f t="shared" ca="1" si="104"/>
        <v>0.29675095949037422</v>
      </c>
      <c r="BX711" s="29">
        <v>0</v>
      </c>
    </row>
    <row r="712" spans="2:77" ht="12.75" x14ac:dyDescent="0.2">
      <c r="B712" s="22">
        <v>45257</v>
      </c>
      <c r="C712" s="26">
        <f t="shared" ca="1" si="119"/>
        <v>0.46627076895488417</v>
      </c>
      <c r="D712" s="29">
        <f t="shared" ca="1" si="118"/>
        <v>74</v>
      </c>
      <c r="F712" s="22"/>
      <c r="G712" s="26">
        <f t="shared" ca="1" si="88"/>
        <v>0.91445578162766517</v>
      </c>
      <c r="H712" s="29">
        <f t="shared" ca="1" si="121"/>
        <v>236</v>
      </c>
      <c r="J712" s="22">
        <v>45257</v>
      </c>
      <c r="K712" s="26">
        <f t="shared" ca="1" si="89"/>
        <v>0.44584715716196477</v>
      </c>
      <c r="L712" s="29">
        <f t="shared" ca="1" si="122"/>
        <v>149</v>
      </c>
      <c r="N712" s="22">
        <v>45257</v>
      </c>
      <c r="O712" s="26">
        <f t="shared" ca="1" si="90"/>
        <v>0.16988259992731924</v>
      </c>
      <c r="P712" s="29">
        <f t="shared" ca="1" si="123"/>
        <v>215</v>
      </c>
      <c r="R712" s="22">
        <v>45257</v>
      </c>
      <c r="S712" s="26">
        <f t="shared" ca="1" si="91"/>
        <v>0.28492875381831828</v>
      </c>
      <c r="T712" s="29">
        <f t="shared" ca="1" si="124"/>
        <v>134</v>
      </c>
      <c r="V712" s="22">
        <v>45257</v>
      </c>
      <c r="W712" s="26">
        <f t="shared" ca="1" si="92"/>
        <v>0.31532012134521625</v>
      </c>
      <c r="X712" s="29">
        <f t="shared" ca="1" si="125"/>
        <v>218</v>
      </c>
      <c r="Z712" s="22">
        <v>45257</v>
      </c>
      <c r="AA712" s="26">
        <f t="shared" ca="1" si="93"/>
        <v>0.14768991135100018</v>
      </c>
      <c r="AB712" s="29">
        <f t="shared" ca="1" si="126"/>
        <v>252</v>
      </c>
      <c r="AC712"/>
      <c r="AD712" s="25"/>
      <c r="AF712" s="22">
        <v>45257</v>
      </c>
      <c r="AG712" s="26">
        <f t="shared" ca="1" si="94"/>
        <v>0.59357360584011232</v>
      </c>
      <c r="AH712" s="29">
        <f t="shared" ca="1" si="127"/>
        <v>348</v>
      </c>
      <c r="AJ712" s="22">
        <v>45257</v>
      </c>
      <c r="AK712" s="26">
        <f t="shared" ca="1" si="95"/>
        <v>0.39993712942721227</v>
      </c>
      <c r="AL712" s="29">
        <f t="shared" ca="1" si="128"/>
        <v>168</v>
      </c>
      <c r="AN712" s="22">
        <v>45257</v>
      </c>
      <c r="AO712" s="26">
        <f t="shared" ca="1" si="96"/>
        <v>0.84902542044704743</v>
      </c>
      <c r="AP712" s="29">
        <f t="shared" ca="1" si="129"/>
        <v>188</v>
      </c>
      <c r="AR712" s="22">
        <v>45257</v>
      </c>
      <c r="AS712" s="26">
        <f t="shared" ca="1" si="97"/>
        <v>0.8971023179660822</v>
      </c>
      <c r="AT712" s="29">
        <f t="shared" ca="1" si="130"/>
        <v>290</v>
      </c>
      <c r="AV712" s="22">
        <v>45257</v>
      </c>
      <c r="AW712" s="26">
        <f t="shared" ca="1" si="98"/>
        <v>3.212320176136152E-3</v>
      </c>
      <c r="AX712" s="29">
        <f t="shared" ca="1" si="131"/>
        <v>53</v>
      </c>
      <c r="AZ712" s="22">
        <v>45257</v>
      </c>
      <c r="BA712" s="26">
        <f t="shared" ca="1" si="99"/>
        <v>0.80986292874644139</v>
      </c>
      <c r="BB712" s="29">
        <f t="shared" ca="1" si="132"/>
        <v>222</v>
      </c>
      <c r="BC712"/>
      <c r="BD712" s="25"/>
      <c r="BF712" s="22">
        <v>45257</v>
      </c>
      <c r="BG712" s="26">
        <f t="shared" ca="1" si="100"/>
        <v>0.97347354671677799</v>
      </c>
      <c r="BH712" s="29">
        <v>0</v>
      </c>
      <c r="BJ712" s="22">
        <v>45257</v>
      </c>
      <c r="BK712" s="26">
        <f t="shared" ca="1" si="101"/>
        <v>0.9200046092700559</v>
      </c>
      <c r="BL712" s="29">
        <v>0</v>
      </c>
      <c r="BN712" s="22">
        <v>45257</v>
      </c>
      <c r="BO712" s="26">
        <f t="shared" ca="1" si="102"/>
        <v>0.67855284614409139</v>
      </c>
      <c r="BP712" s="29">
        <v>0</v>
      </c>
      <c r="BR712" s="22">
        <v>45257</v>
      </c>
      <c r="BS712" s="26">
        <f t="shared" ca="1" si="103"/>
        <v>0.34184466472252273</v>
      </c>
      <c r="BT712" s="29">
        <v>0</v>
      </c>
      <c r="BV712" s="22">
        <v>45257</v>
      </c>
      <c r="BW712" s="26">
        <f t="shared" ca="1" si="104"/>
        <v>0.59263279560457505</v>
      </c>
      <c r="BX712" s="29">
        <v>0</v>
      </c>
    </row>
    <row r="713" spans="2:77" ht="12.75" x14ac:dyDescent="0.2">
      <c r="B713" s="22">
        <v>45258</v>
      </c>
      <c r="C713" s="26">
        <f t="shared" ca="1" si="119"/>
        <v>0.66213960755964607</v>
      </c>
      <c r="D713" s="29">
        <f t="shared" ca="1" si="118"/>
        <v>84</v>
      </c>
      <c r="F713" s="22"/>
      <c r="G713" s="26">
        <f t="shared" ca="1" si="88"/>
        <v>0.74386291164762686</v>
      </c>
      <c r="H713" s="29">
        <f t="shared" ca="1" si="121"/>
        <v>225</v>
      </c>
      <c r="J713" s="22">
        <v>45258</v>
      </c>
      <c r="K713" s="26">
        <f t="shared" ca="1" si="89"/>
        <v>0.68228964885343768</v>
      </c>
      <c r="L713" s="29">
        <f t="shared" ca="1" si="122"/>
        <v>155</v>
      </c>
      <c r="N713" s="22">
        <v>45258</v>
      </c>
      <c r="O713" s="26">
        <f t="shared" ca="1" si="90"/>
        <v>9.0682399495460086E-2</v>
      </c>
      <c r="P713" s="29">
        <f t="shared" ca="1" si="123"/>
        <v>209</v>
      </c>
      <c r="R713" s="22">
        <v>45258</v>
      </c>
      <c r="S713" s="26">
        <f t="shared" ca="1" si="91"/>
        <v>0.25272011070499711</v>
      </c>
      <c r="T713" s="29">
        <f t="shared" ca="1" si="124"/>
        <v>133</v>
      </c>
      <c r="V713" s="22">
        <v>45258</v>
      </c>
      <c r="W713" s="26">
        <f t="shared" ca="1" si="92"/>
        <v>0.77274236271787766</v>
      </c>
      <c r="X713" s="29">
        <f t="shared" ca="1" si="125"/>
        <v>237</v>
      </c>
      <c r="Z713" s="22">
        <v>45258</v>
      </c>
      <c r="AA713" s="26">
        <f t="shared" ca="1" si="93"/>
        <v>0.61847646487356511</v>
      </c>
      <c r="AB713" s="29">
        <f t="shared" ca="1" si="126"/>
        <v>276</v>
      </c>
      <c r="AC713"/>
      <c r="AD713" s="25"/>
      <c r="AF713" s="22">
        <v>45258</v>
      </c>
      <c r="AG713" s="26">
        <f t="shared" ca="1" si="94"/>
        <v>0.30343676544000875</v>
      </c>
      <c r="AH713" s="29">
        <f t="shared" ca="1" si="127"/>
        <v>283</v>
      </c>
      <c r="AJ713" s="22">
        <v>45258</v>
      </c>
      <c r="AK713" s="26">
        <f t="shared" ca="1" si="95"/>
        <v>0.50804306433072888</v>
      </c>
      <c r="AL713" s="29">
        <f t="shared" ca="1" si="128"/>
        <v>181</v>
      </c>
      <c r="AN713" s="22">
        <v>45258</v>
      </c>
      <c r="AO713" s="26">
        <f t="shared" ca="1" si="96"/>
        <v>0.59149677099661335</v>
      </c>
      <c r="AP713" s="29">
        <f t="shared" ca="1" si="129"/>
        <v>157</v>
      </c>
      <c r="AR713" s="22">
        <v>45258</v>
      </c>
      <c r="AS713" s="26">
        <f t="shared" ca="1" si="97"/>
        <v>4.4256009677331676E-2</v>
      </c>
      <c r="AT713" s="29">
        <f t="shared" ca="1" si="130"/>
        <v>119</v>
      </c>
      <c r="AV713" s="22">
        <v>45258</v>
      </c>
      <c r="AW713" s="26">
        <f t="shared" ca="1" si="98"/>
        <v>0.39039483494583871</v>
      </c>
      <c r="AX713" s="29">
        <f t="shared" ca="1" si="131"/>
        <v>178</v>
      </c>
      <c r="AZ713" s="22">
        <v>45258</v>
      </c>
      <c r="BA713" s="26">
        <f t="shared" ca="1" si="99"/>
        <v>0.70432308771517171</v>
      </c>
      <c r="BB713" s="29">
        <f t="shared" ca="1" si="132"/>
        <v>206</v>
      </c>
      <c r="BC713"/>
      <c r="BD713" s="25"/>
      <c r="BF713" s="22">
        <v>45258</v>
      </c>
      <c r="BG713" s="26">
        <f t="shared" ca="1" si="100"/>
        <v>0.15918495135257582</v>
      </c>
      <c r="BH713" s="29">
        <v>0</v>
      </c>
      <c r="BJ713" s="22">
        <v>45258</v>
      </c>
      <c r="BK713" s="26">
        <f t="shared" ca="1" si="101"/>
        <v>0.50130545965733331</v>
      </c>
      <c r="BL713" s="29">
        <v>0</v>
      </c>
      <c r="BN713" s="22">
        <v>45258</v>
      </c>
      <c r="BO713" s="26">
        <f t="shared" ca="1" si="102"/>
        <v>0.97403522418279687</v>
      </c>
      <c r="BP713" s="29">
        <v>0</v>
      </c>
      <c r="BR713" s="22">
        <v>45258</v>
      </c>
      <c r="BS713" s="26">
        <f t="shared" ca="1" si="103"/>
        <v>0.40700865039920076</v>
      </c>
      <c r="BT713" s="29">
        <v>0</v>
      </c>
      <c r="BV713" s="22">
        <v>45258</v>
      </c>
      <c r="BW713" s="26">
        <f t="shared" ca="1" si="104"/>
        <v>0.16456802772936752</v>
      </c>
      <c r="BX713" s="29">
        <v>0</v>
      </c>
    </row>
    <row r="714" spans="2:77" ht="12.75" x14ac:dyDescent="0.2">
      <c r="B714" s="22">
        <v>45259</v>
      </c>
      <c r="C714" s="26">
        <f t="shared" ca="1" si="119"/>
        <v>0.87152679597913096</v>
      </c>
      <c r="D714" s="29">
        <f t="shared" ca="1" si="118"/>
        <v>98</v>
      </c>
      <c r="F714" s="22"/>
      <c r="G714" s="26">
        <f t="shared" ca="1" si="88"/>
        <v>0.51422283255606438</v>
      </c>
      <c r="H714" s="29">
        <f t="shared" ca="1" si="121"/>
        <v>216</v>
      </c>
      <c r="J714" s="22">
        <v>45259</v>
      </c>
      <c r="K714" s="26">
        <f t="shared" ca="1" si="89"/>
        <v>0.8553157962465151</v>
      </c>
      <c r="L714" s="29">
        <f t="shared" ca="1" si="122"/>
        <v>161</v>
      </c>
      <c r="N714" s="22">
        <v>45259</v>
      </c>
      <c r="O714" s="26">
        <f t="shared" ca="1" si="90"/>
        <v>0.37088179644623154</v>
      </c>
      <c r="P714" s="29">
        <f t="shared" ca="1" si="123"/>
        <v>225</v>
      </c>
      <c r="R714" s="22">
        <v>45259</v>
      </c>
      <c r="S714" s="26">
        <f t="shared" ca="1" si="91"/>
        <v>6.6217214465537411E-2</v>
      </c>
      <c r="T714" s="29">
        <f t="shared" ca="1" si="124"/>
        <v>125</v>
      </c>
      <c r="V714" s="22">
        <v>45259</v>
      </c>
      <c r="W714" s="26">
        <f t="shared" ca="1" si="92"/>
        <v>0.45193305564417963</v>
      </c>
      <c r="X714" s="29">
        <f t="shared" ca="1" si="125"/>
        <v>224</v>
      </c>
      <c r="Z714" s="22">
        <v>45259</v>
      </c>
      <c r="AA714" s="26">
        <f t="shared" ca="1" si="93"/>
        <v>0.28325135335010088</v>
      </c>
      <c r="AB714" s="29">
        <f t="shared" ca="1" si="126"/>
        <v>260</v>
      </c>
      <c r="AC714"/>
      <c r="AD714" s="25"/>
      <c r="AF714" s="22">
        <v>45259</v>
      </c>
      <c r="AG714" s="26">
        <f t="shared" ca="1" si="94"/>
        <v>0.37568393856347448</v>
      </c>
      <c r="AH714" s="29">
        <f t="shared" ca="1" si="127"/>
        <v>300</v>
      </c>
      <c r="AJ714" s="22">
        <v>45259</v>
      </c>
      <c r="AK714" s="26">
        <f t="shared" ca="1" si="95"/>
        <v>0.48477407437993747</v>
      </c>
      <c r="AL714" s="29">
        <f t="shared" ca="1" si="128"/>
        <v>179</v>
      </c>
      <c r="AN714" s="22">
        <v>45259</v>
      </c>
      <c r="AO714" s="26">
        <f t="shared" ca="1" si="96"/>
        <v>0.78753216863511111</v>
      </c>
      <c r="AP714" s="29">
        <f t="shared" ca="1" si="129"/>
        <v>179</v>
      </c>
      <c r="AR714" s="22">
        <v>45259</v>
      </c>
      <c r="AS714" s="26">
        <f t="shared" ca="1" si="97"/>
        <v>0.5452248764985923</v>
      </c>
      <c r="AT714" s="29">
        <f t="shared" ca="1" si="130"/>
        <v>224</v>
      </c>
      <c r="AV714" s="22">
        <v>45259</v>
      </c>
      <c r="AW714" s="26">
        <f t="shared" ca="1" si="98"/>
        <v>0.97391755555527437</v>
      </c>
      <c r="AX714" s="29">
        <f t="shared" ca="1" si="131"/>
        <v>291</v>
      </c>
      <c r="AZ714" s="22">
        <v>45259</v>
      </c>
      <c r="BA714" s="26">
        <f t="shared" ca="1" si="99"/>
        <v>0.5769275934076501</v>
      </c>
      <c r="BB714" s="29">
        <f t="shared" ca="1" si="132"/>
        <v>190</v>
      </c>
      <c r="BC714"/>
      <c r="BD714" s="25"/>
      <c r="BF714" s="22">
        <v>45259</v>
      </c>
      <c r="BG714" s="26">
        <f t="shared" ca="1" si="100"/>
        <v>0.93432902895417136</v>
      </c>
      <c r="BH714" s="29">
        <v>0</v>
      </c>
      <c r="BJ714" s="22">
        <v>45259</v>
      </c>
      <c r="BK714" s="26">
        <f t="shared" ca="1" si="101"/>
        <v>0.24617962482273681</v>
      </c>
      <c r="BL714" s="29">
        <v>0</v>
      </c>
      <c r="BN714" s="22">
        <v>45259</v>
      </c>
      <c r="BO714" s="26">
        <f t="shared" ca="1" si="102"/>
        <v>0.28433087254051648</v>
      </c>
      <c r="BP714" s="29">
        <v>0</v>
      </c>
      <c r="BR714" s="22">
        <v>45259</v>
      </c>
      <c r="BS714" s="26">
        <f t="shared" ca="1" si="103"/>
        <v>0.61232014205205265</v>
      </c>
      <c r="BT714" s="29">
        <v>0</v>
      </c>
      <c r="BV714" s="22">
        <v>45259</v>
      </c>
      <c r="BW714" s="26">
        <f t="shared" ca="1" si="104"/>
        <v>0.32230827224328784</v>
      </c>
      <c r="BX714" s="29">
        <v>0</v>
      </c>
    </row>
    <row r="715" spans="2:77" ht="12.75" x14ac:dyDescent="0.2">
      <c r="B715" s="22">
        <v>45260</v>
      </c>
      <c r="C715" s="26">
        <f t="shared" ca="1" si="119"/>
        <v>0.31567000054023819</v>
      </c>
      <c r="D715" s="29">
        <f t="shared" ca="1" si="118"/>
        <v>66</v>
      </c>
      <c r="E715">
        <v>2204</v>
      </c>
      <c r="F715" s="22"/>
      <c r="G715" s="26">
        <f t="shared" ca="1" si="88"/>
        <v>0.41742761075117352</v>
      </c>
      <c r="H715" s="29">
        <f t="shared" ca="1" si="121"/>
        <v>213</v>
      </c>
      <c r="I715">
        <v>2195</v>
      </c>
      <c r="J715" s="22">
        <v>45260</v>
      </c>
      <c r="K715" s="26">
        <f t="shared" ca="1" si="89"/>
        <v>0.58629756142923428</v>
      </c>
      <c r="L715" s="29">
        <f t="shared" ca="1" si="122"/>
        <v>153</v>
      </c>
      <c r="M715">
        <v>4548</v>
      </c>
      <c r="N715" s="22">
        <v>45260</v>
      </c>
      <c r="O715" s="26">
        <f t="shared" ca="1" si="90"/>
        <v>0.26108556565016328</v>
      </c>
      <c r="P715" s="29">
        <f t="shared" ca="1" si="123"/>
        <v>220</v>
      </c>
      <c r="Q715">
        <v>6904</v>
      </c>
      <c r="R715" s="22">
        <v>45260</v>
      </c>
      <c r="S715" s="26">
        <f t="shared" ca="1" si="91"/>
        <v>0.64602589097383656</v>
      </c>
      <c r="T715" s="29">
        <f t="shared" ca="1" si="124"/>
        <v>143</v>
      </c>
      <c r="U715">
        <v>4198</v>
      </c>
      <c r="V715" s="22">
        <v>45260</v>
      </c>
      <c r="W715" s="26">
        <f t="shared" ca="1" si="92"/>
        <v>0.35705713016756035</v>
      </c>
      <c r="X715" s="29">
        <f t="shared" ca="1" si="125"/>
        <v>220</v>
      </c>
      <c r="Y715">
        <v>6686</v>
      </c>
      <c r="Z715" s="22">
        <v>45260</v>
      </c>
      <c r="AA715" s="26">
        <f t="shared" ca="1" si="93"/>
        <v>0.68094174766431648</v>
      </c>
      <c r="AB715" s="29">
        <f t="shared" ca="1" si="126"/>
        <v>279</v>
      </c>
      <c r="AC715">
        <v>8094</v>
      </c>
      <c r="AD715" s="25"/>
      <c r="AF715" s="22">
        <v>45260</v>
      </c>
      <c r="AG715" s="26">
        <f t="shared" ca="1" si="94"/>
        <v>0.34503142641899842</v>
      </c>
      <c r="AH715" s="29">
        <f t="shared" ca="1" si="127"/>
        <v>293</v>
      </c>
      <c r="AI715">
        <v>9967</v>
      </c>
      <c r="AJ715" s="22">
        <v>45260</v>
      </c>
      <c r="AK715" s="26">
        <f t="shared" ca="1" si="95"/>
        <v>0.83173211818995774</v>
      </c>
      <c r="AL715" s="29">
        <f t="shared" ca="1" si="128"/>
        <v>226</v>
      </c>
      <c r="AM715">
        <v>5088</v>
      </c>
      <c r="AN715" s="22">
        <v>45260</v>
      </c>
      <c r="AO715" s="26">
        <f t="shared" ca="1" si="96"/>
        <v>0.83769404592674812</v>
      </c>
      <c r="AP715" s="29">
        <f t="shared" ca="1" si="129"/>
        <v>186</v>
      </c>
      <c r="AQ715">
        <v>4582</v>
      </c>
      <c r="AR715" s="22">
        <v>45260</v>
      </c>
      <c r="AS715" s="26">
        <f t="shared" ca="1" si="97"/>
        <v>0.50773523432112855</v>
      </c>
      <c r="AT715" s="29">
        <f t="shared" ca="1" si="130"/>
        <v>218</v>
      </c>
      <c r="AU715">
        <v>6300</v>
      </c>
      <c r="AV715" s="22">
        <v>45260</v>
      </c>
      <c r="AW715" s="26">
        <f t="shared" ca="1" si="98"/>
        <v>1.2281094863385578E-2</v>
      </c>
      <c r="AX715" s="29">
        <f t="shared" ca="1" si="131"/>
        <v>77</v>
      </c>
      <c r="AY715">
        <v>5694</v>
      </c>
      <c r="AZ715" s="22">
        <v>45260</v>
      </c>
      <c r="BA715" s="26">
        <f t="shared" ca="1" si="99"/>
        <v>0.78860845023337145</v>
      </c>
      <c r="BB715" s="29">
        <f t="shared" ca="1" si="132"/>
        <v>219</v>
      </c>
      <c r="BC715">
        <v>5167</v>
      </c>
      <c r="BD715" s="25"/>
      <c r="BF715" s="22">
        <v>45260</v>
      </c>
      <c r="BG715" s="26">
        <f t="shared" ca="1" si="100"/>
        <v>9.4577733465181724E-2</v>
      </c>
      <c r="BH715" s="29">
        <v>0</v>
      </c>
      <c r="BI715">
        <v>0</v>
      </c>
      <c r="BJ715" s="22">
        <v>45260</v>
      </c>
      <c r="BK715" s="26">
        <f t="shared" ca="1" si="101"/>
        <v>0.7714611449392863</v>
      </c>
      <c r="BL715" s="29">
        <v>0</v>
      </c>
      <c r="BM715">
        <v>0</v>
      </c>
      <c r="BN715" s="22">
        <v>45260</v>
      </c>
      <c r="BO715" s="26">
        <f t="shared" ca="1" si="102"/>
        <v>0.11543927258567233</v>
      </c>
      <c r="BP715" s="29">
        <v>0</v>
      </c>
      <c r="BQ715">
        <v>0</v>
      </c>
      <c r="BR715" s="22">
        <v>45260</v>
      </c>
      <c r="BS715" s="26">
        <f t="shared" ca="1" si="103"/>
        <v>0.98875490461973881</v>
      </c>
      <c r="BT715" s="29">
        <v>0</v>
      </c>
      <c r="BU715">
        <v>0</v>
      </c>
      <c r="BV715" s="22">
        <v>45260</v>
      </c>
      <c r="BW715" s="26">
        <f t="shared" ca="1" si="104"/>
        <v>0.68427882961914821</v>
      </c>
      <c r="BX715" s="29">
        <v>0</v>
      </c>
      <c r="BY715">
        <v>0</v>
      </c>
    </row>
    <row r="716" spans="2:77" ht="12.75" x14ac:dyDescent="0.2">
      <c r="B716" s="22">
        <v>45261</v>
      </c>
      <c r="C716" s="26">
        <f t="shared" ca="1" si="119"/>
        <v>0.17383655513148122</v>
      </c>
      <c r="D716" s="29">
        <f ca="1">ROUNDUP(_xlfn.NORM.INV(C715,C$10,C$12),0)</f>
        <v>66</v>
      </c>
      <c r="F716" s="22"/>
      <c r="G716" s="26">
        <f t="shared" ca="1" si="88"/>
        <v>0.49258928932008572</v>
      </c>
      <c r="H716" s="29">
        <f ca="1">ROUNDUP(_xlfn.NORM.INV(G715,G$10,G$12),0)</f>
        <v>213</v>
      </c>
      <c r="J716" s="22">
        <v>45261</v>
      </c>
      <c r="K716" s="26">
        <f t="shared" ca="1" si="89"/>
        <v>0.776139821702438</v>
      </c>
      <c r="L716" s="29">
        <f ca="1">ROUNDUP(_xlfn.NORM.INV(K715,K$10,K$12),0)</f>
        <v>153</v>
      </c>
      <c r="N716" s="22">
        <v>45261</v>
      </c>
      <c r="O716" s="26">
        <f t="shared" ca="1" si="90"/>
        <v>0.70959805515913743</v>
      </c>
      <c r="P716" s="29">
        <f ca="1">ROUNDUP(_xlfn.NORM.INV(O715,O$10,O$12),0)</f>
        <v>220</v>
      </c>
      <c r="R716" s="22">
        <v>45261</v>
      </c>
      <c r="S716" s="26">
        <f t="shared" ca="1" si="91"/>
        <v>0.94060797664326812</v>
      </c>
      <c r="T716" s="29">
        <f ca="1">ROUNDUP(_xlfn.NORM.INV(S715,S$10,S$12),0)</f>
        <v>143</v>
      </c>
      <c r="V716" s="22">
        <v>45261</v>
      </c>
      <c r="W716" s="26">
        <f t="shared" ca="1" si="92"/>
        <v>0.15058735856131567</v>
      </c>
      <c r="X716" s="29">
        <f ca="1">ROUNDUP(_xlfn.NORM.INV(W715,W$10,W$12),0)</f>
        <v>220</v>
      </c>
      <c r="Z716" s="22">
        <v>45261</v>
      </c>
      <c r="AA716" s="26">
        <f t="shared" ca="1" si="93"/>
        <v>0.34089696854001839</v>
      </c>
      <c r="AB716" s="29">
        <f ca="1">ROUNDUP(_xlfn.NORM.INV(AA715,AA$10,AA$12),0)</f>
        <v>279</v>
      </c>
      <c r="AC716"/>
      <c r="AD716" s="25"/>
      <c r="AF716" s="22">
        <v>45261</v>
      </c>
      <c r="AG716" s="26">
        <f t="shared" ca="1" si="94"/>
        <v>0.48504996953111756</v>
      </c>
      <c r="AH716" s="29">
        <f ca="1">ROUNDUP(_xlfn.NORM.INV(AG715,AG$10,AG$12),0)</f>
        <v>293</v>
      </c>
      <c r="AJ716" s="22">
        <v>45261</v>
      </c>
      <c r="AK716" s="26">
        <f t="shared" ca="1" si="95"/>
        <v>0.73419127937571071</v>
      </c>
      <c r="AL716" s="29">
        <f ca="1">ROUNDUP(_xlfn.NORM.INV(AK715,AK$10,AK$12),0)</f>
        <v>226</v>
      </c>
      <c r="AN716" s="22">
        <v>45261</v>
      </c>
      <c r="AO716" s="26">
        <f t="shared" ca="1" si="96"/>
        <v>0.76973293321057534</v>
      </c>
      <c r="AP716" s="29">
        <f ca="1">ROUNDUP(_xlfn.NORM.INV(AO715,AO$10,AO$12),0)</f>
        <v>186</v>
      </c>
      <c r="AR716" s="22">
        <v>45261</v>
      </c>
      <c r="AS716" s="26">
        <f t="shared" ca="1" si="97"/>
        <v>0.19971527827492641</v>
      </c>
      <c r="AT716" s="29">
        <f ca="1">ROUNDUP(_xlfn.NORM.INV(AS715,AS$10,AS$12),0)</f>
        <v>218</v>
      </c>
      <c r="AV716" s="22">
        <v>45261</v>
      </c>
      <c r="AW716" s="26">
        <f t="shared" ca="1" si="98"/>
        <v>0.44888193615814387</v>
      </c>
      <c r="AX716" s="29">
        <f ca="1">ROUNDUP(_xlfn.NORM.INV(AW715,AW$10,AW$12),0)</f>
        <v>77</v>
      </c>
      <c r="AZ716" s="22">
        <v>45261</v>
      </c>
      <c r="BA716" s="26">
        <f t="shared" ca="1" si="99"/>
        <v>0.18114680566359964</v>
      </c>
      <c r="BB716" s="29">
        <f ca="1">ROUNDUP(_xlfn.NORM.INV(BA715,BA$10,BA$12),0)</f>
        <v>219</v>
      </c>
      <c r="BC716"/>
      <c r="BD716" s="25"/>
      <c r="BF716" s="22">
        <v>45261</v>
      </c>
      <c r="BG716" s="26">
        <f t="shared" ca="1" si="100"/>
        <v>0.30442725000671056</v>
      </c>
      <c r="BH716" s="29">
        <v>0</v>
      </c>
      <c r="BJ716" s="22">
        <v>45261</v>
      </c>
      <c r="BK716" s="26">
        <f t="shared" ca="1" si="101"/>
        <v>0.50041070797691634</v>
      </c>
      <c r="BL716" s="29">
        <v>0</v>
      </c>
      <c r="BN716" s="22">
        <v>45261</v>
      </c>
      <c r="BO716" s="26">
        <f t="shared" ca="1" si="102"/>
        <v>0.14197920189365543</v>
      </c>
      <c r="BP716" s="29">
        <v>0</v>
      </c>
      <c r="BR716" s="22">
        <v>45261</v>
      </c>
      <c r="BS716" s="26">
        <f t="shared" ca="1" si="103"/>
        <v>0.75824249437008873</v>
      </c>
      <c r="BT716" s="29">
        <v>0</v>
      </c>
      <c r="BV716" s="22">
        <v>45261</v>
      </c>
      <c r="BW716" s="26">
        <f t="shared" ca="1" si="104"/>
        <v>0.15001944291115266</v>
      </c>
      <c r="BX716" s="29">
        <v>0</v>
      </c>
    </row>
    <row r="717" spans="2:77" ht="12.75" x14ac:dyDescent="0.2">
      <c r="B717" s="22">
        <v>45262</v>
      </c>
      <c r="C717" s="26">
        <f t="shared" ca="1" si="119"/>
        <v>0.37722434219934287</v>
      </c>
      <c r="D717" s="29">
        <f t="shared" ca="1" si="118"/>
        <v>69</v>
      </c>
      <c r="F717" s="22"/>
      <c r="G717" s="26">
        <f t="shared" ca="1" si="88"/>
        <v>4.2003798978644258E-2</v>
      </c>
      <c r="H717" s="29">
        <f t="shared" ca="1" si="121"/>
        <v>191</v>
      </c>
      <c r="J717" s="22">
        <v>45262</v>
      </c>
      <c r="K717" s="26">
        <f t="shared" ca="1" si="89"/>
        <v>2.8061669269708878E-3</v>
      </c>
      <c r="L717" s="29">
        <f t="shared" ca="1" si="122"/>
        <v>123</v>
      </c>
      <c r="N717" s="22">
        <v>45262</v>
      </c>
      <c r="O717" s="26">
        <f t="shared" ca="1" si="90"/>
        <v>0.8566163559544413</v>
      </c>
      <c r="P717" s="29">
        <f t="shared" ca="1" si="123"/>
        <v>246</v>
      </c>
      <c r="R717" s="22">
        <v>45262</v>
      </c>
      <c r="S717" s="26">
        <f t="shared" ca="1" si="91"/>
        <v>0.42902467763305452</v>
      </c>
      <c r="T717" s="29">
        <f t="shared" ca="1" si="124"/>
        <v>138</v>
      </c>
      <c r="V717" s="22">
        <v>45262</v>
      </c>
      <c r="W717" s="26">
        <f t="shared" ca="1" si="92"/>
        <v>0.45367994186480654</v>
      </c>
      <c r="X717" s="29">
        <f t="shared" ca="1" si="125"/>
        <v>224</v>
      </c>
      <c r="Z717" s="22">
        <v>45262</v>
      </c>
      <c r="AA717" s="26">
        <f t="shared" ca="1" si="93"/>
        <v>2.6302026910661302E-2</v>
      </c>
      <c r="AB717" s="29">
        <f t="shared" ca="1" si="126"/>
        <v>236</v>
      </c>
      <c r="AC717"/>
      <c r="AD717" s="25"/>
      <c r="AF717" s="22">
        <v>45262</v>
      </c>
      <c r="AG717" s="26">
        <f t="shared" ca="1" si="94"/>
        <v>0.76201628958740075</v>
      </c>
      <c r="AH717" s="29">
        <f t="shared" ca="1" si="127"/>
        <v>390</v>
      </c>
      <c r="AJ717" s="22">
        <v>45262</v>
      </c>
      <c r="AK717" s="26">
        <f t="shared" ca="1" si="95"/>
        <v>0.95717914887004207</v>
      </c>
      <c r="AL717" s="29">
        <f t="shared" ca="1" si="128"/>
        <v>263</v>
      </c>
      <c r="AN717" s="22">
        <v>45262</v>
      </c>
      <c r="AO717" s="26">
        <f t="shared" ca="1" si="96"/>
        <v>0.45500904102072026</v>
      </c>
      <c r="AP717" s="29">
        <f t="shared" ca="1" si="129"/>
        <v>143</v>
      </c>
      <c r="AR717" s="22">
        <v>45262</v>
      </c>
      <c r="AS717" s="26">
        <f t="shared" ca="1" si="97"/>
        <v>0.39523989187155384</v>
      </c>
      <c r="AT717" s="29">
        <f t="shared" ca="1" si="130"/>
        <v>202</v>
      </c>
      <c r="AV717" s="22">
        <v>45262</v>
      </c>
      <c r="AW717" s="26">
        <f t="shared" ca="1" si="98"/>
        <v>0.20714787791082734</v>
      </c>
      <c r="AX717" s="29">
        <f t="shared" ca="1" si="131"/>
        <v>150</v>
      </c>
      <c r="AZ717" s="22">
        <v>45262</v>
      </c>
      <c r="BA717" s="26">
        <f t="shared" ca="1" si="99"/>
        <v>0.24947269244551096</v>
      </c>
      <c r="BB717" s="29">
        <f t="shared" ca="1" si="132"/>
        <v>148</v>
      </c>
      <c r="BC717"/>
      <c r="BD717" s="25"/>
      <c r="BF717" s="22">
        <v>45262</v>
      </c>
      <c r="BG717" s="26">
        <f t="shared" ca="1" si="100"/>
        <v>0.7660581927166471</v>
      </c>
      <c r="BH717" s="29">
        <f t="shared" ref="BH717:BH752" ca="1" si="133">ROUNDUP(_xlfn.NORM.INV(BG717,BG$10,BG$12),0)</f>
        <v>191</v>
      </c>
      <c r="BJ717" s="22">
        <v>45262</v>
      </c>
      <c r="BK717" s="26">
        <f t="shared" ca="1" si="101"/>
        <v>0.93274522577627006</v>
      </c>
      <c r="BL717" s="29">
        <v>0</v>
      </c>
      <c r="BN717" s="22">
        <v>45262</v>
      </c>
      <c r="BO717" s="26">
        <f t="shared" ca="1" si="102"/>
        <v>0.93544297657007236</v>
      </c>
      <c r="BP717" s="29">
        <v>0</v>
      </c>
      <c r="BR717" s="22">
        <v>45262</v>
      </c>
      <c r="BS717" s="26">
        <f t="shared" ca="1" si="103"/>
        <v>0.28305124987466235</v>
      </c>
      <c r="BT717" s="29">
        <v>0</v>
      </c>
      <c r="BV717" s="22">
        <v>45262</v>
      </c>
      <c r="BW717" s="26">
        <f t="shared" ca="1" si="104"/>
        <v>0.36963733060401105</v>
      </c>
      <c r="BX717" s="29">
        <v>0</v>
      </c>
    </row>
    <row r="718" spans="2:77" ht="12.75" x14ac:dyDescent="0.2">
      <c r="B718" s="22">
        <v>45263</v>
      </c>
      <c r="C718" s="26">
        <f t="shared" ca="1" si="119"/>
        <v>0.87040235139087119</v>
      </c>
      <c r="D718" s="29">
        <f t="shared" ca="1" si="118"/>
        <v>98</v>
      </c>
      <c r="F718" s="22"/>
      <c r="G718" s="26">
        <f t="shared" ca="1" si="88"/>
        <v>0.94997671225283264</v>
      </c>
      <c r="H718" s="29">
        <f t="shared" ca="1" si="121"/>
        <v>240</v>
      </c>
      <c r="J718" s="22">
        <v>45263</v>
      </c>
      <c r="K718" s="26">
        <f t="shared" ca="1" si="89"/>
        <v>0.78225076731777776</v>
      </c>
      <c r="L718" s="29">
        <f t="shared" ca="1" si="122"/>
        <v>158</v>
      </c>
      <c r="N718" s="22">
        <v>45263</v>
      </c>
      <c r="O718" s="26">
        <f t="shared" ca="1" si="90"/>
        <v>0.81214973463640672</v>
      </c>
      <c r="P718" s="29">
        <f t="shared" ca="1" si="123"/>
        <v>243</v>
      </c>
      <c r="R718" s="22">
        <v>45263</v>
      </c>
      <c r="S718" s="26">
        <f t="shared" ca="1" si="91"/>
        <v>0.88948446083324617</v>
      </c>
      <c r="T718" s="29">
        <f t="shared" ca="1" si="124"/>
        <v>151</v>
      </c>
      <c r="V718" s="22">
        <v>45263</v>
      </c>
      <c r="W718" s="26">
        <f t="shared" ca="1" si="92"/>
        <v>0.31941385208246997</v>
      </c>
      <c r="X718" s="29">
        <f t="shared" ca="1" si="125"/>
        <v>218</v>
      </c>
      <c r="Z718" s="22">
        <v>45263</v>
      </c>
      <c r="AA718" s="26">
        <f t="shared" ca="1" si="93"/>
        <v>0.93192990357716532</v>
      </c>
      <c r="AB718" s="29">
        <f t="shared" ca="1" si="126"/>
        <v>297</v>
      </c>
      <c r="AC718"/>
      <c r="AD718" s="25"/>
      <c r="AF718" s="22">
        <v>45263</v>
      </c>
      <c r="AG718" s="26">
        <f t="shared" ca="1" si="94"/>
        <v>0.77194697219284458</v>
      </c>
      <c r="AH718" s="29">
        <f t="shared" ca="1" si="127"/>
        <v>392</v>
      </c>
      <c r="AJ718" s="22">
        <v>45263</v>
      </c>
      <c r="AK718" s="26">
        <f t="shared" ca="1" si="95"/>
        <v>0.24545269888485644</v>
      </c>
      <c r="AL718" s="29">
        <f t="shared" ca="1" si="128"/>
        <v>147</v>
      </c>
      <c r="AN718" s="22">
        <v>45263</v>
      </c>
      <c r="AO718" s="26">
        <f t="shared" ca="1" si="96"/>
        <v>0.67603686873562829</v>
      </c>
      <c r="AP718" s="29">
        <f t="shared" ca="1" si="129"/>
        <v>166</v>
      </c>
      <c r="AR718" s="22">
        <v>45263</v>
      </c>
      <c r="AS718" s="26">
        <f t="shared" ca="1" si="97"/>
        <v>0.37872620347124997</v>
      </c>
      <c r="AT718" s="29">
        <f t="shared" ca="1" si="130"/>
        <v>199</v>
      </c>
      <c r="AV718" s="22">
        <v>45263</v>
      </c>
      <c r="AW718" s="26">
        <f t="shared" ca="1" si="98"/>
        <v>0.20546848094452785</v>
      </c>
      <c r="AX718" s="29">
        <f t="shared" ca="1" si="131"/>
        <v>150</v>
      </c>
      <c r="AZ718" s="22">
        <v>45263</v>
      </c>
      <c r="BA718" s="26">
        <f t="shared" ca="1" si="99"/>
        <v>0.47326665000086332</v>
      </c>
      <c r="BB718" s="29">
        <f t="shared" ca="1" si="132"/>
        <v>177</v>
      </c>
      <c r="BC718"/>
      <c r="BD718" s="25"/>
      <c r="BF718" s="22">
        <v>45263</v>
      </c>
      <c r="BG718" s="26">
        <f t="shared" ca="1" si="100"/>
        <v>0.60726670259217674</v>
      </c>
      <c r="BH718" s="29">
        <f t="shared" ca="1" si="133"/>
        <v>172</v>
      </c>
      <c r="BJ718" s="22">
        <v>45263</v>
      </c>
      <c r="BK718" s="26">
        <f t="shared" ca="1" si="101"/>
        <v>0.60481027454862657</v>
      </c>
      <c r="BL718" s="29">
        <v>0</v>
      </c>
      <c r="BN718" s="22">
        <v>45263</v>
      </c>
      <c r="BO718" s="26">
        <f t="shared" ca="1" si="102"/>
        <v>5.9509339613611378E-2</v>
      </c>
      <c r="BP718" s="29">
        <v>0</v>
      </c>
      <c r="BR718" s="22">
        <v>45263</v>
      </c>
      <c r="BS718" s="26">
        <f t="shared" ca="1" si="103"/>
        <v>0.1855476221260941</v>
      </c>
      <c r="BT718" s="29">
        <v>0</v>
      </c>
      <c r="BV718" s="22">
        <v>45263</v>
      </c>
      <c r="BW718" s="26">
        <f t="shared" ca="1" si="104"/>
        <v>0.98991750774080722</v>
      </c>
      <c r="BX718" s="29">
        <v>0</v>
      </c>
    </row>
    <row r="719" spans="2:77" ht="12.75" x14ac:dyDescent="0.2">
      <c r="B719" s="22">
        <v>45264</v>
      </c>
      <c r="C719" s="26">
        <f t="shared" ca="1" si="119"/>
        <v>0.35363326799035755</v>
      </c>
      <c r="D719" s="29">
        <f t="shared" ca="1" si="118"/>
        <v>68</v>
      </c>
      <c r="F719" s="22"/>
      <c r="G719" s="26">
        <f t="shared" ca="1" si="88"/>
        <v>0.1504695284181462</v>
      </c>
      <c r="H719" s="29">
        <f t="shared" ca="1" si="121"/>
        <v>201</v>
      </c>
      <c r="J719" s="22">
        <v>45264</v>
      </c>
      <c r="K719" s="26">
        <f t="shared" ca="1" si="89"/>
        <v>0.46996477717603835</v>
      </c>
      <c r="L719" s="29">
        <f t="shared" ca="1" si="122"/>
        <v>150</v>
      </c>
      <c r="N719" s="22">
        <v>45264</v>
      </c>
      <c r="O719" s="26">
        <f t="shared" ca="1" si="90"/>
        <v>1.6564899809533351E-2</v>
      </c>
      <c r="P719" s="29">
        <f t="shared" ca="1" si="123"/>
        <v>197</v>
      </c>
      <c r="R719" s="22">
        <v>45264</v>
      </c>
      <c r="S719" s="26">
        <f t="shared" ca="1" si="91"/>
        <v>0.60896686684602774</v>
      </c>
      <c r="T719" s="29">
        <f t="shared" ca="1" si="124"/>
        <v>142</v>
      </c>
      <c r="V719" s="22">
        <v>45264</v>
      </c>
      <c r="W719" s="26">
        <f t="shared" ca="1" si="92"/>
        <v>0.73200395616293978</v>
      </c>
      <c r="X719" s="29">
        <f t="shared" ca="1" si="125"/>
        <v>235</v>
      </c>
      <c r="Z719" s="22">
        <v>45264</v>
      </c>
      <c r="AA719" s="26">
        <f t="shared" ca="1" si="93"/>
        <v>0.72634878053683527</v>
      </c>
      <c r="AB719" s="29">
        <f t="shared" ca="1" si="126"/>
        <v>281</v>
      </c>
      <c r="AC719"/>
      <c r="AD719" s="25"/>
      <c r="AF719" s="22">
        <v>45264</v>
      </c>
      <c r="AG719" s="26">
        <f t="shared" ca="1" si="94"/>
        <v>8.9657387670616484E-2</v>
      </c>
      <c r="AH719" s="29">
        <f t="shared" ca="1" si="127"/>
        <v>210</v>
      </c>
      <c r="AJ719" s="22">
        <v>45264</v>
      </c>
      <c r="AK719" s="26">
        <f t="shared" ca="1" si="95"/>
        <v>0.65521707704143295</v>
      </c>
      <c r="AL719" s="29">
        <f t="shared" ca="1" si="128"/>
        <v>200</v>
      </c>
      <c r="AN719" s="22">
        <v>45264</v>
      </c>
      <c r="AO719" s="26">
        <f t="shared" ca="1" si="96"/>
        <v>0.17035792119185911</v>
      </c>
      <c r="AP719" s="29">
        <f t="shared" ca="1" si="129"/>
        <v>110</v>
      </c>
      <c r="AR719" s="22">
        <v>45264</v>
      </c>
      <c r="AS719" s="26">
        <f t="shared" ca="1" si="97"/>
        <v>0.27234432776741457</v>
      </c>
      <c r="AT719" s="29">
        <f t="shared" ca="1" si="130"/>
        <v>182</v>
      </c>
      <c r="AV719" s="22">
        <v>45264</v>
      </c>
      <c r="AW719" s="26">
        <f t="shared" ca="1" si="98"/>
        <v>0.73789427634037152</v>
      </c>
      <c r="AX719" s="29">
        <f t="shared" ca="1" si="131"/>
        <v>225</v>
      </c>
      <c r="AZ719" s="22">
        <v>45264</v>
      </c>
      <c r="BA719" s="26">
        <f t="shared" ca="1" si="99"/>
        <v>0.15086446638428852</v>
      </c>
      <c r="BB719" s="29">
        <f t="shared" ca="1" si="132"/>
        <v>131</v>
      </c>
      <c r="BC719"/>
      <c r="BD719" s="25"/>
      <c r="BF719" s="22">
        <v>45264</v>
      </c>
      <c r="BG719" s="26">
        <f t="shared" ca="1" si="100"/>
        <v>0.35399653296008149</v>
      </c>
      <c r="BH719" s="29">
        <f t="shared" ca="1" si="133"/>
        <v>144</v>
      </c>
      <c r="BJ719" s="22">
        <v>45264</v>
      </c>
      <c r="BK719" s="26">
        <f t="shared" ca="1" si="101"/>
        <v>0.5305137666247457</v>
      </c>
      <c r="BL719" s="29">
        <v>0</v>
      </c>
      <c r="BN719" s="22">
        <v>45264</v>
      </c>
      <c r="BO719" s="26">
        <f t="shared" ca="1" si="102"/>
        <v>0.528314232069654</v>
      </c>
      <c r="BP719" s="29">
        <v>0</v>
      </c>
      <c r="BR719" s="22">
        <v>45264</v>
      </c>
      <c r="BS719" s="26">
        <f t="shared" ca="1" si="103"/>
        <v>0.7762825772680858</v>
      </c>
      <c r="BT719" s="29">
        <v>0</v>
      </c>
      <c r="BV719" s="22">
        <v>45264</v>
      </c>
      <c r="BW719" s="26">
        <f t="shared" ca="1" si="104"/>
        <v>0.24621921931676138</v>
      </c>
      <c r="BX719" s="29">
        <v>0</v>
      </c>
    </row>
    <row r="720" spans="2:77" ht="12.75" x14ac:dyDescent="0.2">
      <c r="B720" s="22">
        <v>45265</v>
      </c>
      <c r="C720" s="26">
        <f t="shared" ca="1" si="119"/>
        <v>0.7044503530585049</v>
      </c>
      <c r="D720" s="29">
        <f t="shared" ca="1" si="118"/>
        <v>86</v>
      </c>
      <c r="F720" s="22"/>
      <c r="G720" s="26">
        <f t="shared" ca="1" si="88"/>
        <v>0.65232871010480076</v>
      </c>
      <c r="H720" s="29">
        <f t="shared" ca="1" si="121"/>
        <v>222</v>
      </c>
      <c r="J720" s="22">
        <v>45265</v>
      </c>
      <c r="K720" s="26">
        <f t="shared" ca="1" si="89"/>
        <v>0.80086629363732764</v>
      </c>
      <c r="L720" s="29">
        <f t="shared" ca="1" si="122"/>
        <v>159</v>
      </c>
      <c r="N720" s="22">
        <v>45265</v>
      </c>
      <c r="O720" s="26">
        <f t="shared" ca="1" si="90"/>
        <v>0.60843432658960173</v>
      </c>
      <c r="P720" s="29">
        <f t="shared" ca="1" si="123"/>
        <v>234</v>
      </c>
      <c r="R720" s="22">
        <v>45265</v>
      </c>
      <c r="S720" s="26">
        <f t="shared" ca="1" si="91"/>
        <v>0.40410085469671886</v>
      </c>
      <c r="T720" s="29">
        <f t="shared" ca="1" si="124"/>
        <v>137</v>
      </c>
      <c r="V720" s="22">
        <v>45265</v>
      </c>
      <c r="W720" s="26">
        <f t="shared" ca="1" si="92"/>
        <v>0.44579992716089145</v>
      </c>
      <c r="X720" s="29">
        <f t="shared" ca="1" si="125"/>
        <v>223</v>
      </c>
      <c r="Z720" s="22">
        <v>45265</v>
      </c>
      <c r="AA720" s="26">
        <f t="shared" ca="1" si="93"/>
        <v>0.33129559210650728</v>
      </c>
      <c r="AB720" s="29">
        <f t="shared" ca="1" si="126"/>
        <v>263</v>
      </c>
      <c r="AC720"/>
      <c r="AD720" s="25"/>
      <c r="AF720" s="22">
        <v>45265</v>
      </c>
      <c r="AG720" s="26">
        <f t="shared" ca="1" si="94"/>
        <v>0.68180697782267874</v>
      </c>
      <c r="AH720" s="29">
        <f t="shared" ca="1" si="127"/>
        <v>369</v>
      </c>
      <c r="AJ720" s="22">
        <v>45265</v>
      </c>
      <c r="AK720" s="26">
        <f t="shared" ca="1" si="95"/>
        <v>0.6562735647699961</v>
      </c>
      <c r="AL720" s="29">
        <f t="shared" ca="1" si="128"/>
        <v>200</v>
      </c>
      <c r="AN720" s="22">
        <v>45265</v>
      </c>
      <c r="AO720" s="26">
        <f t="shared" ca="1" si="96"/>
        <v>0.61914741691138686</v>
      </c>
      <c r="AP720" s="29">
        <f t="shared" ca="1" si="129"/>
        <v>160</v>
      </c>
      <c r="AR720" s="22">
        <v>45265</v>
      </c>
      <c r="AS720" s="26">
        <f t="shared" ca="1" si="97"/>
        <v>0.16514917567929233</v>
      </c>
      <c r="AT720" s="29">
        <f t="shared" ca="1" si="130"/>
        <v>161</v>
      </c>
      <c r="AV720" s="22">
        <v>45265</v>
      </c>
      <c r="AW720" s="26">
        <f t="shared" ca="1" si="98"/>
        <v>5.0458356669506488E-2</v>
      </c>
      <c r="AX720" s="29">
        <f t="shared" ca="1" si="131"/>
        <v>108</v>
      </c>
      <c r="AZ720" s="22">
        <v>45265</v>
      </c>
      <c r="BA720" s="26">
        <f t="shared" ca="1" si="99"/>
        <v>0.22710333278134487</v>
      </c>
      <c r="BB720" s="29">
        <f t="shared" ca="1" si="132"/>
        <v>144</v>
      </c>
      <c r="BC720"/>
      <c r="BD720" s="25"/>
      <c r="BF720" s="22">
        <v>45265</v>
      </c>
      <c r="BG720" s="26">
        <f t="shared" ca="1" si="100"/>
        <v>1.6421253853511453E-2</v>
      </c>
      <c r="BH720" s="29">
        <f t="shared" ca="1" si="133"/>
        <v>69</v>
      </c>
      <c r="BJ720" s="22">
        <v>45265</v>
      </c>
      <c r="BK720" s="26">
        <f t="shared" ca="1" si="101"/>
        <v>0.47349988985589575</v>
      </c>
      <c r="BL720" s="29">
        <v>0</v>
      </c>
      <c r="BN720" s="22">
        <v>45265</v>
      </c>
      <c r="BO720" s="26">
        <f t="shared" ca="1" si="102"/>
        <v>0.23438327552214699</v>
      </c>
      <c r="BP720" s="29">
        <v>0</v>
      </c>
      <c r="BR720" s="22">
        <v>45265</v>
      </c>
      <c r="BS720" s="26">
        <f t="shared" ca="1" si="103"/>
        <v>0.50503256773966598</v>
      </c>
      <c r="BT720" s="29">
        <v>0</v>
      </c>
      <c r="BV720" s="22">
        <v>45265</v>
      </c>
      <c r="BW720" s="26">
        <f t="shared" ca="1" si="104"/>
        <v>0.34217060105297314</v>
      </c>
      <c r="BX720" s="29">
        <v>0</v>
      </c>
    </row>
    <row r="721" spans="2:76" ht="12.75" x14ac:dyDescent="0.2">
      <c r="B721" s="22">
        <v>45266</v>
      </c>
      <c r="C721" s="26">
        <f t="shared" ca="1" si="119"/>
        <v>0.78212508101092226</v>
      </c>
      <c r="D721" s="29">
        <f t="shared" ca="1" si="118"/>
        <v>91</v>
      </c>
      <c r="F721" s="22"/>
      <c r="G721" s="26">
        <f t="shared" ca="1" si="88"/>
        <v>0.11052131325250314</v>
      </c>
      <c r="H721" s="29">
        <f t="shared" ca="1" si="121"/>
        <v>198</v>
      </c>
      <c r="J721" s="22">
        <v>45266</v>
      </c>
      <c r="K721" s="26">
        <f t="shared" ca="1" si="89"/>
        <v>0.93369182689476504</v>
      </c>
      <c r="L721" s="29">
        <f t="shared" ca="1" si="122"/>
        <v>166</v>
      </c>
      <c r="N721" s="22">
        <v>45266</v>
      </c>
      <c r="O721" s="26">
        <f t="shared" ca="1" si="90"/>
        <v>0.14447545972354559</v>
      </c>
      <c r="P721" s="29">
        <f t="shared" ca="1" si="123"/>
        <v>214</v>
      </c>
      <c r="R721" s="22">
        <v>45266</v>
      </c>
      <c r="S721" s="26">
        <f t="shared" ca="1" si="91"/>
        <v>0.55683120598491875</v>
      </c>
      <c r="T721" s="29">
        <f t="shared" ca="1" si="124"/>
        <v>141</v>
      </c>
      <c r="V721" s="22">
        <v>45266</v>
      </c>
      <c r="W721" s="26">
        <f t="shared" ca="1" si="92"/>
        <v>0.55022566248429516</v>
      </c>
      <c r="X721" s="29">
        <f t="shared" ca="1" si="125"/>
        <v>227</v>
      </c>
      <c r="Z721" s="22">
        <v>45266</v>
      </c>
      <c r="AA721" s="26">
        <f t="shared" ca="1" si="93"/>
        <v>0.49843302204687956</v>
      </c>
      <c r="AB721" s="29">
        <f t="shared" ca="1" si="126"/>
        <v>270</v>
      </c>
      <c r="AC721"/>
      <c r="AD721" s="25"/>
      <c r="AF721" s="22">
        <v>45266</v>
      </c>
      <c r="AG721" s="26">
        <f t="shared" ca="1" si="94"/>
        <v>5.5111317169399543E-3</v>
      </c>
      <c r="AH721" s="29">
        <f t="shared" ca="1" si="127"/>
        <v>106</v>
      </c>
      <c r="AJ721" s="22">
        <v>45266</v>
      </c>
      <c r="AK721" s="26">
        <f t="shared" ca="1" si="95"/>
        <v>0.10857655294943869</v>
      </c>
      <c r="AL721" s="29">
        <f t="shared" ca="1" si="128"/>
        <v>121</v>
      </c>
      <c r="AN721" s="22">
        <v>45266</v>
      </c>
      <c r="AO721" s="26">
        <f t="shared" ca="1" si="96"/>
        <v>7.5842126897567308E-2</v>
      </c>
      <c r="AP721" s="29">
        <f t="shared" ca="1" si="129"/>
        <v>91</v>
      </c>
      <c r="AR721" s="22">
        <v>45266</v>
      </c>
      <c r="AS721" s="26">
        <f t="shared" ca="1" si="97"/>
        <v>0.10481031919881245</v>
      </c>
      <c r="AT721" s="29">
        <f t="shared" ca="1" si="130"/>
        <v>145</v>
      </c>
      <c r="AV721" s="22">
        <v>45266</v>
      </c>
      <c r="AW721" s="26">
        <f t="shared" ca="1" si="98"/>
        <v>0.68184531105027146</v>
      </c>
      <c r="AX721" s="29">
        <f t="shared" ca="1" si="131"/>
        <v>216</v>
      </c>
      <c r="AZ721" s="22">
        <v>45266</v>
      </c>
      <c r="BA721" s="26">
        <f t="shared" ca="1" si="99"/>
        <v>0.64061527372900784</v>
      </c>
      <c r="BB721" s="29">
        <f t="shared" ca="1" si="132"/>
        <v>198</v>
      </c>
      <c r="BC721"/>
      <c r="BD721" s="25"/>
      <c r="BF721" s="22">
        <v>45266</v>
      </c>
      <c r="BG721" s="26">
        <f t="shared" ca="1" si="100"/>
        <v>0.29135418472565877</v>
      </c>
      <c r="BH721" s="29">
        <f t="shared" ca="1" si="133"/>
        <v>137</v>
      </c>
      <c r="BJ721" s="22">
        <v>45266</v>
      </c>
      <c r="BK721" s="26">
        <f t="shared" ca="1" si="101"/>
        <v>5.346215593007364E-2</v>
      </c>
      <c r="BL721" s="29">
        <v>0</v>
      </c>
      <c r="BN721" s="22">
        <v>45266</v>
      </c>
      <c r="BO721" s="26">
        <f t="shared" ca="1" si="102"/>
        <v>0.47722179862495206</v>
      </c>
      <c r="BP721" s="29">
        <v>0</v>
      </c>
      <c r="BR721" s="22">
        <v>45266</v>
      </c>
      <c r="BS721" s="26">
        <f t="shared" ca="1" si="103"/>
        <v>0.6735719495184832</v>
      </c>
      <c r="BT721" s="29">
        <v>0</v>
      </c>
      <c r="BV721" s="22">
        <v>45266</v>
      </c>
      <c r="BW721" s="26">
        <f t="shared" ca="1" si="104"/>
        <v>0.58275483383753923</v>
      </c>
      <c r="BX721" s="29">
        <v>0</v>
      </c>
    </row>
    <row r="722" spans="2:76" ht="12.75" x14ac:dyDescent="0.2">
      <c r="B722" s="22">
        <v>45267</v>
      </c>
      <c r="C722" s="26">
        <f t="shared" ca="1" si="119"/>
        <v>0.91462040484530938</v>
      </c>
      <c r="D722" s="29">
        <f t="shared" ref="D722:D782" ca="1" si="134">ROUNDUP(_xlfn.NORM.INV(C722,C$10,C$12),0)</f>
        <v>103</v>
      </c>
      <c r="F722" s="22"/>
      <c r="G722" s="26">
        <f t="shared" ca="1" si="88"/>
        <v>0.733652555030334</v>
      </c>
      <c r="H722" s="29">
        <f t="shared" ca="1" si="121"/>
        <v>225</v>
      </c>
      <c r="J722" s="22">
        <v>45267</v>
      </c>
      <c r="K722" s="26">
        <f t="shared" ca="1" si="89"/>
        <v>0.98413993307981273</v>
      </c>
      <c r="L722" s="29">
        <f t="shared" ca="1" si="122"/>
        <v>172</v>
      </c>
      <c r="N722" s="22">
        <v>45267</v>
      </c>
      <c r="O722" s="26">
        <f t="shared" ca="1" si="90"/>
        <v>0.3885153450274631</v>
      </c>
      <c r="P722" s="29">
        <f t="shared" ca="1" si="123"/>
        <v>226</v>
      </c>
      <c r="R722" s="22">
        <v>45267</v>
      </c>
      <c r="S722" s="26">
        <f t="shared" ca="1" si="91"/>
        <v>0.21517261856396552</v>
      </c>
      <c r="T722" s="29">
        <f t="shared" ca="1" si="124"/>
        <v>132</v>
      </c>
      <c r="V722" s="22">
        <v>45267</v>
      </c>
      <c r="W722" s="26">
        <f t="shared" ca="1" si="92"/>
        <v>0.2148808600850991</v>
      </c>
      <c r="X722" s="29">
        <f t="shared" ca="1" si="125"/>
        <v>214</v>
      </c>
      <c r="Z722" s="22">
        <v>45267</v>
      </c>
      <c r="AA722" s="26">
        <f t="shared" ca="1" si="93"/>
        <v>0.45258866676672149</v>
      </c>
      <c r="AB722" s="29">
        <f t="shared" ca="1" si="126"/>
        <v>268</v>
      </c>
      <c r="AC722"/>
      <c r="AD722" s="25"/>
      <c r="AF722" s="22">
        <v>45267</v>
      </c>
      <c r="AG722" s="26">
        <f t="shared" ca="1" si="94"/>
        <v>0.74111991364169327</v>
      </c>
      <c r="AH722" s="29">
        <f t="shared" ca="1" si="127"/>
        <v>384</v>
      </c>
      <c r="AJ722" s="22">
        <v>45267</v>
      </c>
      <c r="AK722" s="26">
        <f t="shared" ca="1" si="95"/>
        <v>9.2101993890167932E-3</v>
      </c>
      <c r="AL722" s="29">
        <f t="shared" ca="1" si="128"/>
        <v>67</v>
      </c>
      <c r="AN722" s="22">
        <v>45267</v>
      </c>
      <c r="AO722" s="26">
        <f t="shared" ca="1" si="96"/>
        <v>0.56778721096678686</v>
      </c>
      <c r="AP722" s="29">
        <f t="shared" ca="1" si="129"/>
        <v>154</v>
      </c>
      <c r="AR722" s="22">
        <v>45267</v>
      </c>
      <c r="AS722" s="26">
        <f t="shared" ca="1" si="97"/>
        <v>0.98827104550612943</v>
      </c>
      <c r="AT722" s="29">
        <f t="shared" ca="1" si="130"/>
        <v>348</v>
      </c>
      <c r="AV722" s="22">
        <v>45267</v>
      </c>
      <c r="AW722" s="26">
        <f t="shared" ca="1" si="98"/>
        <v>0.42732133482358081</v>
      </c>
      <c r="AX722" s="29">
        <f t="shared" ca="1" si="131"/>
        <v>183</v>
      </c>
      <c r="AZ722" s="22">
        <v>45267</v>
      </c>
      <c r="BA722" s="26">
        <f t="shared" ca="1" si="99"/>
        <v>0.77637537912140642</v>
      </c>
      <c r="BB722" s="29">
        <f t="shared" ca="1" si="132"/>
        <v>217</v>
      </c>
      <c r="BC722"/>
      <c r="BD722" s="25"/>
      <c r="BF722" s="22">
        <v>45267</v>
      </c>
      <c r="BG722" s="26">
        <f t="shared" ca="1" si="100"/>
        <v>0.18089235079898125</v>
      </c>
      <c r="BH722" s="29">
        <f t="shared" ca="1" si="133"/>
        <v>121</v>
      </c>
      <c r="BJ722" s="22">
        <v>45267</v>
      </c>
      <c r="BK722" s="26">
        <f t="shared" ca="1" si="101"/>
        <v>0.31810725376016036</v>
      </c>
      <c r="BL722" s="29">
        <v>0</v>
      </c>
      <c r="BN722" s="22">
        <v>45267</v>
      </c>
      <c r="BO722" s="26">
        <f t="shared" ca="1" si="102"/>
        <v>0.95636250977935633</v>
      </c>
      <c r="BP722" s="29">
        <v>0</v>
      </c>
      <c r="BR722" s="22">
        <v>45267</v>
      </c>
      <c r="BS722" s="26">
        <f t="shared" ca="1" si="103"/>
        <v>0.15396814860917651</v>
      </c>
      <c r="BT722" s="29">
        <v>0</v>
      </c>
      <c r="BV722" s="22">
        <v>45267</v>
      </c>
      <c r="BW722" s="26">
        <f t="shared" ca="1" si="104"/>
        <v>0.43737319554523568</v>
      </c>
      <c r="BX722" s="29">
        <v>0</v>
      </c>
    </row>
    <row r="723" spans="2:76" ht="12.75" x14ac:dyDescent="0.2">
      <c r="B723" s="22">
        <v>45268</v>
      </c>
      <c r="C723" s="26">
        <f t="shared" ca="1" si="119"/>
        <v>0.73998424647247907</v>
      </c>
      <c r="D723" s="29">
        <f t="shared" ca="1" si="134"/>
        <v>88</v>
      </c>
      <c r="F723" s="22"/>
      <c r="G723" s="26">
        <f t="shared" ca="1" si="88"/>
        <v>0.78301211936523996</v>
      </c>
      <c r="H723" s="29">
        <f t="shared" ca="1" si="121"/>
        <v>227</v>
      </c>
      <c r="J723" s="22">
        <v>45268</v>
      </c>
      <c r="K723" s="26">
        <f t="shared" ca="1" si="89"/>
        <v>0.67120361243020144</v>
      </c>
      <c r="L723" s="29">
        <f t="shared" ca="1" si="122"/>
        <v>155</v>
      </c>
      <c r="N723" s="22">
        <v>45268</v>
      </c>
      <c r="O723" s="26">
        <f t="shared" ca="1" si="90"/>
        <v>0.94673610724651025</v>
      </c>
      <c r="P723" s="29">
        <f t="shared" ca="1" si="123"/>
        <v>255</v>
      </c>
      <c r="R723" s="22">
        <v>45268</v>
      </c>
      <c r="S723" s="26">
        <f t="shared" ca="1" si="91"/>
        <v>0.54487463729663266</v>
      </c>
      <c r="T723" s="29">
        <f t="shared" ca="1" si="124"/>
        <v>140</v>
      </c>
      <c r="V723" s="22">
        <v>45268</v>
      </c>
      <c r="W723" s="26">
        <f t="shared" ca="1" si="92"/>
        <v>0.33609616237106787</v>
      </c>
      <c r="X723" s="29">
        <f t="shared" ca="1" si="125"/>
        <v>219</v>
      </c>
      <c r="Z723" s="22">
        <v>45268</v>
      </c>
      <c r="AA723" s="26">
        <f t="shared" ca="1" si="93"/>
        <v>0.62873038375121815</v>
      </c>
      <c r="AB723" s="29">
        <f t="shared" ca="1" si="126"/>
        <v>276</v>
      </c>
      <c r="AC723"/>
      <c r="AD723" s="25"/>
      <c r="AF723" s="22">
        <v>45268</v>
      </c>
      <c r="AG723" s="26">
        <f t="shared" ca="1" si="94"/>
        <v>0.49154130271331853</v>
      </c>
      <c r="AH723" s="29">
        <f t="shared" ca="1" si="127"/>
        <v>326</v>
      </c>
      <c r="AJ723" s="22">
        <v>45268</v>
      </c>
      <c r="AK723" s="26">
        <f t="shared" ca="1" si="95"/>
        <v>9.8430596839884199E-2</v>
      </c>
      <c r="AL723" s="29">
        <f t="shared" ca="1" si="128"/>
        <v>118</v>
      </c>
      <c r="AN723" s="22">
        <v>45268</v>
      </c>
      <c r="AO723" s="26">
        <f t="shared" ca="1" si="96"/>
        <v>0.1914233090406704</v>
      </c>
      <c r="AP723" s="29">
        <f t="shared" ca="1" si="129"/>
        <v>113</v>
      </c>
      <c r="AR723" s="22">
        <v>45268</v>
      </c>
      <c r="AS723" s="26">
        <f t="shared" ca="1" si="97"/>
        <v>0.92870481460581256</v>
      </c>
      <c r="AT723" s="29">
        <f t="shared" ca="1" si="130"/>
        <v>302</v>
      </c>
      <c r="AV723" s="22">
        <v>45268</v>
      </c>
      <c r="AW723" s="26">
        <f t="shared" ca="1" si="98"/>
        <v>0.90484961485378268</v>
      </c>
      <c r="AX723" s="29">
        <f t="shared" ca="1" si="131"/>
        <v>259</v>
      </c>
      <c r="AZ723" s="22">
        <v>45268</v>
      </c>
      <c r="BA723" s="26">
        <f t="shared" ca="1" si="99"/>
        <v>0.73412940718362307</v>
      </c>
      <c r="BB723" s="29">
        <f t="shared" ca="1" si="132"/>
        <v>210</v>
      </c>
      <c r="BC723"/>
      <c r="BD723" s="25"/>
      <c r="BF723" s="22">
        <v>45268</v>
      </c>
      <c r="BG723" s="26">
        <f t="shared" ca="1" si="100"/>
        <v>0.86004285429684424</v>
      </c>
      <c r="BH723" s="29">
        <f t="shared" ca="1" si="133"/>
        <v>206</v>
      </c>
      <c r="BJ723" s="22">
        <v>45268</v>
      </c>
      <c r="BK723" s="26">
        <f t="shared" ca="1" si="101"/>
        <v>0.63521213405640498</v>
      </c>
      <c r="BL723" s="29">
        <v>0</v>
      </c>
      <c r="BN723" s="22">
        <v>45268</v>
      </c>
      <c r="BO723" s="26">
        <f t="shared" ca="1" si="102"/>
        <v>0.42896772651198345</v>
      </c>
      <c r="BP723" s="29">
        <v>0</v>
      </c>
      <c r="BR723" s="22">
        <v>45268</v>
      </c>
      <c r="BS723" s="26">
        <f t="shared" ca="1" si="103"/>
        <v>7.2000326105007839E-2</v>
      </c>
      <c r="BT723" s="29">
        <v>0</v>
      </c>
      <c r="BV723" s="22">
        <v>45268</v>
      </c>
      <c r="BW723" s="26">
        <f t="shared" ca="1" si="104"/>
        <v>0.20988362058630272</v>
      </c>
      <c r="BX723" s="29">
        <v>0</v>
      </c>
    </row>
    <row r="724" spans="2:76" ht="12.75" x14ac:dyDescent="0.2">
      <c r="B724" s="22">
        <v>45269</v>
      </c>
      <c r="C724" s="26">
        <f t="shared" ref="C724:C860" ca="1" si="135">RAND()</f>
        <v>4.6780395391002205E-2</v>
      </c>
      <c r="D724" s="29">
        <f t="shared" ca="1" si="134"/>
        <v>42</v>
      </c>
      <c r="F724" s="22"/>
      <c r="G724" s="26">
        <f t="shared" ca="1" si="88"/>
        <v>0.31857515629694444</v>
      </c>
      <c r="H724" s="29">
        <f t="shared" ca="1" si="121"/>
        <v>209</v>
      </c>
      <c r="J724" s="22">
        <v>45269</v>
      </c>
      <c r="K724" s="26">
        <f t="shared" ca="1" si="89"/>
        <v>0.18108152834878533</v>
      </c>
      <c r="L724" s="29">
        <f t="shared" ca="1" si="122"/>
        <v>141</v>
      </c>
      <c r="N724" s="22">
        <v>45269</v>
      </c>
      <c r="O724" s="26">
        <f t="shared" ca="1" si="90"/>
        <v>0.25126732904049176</v>
      </c>
      <c r="P724" s="29">
        <f t="shared" ca="1" si="123"/>
        <v>220</v>
      </c>
      <c r="R724" s="22">
        <v>45269</v>
      </c>
      <c r="S724" s="26">
        <f t="shared" ca="1" si="91"/>
        <v>3.4982181872895701E-3</v>
      </c>
      <c r="T724" s="29">
        <f t="shared" ca="1" si="124"/>
        <v>114</v>
      </c>
      <c r="V724" s="22">
        <v>45269</v>
      </c>
      <c r="W724" s="26">
        <f t="shared" ca="1" si="92"/>
        <v>0.42913695529267137</v>
      </c>
      <c r="X724" s="29">
        <f t="shared" ca="1" si="125"/>
        <v>223</v>
      </c>
      <c r="Z724" s="22">
        <v>45269</v>
      </c>
      <c r="AA724" s="26">
        <f t="shared" ca="1" si="93"/>
        <v>0.64691180004029514</v>
      </c>
      <c r="AB724" s="29">
        <f t="shared" ca="1" si="126"/>
        <v>277</v>
      </c>
      <c r="AC724"/>
      <c r="AD724" s="25"/>
      <c r="AF724" s="22">
        <v>45269</v>
      </c>
      <c r="AG724" s="26">
        <f t="shared" ca="1" si="94"/>
        <v>3.5841762738182847E-2</v>
      </c>
      <c r="AH724" s="29">
        <f t="shared" ca="1" si="127"/>
        <v>170</v>
      </c>
      <c r="AJ724" s="22">
        <v>45269</v>
      </c>
      <c r="AK724" s="26">
        <f t="shared" ca="1" si="95"/>
        <v>0.56720932046017791</v>
      </c>
      <c r="AL724" s="29">
        <f t="shared" ca="1" si="128"/>
        <v>188</v>
      </c>
      <c r="AN724" s="22">
        <v>45269</v>
      </c>
      <c r="AO724" s="26">
        <f t="shared" ca="1" si="96"/>
        <v>0.71276849176286594</v>
      </c>
      <c r="AP724" s="29">
        <f t="shared" ca="1" si="129"/>
        <v>170</v>
      </c>
      <c r="AR724" s="22">
        <v>45269</v>
      </c>
      <c r="AS724" s="26">
        <f t="shared" ca="1" si="97"/>
        <v>0.47563900698292438</v>
      </c>
      <c r="AT724" s="29">
        <f t="shared" ca="1" si="130"/>
        <v>214</v>
      </c>
      <c r="AV724" s="22">
        <v>45269</v>
      </c>
      <c r="AW724" s="26">
        <f t="shared" ca="1" si="98"/>
        <v>0.81454634176766549</v>
      </c>
      <c r="AX724" s="29">
        <f t="shared" ca="1" si="131"/>
        <v>238</v>
      </c>
      <c r="AZ724" s="22">
        <v>45269</v>
      </c>
      <c r="BA724" s="26">
        <f t="shared" ca="1" si="99"/>
        <v>0.99505608183539518</v>
      </c>
      <c r="BB724" s="29">
        <f t="shared" ca="1" si="132"/>
        <v>304</v>
      </c>
      <c r="BC724"/>
      <c r="BD724" s="25"/>
      <c r="BF724" s="22">
        <v>45269</v>
      </c>
      <c r="BG724" s="26">
        <f t="shared" ca="1" si="100"/>
        <v>0.31925320411441183</v>
      </c>
      <c r="BH724" s="29">
        <f t="shared" ca="1" si="133"/>
        <v>140</v>
      </c>
      <c r="BJ724" s="22">
        <v>45269</v>
      </c>
      <c r="BK724" s="26">
        <f t="shared" ca="1" si="101"/>
        <v>0.24623730298467894</v>
      </c>
      <c r="BL724" s="29">
        <v>0</v>
      </c>
      <c r="BN724" s="22">
        <v>45269</v>
      </c>
      <c r="BO724" s="26">
        <f t="shared" ca="1" si="102"/>
        <v>7.1065585153934796E-2</v>
      </c>
      <c r="BP724" s="29">
        <v>0</v>
      </c>
      <c r="BR724" s="22">
        <v>45269</v>
      </c>
      <c r="BS724" s="26">
        <f t="shared" ca="1" si="103"/>
        <v>0.91982143109677394</v>
      </c>
      <c r="BT724" s="29">
        <v>0</v>
      </c>
      <c r="BV724" s="22">
        <v>45269</v>
      </c>
      <c r="BW724" s="26">
        <f t="shared" ca="1" si="104"/>
        <v>0.34576281902301009</v>
      </c>
      <c r="BX724" s="29">
        <v>0</v>
      </c>
    </row>
    <row r="725" spans="2:76" ht="12.75" x14ac:dyDescent="0.2">
      <c r="B725" s="22">
        <v>45270</v>
      </c>
      <c r="C725" s="26">
        <f t="shared" ca="1" si="135"/>
        <v>0.68335013216830454</v>
      </c>
      <c r="D725" s="29">
        <f t="shared" ca="1" si="134"/>
        <v>85</v>
      </c>
      <c r="F725" s="22"/>
      <c r="G725" s="26">
        <f t="shared" ca="1" si="88"/>
        <v>0.71324750277074322</v>
      </c>
      <c r="H725" s="29">
        <f t="shared" ca="1" si="121"/>
        <v>224</v>
      </c>
      <c r="J725" s="22">
        <v>45270</v>
      </c>
      <c r="K725" s="26">
        <f t="shared" ca="1" si="89"/>
        <v>0.33423212901193722</v>
      </c>
      <c r="L725" s="29">
        <f t="shared" ca="1" si="122"/>
        <v>146</v>
      </c>
      <c r="N725" s="22">
        <v>45270</v>
      </c>
      <c r="O725" s="26">
        <f t="shared" ca="1" si="90"/>
        <v>0.51207175471420474</v>
      </c>
      <c r="P725" s="29">
        <f t="shared" ca="1" si="123"/>
        <v>230</v>
      </c>
      <c r="R725" s="22">
        <v>45270</v>
      </c>
      <c r="S725" s="26">
        <f t="shared" ca="1" si="91"/>
        <v>0.24190117669819211</v>
      </c>
      <c r="T725" s="29">
        <f t="shared" ca="1" si="124"/>
        <v>133</v>
      </c>
      <c r="V725" s="22">
        <v>45270</v>
      </c>
      <c r="W725" s="26">
        <f t="shared" ca="1" si="92"/>
        <v>0.61076490322726418</v>
      </c>
      <c r="X725" s="29">
        <f t="shared" ca="1" si="125"/>
        <v>230</v>
      </c>
      <c r="Z725" s="22">
        <v>45270</v>
      </c>
      <c r="AA725" s="26">
        <f t="shared" ca="1" si="93"/>
        <v>0.45518706840498169</v>
      </c>
      <c r="AB725" s="29">
        <f t="shared" ca="1" si="126"/>
        <v>268</v>
      </c>
      <c r="AC725"/>
      <c r="AD725" s="25"/>
      <c r="AF725" s="22">
        <v>45270</v>
      </c>
      <c r="AG725" s="26">
        <f t="shared" ca="1" si="94"/>
        <v>0.48333109505067651</v>
      </c>
      <c r="AH725" s="29">
        <f t="shared" ca="1" si="127"/>
        <v>324</v>
      </c>
      <c r="AJ725" s="22">
        <v>45270</v>
      </c>
      <c r="AK725" s="26">
        <f t="shared" ca="1" si="95"/>
        <v>0.1385428064016706</v>
      </c>
      <c r="AL725" s="29">
        <f t="shared" ca="1" si="128"/>
        <v>128</v>
      </c>
      <c r="AN725" s="22">
        <v>45270</v>
      </c>
      <c r="AO725" s="26">
        <f t="shared" ca="1" si="96"/>
        <v>0.5023122949963279</v>
      </c>
      <c r="AP725" s="29">
        <f t="shared" ca="1" si="129"/>
        <v>148</v>
      </c>
      <c r="AR725" s="22">
        <v>45270</v>
      </c>
      <c r="AS725" s="26">
        <f t="shared" ca="1" si="97"/>
        <v>0.86365637729584921</v>
      </c>
      <c r="AT725" s="29">
        <f t="shared" ca="1" si="130"/>
        <v>281</v>
      </c>
      <c r="AV725" s="22">
        <v>45270</v>
      </c>
      <c r="AW725" s="26">
        <f t="shared" ca="1" si="98"/>
        <v>0.1838096403437609</v>
      </c>
      <c r="AX725" s="29">
        <f t="shared" ca="1" si="131"/>
        <v>146</v>
      </c>
      <c r="AZ725" s="22">
        <v>45270</v>
      </c>
      <c r="BA725" s="26">
        <f t="shared" ca="1" si="99"/>
        <v>0.64445891014585743</v>
      </c>
      <c r="BB725" s="29">
        <f t="shared" ca="1" si="132"/>
        <v>198</v>
      </c>
      <c r="BC725"/>
      <c r="BD725" s="25"/>
      <c r="BF725" s="22">
        <v>45270</v>
      </c>
      <c r="BG725" s="26">
        <f t="shared" ca="1" si="100"/>
        <v>0.31536692696272783</v>
      </c>
      <c r="BH725" s="29">
        <f t="shared" ca="1" si="133"/>
        <v>140</v>
      </c>
      <c r="BJ725" s="22">
        <v>45270</v>
      </c>
      <c r="BK725" s="26">
        <f t="shared" ca="1" si="101"/>
        <v>0.32900239220349026</v>
      </c>
      <c r="BL725" s="29">
        <v>0</v>
      </c>
      <c r="BN725" s="22">
        <v>45270</v>
      </c>
      <c r="BO725" s="26">
        <f t="shared" ca="1" si="102"/>
        <v>0.34276547538193458</v>
      </c>
      <c r="BP725" s="29">
        <v>0</v>
      </c>
      <c r="BR725" s="22">
        <v>45270</v>
      </c>
      <c r="BS725" s="26">
        <f t="shared" ca="1" si="103"/>
        <v>0.54469717412352914</v>
      </c>
      <c r="BT725" s="29">
        <v>0</v>
      </c>
      <c r="BV725" s="22">
        <v>45270</v>
      </c>
      <c r="BW725" s="26">
        <f t="shared" ca="1" si="104"/>
        <v>0.96501601141200188</v>
      </c>
      <c r="BX725" s="29">
        <v>0</v>
      </c>
    </row>
    <row r="726" spans="2:76" ht="12.75" x14ac:dyDescent="0.2">
      <c r="B726" s="22">
        <v>45271</v>
      </c>
      <c r="C726" s="26">
        <f t="shared" ca="1" si="135"/>
        <v>8.3430721523779505E-2</v>
      </c>
      <c r="D726" s="29">
        <f t="shared" ca="1" si="134"/>
        <v>48</v>
      </c>
      <c r="F726" s="22"/>
      <c r="G726" s="26">
        <f t="shared" ca="1" si="88"/>
        <v>0.76203096257235015</v>
      </c>
      <c r="H726" s="29">
        <f t="shared" ca="1" si="121"/>
        <v>226</v>
      </c>
      <c r="J726" s="22">
        <v>45271</v>
      </c>
      <c r="K726" s="26">
        <f t="shared" ca="1" si="89"/>
        <v>0.39943053521109217</v>
      </c>
      <c r="L726" s="29">
        <f t="shared" ca="1" si="122"/>
        <v>148</v>
      </c>
      <c r="N726" s="22">
        <v>45271</v>
      </c>
      <c r="O726" s="26">
        <f t="shared" ca="1" si="90"/>
        <v>0.19483737611505236</v>
      </c>
      <c r="P726" s="29">
        <f t="shared" ca="1" si="123"/>
        <v>217</v>
      </c>
      <c r="R726" s="22">
        <v>45271</v>
      </c>
      <c r="S726" s="26">
        <f t="shared" ca="1" si="91"/>
        <v>0.71867691257392674</v>
      </c>
      <c r="T726" s="29">
        <f t="shared" ca="1" si="124"/>
        <v>145</v>
      </c>
      <c r="V726" s="22">
        <v>45271</v>
      </c>
      <c r="W726" s="26">
        <f t="shared" ca="1" si="92"/>
        <v>0.16022057601706574</v>
      </c>
      <c r="X726" s="29">
        <f t="shared" ca="1" si="125"/>
        <v>211</v>
      </c>
      <c r="Z726" s="22">
        <v>45271</v>
      </c>
      <c r="AA726" s="26">
        <f t="shared" ca="1" si="93"/>
        <v>0.70028150261896394</v>
      </c>
      <c r="AB726" s="29">
        <f t="shared" ca="1" si="126"/>
        <v>280</v>
      </c>
      <c r="AC726"/>
      <c r="AD726" s="25"/>
      <c r="AF726" s="22">
        <v>45271</v>
      </c>
      <c r="AG726" s="26">
        <f t="shared" ca="1" si="94"/>
        <v>0.4230185998749163</v>
      </c>
      <c r="AH726" s="29">
        <f t="shared" ca="1" si="127"/>
        <v>311</v>
      </c>
      <c r="AJ726" s="22">
        <v>45271</v>
      </c>
      <c r="AK726" s="26">
        <f t="shared" ca="1" si="95"/>
        <v>0.8025068245788588</v>
      </c>
      <c r="AL726" s="29">
        <f t="shared" ca="1" si="128"/>
        <v>221</v>
      </c>
      <c r="AN726" s="22">
        <v>45271</v>
      </c>
      <c r="AO726" s="26">
        <f t="shared" ca="1" si="96"/>
        <v>0.79132263930281643</v>
      </c>
      <c r="AP726" s="29">
        <f t="shared" ca="1" si="129"/>
        <v>179</v>
      </c>
      <c r="AR726" s="22">
        <v>45271</v>
      </c>
      <c r="AS726" s="26">
        <f t="shared" ca="1" si="97"/>
        <v>0.2827378317618966</v>
      </c>
      <c r="AT726" s="29">
        <f t="shared" ca="1" si="130"/>
        <v>184</v>
      </c>
      <c r="AV726" s="22">
        <v>45271</v>
      </c>
      <c r="AW726" s="26">
        <f t="shared" ca="1" si="98"/>
        <v>0.23698171692327163</v>
      </c>
      <c r="AX726" s="29">
        <f t="shared" ca="1" si="131"/>
        <v>156</v>
      </c>
      <c r="AZ726" s="22">
        <v>45271</v>
      </c>
      <c r="BA726" s="26">
        <f t="shared" ca="1" si="99"/>
        <v>0.65689814010230463</v>
      </c>
      <c r="BB726" s="29">
        <f t="shared" ca="1" si="132"/>
        <v>200</v>
      </c>
      <c r="BC726"/>
      <c r="BD726" s="25"/>
      <c r="BF726" s="22">
        <v>45271</v>
      </c>
      <c r="BG726" s="26">
        <f t="shared" ca="1" si="100"/>
        <v>9.8343792391288765E-2</v>
      </c>
      <c r="BH726" s="29">
        <f t="shared" ca="1" si="133"/>
        <v>105</v>
      </c>
      <c r="BJ726" s="22">
        <v>45271</v>
      </c>
      <c r="BK726" s="26">
        <f t="shared" ca="1" si="101"/>
        <v>0.93652581069884933</v>
      </c>
      <c r="BL726" s="29">
        <v>0</v>
      </c>
      <c r="BN726" s="22">
        <v>45271</v>
      </c>
      <c r="BO726" s="26">
        <f t="shared" ca="1" si="102"/>
        <v>0.12351953181878983</v>
      </c>
      <c r="BP726" s="29">
        <v>0</v>
      </c>
      <c r="BR726" s="22">
        <v>45271</v>
      </c>
      <c r="BS726" s="26">
        <f t="shared" ca="1" si="103"/>
        <v>0.24924493808475268</v>
      </c>
      <c r="BT726" s="29">
        <v>0</v>
      </c>
      <c r="BV726" s="22">
        <v>45271</v>
      </c>
      <c r="BW726" s="26">
        <f t="shared" ca="1" si="104"/>
        <v>0.55114232569624888</v>
      </c>
      <c r="BX726" s="29">
        <v>0</v>
      </c>
    </row>
    <row r="727" spans="2:76" ht="12.75" x14ac:dyDescent="0.2">
      <c r="B727" s="22">
        <v>45272</v>
      </c>
      <c r="C727" s="26">
        <f t="shared" ca="1" si="135"/>
        <v>0.80567156746734359</v>
      </c>
      <c r="D727" s="29">
        <f t="shared" ca="1" si="134"/>
        <v>93</v>
      </c>
      <c r="F727" s="22"/>
      <c r="G727" s="26">
        <f t="shared" ca="1" si="88"/>
        <v>0.14699479088314704</v>
      </c>
      <c r="H727" s="29">
        <f t="shared" ca="1" si="121"/>
        <v>201</v>
      </c>
      <c r="J727" s="22">
        <v>45272</v>
      </c>
      <c r="K727" s="26">
        <f t="shared" ca="1" si="89"/>
        <v>0.99796276374592208</v>
      </c>
      <c r="L727" s="29">
        <f t="shared" ca="1" si="122"/>
        <v>179</v>
      </c>
      <c r="N727" s="22">
        <v>45272</v>
      </c>
      <c r="O727" s="26">
        <f t="shared" ca="1" si="90"/>
        <v>0.876383463157547</v>
      </c>
      <c r="P727" s="29">
        <f t="shared" ca="1" si="123"/>
        <v>248</v>
      </c>
      <c r="R727" s="22">
        <v>45272</v>
      </c>
      <c r="S727" s="26">
        <f t="shared" ca="1" si="91"/>
        <v>0.95659704810386803</v>
      </c>
      <c r="T727" s="29">
        <f t="shared" ca="1" si="124"/>
        <v>155</v>
      </c>
      <c r="V727" s="22">
        <v>45272</v>
      </c>
      <c r="W727" s="26">
        <f t="shared" ca="1" si="92"/>
        <v>0.61129026659689989</v>
      </c>
      <c r="X727" s="29">
        <f t="shared" ca="1" si="125"/>
        <v>230</v>
      </c>
      <c r="Z727" s="22">
        <v>45272</v>
      </c>
      <c r="AA727" s="26">
        <f t="shared" ca="1" si="93"/>
        <v>2.7150473469613412E-2</v>
      </c>
      <c r="AB727" s="29">
        <f t="shared" ca="1" si="126"/>
        <v>236</v>
      </c>
      <c r="AC727"/>
      <c r="AD727" s="25"/>
      <c r="AF727" s="22">
        <v>45272</v>
      </c>
      <c r="AG727" s="26">
        <f t="shared" ca="1" si="94"/>
        <v>0.81057848547190581</v>
      </c>
      <c r="AH727" s="29">
        <f t="shared" ca="1" si="127"/>
        <v>404</v>
      </c>
      <c r="AJ727" s="22">
        <v>45272</v>
      </c>
      <c r="AK727" s="26">
        <f t="shared" ca="1" si="95"/>
        <v>0.19452462655079561</v>
      </c>
      <c r="AL727" s="29">
        <f t="shared" ca="1" si="128"/>
        <v>139</v>
      </c>
      <c r="AN727" s="22">
        <v>45272</v>
      </c>
      <c r="AO727" s="26">
        <f t="shared" ca="1" si="96"/>
        <v>0.26817165135378518</v>
      </c>
      <c r="AP727" s="29">
        <f t="shared" ca="1" si="129"/>
        <v>123</v>
      </c>
      <c r="AR727" s="22">
        <v>45272</v>
      </c>
      <c r="AS727" s="26">
        <f t="shared" ca="1" si="97"/>
        <v>0.19316885320899602</v>
      </c>
      <c r="AT727" s="29">
        <f t="shared" ca="1" si="130"/>
        <v>167</v>
      </c>
      <c r="AV727" s="22">
        <v>45272</v>
      </c>
      <c r="AW727" s="26">
        <f t="shared" ca="1" si="98"/>
        <v>0.67590790990507144</v>
      </c>
      <c r="AX727" s="29">
        <f t="shared" ca="1" si="131"/>
        <v>216</v>
      </c>
      <c r="AZ727" s="22">
        <v>45272</v>
      </c>
      <c r="BA727" s="26">
        <f t="shared" ca="1" si="99"/>
        <v>0.2736929256967241</v>
      </c>
      <c r="BB727" s="29">
        <f t="shared" ca="1" si="132"/>
        <v>151</v>
      </c>
      <c r="BC727"/>
      <c r="BD727" s="25"/>
      <c r="BF727" s="22">
        <v>45272</v>
      </c>
      <c r="BG727" s="26">
        <f t="shared" ca="1" si="100"/>
        <v>0.35487326199159586</v>
      </c>
      <c r="BH727" s="29">
        <f t="shared" ca="1" si="133"/>
        <v>144</v>
      </c>
      <c r="BJ727" s="22">
        <v>45272</v>
      </c>
      <c r="BK727" s="26">
        <f t="shared" ca="1" si="101"/>
        <v>4.22394793219526E-2</v>
      </c>
      <c r="BL727" s="29">
        <v>0</v>
      </c>
      <c r="BN727" s="22">
        <v>45272</v>
      </c>
      <c r="BO727" s="26">
        <f t="shared" ca="1" si="102"/>
        <v>0.34390954504654725</v>
      </c>
      <c r="BP727" s="29">
        <v>0</v>
      </c>
      <c r="BR727" s="22">
        <v>45272</v>
      </c>
      <c r="BS727" s="26">
        <f t="shared" ca="1" si="103"/>
        <v>0.87691344842257735</v>
      </c>
      <c r="BT727" s="29">
        <v>0</v>
      </c>
      <c r="BV727" s="22">
        <v>45272</v>
      </c>
      <c r="BW727" s="26">
        <f t="shared" ca="1" si="104"/>
        <v>0.7955518501101686</v>
      </c>
      <c r="BX727" s="29">
        <v>0</v>
      </c>
    </row>
    <row r="728" spans="2:76" ht="12.75" x14ac:dyDescent="0.2">
      <c r="B728" s="22">
        <v>45273</v>
      </c>
      <c r="C728" s="26">
        <f t="shared" ca="1" si="135"/>
        <v>0.12145275281540902</v>
      </c>
      <c r="D728" s="29">
        <f t="shared" ca="1" si="134"/>
        <v>52</v>
      </c>
      <c r="F728" s="22"/>
      <c r="G728" s="26">
        <f t="shared" ca="1" si="88"/>
        <v>0.62642131267773649</v>
      </c>
      <c r="H728" s="29">
        <f t="shared" ca="1" si="121"/>
        <v>221</v>
      </c>
      <c r="J728" s="22">
        <v>45273</v>
      </c>
      <c r="K728" s="26">
        <f t="shared" ca="1" si="89"/>
        <v>0.70421016062823616</v>
      </c>
      <c r="L728" s="29">
        <f t="shared" ca="1" si="122"/>
        <v>156</v>
      </c>
      <c r="N728" s="22">
        <v>45273</v>
      </c>
      <c r="O728" s="26">
        <f t="shared" ca="1" si="90"/>
        <v>0.24161202976117191</v>
      </c>
      <c r="P728" s="29">
        <f t="shared" ca="1" si="123"/>
        <v>219</v>
      </c>
      <c r="R728" s="22">
        <v>45273</v>
      </c>
      <c r="S728" s="26">
        <f t="shared" ca="1" si="91"/>
        <v>0.77513931564855176</v>
      </c>
      <c r="T728" s="29">
        <f t="shared" ca="1" si="124"/>
        <v>146</v>
      </c>
      <c r="V728" s="22">
        <v>45273</v>
      </c>
      <c r="W728" s="26">
        <f t="shared" ca="1" si="92"/>
        <v>0.77763982746241356</v>
      </c>
      <c r="X728" s="29">
        <f t="shared" ca="1" si="125"/>
        <v>237</v>
      </c>
      <c r="Z728" s="22">
        <v>45273</v>
      </c>
      <c r="AA728" s="26">
        <f t="shared" ca="1" si="93"/>
        <v>3.788028966866519E-2</v>
      </c>
      <c r="AB728" s="29">
        <f t="shared" ca="1" si="126"/>
        <v>239</v>
      </c>
      <c r="AC728"/>
      <c r="AD728" s="25"/>
      <c r="AF728" s="22">
        <v>45273</v>
      </c>
      <c r="AG728" s="26">
        <f t="shared" ca="1" si="94"/>
        <v>0.50080336958704208</v>
      </c>
      <c r="AH728" s="29">
        <f t="shared" ca="1" si="127"/>
        <v>328</v>
      </c>
      <c r="AJ728" s="22">
        <v>45273</v>
      </c>
      <c r="AK728" s="26">
        <f t="shared" ca="1" si="95"/>
        <v>0.23745092242817245</v>
      </c>
      <c r="AL728" s="29">
        <f t="shared" ca="1" si="128"/>
        <v>146</v>
      </c>
      <c r="AN728" s="22">
        <v>45273</v>
      </c>
      <c r="AO728" s="26">
        <f t="shared" ca="1" si="96"/>
        <v>0.21877991165668476</v>
      </c>
      <c r="AP728" s="29">
        <f t="shared" ca="1" si="129"/>
        <v>117</v>
      </c>
      <c r="AR728" s="22">
        <v>45273</v>
      </c>
      <c r="AS728" s="26">
        <f t="shared" ca="1" si="97"/>
        <v>7.8557140699564654E-2</v>
      </c>
      <c r="AT728" s="29">
        <f t="shared" ca="1" si="130"/>
        <v>135</v>
      </c>
      <c r="AV728" s="22">
        <v>45273</v>
      </c>
      <c r="AW728" s="26">
        <f t="shared" ca="1" si="98"/>
        <v>0.4626867815406227</v>
      </c>
      <c r="AX728" s="29">
        <f t="shared" ca="1" si="131"/>
        <v>187</v>
      </c>
      <c r="AZ728" s="22">
        <v>45273</v>
      </c>
      <c r="BA728" s="26">
        <f t="shared" ca="1" si="99"/>
        <v>0.57123111697363615</v>
      </c>
      <c r="BB728" s="29">
        <f t="shared" ca="1" si="132"/>
        <v>189</v>
      </c>
      <c r="BC728"/>
      <c r="BD728" s="25"/>
      <c r="BF728" s="22">
        <v>45273</v>
      </c>
      <c r="BG728" s="26">
        <f t="shared" ca="1" si="100"/>
        <v>0.26057158361205524</v>
      </c>
      <c r="BH728" s="29">
        <f t="shared" ca="1" si="133"/>
        <v>133</v>
      </c>
      <c r="BJ728" s="22">
        <v>45273</v>
      </c>
      <c r="BK728" s="26">
        <f t="shared" ca="1" si="101"/>
        <v>0.5865830690822107</v>
      </c>
      <c r="BL728" s="29">
        <v>0</v>
      </c>
      <c r="BN728" s="22">
        <v>45273</v>
      </c>
      <c r="BO728" s="26">
        <f t="shared" ca="1" si="102"/>
        <v>0.21838840234578394</v>
      </c>
      <c r="BP728" s="29">
        <v>0</v>
      </c>
      <c r="BR728" s="22">
        <v>45273</v>
      </c>
      <c r="BS728" s="26">
        <f t="shared" ca="1" si="103"/>
        <v>0.43119630445482748</v>
      </c>
      <c r="BT728" s="29">
        <v>0</v>
      </c>
      <c r="BV728" s="22">
        <v>45273</v>
      </c>
      <c r="BW728" s="26">
        <f t="shared" ca="1" si="104"/>
        <v>0.85705596692758612</v>
      </c>
      <c r="BX728" s="29">
        <v>0</v>
      </c>
    </row>
    <row r="729" spans="2:76" ht="12.75" x14ac:dyDescent="0.2">
      <c r="B729" s="22">
        <v>45274</v>
      </c>
      <c r="C729" s="26">
        <f t="shared" ca="1" si="135"/>
        <v>0.78400377907969643</v>
      </c>
      <c r="D729" s="29">
        <f t="shared" ca="1" si="134"/>
        <v>91</v>
      </c>
      <c r="F729" s="22"/>
      <c r="G729" s="26">
        <f t="shared" ca="1" si="88"/>
        <v>0.21538022268701817</v>
      </c>
      <c r="H729" s="29">
        <f t="shared" ca="1" si="121"/>
        <v>205</v>
      </c>
      <c r="J729" s="22">
        <v>45274</v>
      </c>
      <c r="K729" s="26">
        <f t="shared" ca="1" si="89"/>
        <v>0.19256832518865363</v>
      </c>
      <c r="L729" s="29">
        <f t="shared" ca="1" si="122"/>
        <v>142</v>
      </c>
      <c r="N729" s="22">
        <v>45274</v>
      </c>
      <c r="O729" s="26">
        <f t="shared" ca="1" si="90"/>
        <v>0.59319119390809505</v>
      </c>
      <c r="P729" s="29">
        <f t="shared" ca="1" si="123"/>
        <v>233</v>
      </c>
      <c r="R729" s="22">
        <v>45274</v>
      </c>
      <c r="S729" s="26">
        <f t="shared" ca="1" si="91"/>
        <v>0.74993133308425686</v>
      </c>
      <c r="T729" s="29">
        <f t="shared" ca="1" si="124"/>
        <v>145</v>
      </c>
      <c r="V729" s="22">
        <v>45274</v>
      </c>
      <c r="W729" s="26">
        <f t="shared" ca="1" si="92"/>
        <v>0.24110095472402937</v>
      </c>
      <c r="X729" s="29">
        <f t="shared" ca="1" si="125"/>
        <v>215</v>
      </c>
      <c r="Z729" s="22">
        <v>45274</v>
      </c>
      <c r="AA729" s="26">
        <f t="shared" ca="1" si="93"/>
        <v>0.18651322035235141</v>
      </c>
      <c r="AB729" s="29">
        <f t="shared" ca="1" si="126"/>
        <v>254</v>
      </c>
      <c r="AC729"/>
      <c r="AD729" s="25"/>
      <c r="AF729" s="22">
        <v>45274</v>
      </c>
      <c r="AG729" s="26">
        <f t="shared" ca="1" si="94"/>
        <v>0.17977848177886191</v>
      </c>
      <c r="AH729" s="29">
        <f t="shared" ca="1" si="127"/>
        <v>248</v>
      </c>
      <c r="AJ729" s="22">
        <v>45274</v>
      </c>
      <c r="AK729" s="26">
        <f t="shared" ca="1" si="95"/>
        <v>0.96590242668835402</v>
      </c>
      <c r="AL729" s="29">
        <f t="shared" ca="1" si="128"/>
        <v>268</v>
      </c>
      <c r="AN729" s="22">
        <v>45274</v>
      </c>
      <c r="AO729" s="26">
        <f t="shared" ca="1" si="96"/>
        <v>0.37117386279470832</v>
      </c>
      <c r="AP729" s="29">
        <f t="shared" ca="1" si="129"/>
        <v>135</v>
      </c>
      <c r="AR729" s="22">
        <v>45274</v>
      </c>
      <c r="AS729" s="26">
        <f t="shared" ca="1" si="97"/>
        <v>0.5862884359311239</v>
      </c>
      <c r="AT729" s="29">
        <f t="shared" ca="1" si="130"/>
        <v>230</v>
      </c>
      <c r="AV729" s="22">
        <v>45274</v>
      </c>
      <c r="AW729" s="26">
        <f t="shared" ca="1" si="98"/>
        <v>0.4881654679750087</v>
      </c>
      <c r="AX729" s="29">
        <f t="shared" ca="1" si="131"/>
        <v>191</v>
      </c>
      <c r="AZ729" s="22">
        <v>45274</v>
      </c>
      <c r="BA729" s="26">
        <f t="shared" ca="1" si="99"/>
        <v>0.3248121668879177</v>
      </c>
      <c r="BB729" s="29">
        <f t="shared" ca="1" si="132"/>
        <v>159</v>
      </c>
      <c r="BC729"/>
      <c r="BD729" s="25"/>
      <c r="BF729" s="22">
        <v>45274</v>
      </c>
      <c r="BG729" s="26">
        <f t="shared" ca="1" si="100"/>
        <v>0.1656027097693531</v>
      </c>
      <c r="BH729" s="29">
        <f t="shared" ca="1" si="133"/>
        <v>119</v>
      </c>
      <c r="BJ729" s="22">
        <v>45274</v>
      </c>
      <c r="BK729" s="26">
        <f t="shared" ca="1" si="101"/>
        <v>0.56215260801149158</v>
      </c>
      <c r="BL729" s="29">
        <v>0</v>
      </c>
      <c r="BN729" s="22">
        <v>45274</v>
      </c>
      <c r="BO729" s="26">
        <f t="shared" ca="1" si="102"/>
        <v>0.70242100845384103</v>
      </c>
      <c r="BP729" s="29">
        <v>0</v>
      </c>
      <c r="BR729" s="22">
        <v>45274</v>
      </c>
      <c r="BS729" s="26">
        <f t="shared" ca="1" si="103"/>
        <v>0.37351451629194643</v>
      </c>
      <c r="BT729" s="29">
        <v>0</v>
      </c>
      <c r="BV729" s="22">
        <v>45274</v>
      </c>
      <c r="BW729" s="26">
        <f t="shared" ca="1" si="104"/>
        <v>0.62306612189617616</v>
      </c>
      <c r="BX729" s="29">
        <v>0</v>
      </c>
    </row>
    <row r="730" spans="2:76" ht="12.75" x14ac:dyDescent="0.2">
      <c r="B730" s="22">
        <v>45275</v>
      </c>
      <c r="C730" s="26">
        <f t="shared" ca="1" si="135"/>
        <v>0.254212974436824</v>
      </c>
      <c r="D730" s="29">
        <f t="shared" ca="1" si="134"/>
        <v>62</v>
      </c>
      <c r="F730" s="22"/>
      <c r="G730" s="26">
        <f t="shared" ca="1" si="88"/>
        <v>0.23283685577198554</v>
      </c>
      <c r="H730" s="29">
        <f t="shared" ca="1" si="121"/>
        <v>205</v>
      </c>
      <c r="J730" s="22">
        <v>45275</v>
      </c>
      <c r="K730" s="26">
        <f t="shared" ca="1" si="89"/>
        <v>0.38445458207375882</v>
      </c>
      <c r="L730" s="29">
        <f t="shared" ca="1" si="122"/>
        <v>148</v>
      </c>
      <c r="N730" s="22">
        <v>45275</v>
      </c>
      <c r="O730" s="26">
        <f t="shared" ca="1" si="90"/>
        <v>4.6220679402799725E-2</v>
      </c>
      <c r="P730" s="29">
        <f t="shared" ca="1" si="123"/>
        <v>204</v>
      </c>
      <c r="R730" s="22">
        <v>45275</v>
      </c>
      <c r="S730" s="26">
        <f t="shared" ca="1" si="91"/>
        <v>0.25584923063137555</v>
      </c>
      <c r="T730" s="29">
        <f t="shared" ca="1" si="124"/>
        <v>133</v>
      </c>
      <c r="V730" s="22">
        <v>45275</v>
      </c>
      <c r="W730" s="26">
        <f t="shared" ca="1" si="92"/>
        <v>0.54917488640473378</v>
      </c>
      <c r="X730" s="29">
        <f t="shared" ca="1" si="125"/>
        <v>227</v>
      </c>
      <c r="Z730" s="22">
        <v>45275</v>
      </c>
      <c r="AA730" s="26">
        <f t="shared" ca="1" si="93"/>
        <v>0.34506649863024252</v>
      </c>
      <c r="AB730" s="29">
        <f t="shared" ca="1" si="126"/>
        <v>263</v>
      </c>
      <c r="AC730"/>
      <c r="AD730" s="25"/>
      <c r="AF730" s="22">
        <v>45275</v>
      </c>
      <c r="AG730" s="26">
        <f t="shared" ca="1" si="94"/>
        <v>0.55121069169042236</v>
      </c>
      <c r="AH730" s="29">
        <f t="shared" ca="1" si="127"/>
        <v>339</v>
      </c>
      <c r="AJ730" s="22">
        <v>45275</v>
      </c>
      <c r="AK730" s="26">
        <f t="shared" ca="1" si="95"/>
        <v>0.59205367855836766</v>
      </c>
      <c r="AL730" s="29">
        <f t="shared" ca="1" si="128"/>
        <v>192</v>
      </c>
      <c r="AN730" s="22">
        <v>45275</v>
      </c>
      <c r="AO730" s="26">
        <f t="shared" ca="1" si="96"/>
        <v>0.64467794158485003</v>
      </c>
      <c r="AP730" s="29">
        <f t="shared" ca="1" si="129"/>
        <v>162</v>
      </c>
      <c r="AR730" s="22">
        <v>45275</v>
      </c>
      <c r="AS730" s="26">
        <f t="shared" ca="1" si="97"/>
        <v>0.76548355533480128</v>
      </c>
      <c r="AT730" s="29">
        <f t="shared" ca="1" si="130"/>
        <v>259</v>
      </c>
      <c r="AV730" s="22">
        <v>45275</v>
      </c>
      <c r="AW730" s="26">
        <f t="shared" ca="1" si="98"/>
        <v>0.26083341370839486</v>
      </c>
      <c r="AX730" s="29">
        <f t="shared" ca="1" si="131"/>
        <v>159</v>
      </c>
      <c r="AZ730" s="22">
        <v>45275</v>
      </c>
      <c r="BA730" s="26">
        <f t="shared" ca="1" si="99"/>
        <v>0.63626538489186268</v>
      </c>
      <c r="BB730" s="29">
        <f t="shared" ca="1" si="132"/>
        <v>197</v>
      </c>
      <c r="BC730"/>
      <c r="BD730" s="25"/>
      <c r="BF730" s="22">
        <v>45275</v>
      </c>
      <c r="BG730" s="26">
        <f t="shared" ca="1" si="100"/>
        <v>0.89587530061070786</v>
      </c>
      <c r="BH730" s="29">
        <f t="shared" ca="1" si="133"/>
        <v>214</v>
      </c>
      <c r="BJ730" s="22">
        <v>45275</v>
      </c>
      <c r="BK730" s="26">
        <f t="shared" ca="1" si="101"/>
        <v>0.29424131134699116</v>
      </c>
      <c r="BL730" s="29">
        <v>0</v>
      </c>
      <c r="BN730" s="22">
        <v>45275</v>
      </c>
      <c r="BO730" s="26">
        <f t="shared" ca="1" si="102"/>
        <v>0.13636729186178964</v>
      </c>
      <c r="BP730" s="29">
        <v>0</v>
      </c>
      <c r="BR730" s="22">
        <v>45275</v>
      </c>
      <c r="BS730" s="26">
        <f t="shared" ca="1" si="103"/>
        <v>9.0046709078001164E-2</v>
      </c>
      <c r="BT730" s="29">
        <v>0</v>
      </c>
      <c r="BV730" s="22">
        <v>45275</v>
      </c>
      <c r="BW730" s="26">
        <f t="shared" ca="1" si="104"/>
        <v>4.9790813923864419E-2</v>
      </c>
      <c r="BX730" s="29">
        <v>0</v>
      </c>
    </row>
    <row r="731" spans="2:76" ht="12.75" x14ac:dyDescent="0.2">
      <c r="B731" s="22">
        <v>45276</v>
      </c>
      <c r="C731" s="26">
        <f t="shared" ca="1" si="135"/>
        <v>0.6656390541177698</v>
      </c>
      <c r="D731" s="29">
        <f t="shared" ca="1" si="134"/>
        <v>84</v>
      </c>
      <c r="F731" s="22"/>
      <c r="G731" s="26">
        <f t="shared" ca="1" si="88"/>
        <v>0.62821820658787697</v>
      </c>
      <c r="H731" s="29">
        <f t="shared" ca="1" si="121"/>
        <v>221</v>
      </c>
      <c r="J731" s="22">
        <v>45276</v>
      </c>
      <c r="K731" s="26">
        <f t="shared" ca="1" si="89"/>
        <v>0.25235856820368507</v>
      </c>
      <c r="L731" s="29">
        <f t="shared" ca="1" si="122"/>
        <v>144</v>
      </c>
      <c r="N731" s="22">
        <v>45276</v>
      </c>
      <c r="O731" s="26">
        <f t="shared" ca="1" si="90"/>
        <v>0.72057883222722052</v>
      </c>
      <c r="P731" s="29">
        <f t="shared" ca="1" si="123"/>
        <v>239</v>
      </c>
      <c r="R731" s="22">
        <v>45276</v>
      </c>
      <c r="S731" s="26">
        <f t="shared" ca="1" si="91"/>
        <v>0.16201683472187889</v>
      </c>
      <c r="T731" s="29">
        <f t="shared" ca="1" si="124"/>
        <v>130</v>
      </c>
      <c r="V731" s="22">
        <v>45276</v>
      </c>
      <c r="W731" s="26">
        <f t="shared" ca="1" si="92"/>
        <v>0.71739041527957981</v>
      </c>
      <c r="X731" s="29">
        <f t="shared" ca="1" si="125"/>
        <v>234</v>
      </c>
      <c r="Z731" s="22">
        <v>45276</v>
      </c>
      <c r="AA731" s="26">
        <f t="shared" ca="1" si="93"/>
        <v>0.83095745274162369</v>
      </c>
      <c r="AB731" s="29">
        <f t="shared" ca="1" si="126"/>
        <v>288</v>
      </c>
      <c r="AC731"/>
      <c r="AD731" s="25"/>
      <c r="AF731" s="22">
        <v>45276</v>
      </c>
      <c r="AG731" s="26">
        <f t="shared" ca="1" si="94"/>
        <v>0.92727501810670743</v>
      </c>
      <c r="AH731" s="29">
        <f t="shared" ca="1" si="127"/>
        <v>454</v>
      </c>
      <c r="AJ731" s="22">
        <v>45276</v>
      </c>
      <c r="AK731" s="26">
        <f t="shared" ca="1" si="95"/>
        <v>0.77110454247662452</v>
      </c>
      <c r="AL731" s="29">
        <f t="shared" ca="1" si="128"/>
        <v>216</v>
      </c>
      <c r="AN731" s="22">
        <v>45276</v>
      </c>
      <c r="AO731" s="26">
        <f t="shared" ca="1" si="96"/>
        <v>0.86113404535708671</v>
      </c>
      <c r="AP731" s="29">
        <f t="shared" ca="1" si="129"/>
        <v>190</v>
      </c>
      <c r="AR731" s="22">
        <v>45276</v>
      </c>
      <c r="AS731" s="26">
        <f t="shared" ca="1" si="97"/>
        <v>0.18215397873811456</v>
      </c>
      <c r="AT731" s="29">
        <f t="shared" ca="1" si="130"/>
        <v>165</v>
      </c>
      <c r="AV731" s="22">
        <v>45276</v>
      </c>
      <c r="AW731" s="26">
        <f t="shared" ca="1" si="98"/>
        <v>0.76392402304507656</v>
      </c>
      <c r="AX731" s="29">
        <f t="shared" ca="1" si="131"/>
        <v>229</v>
      </c>
      <c r="AZ731" s="22">
        <v>45276</v>
      </c>
      <c r="BA731" s="26">
        <f t="shared" ca="1" si="99"/>
        <v>0.82402349207289571</v>
      </c>
      <c r="BB731" s="29">
        <f t="shared" ca="1" si="132"/>
        <v>225</v>
      </c>
      <c r="BC731"/>
      <c r="BD731" s="25"/>
      <c r="BF731" s="22">
        <v>45276</v>
      </c>
      <c r="BG731" s="26">
        <f t="shared" ca="1" si="100"/>
        <v>0.16083408360479334</v>
      </c>
      <c r="BH731" s="29">
        <f t="shared" ca="1" si="133"/>
        <v>118</v>
      </c>
      <c r="BJ731" s="22">
        <v>45276</v>
      </c>
      <c r="BK731" s="26">
        <f t="shared" ca="1" si="101"/>
        <v>0.77536254822383344</v>
      </c>
      <c r="BL731" s="29">
        <v>0</v>
      </c>
      <c r="BN731" s="22">
        <v>45276</v>
      </c>
      <c r="BO731" s="26">
        <f t="shared" ca="1" si="102"/>
        <v>0.86701245082008538</v>
      </c>
      <c r="BP731" s="29">
        <v>0</v>
      </c>
      <c r="BR731" s="22">
        <v>45276</v>
      </c>
      <c r="BS731" s="26">
        <f t="shared" ca="1" si="103"/>
        <v>0.27724794265778929</v>
      </c>
      <c r="BT731" s="29">
        <v>0</v>
      </c>
      <c r="BV731" s="22">
        <v>45276</v>
      </c>
      <c r="BW731" s="26">
        <f t="shared" ca="1" si="104"/>
        <v>0.50501061421823656</v>
      </c>
      <c r="BX731" s="29">
        <v>0</v>
      </c>
    </row>
    <row r="732" spans="2:76" ht="12.75" x14ac:dyDescent="0.2">
      <c r="B732" s="22">
        <v>45277</v>
      </c>
      <c r="C732" s="26">
        <f t="shared" ca="1" si="135"/>
        <v>0.15556451639160473</v>
      </c>
      <c r="D732" s="29">
        <f t="shared" ca="1" si="134"/>
        <v>55</v>
      </c>
      <c r="F732" s="22"/>
      <c r="G732" s="26">
        <f t="shared" ca="1" si="88"/>
        <v>0.37647419965328399</v>
      </c>
      <c r="H732" s="29">
        <f t="shared" ca="1" si="121"/>
        <v>211</v>
      </c>
      <c r="J732" s="22">
        <v>45277</v>
      </c>
      <c r="K732" s="26">
        <f t="shared" ca="1" si="89"/>
        <v>0.82433051115429357</v>
      </c>
      <c r="L732" s="29">
        <f t="shared" ca="1" si="122"/>
        <v>160</v>
      </c>
      <c r="N732" s="22">
        <v>45277</v>
      </c>
      <c r="O732" s="26">
        <f t="shared" ca="1" si="90"/>
        <v>0.22328582940167119</v>
      </c>
      <c r="P732" s="29">
        <f t="shared" ca="1" si="123"/>
        <v>218</v>
      </c>
      <c r="R732" s="22">
        <v>45277</v>
      </c>
      <c r="S732" s="26">
        <f t="shared" ca="1" si="91"/>
        <v>0.75063572895460251</v>
      </c>
      <c r="T732" s="29">
        <f t="shared" ca="1" si="124"/>
        <v>146</v>
      </c>
      <c r="V732" s="22">
        <v>45277</v>
      </c>
      <c r="W732" s="26">
        <f t="shared" ca="1" si="92"/>
        <v>0.7003043652418649</v>
      </c>
      <c r="X732" s="29">
        <f t="shared" ca="1" si="125"/>
        <v>233</v>
      </c>
      <c r="Z732" s="22">
        <v>45277</v>
      </c>
      <c r="AA732" s="26">
        <f t="shared" ca="1" si="93"/>
        <v>0.45140088432794412</v>
      </c>
      <c r="AB732" s="29">
        <f t="shared" ca="1" si="126"/>
        <v>268</v>
      </c>
      <c r="AC732"/>
      <c r="AD732" s="25"/>
      <c r="AF732" s="22">
        <v>45277</v>
      </c>
      <c r="AG732" s="26">
        <f t="shared" ca="1" si="94"/>
        <v>0.17799974832205256</v>
      </c>
      <c r="AH732" s="29">
        <f t="shared" ca="1" si="127"/>
        <v>247</v>
      </c>
      <c r="AJ732" s="22">
        <v>45277</v>
      </c>
      <c r="AK732" s="26">
        <f t="shared" ca="1" si="95"/>
        <v>0.45986843107446074</v>
      </c>
      <c r="AL732" s="29">
        <f t="shared" ca="1" si="128"/>
        <v>176</v>
      </c>
      <c r="AN732" s="22">
        <v>45277</v>
      </c>
      <c r="AO732" s="26">
        <f t="shared" ca="1" si="96"/>
        <v>0.90359406183742907</v>
      </c>
      <c r="AP732" s="29">
        <f t="shared" ca="1" si="129"/>
        <v>199</v>
      </c>
      <c r="AR732" s="22">
        <v>45277</v>
      </c>
      <c r="AS732" s="26">
        <f t="shared" ca="1" si="97"/>
        <v>0.40818023406186521</v>
      </c>
      <c r="AT732" s="29">
        <f t="shared" ca="1" si="130"/>
        <v>204</v>
      </c>
      <c r="AV732" s="22">
        <v>45277</v>
      </c>
      <c r="AW732" s="26">
        <f t="shared" ca="1" si="98"/>
        <v>0.11605276053334324</v>
      </c>
      <c r="AX732" s="29">
        <f t="shared" ca="1" si="131"/>
        <v>131</v>
      </c>
      <c r="AZ732" s="22">
        <v>45277</v>
      </c>
      <c r="BA732" s="26">
        <f t="shared" ca="1" si="99"/>
        <v>0.36327487071323139</v>
      </c>
      <c r="BB732" s="29">
        <f t="shared" ca="1" si="132"/>
        <v>164</v>
      </c>
      <c r="BC732"/>
      <c r="BD732" s="25"/>
      <c r="BF732" s="22">
        <v>45277</v>
      </c>
      <c r="BG732" s="26">
        <f t="shared" ca="1" si="100"/>
        <v>0.87089349793093596</v>
      </c>
      <c r="BH732" s="29">
        <f t="shared" ca="1" si="133"/>
        <v>208</v>
      </c>
      <c r="BJ732" s="22">
        <v>45277</v>
      </c>
      <c r="BK732" s="26">
        <f t="shared" ca="1" si="101"/>
        <v>0.28271056535960659</v>
      </c>
      <c r="BL732" s="29">
        <v>0</v>
      </c>
      <c r="BN732" s="22">
        <v>45277</v>
      </c>
      <c r="BO732" s="26">
        <f t="shared" ca="1" si="102"/>
        <v>0.70298388250247201</v>
      </c>
      <c r="BP732" s="29">
        <v>0</v>
      </c>
      <c r="BR732" s="22">
        <v>45277</v>
      </c>
      <c r="BS732" s="26">
        <f t="shared" ca="1" si="103"/>
        <v>0.53953335963927007</v>
      </c>
      <c r="BT732" s="29">
        <v>0</v>
      </c>
      <c r="BV732" s="22">
        <v>45277</v>
      </c>
      <c r="BW732" s="26">
        <f t="shared" ca="1" si="104"/>
        <v>0.19128123149572707</v>
      </c>
      <c r="BX732" s="29">
        <v>0</v>
      </c>
    </row>
    <row r="733" spans="2:76" ht="12.75" x14ac:dyDescent="0.2">
      <c r="B733" s="22">
        <v>45278</v>
      </c>
      <c r="C733" s="26">
        <f t="shared" ca="1" si="135"/>
        <v>0.30685027918673569</v>
      </c>
      <c r="D733" s="29">
        <f t="shared" ca="1" si="134"/>
        <v>65</v>
      </c>
      <c r="F733" s="22"/>
      <c r="G733" s="26">
        <f t="shared" ca="1" si="88"/>
        <v>0.46064402279686012</v>
      </c>
      <c r="H733" s="29">
        <f t="shared" ca="1" si="121"/>
        <v>214</v>
      </c>
      <c r="J733" s="22">
        <v>45278</v>
      </c>
      <c r="K733" s="26">
        <f t="shared" ca="1" si="89"/>
        <v>0.41645651577739351</v>
      </c>
      <c r="L733" s="29">
        <f t="shared" ca="1" si="122"/>
        <v>148</v>
      </c>
      <c r="N733" s="22">
        <v>45278</v>
      </c>
      <c r="O733" s="26">
        <f t="shared" ca="1" si="90"/>
        <v>0.82507335781410529</v>
      </c>
      <c r="P733" s="29">
        <f t="shared" ca="1" si="123"/>
        <v>244</v>
      </c>
      <c r="R733" s="22">
        <v>45278</v>
      </c>
      <c r="S733" s="26">
        <f t="shared" ca="1" si="91"/>
        <v>0.38773167006172071</v>
      </c>
      <c r="T733" s="29">
        <f t="shared" ca="1" si="124"/>
        <v>137</v>
      </c>
      <c r="V733" s="22">
        <v>45278</v>
      </c>
      <c r="W733" s="26">
        <f t="shared" ca="1" si="92"/>
        <v>0.98789799417896051</v>
      </c>
      <c r="X733" s="29">
        <f t="shared" ca="1" si="125"/>
        <v>259</v>
      </c>
      <c r="Z733" s="22">
        <v>45278</v>
      </c>
      <c r="AA733" s="26">
        <f t="shared" ca="1" si="93"/>
        <v>0.88757383443342819</v>
      </c>
      <c r="AB733" s="29">
        <f t="shared" ca="1" si="126"/>
        <v>292</v>
      </c>
      <c r="AC733"/>
      <c r="AD733" s="25"/>
      <c r="AF733" s="22">
        <v>45278</v>
      </c>
      <c r="AG733" s="26">
        <f t="shared" ca="1" si="94"/>
        <v>0.33662078989096589</v>
      </c>
      <c r="AH733" s="29">
        <f t="shared" ca="1" si="127"/>
        <v>291</v>
      </c>
      <c r="AJ733" s="22">
        <v>45278</v>
      </c>
      <c r="AK733" s="26">
        <f t="shared" ca="1" si="95"/>
        <v>0.16067292033659186</v>
      </c>
      <c r="AL733" s="29">
        <f t="shared" ca="1" si="128"/>
        <v>133</v>
      </c>
      <c r="AN733" s="22">
        <v>45278</v>
      </c>
      <c r="AO733" s="26">
        <f t="shared" ca="1" si="96"/>
        <v>0.38105045359490253</v>
      </c>
      <c r="AP733" s="29">
        <f t="shared" ca="1" si="129"/>
        <v>136</v>
      </c>
      <c r="AR733" s="22">
        <v>45278</v>
      </c>
      <c r="AS733" s="26">
        <f t="shared" ca="1" si="97"/>
        <v>0.78187986809142518</v>
      </c>
      <c r="AT733" s="29">
        <f t="shared" ca="1" si="130"/>
        <v>262</v>
      </c>
      <c r="AV733" s="22">
        <v>45278</v>
      </c>
      <c r="AW733" s="26">
        <f t="shared" ca="1" si="98"/>
        <v>0.6179517460252214</v>
      </c>
      <c r="AX733" s="29">
        <f t="shared" ca="1" si="131"/>
        <v>208</v>
      </c>
      <c r="AZ733" s="22">
        <v>45278</v>
      </c>
      <c r="BA733" s="26">
        <f t="shared" ca="1" si="99"/>
        <v>0.46330826709272765</v>
      </c>
      <c r="BB733" s="29">
        <f t="shared" ca="1" si="132"/>
        <v>176</v>
      </c>
      <c r="BC733"/>
      <c r="BD733" s="25"/>
      <c r="BF733" s="22">
        <v>45278</v>
      </c>
      <c r="BG733" s="26">
        <f t="shared" ca="1" si="100"/>
        <v>4.0933455886542625E-2</v>
      </c>
      <c r="BH733" s="29">
        <f t="shared" ca="1" si="133"/>
        <v>86</v>
      </c>
      <c r="BJ733" s="22">
        <v>45278</v>
      </c>
      <c r="BK733" s="26">
        <f t="shared" ca="1" si="101"/>
        <v>0.58045053555807724</v>
      </c>
      <c r="BL733" s="29">
        <v>0</v>
      </c>
      <c r="BN733" s="22">
        <v>45278</v>
      </c>
      <c r="BO733" s="26">
        <f t="shared" ca="1" si="102"/>
        <v>0.29710400944132931</v>
      </c>
      <c r="BP733" s="29">
        <v>0</v>
      </c>
      <c r="BR733" s="22">
        <v>45278</v>
      </c>
      <c r="BS733" s="26">
        <f t="shared" ca="1" si="103"/>
        <v>0.31679762513360454</v>
      </c>
      <c r="BT733" s="29">
        <v>0</v>
      </c>
      <c r="BV733" s="22">
        <v>45278</v>
      </c>
      <c r="BW733" s="26">
        <f t="shared" ca="1" si="104"/>
        <v>0.12804761132942777</v>
      </c>
      <c r="BX733" s="29">
        <v>0</v>
      </c>
    </row>
    <row r="734" spans="2:76" ht="12.75" x14ac:dyDescent="0.2">
      <c r="B734" s="22">
        <v>45279</v>
      </c>
      <c r="C734" s="26">
        <f t="shared" ca="1" si="135"/>
        <v>0.82640012271780605</v>
      </c>
      <c r="D734" s="29">
        <v>0</v>
      </c>
      <c r="F734" s="22"/>
      <c r="G734" s="26">
        <f t="shared" ca="1" si="88"/>
        <v>0.52636140766860695</v>
      </c>
      <c r="H734" s="29">
        <v>0</v>
      </c>
      <c r="J734" s="22">
        <v>45279</v>
      </c>
      <c r="K734" s="26">
        <f t="shared" ca="1" si="89"/>
        <v>0.1434115677893959</v>
      </c>
      <c r="L734" s="29">
        <v>0</v>
      </c>
      <c r="N734" s="22">
        <v>45279</v>
      </c>
      <c r="O734" s="26">
        <f t="shared" ca="1" si="90"/>
        <v>0.97636484805048884</v>
      </c>
      <c r="P734" s="29">
        <v>0</v>
      </c>
      <c r="R734" s="22">
        <v>45279</v>
      </c>
      <c r="S734" s="26">
        <f t="shared" ca="1" si="91"/>
        <v>0.560637006689232</v>
      </c>
      <c r="T734" s="29">
        <v>0</v>
      </c>
      <c r="V734" s="22">
        <v>45279</v>
      </c>
      <c r="W734" s="26">
        <f t="shared" ca="1" si="92"/>
        <v>0.6960816280136406</v>
      </c>
      <c r="X734" s="29">
        <v>0</v>
      </c>
      <c r="Z734" s="22">
        <v>45279</v>
      </c>
      <c r="AA734" s="26">
        <f t="shared" ca="1" si="93"/>
        <v>0.7604001292074517</v>
      </c>
      <c r="AB734" s="29">
        <v>0</v>
      </c>
      <c r="AC734"/>
      <c r="AD734" s="25"/>
      <c r="AF734" s="22">
        <v>45279</v>
      </c>
      <c r="AG734" s="26">
        <f t="shared" ca="1" si="94"/>
        <v>0.2794242962036817</v>
      </c>
      <c r="AH734" s="29">
        <v>0</v>
      </c>
      <c r="AJ734" s="22">
        <v>45279</v>
      </c>
      <c r="AK734" s="26">
        <f t="shared" ca="1" si="95"/>
        <v>0.41735155295860515</v>
      </c>
      <c r="AL734" s="29">
        <v>0</v>
      </c>
      <c r="AN734" s="22">
        <v>45279</v>
      </c>
      <c r="AO734" s="26">
        <f t="shared" ca="1" si="96"/>
        <v>8.0052649260739406E-2</v>
      </c>
      <c r="AP734" s="29">
        <v>0</v>
      </c>
      <c r="AR734" s="22">
        <v>45279</v>
      </c>
      <c r="AS734" s="26">
        <f t="shared" ca="1" si="97"/>
        <v>0.17307981617121804</v>
      </c>
      <c r="AT734" s="29">
        <v>0</v>
      </c>
      <c r="AV734" s="22">
        <v>45279</v>
      </c>
      <c r="AW734" s="26">
        <f t="shared" ca="1" si="98"/>
        <v>0.7359257906807416</v>
      </c>
      <c r="AX734" s="29">
        <v>0</v>
      </c>
      <c r="AZ734" s="22">
        <v>45279</v>
      </c>
      <c r="BA734" s="26">
        <f t="shared" ca="1" si="99"/>
        <v>0.79683170796002112</v>
      </c>
      <c r="BB734" s="29">
        <v>0</v>
      </c>
      <c r="BC734"/>
      <c r="BD734" s="25"/>
      <c r="BF734" s="22">
        <v>45279</v>
      </c>
      <c r="BG734" s="26">
        <f t="shared" ca="1" si="100"/>
        <v>0.90963872164685189</v>
      </c>
      <c r="BH734" s="29">
        <v>0</v>
      </c>
      <c r="BJ734" s="22">
        <v>45279</v>
      </c>
      <c r="BK734" s="26">
        <f t="shared" ca="1" si="101"/>
        <v>0.43420956771999109</v>
      </c>
      <c r="BL734" s="29">
        <v>0</v>
      </c>
      <c r="BN734" s="22">
        <v>45279</v>
      </c>
      <c r="BO734" s="26">
        <f t="shared" ca="1" si="102"/>
        <v>0.37593341256023105</v>
      </c>
      <c r="BP734" s="29">
        <v>0</v>
      </c>
      <c r="BR734" s="22">
        <v>45279</v>
      </c>
      <c r="BS734" s="26">
        <f t="shared" ca="1" si="103"/>
        <v>0.37080769645807288</v>
      </c>
      <c r="BT734" s="29">
        <v>0</v>
      </c>
      <c r="BV734" s="22">
        <v>45279</v>
      </c>
      <c r="BW734" s="26">
        <f t="shared" ca="1" si="104"/>
        <v>0.43974250152358152</v>
      </c>
      <c r="BX734" s="29">
        <v>0</v>
      </c>
    </row>
    <row r="735" spans="2:76" ht="12.75" x14ac:dyDescent="0.2">
      <c r="B735" s="22">
        <v>45280</v>
      </c>
      <c r="C735" s="26">
        <f t="shared" ca="1" si="135"/>
        <v>0.65563990300007047</v>
      </c>
      <c r="D735" s="29">
        <v>0</v>
      </c>
      <c r="F735" s="22"/>
      <c r="G735" s="26">
        <f t="shared" ca="1" si="88"/>
        <v>0.9430143415022213</v>
      </c>
      <c r="H735" s="29">
        <v>0</v>
      </c>
      <c r="J735" s="22">
        <v>45280</v>
      </c>
      <c r="K735" s="26">
        <f t="shared" ca="1" si="89"/>
        <v>0.6063968085269148</v>
      </c>
      <c r="L735" s="29">
        <v>0</v>
      </c>
      <c r="N735" s="22">
        <v>45280</v>
      </c>
      <c r="O735" s="26">
        <f t="shared" ca="1" si="90"/>
        <v>0.70333370907521442</v>
      </c>
      <c r="P735" s="29">
        <v>0</v>
      </c>
      <c r="R735" s="22">
        <v>45280</v>
      </c>
      <c r="S735" s="26">
        <f t="shared" ca="1" si="91"/>
        <v>0.79308676270263367</v>
      </c>
      <c r="T735" s="29">
        <v>0</v>
      </c>
      <c r="V735" s="22">
        <v>45280</v>
      </c>
      <c r="W735" s="26">
        <f t="shared" ca="1" si="92"/>
        <v>0.90939197942066841</v>
      </c>
      <c r="X735" s="29">
        <v>0</v>
      </c>
      <c r="Z735" s="22">
        <v>45280</v>
      </c>
      <c r="AA735" s="26">
        <f t="shared" ca="1" si="93"/>
        <v>6.7010786567750613E-2</v>
      </c>
      <c r="AB735" s="29">
        <v>0</v>
      </c>
      <c r="AC735"/>
      <c r="AD735" s="25"/>
      <c r="AF735" s="22">
        <v>45280</v>
      </c>
      <c r="AG735" s="26">
        <f t="shared" ca="1" si="94"/>
        <v>0.72310869954338297</v>
      </c>
      <c r="AH735" s="29">
        <v>0</v>
      </c>
      <c r="AJ735" s="22">
        <v>45280</v>
      </c>
      <c r="AK735" s="26">
        <f t="shared" ca="1" si="95"/>
        <v>0.52460924345108662</v>
      </c>
      <c r="AL735" s="29">
        <v>0</v>
      </c>
      <c r="AN735" s="22">
        <v>45280</v>
      </c>
      <c r="AO735" s="26">
        <f t="shared" ca="1" si="96"/>
        <v>0.95538191603372791</v>
      </c>
      <c r="AP735" s="29">
        <v>0</v>
      </c>
      <c r="AR735" s="22">
        <v>45280</v>
      </c>
      <c r="AS735" s="26">
        <f t="shared" ca="1" si="97"/>
        <v>3.1037346216658657E-2</v>
      </c>
      <c r="AT735" s="29">
        <v>0</v>
      </c>
      <c r="AV735" s="22">
        <v>45280</v>
      </c>
      <c r="AW735" s="26">
        <f t="shared" ca="1" si="98"/>
        <v>0.75519174176106396</v>
      </c>
      <c r="AX735" s="29">
        <v>0</v>
      </c>
      <c r="AZ735" s="22">
        <v>45280</v>
      </c>
      <c r="BA735" s="26">
        <f t="shared" ca="1" si="99"/>
        <v>0.38223805578040404</v>
      </c>
      <c r="BB735" s="29">
        <v>0</v>
      </c>
      <c r="BC735"/>
      <c r="BD735" s="25"/>
      <c r="BF735" s="22">
        <v>45280</v>
      </c>
      <c r="BG735" s="26">
        <f t="shared" ca="1" si="100"/>
        <v>0.53840861351783731</v>
      </c>
      <c r="BH735" s="29">
        <v>0</v>
      </c>
      <c r="BJ735" s="22">
        <v>45280</v>
      </c>
      <c r="BK735" s="26">
        <f t="shared" ca="1" si="101"/>
        <v>0.77612410312844626</v>
      </c>
      <c r="BL735" s="29">
        <v>0</v>
      </c>
      <c r="BN735" s="22">
        <v>45280</v>
      </c>
      <c r="BO735" s="26">
        <f t="shared" ca="1" si="102"/>
        <v>0.62649458500851374</v>
      </c>
      <c r="BP735" s="29">
        <v>0</v>
      </c>
      <c r="BR735" s="22">
        <v>45280</v>
      </c>
      <c r="BS735" s="26">
        <f t="shared" ca="1" si="103"/>
        <v>0.47471303647417029</v>
      </c>
      <c r="BT735" s="29">
        <v>0</v>
      </c>
      <c r="BV735" s="22">
        <v>45280</v>
      </c>
      <c r="BW735" s="26">
        <f t="shared" ca="1" si="104"/>
        <v>0.58745590709535755</v>
      </c>
      <c r="BX735" s="29">
        <v>0</v>
      </c>
    </row>
    <row r="736" spans="2:76" ht="12.75" x14ac:dyDescent="0.2">
      <c r="B736" s="22">
        <v>45281</v>
      </c>
      <c r="C736" s="26">
        <f t="shared" ca="1" si="135"/>
        <v>0.71232146221551595</v>
      </c>
      <c r="D736" s="29">
        <v>0</v>
      </c>
      <c r="F736" s="22"/>
      <c r="G736" s="26">
        <f t="shared" ca="1" si="88"/>
        <v>0.67745660040377909</v>
      </c>
      <c r="H736" s="29">
        <v>0</v>
      </c>
      <c r="J736" s="22">
        <v>45281</v>
      </c>
      <c r="K736" s="26">
        <f t="shared" ca="1" si="89"/>
        <v>0.8615557182963377</v>
      </c>
      <c r="L736" s="29">
        <v>0</v>
      </c>
      <c r="N736" s="22">
        <v>45281</v>
      </c>
      <c r="O736" s="26">
        <f t="shared" ca="1" si="90"/>
        <v>0.90842164173328455</v>
      </c>
      <c r="P736" s="29">
        <v>0</v>
      </c>
      <c r="R736" s="22">
        <v>45281</v>
      </c>
      <c r="S736" s="26">
        <f t="shared" ca="1" si="91"/>
        <v>0.83685191199830933</v>
      </c>
      <c r="T736" s="29">
        <v>0</v>
      </c>
      <c r="V736" s="22">
        <v>45281</v>
      </c>
      <c r="W736" s="26">
        <f t="shared" ca="1" si="92"/>
        <v>0.97980823630215674</v>
      </c>
      <c r="X736" s="29">
        <v>0</v>
      </c>
      <c r="Z736" s="22">
        <v>45281</v>
      </c>
      <c r="AA736" s="26">
        <f t="shared" ca="1" si="93"/>
        <v>0.68440240424748278</v>
      </c>
      <c r="AB736" s="29">
        <v>0</v>
      </c>
      <c r="AC736"/>
      <c r="AD736" s="25"/>
      <c r="AF736" s="22">
        <v>45281</v>
      </c>
      <c r="AG736" s="26">
        <f t="shared" ca="1" si="94"/>
        <v>0.1753982214564036</v>
      </c>
      <c r="AH736" s="29">
        <v>0</v>
      </c>
      <c r="AJ736" s="22">
        <v>45281</v>
      </c>
      <c r="AK736" s="26">
        <f t="shared" ca="1" si="95"/>
        <v>0.71592740390878962</v>
      </c>
      <c r="AL736" s="29">
        <v>0</v>
      </c>
      <c r="AN736" s="22">
        <v>45281</v>
      </c>
      <c r="AO736" s="26">
        <f t="shared" ca="1" si="96"/>
        <v>0.41642116151623465</v>
      </c>
      <c r="AP736" s="29">
        <v>0</v>
      </c>
      <c r="AR736" s="22">
        <v>45281</v>
      </c>
      <c r="AS736" s="26">
        <f t="shared" ca="1" si="97"/>
        <v>0.24700699915692548</v>
      </c>
      <c r="AT736" s="29">
        <v>0</v>
      </c>
      <c r="AV736" s="22">
        <v>45281</v>
      </c>
      <c r="AW736" s="26">
        <f t="shared" ca="1" si="98"/>
        <v>0.21626730868062172</v>
      </c>
      <c r="AX736" s="29">
        <v>0</v>
      </c>
      <c r="AZ736" s="22">
        <v>45281</v>
      </c>
      <c r="BA736" s="26">
        <f t="shared" ca="1" si="99"/>
        <v>0.13762679786847964</v>
      </c>
      <c r="BB736" s="29">
        <v>0</v>
      </c>
      <c r="BC736"/>
      <c r="BD736" s="25"/>
      <c r="BF736" s="22">
        <v>45281</v>
      </c>
      <c r="BG736" s="26">
        <f t="shared" ca="1" si="100"/>
        <v>0.86525365966364687</v>
      </c>
      <c r="BH736" s="29">
        <v>0</v>
      </c>
      <c r="BJ736" s="22">
        <v>45281</v>
      </c>
      <c r="BK736" s="26">
        <f t="shared" ca="1" si="101"/>
        <v>0.77519062188219989</v>
      </c>
      <c r="BL736" s="29">
        <v>0</v>
      </c>
      <c r="BN736" s="22">
        <v>45281</v>
      </c>
      <c r="BO736" s="26">
        <f t="shared" ca="1" si="102"/>
        <v>0.88889051179629852</v>
      </c>
      <c r="BP736" s="29">
        <v>0</v>
      </c>
      <c r="BR736" s="22">
        <v>45281</v>
      </c>
      <c r="BS736" s="26">
        <f t="shared" ca="1" si="103"/>
        <v>0.67499640283807316</v>
      </c>
      <c r="BT736" s="29">
        <v>0</v>
      </c>
      <c r="BV736" s="22">
        <v>45281</v>
      </c>
      <c r="BW736" s="26">
        <f t="shared" ca="1" si="104"/>
        <v>0.16521725769589424</v>
      </c>
      <c r="BX736" s="29">
        <v>0</v>
      </c>
    </row>
    <row r="737" spans="2:77" ht="12.75" x14ac:dyDescent="0.2">
      <c r="B737" s="22">
        <v>45282</v>
      </c>
      <c r="C737" s="26">
        <f t="shared" ca="1" si="135"/>
        <v>0.81081683475806077</v>
      </c>
      <c r="D737" s="29">
        <v>0</v>
      </c>
      <c r="F737" s="22"/>
      <c r="G737" s="26">
        <f t="shared" ca="1" si="88"/>
        <v>0.49798307748153636</v>
      </c>
      <c r="H737" s="29">
        <v>0</v>
      </c>
      <c r="J737" s="22">
        <v>45282</v>
      </c>
      <c r="K737" s="26">
        <f t="shared" ca="1" si="89"/>
        <v>0.66399689955843511</v>
      </c>
      <c r="L737" s="29">
        <v>0</v>
      </c>
      <c r="N737" s="22">
        <v>45282</v>
      </c>
      <c r="O737" s="26">
        <f t="shared" ca="1" si="90"/>
        <v>0.97069028573620542</v>
      </c>
      <c r="P737" s="29">
        <v>0</v>
      </c>
      <c r="R737" s="22">
        <v>45282</v>
      </c>
      <c r="S737" s="26">
        <f t="shared" ca="1" si="91"/>
        <v>0.7925095005370778</v>
      </c>
      <c r="T737" s="29">
        <v>0</v>
      </c>
      <c r="V737" s="22">
        <v>45282</v>
      </c>
      <c r="W737" s="26">
        <f t="shared" ca="1" si="92"/>
        <v>0.27130834803207271</v>
      </c>
      <c r="X737" s="29">
        <v>0</v>
      </c>
      <c r="Z737" s="22">
        <v>45282</v>
      </c>
      <c r="AA737" s="26">
        <f t="shared" ca="1" si="93"/>
        <v>0.17610302487480078</v>
      </c>
      <c r="AB737" s="29">
        <v>0</v>
      </c>
      <c r="AC737"/>
      <c r="AD737" s="25"/>
      <c r="AF737" s="22">
        <v>45282</v>
      </c>
      <c r="AG737" s="26">
        <f t="shared" ca="1" si="94"/>
        <v>0.69960853661169697</v>
      </c>
      <c r="AH737" s="29">
        <v>0</v>
      </c>
      <c r="AJ737" s="22">
        <v>45282</v>
      </c>
      <c r="AK737" s="26">
        <f t="shared" ca="1" si="95"/>
        <v>4.471773236984633E-2</v>
      </c>
      <c r="AL737" s="29">
        <v>0</v>
      </c>
      <c r="AN737" s="22">
        <v>45282</v>
      </c>
      <c r="AO737" s="26">
        <f t="shared" ca="1" si="96"/>
        <v>0.44897512713721788</v>
      </c>
      <c r="AP737" s="29">
        <v>0</v>
      </c>
      <c r="AR737" s="22">
        <v>45282</v>
      </c>
      <c r="AS737" s="26">
        <f t="shared" ca="1" si="97"/>
        <v>0.69923447649425008</v>
      </c>
      <c r="AT737" s="29">
        <v>0</v>
      </c>
      <c r="AV737" s="22">
        <v>45282</v>
      </c>
      <c r="AW737" s="26">
        <f t="shared" ca="1" si="98"/>
        <v>0.2206732769450076</v>
      </c>
      <c r="AX737" s="29">
        <v>0</v>
      </c>
      <c r="AZ737" s="22">
        <v>45282</v>
      </c>
      <c r="BA737" s="26">
        <f t="shared" ca="1" si="99"/>
        <v>0.35596649552154735</v>
      </c>
      <c r="BB737" s="29">
        <v>0</v>
      </c>
      <c r="BC737"/>
      <c r="BD737" s="25"/>
      <c r="BF737" s="22">
        <v>45282</v>
      </c>
      <c r="BG737" s="26">
        <f t="shared" ca="1" si="100"/>
        <v>0.60335761825335854</v>
      </c>
      <c r="BH737" s="29">
        <v>0</v>
      </c>
      <c r="BJ737" s="22">
        <v>45282</v>
      </c>
      <c r="BK737" s="26">
        <f t="shared" ca="1" si="101"/>
        <v>0.23750029501451797</v>
      </c>
      <c r="BL737" s="29">
        <v>0</v>
      </c>
      <c r="BN737" s="22">
        <v>45282</v>
      </c>
      <c r="BO737" s="26">
        <f t="shared" ca="1" si="102"/>
        <v>0.19939038272612408</v>
      </c>
      <c r="BP737" s="29">
        <v>0</v>
      </c>
      <c r="BR737" s="22">
        <v>45282</v>
      </c>
      <c r="BS737" s="26">
        <f t="shared" ca="1" si="103"/>
        <v>0.48044325794898046</v>
      </c>
      <c r="BT737" s="29">
        <v>0</v>
      </c>
      <c r="BV737" s="22">
        <v>45282</v>
      </c>
      <c r="BW737" s="26">
        <f t="shared" ca="1" si="104"/>
        <v>0.61613116192752171</v>
      </c>
      <c r="BX737" s="29">
        <v>0</v>
      </c>
    </row>
    <row r="738" spans="2:77" ht="12.75" x14ac:dyDescent="0.2">
      <c r="B738" s="22">
        <v>45283</v>
      </c>
      <c r="C738" s="26">
        <f t="shared" ca="1" si="135"/>
        <v>2.4541522004166372E-2</v>
      </c>
      <c r="D738" s="29">
        <v>0</v>
      </c>
      <c r="F738" s="22"/>
      <c r="G738" s="26">
        <f t="shared" ref="G738:G874" ca="1" si="136">RAND()</f>
        <v>0.86934159353648832</v>
      </c>
      <c r="H738" s="29">
        <v>0</v>
      </c>
      <c r="J738" s="22">
        <v>45283</v>
      </c>
      <c r="K738" s="26">
        <f t="shared" ref="K738:K874" ca="1" si="137">RAND()</f>
        <v>0.80536791694276888</v>
      </c>
      <c r="L738" s="29">
        <v>0</v>
      </c>
      <c r="N738" s="22">
        <v>45283</v>
      </c>
      <c r="O738" s="26">
        <f t="shared" ref="O738:O874" ca="1" si="138">RAND()</f>
        <v>0.46554573198756921</v>
      </c>
      <c r="P738" s="29">
        <v>0</v>
      </c>
      <c r="R738" s="22">
        <v>45283</v>
      </c>
      <c r="S738" s="26">
        <f t="shared" ref="S738:S874" ca="1" si="139">RAND()</f>
        <v>0.39205542877875799</v>
      </c>
      <c r="T738" s="29">
        <v>0</v>
      </c>
      <c r="V738" s="22">
        <v>45283</v>
      </c>
      <c r="W738" s="26">
        <f t="shared" ref="W738:W874" ca="1" si="140">RAND()</f>
        <v>0.43830247513675868</v>
      </c>
      <c r="X738" s="29">
        <v>0</v>
      </c>
      <c r="Z738" s="22">
        <v>45283</v>
      </c>
      <c r="AA738" s="26">
        <f t="shared" ref="AA738:AA874" ca="1" si="141">RAND()</f>
        <v>0.61559314819910937</v>
      </c>
      <c r="AB738" s="29">
        <v>0</v>
      </c>
      <c r="AC738"/>
      <c r="AD738" s="25"/>
      <c r="AF738" s="22">
        <v>45283</v>
      </c>
      <c r="AG738" s="26">
        <f t="shared" ref="AG738:AG874" ca="1" si="142">RAND()</f>
        <v>0.98879306039147385</v>
      </c>
      <c r="AH738" s="29">
        <v>0</v>
      </c>
      <c r="AJ738" s="22">
        <v>45283</v>
      </c>
      <c r="AK738" s="26">
        <f t="shared" ref="AK738:AK874" ca="1" si="143">RAND()</f>
        <v>0.6215256626359924</v>
      </c>
      <c r="AL738" s="29">
        <v>0</v>
      </c>
      <c r="AN738" s="22">
        <v>45283</v>
      </c>
      <c r="AO738" s="26">
        <f t="shared" ref="AO738:AO874" ca="1" si="144">RAND()</f>
        <v>0.25082265879188881</v>
      </c>
      <c r="AP738" s="29">
        <v>0</v>
      </c>
      <c r="AR738" s="22">
        <v>45283</v>
      </c>
      <c r="AS738" s="26">
        <f t="shared" ref="AS738:AS874" ca="1" si="145">RAND()</f>
        <v>0.64351004230443398</v>
      </c>
      <c r="AT738" s="29">
        <v>0</v>
      </c>
      <c r="AV738" s="22">
        <v>45283</v>
      </c>
      <c r="AW738" s="26">
        <f t="shared" ref="AW738:AW874" ca="1" si="146">RAND()</f>
        <v>0.44091289914462672</v>
      </c>
      <c r="AX738" s="29">
        <v>0</v>
      </c>
      <c r="AZ738" s="22">
        <v>45283</v>
      </c>
      <c r="BA738" s="26">
        <f t="shared" ref="BA738:BA874" ca="1" si="147">RAND()</f>
        <v>0.90542500194619935</v>
      </c>
      <c r="BB738" s="29">
        <v>0</v>
      </c>
      <c r="BC738"/>
      <c r="BD738" s="25"/>
      <c r="BF738" s="22">
        <v>45283</v>
      </c>
      <c r="BG738" s="26">
        <f t="shared" ref="BG738:BG874" ca="1" si="148">RAND()</f>
        <v>0.87966803555950523</v>
      </c>
      <c r="BH738" s="29">
        <v>0</v>
      </c>
      <c r="BJ738" s="22">
        <v>45283</v>
      </c>
      <c r="BK738" s="26">
        <f t="shared" ref="BK738:BK874" ca="1" si="149">RAND()</f>
        <v>0.54696591032326625</v>
      </c>
      <c r="BL738" s="29">
        <v>0</v>
      </c>
      <c r="BN738" s="22">
        <v>45283</v>
      </c>
      <c r="BO738" s="26">
        <f t="shared" ref="BO738:BO874" ca="1" si="150">RAND()</f>
        <v>0.49032905770527369</v>
      </c>
      <c r="BP738" s="29">
        <v>0</v>
      </c>
      <c r="BR738" s="22">
        <v>45283</v>
      </c>
      <c r="BS738" s="26">
        <f t="shared" ref="BS738:BS874" ca="1" si="151">RAND()</f>
        <v>0.97883686612153442</v>
      </c>
      <c r="BT738" s="29">
        <v>0</v>
      </c>
      <c r="BV738" s="22">
        <v>45283</v>
      </c>
      <c r="BW738" s="26">
        <f t="shared" ref="BW738:BW874" ca="1" si="152">RAND()</f>
        <v>0.19153800718754732</v>
      </c>
      <c r="BX738" s="29">
        <v>0</v>
      </c>
    </row>
    <row r="739" spans="2:77" ht="12.75" x14ac:dyDescent="0.2">
      <c r="B739" s="22">
        <v>45284</v>
      </c>
      <c r="C739" s="26">
        <f t="shared" ca="1" si="135"/>
        <v>0.67587131116739874</v>
      </c>
      <c r="D739" s="29">
        <v>0</v>
      </c>
      <c r="F739" s="22"/>
      <c r="G739" s="26">
        <f t="shared" ca="1" si="136"/>
        <v>0.96340441983035685</v>
      </c>
      <c r="H739" s="29">
        <v>0</v>
      </c>
      <c r="J739" s="22">
        <v>45284</v>
      </c>
      <c r="K739" s="26">
        <f t="shared" ca="1" si="137"/>
        <v>0.79776623433508553</v>
      </c>
      <c r="L739" s="29">
        <v>0</v>
      </c>
      <c r="N739" s="22">
        <v>45284</v>
      </c>
      <c r="O739" s="26">
        <f t="shared" ca="1" si="138"/>
        <v>0.77281041902621861</v>
      </c>
      <c r="P739" s="29">
        <v>0</v>
      </c>
      <c r="R739" s="22">
        <v>45284</v>
      </c>
      <c r="S739" s="26">
        <f t="shared" ca="1" si="139"/>
        <v>0.4704258410805976</v>
      </c>
      <c r="T739" s="29">
        <v>0</v>
      </c>
      <c r="V739" s="22">
        <v>45284</v>
      </c>
      <c r="W739" s="26">
        <f t="shared" ca="1" si="140"/>
        <v>0.65582573005426192</v>
      </c>
      <c r="X739" s="29">
        <v>0</v>
      </c>
      <c r="Z739" s="22">
        <v>45284</v>
      </c>
      <c r="AA739" s="26">
        <f t="shared" ca="1" si="141"/>
        <v>0.82862925792873099</v>
      </c>
      <c r="AB739" s="29">
        <v>0</v>
      </c>
      <c r="AC739"/>
      <c r="AD739" s="25"/>
      <c r="AF739" s="22">
        <v>45284</v>
      </c>
      <c r="AG739" s="26">
        <f t="shared" ca="1" si="142"/>
        <v>0.55402971532625089</v>
      </c>
      <c r="AH739" s="29">
        <v>0</v>
      </c>
      <c r="AJ739" s="22">
        <v>45284</v>
      </c>
      <c r="AK739" s="26">
        <f t="shared" ca="1" si="143"/>
        <v>0.77859118957762474</v>
      </c>
      <c r="AL739" s="29">
        <v>0</v>
      </c>
      <c r="AN739" s="22">
        <v>45284</v>
      </c>
      <c r="AO739" s="26">
        <f t="shared" ca="1" si="144"/>
        <v>0.96340099169045634</v>
      </c>
      <c r="AP739" s="29">
        <v>0</v>
      </c>
      <c r="AR739" s="22">
        <v>45284</v>
      </c>
      <c r="AS739" s="26">
        <f t="shared" ca="1" si="145"/>
        <v>0.83041635861466112</v>
      </c>
      <c r="AT739" s="29">
        <v>0</v>
      </c>
      <c r="AV739" s="22">
        <v>45284</v>
      </c>
      <c r="AW739" s="26">
        <f t="shared" ca="1" si="146"/>
        <v>1.586684011703432E-2</v>
      </c>
      <c r="AX739" s="29">
        <v>0</v>
      </c>
      <c r="AZ739" s="22">
        <v>45284</v>
      </c>
      <c r="BA739" s="26">
        <f t="shared" ca="1" si="147"/>
        <v>0.3568507313195356</v>
      </c>
      <c r="BB739" s="29">
        <v>0</v>
      </c>
      <c r="BC739"/>
      <c r="BD739" s="25"/>
      <c r="BF739" s="22">
        <v>45284</v>
      </c>
      <c r="BG739" s="26">
        <f t="shared" ca="1" si="148"/>
        <v>0.79320412782129057</v>
      </c>
      <c r="BH739" s="29">
        <v>0</v>
      </c>
      <c r="BJ739" s="22">
        <v>45284</v>
      </c>
      <c r="BK739" s="26">
        <f t="shared" ca="1" si="149"/>
        <v>0.74827498627354516</v>
      </c>
      <c r="BL739" s="29">
        <v>0</v>
      </c>
      <c r="BN739" s="22">
        <v>45284</v>
      </c>
      <c r="BO739" s="26">
        <f t="shared" ca="1" si="150"/>
        <v>0.26125073444643154</v>
      </c>
      <c r="BP739" s="29">
        <v>0</v>
      </c>
      <c r="BR739" s="22">
        <v>45284</v>
      </c>
      <c r="BS739" s="26">
        <f t="shared" ca="1" si="151"/>
        <v>0.31440555760745037</v>
      </c>
      <c r="BT739" s="29">
        <v>0</v>
      </c>
      <c r="BV739" s="22">
        <v>45284</v>
      </c>
      <c r="BW739" s="26">
        <f t="shared" ca="1" si="152"/>
        <v>0.16690144606707247</v>
      </c>
      <c r="BX739" s="29">
        <v>0</v>
      </c>
    </row>
    <row r="740" spans="2:77" ht="12.75" x14ac:dyDescent="0.2">
      <c r="B740" s="22">
        <v>45285</v>
      </c>
      <c r="C740" s="26">
        <f t="shared" ca="1" si="135"/>
        <v>7.0847794342357995E-3</v>
      </c>
      <c r="D740" s="29">
        <v>0</v>
      </c>
      <c r="F740" s="22"/>
      <c r="G740" s="26">
        <f t="shared" ca="1" si="136"/>
        <v>0.7053273855517177</v>
      </c>
      <c r="H740" s="29">
        <v>0</v>
      </c>
      <c r="J740" s="22">
        <v>45285</v>
      </c>
      <c r="K740" s="26">
        <f t="shared" ca="1" si="137"/>
        <v>0.30400438519256512</v>
      </c>
      <c r="L740" s="29">
        <v>0</v>
      </c>
      <c r="N740" s="22">
        <v>45285</v>
      </c>
      <c r="O740" s="26">
        <f t="shared" ca="1" si="138"/>
        <v>0.35697073577857419</v>
      </c>
      <c r="P740" s="29">
        <v>0</v>
      </c>
      <c r="R740" s="22">
        <v>45285</v>
      </c>
      <c r="S740" s="26">
        <f t="shared" ca="1" si="139"/>
        <v>0.86152990885242808</v>
      </c>
      <c r="T740" s="29">
        <v>0</v>
      </c>
      <c r="V740" s="22">
        <v>45285</v>
      </c>
      <c r="W740" s="26">
        <f t="shared" ca="1" si="140"/>
        <v>0.94442356195115018</v>
      </c>
      <c r="X740" s="29">
        <v>0</v>
      </c>
      <c r="Z740" s="22">
        <v>45285</v>
      </c>
      <c r="AA740" s="26">
        <f t="shared" ca="1" si="141"/>
        <v>0.44888945361919752</v>
      </c>
      <c r="AB740" s="29">
        <v>0</v>
      </c>
      <c r="AC740"/>
      <c r="AD740" s="25"/>
      <c r="AF740" s="22">
        <v>45285</v>
      </c>
      <c r="AG740" s="26">
        <f t="shared" ca="1" si="142"/>
        <v>0.30466163506633048</v>
      </c>
      <c r="AH740" s="29">
        <v>0</v>
      </c>
      <c r="AJ740" s="22">
        <v>45285</v>
      </c>
      <c r="AK740" s="26">
        <f t="shared" ca="1" si="143"/>
        <v>0.5676071741928338</v>
      </c>
      <c r="AL740" s="29">
        <v>0</v>
      </c>
      <c r="AN740" s="22">
        <v>45285</v>
      </c>
      <c r="AO740" s="26">
        <f t="shared" ca="1" si="144"/>
        <v>0.56975151611665553</v>
      </c>
      <c r="AP740" s="29">
        <v>0</v>
      </c>
      <c r="AR740" s="22">
        <v>45285</v>
      </c>
      <c r="AS740" s="26">
        <f t="shared" ca="1" si="145"/>
        <v>0.79480381137026246</v>
      </c>
      <c r="AT740" s="29">
        <v>0</v>
      </c>
      <c r="AV740" s="22">
        <v>45285</v>
      </c>
      <c r="AW740" s="26">
        <f t="shared" ca="1" si="146"/>
        <v>0.97389112991207738</v>
      </c>
      <c r="AX740" s="29">
        <v>0</v>
      </c>
      <c r="AZ740" s="22">
        <v>45285</v>
      </c>
      <c r="BA740" s="26">
        <f t="shared" ca="1" si="147"/>
        <v>1.7319006180937735E-2</v>
      </c>
      <c r="BB740" s="29">
        <v>0</v>
      </c>
      <c r="BC740"/>
      <c r="BD740" s="25"/>
      <c r="BF740" s="22">
        <v>45285</v>
      </c>
      <c r="BG740" s="26">
        <f t="shared" ca="1" si="148"/>
        <v>0.85537582180762806</v>
      </c>
      <c r="BH740" s="29">
        <v>0</v>
      </c>
      <c r="BJ740" s="22">
        <v>45285</v>
      </c>
      <c r="BK740" s="26">
        <f t="shared" ca="1" si="149"/>
        <v>0.58668627574429133</v>
      </c>
      <c r="BL740" s="29">
        <v>0</v>
      </c>
      <c r="BN740" s="22">
        <v>45285</v>
      </c>
      <c r="BO740" s="26">
        <f t="shared" ca="1" si="150"/>
        <v>0.50600641803086854</v>
      </c>
      <c r="BP740" s="29">
        <v>0</v>
      </c>
      <c r="BR740" s="22">
        <v>45285</v>
      </c>
      <c r="BS740" s="26">
        <f t="shared" ca="1" si="151"/>
        <v>0.12440765551444866</v>
      </c>
      <c r="BT740" s="29">
        <v>0</v>
      </c>
      <c r="BV740" s="22">
        <v>45285</v>
      </c>
      <c r="BW740" s="26">
        <f t="shared" ca="1" si="152"/>
        <v>0.58531988362146092</v>
      </c>
      <c r="BX740" s="29">
        <v>0</v>
      </c>
    </row>
    <row r="741" spans="2:77" ht="12.75" x14ac:dyDescent="0.2">
      <c r="B741" s="22">
        <v>45286</v>
      </c>
      <c r="C741" s="26">
        <f t="shared" ca="1" si="135"/>
        <v>0.77373337033298961</v>
      </c>
      <c r="D741" s="29">
        <v>0</v>
      </c>
      <c r="F741" s="22"/>
      <c r="G741" s="26">
        <f t="shared" ca="1" si="136"/>
        <v>0.29076009478591069</v>
      </c>
      <c r="H741" s="29">
        <v>0</v>
      </c>
      <c r="J741" s="22">
        <v>45286</v>
      </c>
      <c r="K741" s="26">
        <f t="shared" ca="1" si="137"/>
        <v>0.79492829910602669</v>
      </c>
      <c r="L741" s="29">
        <v>0</v>
      </c>
      <c r="N741" s="22">
        <v>45286</v>
      </c>
      <c r="O741" s="26">
        <f t="shared" ca="1" si="138"/>
        <v>0.59146939824746558</v>
      </c>
      <c r="P741" s="29">
        <v>0</v>
      </c>
      <c r="R741" s="22">
        <v>45286</v>
      </c>
      <c r="S741" s="26">
        <f t="shared" ca="1" si="139"/>
        <v>0.71438955370557755</v>
      </c>
      <c r="T741" s="29">
        <v>0</v>
      </c>
      <c r="V741" s="22">
        <v>45286</v>
      </c>
      <c r="W741" s="26">
        <f t="shared" ca="1" si="140"/>
        <v>0.83522451046092694</v>
      </c>
      <c r="X741" s="29">
        <v>0</v>
      </c>
      <c r="Z741" s="22">
        <v>45286</v>
      </c>
      <c r="AA741" s="26">
        <f t="shared" ca="1" si="141"/>
        <v>0.939429815048619</v>
      </c>
      <c r="AB741" s="29">
        <v>0</v>
      </c>
      <c r="AC741"/>
      <c r="AD741" s="25"/>
      <c r="AF741" s="22">
        <v>45286</v>
      </c>
      <c r="AG741" s="26">
        <f t="shared" ca="1" si="142"/>
        <v>0.21233913108110769</v>
      </c>
      <c r="AH741" s="29">
        <v>0</v>
      </c>
      <c r="AJ741" s="22">
        <v>45286</v>
      </c>
      <c r="AK741" s="26">
        <f t="shared" ca="1" si="143"/>
        <v>0.57056820157527799</v>
      </c>
      <c r="AL741" s="29">
        <v>0</v>
      </c>
      <c r="AN741" s="22">
        <v>45286</v>
      </c>
      <c r="AO741" s="26">
        <f t="shared" ca="1" si="144"/>
        <v>2.9020562880648804E-2</v>
      </c>
      <c r="AP741" s="29">
        <v>0</v>
      </c>
      <c r="AR741" s="22">
        <v>45286</v>
      </c>
      <c r="AS741" s="26">
        <f t="shared" ca="1" si="145"/>
        <v>0.76007505570728506</v>
      </c>
      <c r="AT741" s="29">
        <v>0</v>
      </c>
      <c r="AV741" s="22">
        <v>45286</v>
      </c>
      <c r="AW741" s="26">
        <f t="shared" ca="1" si="146"/>
        <v>0.97099395102049335</v>
      </c>
      <c r="AX741" s="29">
        <v>0</v>
      </c>
      <c r="AZ741" s="22">
        <v>45286</v>
      </c>
      <c r="BA741" s="26">
        <f t="shared" ca="1" si="147"/>
        <v>0.79472989515198444</v>
      </c>
      <c r="BB741" s="29">
        <v>0</v>
      </c>
      <c r="BC741"/>
      <c r="BD741" s="25"/>
      <c r="BF741" s="22">
        <v>45286</v>
      </c>
      <c r="BG741" s="26">
        <f t="shared" ca="1" si="148"/>
        <v>0.76202203333077723</v>
      </c>
      <c r="BH741" s="29">
        <v>0</v>
      </c>
      <c r="BJ741" s="22">
        <v>45286</v>
      </c>
      <c r="BK741" s="26">
        <f t="shared" ca="1" si="149"/>
        <v>0.37896108630882241</v>
      </c>
      <c r="BL741" s="29">
        <v>0</v>
      </c>
      <c r="BN741" s="22">
        <v>45286</v>
      </c>
      <c r="BO741" s="26">
        <f t="shared" ca="1" si="150"/>
        <v>0.35345326194979432</v>
      </c>
      <c r="BP741" s="29">
        <v>0</v>
      </c>
      <c r="BR741" s="22">
        <v>45286</v>
      </c>
      <c r="BS741" s="26">
        <f t="shared" ca="1" si="151"/>
        <v>0.10852293831861304</v>
      </c>
      <c r="BT741" s="29">
        <v>0</v>
      </c>
      <c r="BV741" s="22">
        <v>45286</v>
      </c>
      <c r="BW741" s="26">
        <f t="shared" ca="1" si="152"/>
        <v>0.74027224498117561</v>
      </c>
      <c r="BX741" s="29">
        <v>0</v>
      </c>
    </row>
    <row r="742" spans="2:77" ht="12.75" x14ac:dyDescent="0.2">
      <c r="B742" s="22">
        <v>45287</v>
      </c>
      <c r="C742" s="26">
        <f t="shared" ca="1" si="135"/>
        <v>0.76501195718447323</v>
      </c>
      <c r="D742" s="29">
        <v>0</v>
      </c>
      <c r="F742" s="22"/>
      <c r="G742" s="26">
        <f t="shared" ca="1" si="136"/>
        <v>0.34476230925977136</v>
      </c>
      <c r="H742" s="29">
        <v>0</v>
      </c>
      <c r="J742" s="22">
        <v>45287</v>
      </c>
      <c r="K742" s="26">
        <f t="shared" ca="1" si="137"/>
        <v>0.59095866167721756</v>
      </c>
      <c r="L742" s="29">
        <v>0</v>
      </c>
      <c r="N742" s="22">
        <v>45287</v>
      </c>
      <c r="O742" s="26">
        <f t="shared" ca="1" si="138"/>
        <v>0.36186535813060061</v>
      </c>
      <c r="P742" s="29">
        <v>0</v>
      </c>
      <c r="R742" s="22">
        <v>45287</v>
      </c>
      <c r="S742" s="26">
        <f t="shared" ca="1" si="139"/>
        <v>0.84584585262288092</v>
      </c>
      <c r="T742" s="29">
        <v>0</v>
      </c>
      <c r="V742" s="22">
        <v>45287</v>
      </c>
      <c r="W742" s="26">
        <f t="shared" ca="1" si="140"/>
        <v>0.60872316014428585</v>
      </c>
      <c r="X742" s="29">
        <v>0</v>
      </c>
      <c r="Z742" s="22">
        <v>45287</v>
      </c>
      <c r="AA742" s="26">
        <f t="shared" ca="1" si="141"/>
        <v>0.37185311782552122</v>
      </c>
      <c r="AB742" s="29">
        <v>0</v>
      </c>
      <c r="AC742"/>
      <c r="AD742" s="25"/>
      <c r="AF742" s="22">
        <v>45287</v>
      </c>
      <c r="AG742" s="26">
        <f t="shared" ca="1" si="142"/>
        <v>0.90358948155713625</v>
      </c>
      <c r="AH742" s="29">
        <v>0</v>
      </c>
      <c r="AJ742" s="22">
        <v>45287</v>
      </c>
      <c r="AK742" s="26">
        <f t="shared" ca="1" si="143"/>
        <v>0.13385847925311656</v>
      </c>
      <c r="AL742" s="29">
        <v>0</v>
      </c>
      <c r="AN742" s="22">
        <v>45287</v>
      </c>
      <c r="AO742" s="26">
        <f t="shared" ca="1" si="144"/>
        <v>0.21913781817100819</v>
      </c>
      <c r="AP742" s="29">
        <v>0</v>
      </c>
      <c r="AR742" s="22">
        <v>45287</v>
      </c>
      <c r="AS742" s="26">
        <f t="shared" ca="1" si="145"/>
        <v>0.72426911730502486</v>
      </c>
      <c r="AT742" s="29">
        <v>0</v>
      </c>
      <c r="AV742" s="22">
        <v>45287</v>
      </c>
      <c r="AW742" s="26">
        <f t="shared" ca="1" si="146"/>
        <v>0.70758418942409063</v>
      </c>
      <c r="AX742" s="29">
        <v>0</v>
      </c>
      <c r="AZ742" s="22">
        <v>45287</v>
      </c>
      <c r="BA742" s="26">
        <f t="shared" ca="1" si="147"/>
        <v>0.74897639689587248</v>
      </c>
      <c r="BB742" s="29">
        <v>0</v>
      </c>
      <c r="BC742"/>
      <c r="BD742" s="25"/>
      <c r="BF742" s="22">
        <v>45287</v>
      </c>
      <c r="BG742" s="26">
        <f t="shared" ca="1" si="148"/>
        <v>0.7998929537050723</v>
      </c>
      <c r="BH742" s="29">
        <v>0</v>
      </c>
      <c r="BJ742" s="22">
        <v>45287</v>
      </c>
      <c r="BK742" s="26">
        <f t="shared" ca="1" si="149"/>
        <v>0.95740280219765161</v>
      </c>
      <c r="BL742" s="29">
        <v>0</v>
      </c>
      <c r="BN742" s="22">
        <v>45287</v>
      </c>
      <c r="BO742" s="26">
        <f t="shared" ca="1" si="150"/>
        <v>0.85641601831643954</v>
      </c>
      <c r="BP742" s="29">
        <v>0</v>
      </c>
      <c r="BR742" s="22">
        <v>45287</v>
      </c>
      <c r="BS742" s="26">
        <f t="shared" ca="1" si="151"/>
        <v>0.98223835501223555</v>
      </c>
      <c r="BT742" s="29">
        <v>0</v>
      </c>
      <c r="BV742" s="22">
        <v>45287</v>
      </c>
      <c r="BW742" s="26">
        <f t="shared" ca="1" si="152"/>
        <v>0.96388094423883852</v>
      </c>
      <c r="BX742" s="29">
        <v>0</v>
      </c>
    </row>
    <row r="743" spans="2:77" ht="12.75" x14ac:dyDescent="0.2">
      <c r="B743" s="22">
        <v>45288</v>
      </c>
      <c r="C743" s="26">
        <f t="shared" ca="1" si="135"/>
        <v>4.5963699473080988E-2</v>
      </c>
      <c r="D743" s="29">
        <v>0</v>
      </c>
      <c r="F743" s="22"/>
      <c r="G743" s="26">
        <f t="shared" ca="1" si="136"/>
        <v>0.63559648458763762</v>
      </c>
      <c r="H743" s="29">
        <v>0</v>
      </c>
      <c r="J743" s="22">
        <v>45288</v>
      </c>
      <c r="K743" s="26">
        <f t="shared" ca="1" si="137"/>
        <v>0.14316754842815949</v>
      </c>
      <c r="L743" s="29">
        <v>0</v>
      </c>
      <c r="N743" s="22">
        <v>45288</v>
      </c>
      <c r="O743" s="26">
        <f t="shared" ca="1" si="138"/>
        <v>0.20519557241221542</v>
      </c>
      <c r="P743" s="29">
        <v>0</v>
      </c>
      <c r="R743" s="22">
        <v>45288</v>
      </c>
      <c r="S743" s="26">
        <f t="shared" ca="1" si="139"/>
        <v>0.75613275644573497</v>
      </c>
      <c r="T743" s="29">
        <v>0</v>
      </c>
      <c r="V743" s="22">
        <v>45288</v>
      </c>
      <c r="W743" s="26">
        <f t="shared" ca="1" si="140"/>
        <v>0.74850109136648979</v>
      </c>
      <c r="X743" s="29">
        <v>0</v>
      </c>
      <c r="Z743" s="22">
        <v>45288</v>
      </c>
      <c r="AA743" s="26">
        <f t="shared" ca="1" si="141"/>
        <v>0.16212934501512277</v>
      </c>
      <c r="AB743" s="29">
        <v>0</v>
      </c>
      <c r="AC743"/>
      <c r="AD743" s="25"/>
      <c r="AF743" s="22">
        <v>45288</v>
      </c>
      <c r="AG743" s="26">
        <f t="shared" ca="1" si="142"/>
        <v>0.60736399428840371</v>
      </c>
      <c r="AH743" s="29">
        <v>0</v>
      </c>
      <c r="AJ743" s="22">
        <v>45288</v>
      </c>
      <c r="AK743" s="26">
        <f t="shared" ca="1" si="143"/>
        <v>0.13329802161849069</v>
      </c>
      <c r="AL743" s="29">
        <v>0</v>
      </c>
      <c r="AN743" s="22">
        <v>45288</v>
      </c>
      <c r="AO743" s="26">
        <f t="shared" ca="1" si="144"/>
        <v>0.87884970248854977</v>
      </c>
      <c r="AP743" s="29">
        <v>0</v>
      </c>
      <c r="AR743" s="22">
        <v>45288</v>
      </c>
      <c r="AS743" s="26">
        <f t="shared" ca="1" si="145"/>
        <v>0.34406797563385161</v>
      </c>
      <c r="AT743" s="29">
        <v>0</v>
      </c>
      <c r="AV743" s="22">
        <v>45288</v>
      </c>
      <c r="AW743" s="26">
        <f t="shared" ca="1" si="146"/>
        <v>0.45896957297239793</v>
      </c>
      <c r="AX743" s="29">
        <v>0</v>
      </c>
      <c r="AZ743" s="22">
        <v>45288</v>
      </c>
      <c r="BA743" s="26">
        <f t="shared" ca="1" si="147"/>
        <v>0.12126636769967314</v>
      </c>
      <c r="BB743" s="29">
        <v>0</v>
      </c>
      <c r="BC743"/>
      <c r="BD743" s="25"/>
      <c r="BF743" s="22">
        <v>45288</v>
      </c>
      <c r="BG743" s="26">
        <f t="shared" ca="1" si="148"/>
        <v>0.5030643184788095</v>
      </c>
      <c r="BH743" s="29">
        <v>0</v>
      </c>
      <c r="BJ743" s="22">
        <v>45288</v>
      </c>
      <c r="BK743" s="26">
        <f t="shared" ca="1" si="149"/>
        <v>0.73086347958005926</v>
      </c>
      <c r="BL743" s="29">
        <v>0</v>
      </c>
      <c r="BN743" s="22">
        <v>45288</v>
      </c>
      <c r="BO743" s="26">
        <f t="shared" ca="1" si="150"/>
        <v>0.67363386320267793</v>
      </c>
      <c r="BP743" s="29">
        <v>0</v>
      </c>
      <c r="BR743" s="22">
        <v>45288</v>
      </c>
      <c r="BS743" s="26">
        <f t="shared" ca="1" si="151"/>
        <v>0.95039159553364461</v>
      </c>
      <c r="BT743" s="29">
        <v>0</v>
      </c>
      <c r="BV743" s="22">
        <v>45288</v>
      </c>
      <c r="BW743" s="26">
        <f t="shared" ca="1" si="152"/>
        <v>0.67926236959671649</v>
      </c>
      <c r="BX743" s="29">
        <v>0</v>
      </c>
    </row>
    <row r="744" spans="2:77" ht="12.75" x14ac:dyDescent="0.2">
      <c r="B744" s="22">
        <v>45289</v>
      </c>
      <c r="C744" s="26">
        <f t="shared" ca="1" si="135"/>
        <v>0.58984134945888267</v>
      </c>
      <c r="D744" s="29">
        <v>0</v>
      </c>
      <c r="F744" s="22"/>
      <c r="G744" s="26">
        <f t="shared" ca="1" si="136"/>
        <v>0.86200650661700551</v>
      </c>
      <c r="H744" s="29">
        <v>0</v>
      </c>
      <c r="J744" s="22">
        <v>45289</v>
      </c>
      <c r="K744" s="26">
        <f t="shared" ca="1" si="137"/>
        <v>0.78668693258521105</v>
      </c>
      <c r="L744" s="29">
        <v>0</v>
      </c>
      <c r="N744" s="22">
        <v>45289</v>
      </c>
      <c r="O744" s="26">
        <f t="shared" ca="1" si="138"/>
        <v>0.20690937679060839</v>
      </c>
      <c r="P744" s="29">
        <v>0</v>
      </c>
      <c r="R744" s="22">
        <v>45289</v>
      </c>
      <c r="S744" s="26">
        <f t="shared" ca="1" si="139"/>
        <v>0.79602226893663475</v>
      </c>
      <c r="T744" s="29">
        <v>0</v>
      </c>
      <c r="V744" s="22">
        <v>45289</v>
      </c>
      <c r="W744" s="26">
        <f t="shared" ca="1" si="140"/>
        <v>2.4460345482416712E-2</v>
      </c>
      <c r="X744" s="29">
        <v>0</v>
      </c>
      <c r="Z744" s="22">
        <v>45289</v>
      </c>
      <c r="AA744" s="26">
        <f t="shared" ca="1" si="141"/>
        <v>0.89875938352744433</v>
      </c>
      <c r="AB744" s="29">
        <v>0</v>
      </c>
      <c r="AC744"/>
      <c r="AD744" s="25"/>
      <c r="AF744" s="22">
        <v>45289</v>
      </c>
      <c r="AG744" s="26">
        <f t="shared" ca="1" si="142"/>
        <v>0.52642795788670205</v>
      </c>
      <c r="AH744" s="29">
        <v>0</v>
      </c>
      <c r="AJ744" s="22">
        <v>45289</v>
      </c>
      <c r="AK744" s="26">
        <f t="shared" ca="1" si="143"/>
        <v>0.40246091263711781</v>
      </c>
      <c r="AL744" s="29">
        <v>0</v>
      </c>
      <c r="AN744" s="22">
        <v>45289</v>
      </c>
      <c r="AO744" s="26">
        <f t="shared" ca="1" si="144"/>
        <v>0.9981632476317307</v>
      </c>
      <c r="AP744" s="29">
        <v>0</v>
      </c>
      <c r="AR744" s="22">
        <v>45289</v>
      </c>
      <c r="AS744" s="26">
        <f t="shared" ca="1" si="145"/>
        <v>0.86461359685526296</v>
      </c>
      <c r="AT744" s="29">
        <v>0</v>
      </c>
      <c r="AV744" s="22">
        <v>45289</v>
      </c>
      <c r="AW744" s="26">
        <f t="shared" ca="1" si="146"/>
        <v>0.53422382567695847</v>
      </c>
      <c r="AX744" s="29">
        <v>0</v>
      </c>
      <c r="AZ744" s="22">
        <v>45289</v>
      </c>
      <c r="BA744" s="26">
        <f t="shared" ca="1" si="147"/>
        <v>0.85427417712449927</v>
      </c>
      <c r="BB744" s="29">
        <v>0</v>
      </c>
      <c r="BC744"/>
      <c r="BD744" s="25"/>
      <c r="BF744" s="22">
        <v>45289</v>
      </c>
      <c r="BG744" s="26">
        <f t="shared" ca="1" si="148"/>
        <v>0.47816804889609688</v>
      </c>
      <c r="BH744" s="29">
        <v>0</v>
      </c>
      <c r="BJ744" s="22">
        <v>45289</v>
      </c>
      <c r="BK744" s="26">
        <f t="shared" ca="1" si="149"/>
        <v>0.41730949823825148</v>
      </c>
      <c r="BL744" s="29">
        <v>0</v>
      </c>
      <c r="BN744" s="22">
        <v>45289</v>
      </c>
      <c r="BO744" s="26">
        <f t="shared" ca="1" si="150"/>
        <v>0.5660260828369903</v>
      </c>
      <c r="BP744" s="29">
        <v>0</v>
      </c>
      <c r="BR744" s="22">
        <v>45289</v>
      </c>
      <c r="BS744" s="26">
        <f t="shared" ca="1" si="151"/>
        <v>0.76189689374184011</v>
      </c>
      <c r="BT744" s="29">
        <v>0</v>
      </c>
      <c r="BV744" s="22">
        <v>45289</v>
      </c>
      <c r="BW744" s="26">
        <f t="shared" ca="1" si="152"/>
        <v>2.0005667829390283E-2</v>
      </c>
      <c r="BX744" s="29">
        <v>0</v>
      </c>
    </row>
    <row r="745" spans="2:77" ht="12.75" x14ac:dyDescent="0.2">
      <c r="B745" s="22">
        <v>45290</v>
      </c>
      <c r="C745" s="26">
        <f t="shared" ca="1" si="135"/>
        <v>0.14693892352299021</v>
      </c>
      <c r="D745" s="29">
        <v>0</v>
      </c>
      <c r="F745" s="22"/>
      <c r="G745" s="26">
        <f t="shared" ca="1" si="136"/>
        <v>0.22924638076980641</v>
      </c>
      <c r="H745" s="29">
        <v>0</v>
      </c>
      <c r="J745" s="22">
        <v>45290</v>
      </c>
      <c r="K745" s="26">
        <f t="shared" ca="1" si="137"/>
        <v>0.49965864731689069</v>
      </c>
      <c r="L745" s="29">
        <v>0</v>
      </c>
      <c r="N745" s="22">
        <v>45290</v>
      </c>
      <c r="O745" s="26">
        <f t="shared" ca="1" si="138"/>
        <v>0.40159581714399029</v>
      </c>
      <c r="P745" s="29">
        <v>0</v>
      </c>
      <c r="R745" s="22">
        <v>45290</v>
      </c>
      <c r="S745" s="26">
        <f t="shared" ca="1" si="139"/>
        <v>0.19459202560341338</v>
      </c>
      <c r="T745" s="29">
        <v>0</v>
      </c>
      <c r="V745" s="22">
        <v>45290</v>
      </c>
      <c r="W745" s="26">
        <f t="shared" ca="1" si="140"/>
        <v>0.40431152824270256</v>
      </c>
      <c r="X745" s="29">
        <v>0</v>
      </c>
      <c r="Z745" s="22">
        <v>45290</v>
      </c>
      <c r="AA745" s="26">
        <f t="shared" ca="1" si="141"/>
        <v>0.94187761911353696</v>
      </c>
      <c r="AB745" s="29">
        <v>0</v>
      </c>
      <c r="AC745"/>
      <c r="AD745" s="25"/>
      <c r="AF745" s="22">
        <v>45290</v>
      </c>
      <c r="AG745" s="26">
        <f t="shared" ca="1" si="142"/>
        <v>0.34956469619506625</v>
      </c>
      <c r="AH745" s="29">
        <v>0</v>
      </c>
      <c r="AJ745" s="22">
        <v>45290</v>
      </c>
      <c r="AK745" s="26">
        <f t="shared" ca="1" si="143"/>
        <v>6.1000847328644525E-2</v>
      </c>
      <c r="AL745" s="29">
        <v>0</v>
      </c>
      <c r="AN745" s="22">
        <v>45290</v>
      </c>
      <c r="AO745" s="26">
        <f t="shared" ca="1" si="144"/>
        <v>0.21882081428795552</v>
      </c>
      <c r="AP745" s="29">
        <v>0</v>
      </c>
      <c r="AR745" s="22">
        <v>45290</v>
      </c>
      <c r="AS745" s="26">
        <f t="shared" ca="1" si="145"/>
        <v>0.79777692944357015</v>
      </c>
      <c r="AT745" s="29">
        <v>0</v>
      </c>
      <c r="AV745" s="22">
        <v>45290</v>
      </c>
      <c r="AW745" s="26">
        <f t="shared" ca="1" si="146"/>
        <v>0.48375857985619464</v>
      </c>
      <c r="AX745" s="29">
        <v>0</v>
      </c>
      <c r="AZ745" s="22">
        <v>45290</v>
      </c>
      <c r="BA745" s="26">
        <f t="shared" ca="1" si="147"/>
        <v>0.58786427367608474</v>
      </c>
      <c r="BB745" s="29">
        <v>0</v>
      </c>
      <c r="BC745"/>
      <c r="BD745" s="25"/>
      <c r="BF745" s="22">
        <v>45290</v>
      </c>
      <c r="BG745" s="26">
        <f t="shared" ca="1" si="148"/>
        <v>0.6300415961656719</v>
      </c>
      <c r="BH745" s="29">
        <v>0</v>
      </c>
      <c r="BJ745" s="22">
        <v>45290</v>
      </c>
      <c r="BK745" s="26">
        <f t="shared" ca="1" si="149"/>
        <v>5.8869059404365043E-4</v>
      </c>
      <c r="BL745" s="29">
        <v>0</v>
      </c>
      <c r="BN745" s="22">
        <v>45290</v>
      </c>
      <c r="BO745" s="26">
        <f t="shared" ca="1" si="150"/>
        <v>0.4581162779174951</v>
      </c>
      <c r="BP745" s="29">
        <v>0</v>
      </c>
      <c r="BR745" s="22">
        <v>45290</v>
      </c>
      <c r="BS745" s="26">
        <f t="shared" ca="1" si="151"/>
        <v>0.61115911143501911</v>
      </c>
      <c r="BT745" s="29">
        <v>0</v>
      </c>
      <c r="BV745" s="22">
        <v>45290</v>
      </c>
      <c r="BW745" s="26">
        <f t="shared" ca="1" si="152"/>
        <v>0.52445013140274443</v>
      </c>
      <c r="BX745" s="29">
        <v>0</v>
      </c>
    </row>
    <row r="746" spans="2:77" ht="12.75" x14ac:dyDescent="0.2">
      <c r="B746" s="22">
        <v>45291</v>
      </c>
      <c r="C746" s="26">
        <f t="shared" ca="1" si="135"/>
        <v>0.33896688081387316</v>
      </c>
      <c r="D746" s="29">
        <v>0</v>
      </c>
      <c r="E746">
        <v>1376</v>
      </c>
      <c r="F746" s="22"/>
      <c r="G746" s="26">
        <f t="shared" ca="1" si="136"/>
        <v>7.9073699843732137E-2</v>
      </c>
      <c r="H746" s="29">
        <v>0</v>
      </c>
      <c r="J746" s="22">
        <v>45291</v>
      </c>
      <c r="K746" s="26">
        <f t="shared" ca="1" si="137"/>
        <v>0.79766314555408457</v>
      </c>
      <c r="L746" s="29">
        <v>0</v>
      </c>
      <c r="M746">
        <v>2733</v>
      </c>
      <c r="N746" s="22">
        <v>45291</v>
      </c>
      <c r="O746" s="26">
        <f t="shared" ca="1" si="138"/>
        <v>0.16122221251367308</v>
      </c>
      <c r="P746" s="29">
        <v>0</v>
      </c>
      <c r="Q746">
        <v>4078</v>
      </c>
      <c r="R746" s="22">
        <v>45291</v>
      </c>
      <c r="S746" s="26">
        <f t="shared" ca="1" si="139"/>
        <v>0.95715763123101405</v>
      </c>
      <c r="T746" s="29">
        <v>0</v>
      </c>
      <c r="U746">
        <v>2460</v>
      </c>
      <c r="V746" s="22">
        <v>45291</v>
      </c>
      <c r="W746" s="26">
        <f t="shared" ca="1" si="140"/>
        <v>0.25534265854493199</v>
      </c>
      <c r="X746" s="29">
        <v>0</v>
      </c>
      <c r="Y746">
        <v>4083</v>
      </c>
      <c r="Z746" s="22">
        <v>45291</v>
      </c>
      <c r="AA746" s="26">
        <f t="shared" ca="1" si="141"/>
        <v>0.85050632223600076</v>
      </c>
      <c r="AB746" s="29">
        <v>0</v>
      </c>
      <c r="AC746">
        <v>4953</v>
      </c>
      <c r="AD746" s="25"/>
      <c r="AF746" s="22">
        <v>45291</v>
      </c>
      <c r="AG746" s="26">
        <f t="shared" ca="1" si="142"/>
        <v>0.65438383432825264</v>
      </c>
      <c r="AH746" s="29">
        <v>0</v>
      </c>
      <c r="AI746">
        <v>6025</v>
      </c>
      <c r="AJ746" s="22">
        <v>45291</v>
      </c>
      <c r="AK746" s="26">
        <f t="shared" ca="1" si="143"/>
        <v>3.719146405983631E-2</v>
      </c>
      <c r="AL746" s="29">
        <v>0</v>
      </c>
      <c r="AM746">
        <v>3043</v>
      </c>
      <c r="AN746" s="22">
        <v>45291</v>
      </c>
      <c r="AO746" s="26">
        <f t="shared" ca="1" si="144"/>
        <v>0.54332055713238803</v>
      </c>
      <c r="AP746" s="29">
        <v>0</v>
      </c>
      <c r="AQ746">
        <v>2797</v>
      </c>
      <c r="AR746" s="22">
        <v>45291</v>
      </c>
      <c r="AS746" s="26">
        <f t="shared" ca="1" si="145"/>
        <v>0.73358842613488473</v>
      </c>
      <c r="AT746" s="29">
        <v>0</v>
      </c>
      <c r="AU746">
        <v>4159</v>
      </c>
      <c r="AV746" s="22">
        <v>45291</v>
      </c>
      <c r="AW746" s="26">
        <f t="shared" ca="1" si="146"/>
        <v>0.54011551218319442</v>
      </c>
      <c r="AX746" s="29">
        <v>0</v>
      </c>
      <c r="AY746">
        <v>3422</v>
      </c>
      <c r="AZ746" s="22">
        <v>45291</v>
      </c>
      <c r="BA746" s="26">
        <f t="shared" ca="1" si="147"/>
        <v>0.77206003645208021</v>
      </c>
      <c r="BB746" s="29">
        <v>0</v>
      </c>
      <c r="BC746">
        <v>3509</v>
      </c>
      <c r="BD746" s="25"/>
      <c r="BF746" s="22">
        <v>45291</v>
      </c>
      <c r="BG746" s="26">
        <f t="shared" ca="1" si="148"/>
        <v>0.25074928493396609</v>
      </c>
      <c r="BH746" s="29">
        <v>0</v>
      </c>
      <c r="BI746">
        <v>2893</v>
      </c>
      <c r="BJ746" s="22">
        <v>45291</v>
      </c>
      <c r="BK746" s="26">
        <f t="shared" ca="1" si="149"/>
        <v>0.21813566310827492</v>
      </c>
      <c r="BL746" s="29">
        <v>0</v>
      </c>
      <c r="BM746">
        <v>0</v>
      </c>
      <c r="BN746" s="22">
        <v>45291</v>
      </c>
      <c r="BO746" s="26">
        <f t="shared" ca="1" si="150"/>
        <v>0.49391525133275338</v>
      </c>
      <c r="BP746" s="29">
        <v>0</v>
      </c>
      <c r="BQ746">
        <v>0</v>
      </c>
      <c r="BR746" s="22">
        <v>45291</v>
      </c>
      <c r="BS746" s="26">
        <f t="shared" ca="1" si="151"/>
        <v>0.73395296576465907</v>
      </c>
      <c r="BT746" s="29">
        <v>0</v>
      </c>
      <c r="BU746">
        <v>0</v>
      </c>
      <c r="BV746" s="22">
        <v>45291</v>
      </c>
      <c r="BW746" s="26">
        <f t="shared" ca="1" si="152"/>
        <v>0.67931244104176391</v>
      </c>
      <c r="BX746" s="29">
        <v>0</v>
      </c>
      <c r="BY746">
        <v>0</v>
      </c>
    </row>
    <row r="747" spans="2:77" ht="12.75" x14ac:dyDescent="0.2">
      <c r="B747" s="22">
        <v>45292</v>
      </c>
      <c r="C747" s="26">
        <f t="shared" ca="1" si="135"/>
        <v>0.75172945079124198</v>
      </c>
      <c r="D747" s="29">
        <v>0</v>
      </c>
      <c r="F747" s="22"/>
      <c r="G747" s="26">
        <f t="shared" ca="1" si="136"/>
        <v>0.85728763672337194</v>
      </c>
      <c r="H747" s="29">
        <v>0</v>
      </c>
      <c r="J747" s="22">
        <v>45292</v>
      </c>
      <c r="K747" s="26">
        <f t="shared" ca="1" si="137"/>
        <v>0.40927329046251359</v>
      </c>
      <c r="L747" s="29">
        <v>0</v>
      </c>
      <c r="N747" s="22">
        <v>45292</v>
      </c>
      <c r="O747" s="26">
        <f t="shared" ca="1" si="138"/>
        <v>7.4135720132014749E-3</v>
      </c>
      <c r="P747" s="29">
        <v>0</v>
      </c>
      <c r="R747" s="22">
        <v>45292</v>
      </c>
      <c r="S747" s="26">
        <f t="shared" ca="1" si="139"/>
        <v>0.62718947737065078</v>
      </c>
      <c r="T747" s="29">
        <v>0</v>
      </c>
      <c r="V747" s="22">
        <v>45292</v>
      </c>
      <c r="W747" s="26">
        <f t="shared" ca="1" si="140"/>
        <v>0.69952526886912592</v>
      </c>
      <c r="X747" s="29">
        <v>0</v>
      </c>
      <c r="Z747" s="22">
        <v>45292</v>
      </c>
      <c r="AA747" s="26">
        <f t="shared" ca="1" si="141"/>
        <v>0.53892120096270701</v>
      </c>
      <c r="AB747" s="29">
        <v>0</v>
      </c>
      <c r="AC747"/>
      <c r="AD747" s="25"/>
      <c r="AF747" s="22">
        <v>45292</v>
      </c>
      <c r="AG747" s="26">
        <f t="shared" ca="1" si="142"/>
        <v>0.135306910083279</v>
      </c>
      <c r="AH747" s="29">
        <v>0</v>
      </c>
      <c r="AJ747" s="22">
        <v>45292</v>
      </c>
      <c r="AK747" s="26">
        <f t="shared" ca="1" si="143"/>
        <v>0.39138142910880191</v>
      </c>
      <c r="AL747" s="29">
        <v>0</v>
      </c>
      <c r="AN747" s="22">
        <v>45292</v>
      </c>
      <c r="AO747" s="26">
        <f t="shared" ca="1" si="144"/>
        <v>0.37078139081646144</v>
      </c>
      <c r="AP747" s="29">
        <v>0</v>
      </c>
      <c r="AR747" s="22">
        <v>45292</v>
      </c>
      <c r="AS747" s="26">
        <f t="shared" ca="1" si="145"/>
        <v>0.5040176888049458</v>
      </c>
      <c r="AT747" s="29">
        <v>0</v>
      </c>
      <c r="AV747" s="22">
        <v>45292</v>
      </c>
      <c r="AW747" s="26">
        <f t="shared" ca="1" si="146"/>
        <v>0.24845523502384237</v>
      </c>
      <c r="AX747" s="29">
        <v>0</v>
      </c>
      <c r="AZ747" s="22">
        <v>45292</v>
      </c>
      <c r="BA747" s="26">
        <f t="shared" ca="1" si="147"/>
        <v>0.58024204169563975</v>
      </c>
      <c r="BB747" s="29">
        <v>0</v>
      </c>
      <c r="BC747"/>
      <c r="BD747" s="25"/>
      <c r="BF747" s="22">
        <v>45292</v>
      </c>
      <c r="BG747" s="26">
        <f t="shared" ca="1" si="148"/>
        <v>0.83475770780722702</v>
      </c>
      <c r="BH747" s="29">
        <v>0</v>
      </c>
      <c r="BJ747" s="22">
        <v>45292</v>
      </c>
      <c r="BK747" s="26">
        <f t="shared" ca="1" si="149"/>
        <v>7.1160328283773278E-2</v>
      </c>
      <c r="BL747" s="29">
        <v>0</v>
      </c>
      <c r="BN747" s="22">
        <v>45292</v>
      </c>
      <c r="BO747" s="26">
        <f t="shared" ca="1" si="150"/>
        <v>0.22198022171266285</v>
      </c>
      <c r="BP747" s="29">
        <v>0</v>
      </c>
      <c r="BR747" s="22">
        <v>45292</v>
      </c>
      <c r="BS747" s="26">
        <f t="shared" ca="1" si="151"/>
        <v>0.24897891010623163</v>
      </c>
      <c r="BT747" s="29">
        <v>0</v>
      </c>
      <c r="BV747" s="22">
        <v>45292</v>
      </c>
      <c r="BW747" s="26">
        <f t="shared" ca="1" si="152"/>
        <v>0.93993394839993927</v>
      </c>
      <c r="BX747" s="29">
        <v>0</v>
      </c>
    </row>
    <row r="748" spans="2:77" ht="12.75" x14ac:dyDescent="0.2">
      <c r="B748" s="22">
        <v>45293</v>
      </c>
      <c r="C748" s="26">
        <f t="shared" ca="1" si="135"/>
        <v>0.27186907439935659</v>
      </c>
      <c r="D748" s="29">
        <v>0</v>
      </c>
      <c r="F748" s="22"/>
      <c r="G748" s="26">
        <f t="shared" ca="1" si="136"/>
        <v>6.8920991514590857E-2</v>
      </c>
      <c r="H748" s="29">
        <v>0</v>
      </c>
      <c r="J748" s="22">
        <v>45293</v>
      </c>
      <c r="K748" s="26">
        <f t="shared" ca="1" si="137"/>
        <v>0.35233249916978759</v>
      </c>
      <c r="L748" s="29">
        <v>0</v>
      </c>
      <c r="N748" s="22">
        <v>45293</v>
      </c>
      <c r="O748" s="26">
        <f t="shared" ca="1" si="138"/>
        <v>0.57898877817258754</v>
      </c>
      <c r="P748" s="29">
        <v>0</v>
      </c>
      <c r="R748" s="22">
        <v>45293</v>
      </c>
      <c r="S748" s="26">
        <f t="shared" ca="1" si="139"/>
        <v>0.84457795572655769</v>
      </c>
      <c r="T748" s="29">
        <v>0</v>
      </c>
      <c r="V748" s="22">
        <v>45293</v>
      </c>
      <c r="W748" s="26">
        <f t="shared" ca="1" si="140"/>
        <v>0.68498587746623507</v>
      </c>
      <c r="X748" s="29">
        <v>0</v>
      </c>
      <c r="Z748" s="22">
        <v>45293</v>
      </c>
      <c r="AA748" s="26">
        <f t="shared" ca="1" si="141"/>
        <v>0.45037504831334929</v>
      </c>
      <c r="AB748" s="29">
        <v>0</v>
      </c>
      <c r="AC748"/>
      <c r="AD748" s="25"/>
      <c r="AF748" s="22">
        <v>45293</v>
      </c>
      <c r="AG748" s="26">
        <f t="shared" ca="1" si="142"/>
        <v>0.59393403232763797</v>
      </c>
      <c r="AH748" s="29">
        <v>0</v>
      </c>
      <c r="AJ748" s="22">
        <v>45293</v>
      </c>
      <c r="AK748" s="26">
        <f t="shared" ca="1" si="143"/>
        <v>0.68320715112203945</v>
      </c>
      <c r="AL748" s="29">
        <v>0</v>
      </c>
      <c r="AN748" s="22">
        <v>45293</v>
      </c>
      <c r="AO748" s="26">
        <f t="shared" ca="1" si="144"/>
        <v>0.81604886549670719</v>
      </c>
      <c r="AP748" s="29">
        <v>0</v>
      </c>
      <c r="AR748" s="22">
        <v>45293</v>
      </c>
      <c r="AS748" s="26">
        <f t="shared" ca="1" si="145"/>
        <v>0.21022511547582767</v>
      </c>
      <c r="AT748" s="29">
        <v>0</v>
      </c>
      <c r="AV748" s="22">
        <v>45293</v>
      </c>
      <c r="AW748" s="26">
        <f t="shared" ca="1" si="146"/>
        <v>0.99144544817635183</v>
      </c>
      <c r="AX748" s="29">
        <v>0</v>
      </c>
      <c r="AZ748" s="22">
        <v>45293</v>
      </c>
      <c r="BA748" s="26">
        <f t="shared" ca="1" si="147"/>
        <v>0.52894144414060129</v>
      </c>
      <c r="BB748" s="29">
        <v>0</v>
      </c>
      <c r="BC748"/>
      <c r="BD748" s="25"/>
      <c r="BF748" s="22">
        <v>45293</v>
      </c>
      <c r="BG748" s="26">
        <f t="shared" ca="1" si="148"/>
        <v>0.17181645863890738</v>
      </c>
      <c r="BH748" s="29">
        <v>0</v>
      </c>
      <c r="BJ748" s="22">
        <v>45293</v>
      </c>
      <c r="BK748" s="26">
        <f t="shared" ca="1" si="149"/>
        <v>0.53387868104456893</v>
      </c>
      <c r="BL748" s="29">
        <v>0</v>
      </c>
      <c r="BN748" s="22">
        <v>45293</v>
      </c>
      <c r="BO748" s="26">
        <f t="shared" ca="1" si="150"/>
        <v>0.80242688831318465</v>
      </c>
      <c r="BP748" s="29">
        <v>0</v>
      </c>
      <c r="BR748" s="22">
        <v>45293</v>
      </c>
      <c r="BS748" s="26">
        <f t="shared" ca="1" si="151"/>
        <v>0.37647250217118289</v>
      </c>
      <c r="BT748" s="29">
        <v>0</v>
      </c>
      <c r="BV748" s="22">
        <v>45293</v>
      </c>
      <c r="BW748" s="26">
        <f t="shared" ca="1" si="152"/>
        <v>0.72436226655352276</v>
      </c>
      <c r="BX748" s="29">
        <v>0</v>
      </c>
    </row>
    <row r="749" spans="2:77" ht="12.75" x14ac:dyDescent="0.2">
      <c r="B749" s="22">
        <v>45294</v>
      </c>
      <c r="C749" s="26">
        <f t="shared" ca="1" si="135"/>
        <v>0.69451414187178018</v>
      </c>
      <c r="D749" s="29">
        <v>0</v>
      </c>
      <c r="F749" s="22"/>
      <c r="G749" s="26">
        <f t="shared" ca="1" si="136"/>
        <v>0.16246886927206983</v>
      </c>
      <c r="H749" s="29">
        <v>0</v>
      </c>
      <c r="J749" s="22">
        <v>45294</v>
      </c>
      <c r="K749" s="26">
        <f t="shared" ca="1" si="137"/>
        <v>0.36846007385716617</v>
      </c>
      <c r="L749" s="29">
        <v>0</v>
      </c>
      <c r="N749" s="22">
        <v>45294</v>
      </c>
      <c r="O749" s="26">
        <f t="shared" ca="1" si="138"/>
        <v>0.79046828928246748</v>
      </c>
      <c r="P749" s="29">
        <v>0</v>
      </c>
      <c r="R749" s="22">
        <v>45294</v>
      </c>
      <c r="S749" s="26">
        <f t="shared" ca="1" si="139"/>
        <v>0.1503530796604331</v>
      </c>
      <c r="T749" s="29">
        <v>0</v>
      </c>
      <c r="V749" s="22">
        <v>45294</v>
      </c>
      <c r="W749" s="26">
        <f t="shared" ca="1" si="140"/>
        <v>0.54704714992235615</v>
      </c>
      <c r="X749" s="29">
        <v>0</v>
      </c>
      <c r="Z749" s="22">
        <v>45294</v>
      </c>
      <c r="AA749" s="26">
        <f t="shared" ca="1" si="141"/>
        <v>0.6775268668347495</v>
      </c>
      <c r="AB749" s="29">
        <v>0</v>
      </c>
      <c r="AC749"/>
      <c r="AD749" s="25"/>
      <c r="AF749" s="22">
        <v>45294</v>
      </c>
      <c r="AG749" s="26">
        <f t="shared" ca="1" si="142"/>
        <v>0.20087225945440856</v>
      </c>
      <c r="AH749" s="29">
        <v>0</v>
      </c>
      <c r="AJ749" s="22">
        <v>45294</v>
      </c>
      <c r="AK749" s="26">
        <f t="shared" ca="1" si="143"/>
        <v>0.90160677185308657</v>
      </c>
      <c r="AL749" s="29">
        <v>0</v>
      </c>
      <c r="AN749" s="22">
        <v>45294</v>
      </c>
      <c r="AO749" s="26">
        <f t="shared" ca="1" si="144"/>
        <v>0.77772760632974935</v>
      </c>
      <c r="AP749" s="29">
        <v>0</v>
      </c>
      <c r="AR749" s="22">
        <v>45294</v>
      </c>
      <c r="AS749" s="26">
        <f t="shared" ca="1" si="145"/>
        <v>0.41690546725031619</v>
      </c>
      <c r="AT749" s="29">
        <v>0</v>
      </c>
      <c r="AV749" s="22">
        <v>45294</v>
      </c>
      <c r="AW749" s="26">
        <f t="shared" ca="1" si="146"/>
        <v>0.99483588008267931</v>
      </c>
      <c r="AX749" s="29">
        <v>0</v>
      </c>
      <c r="AZ749" s="22">
        <v>45294</v>
      </c>
      <c r="BA749" s="26">
        <f t="shared" ca="1" si="147"/>
        <v>0.27630680670309804</v>
      </c>
      <c r="BB749" s="29">
        <v>0</v>
      </c>
      <c r="BC749"/>
      <c r="BD749" s="25"/>
      <c r="BF749" s="22">
        <v>45294</v>
      </c>
      <c r="BG749" s="26">
        <f t="shared" ca="1" si="148"/>
        <v>0.76042787758787589</v>
      </c>
      <c r="BH749" s="29">
        <v>0</v>
      </c>
      <c r="BJ749" s="22">
        <v>45294</v>
      </c>
      <c r="BK749" s="26">
        <f t="shared" ca="1" si="149"/>
        <v>0.10399087991353084</v>
      </c>
      <c r="BL749" s="29">
        <v>0</v>
      </c>
      <c r="BN749" s="22">
        <v>45294</v>
      </c>
      <c r="BO749" s="26">
        <f t="shared" ca="1" si="150"/>
        <v>0.11336374957661255</v>
      </c>
      <c r="BP749" s="29">
        <v>0</v>
      </c>
      <c r="BR749" s="22">
        <v>45294</v>
      </c>
      <c r="BS749" s="26">
        <f t="shared" ca="1" si="151"/>
        <v>0.61472868037663964</v>
      </c>
      <c r="BT749" s="29">
        <v>0</v>
      </c>
      <c r="BV749" s="22">
        <v>45294</v>
      </c>
      <c r="BW749" s="26">
        <f t="shared" ca="1" si="152"/>
        <v>0.26504873766371473</v>
      </c>
      <c r="BX749" s="29">
        <v>0</v>
      </c>
    </row>
    <row r="750" spans="2:77" ht="12.75" x14ac:dyDescent="0.2">
      <c r="B750" s="22">
        <v>45295</v>
      </c>
      <c r="C750" s="26">
        <f t="shared" ca="1" si="135"/>
        <v>0.80200714228278691</v>
      </c>
      <c r="D750" s="29">
        <f t="shared" ca="1" si="134"/>
        <v>92</v>
      </c>
      <c r="F750" s="22"/>
      <c r="G750" s="26">
        <f t="shared" ca="1" si="136"/>
        <v>0.25630011152093068</v>
      </c>
      <c r="H750" s="29">
        <f t="shared" ca="1" si="121"/>
        <v>206</v>
      </c>
      <c r="J750" s="22">
        <v>45295</v>
      </c>
      <c r="K750" s="26">
        <f t="shared" ca="1" si="137"/>
        <v>0.27919136415938883</v>
      </c>
      <c r="L750" s="29">
        <f t="shared" ca="1" si="122"/>
        <v>145</v>
      </c>
      <c r="N750" s="22">
        <v>45295</v>
      </c>
      <c r="O750" s="26">
        <f t="shared" ca="1" si="138"/>
        <v>0.98979988526261509</v>
      </c>
      <c r="P750" s="29">
        <f t="shared" ca="1" si="123"/>
        <v>265</v>
      </c>
      <c r="R750" s="22">
        <v>45295</v>
      </c>
      <c r="S750" s="26">
        <f t="shared" ca="1" si="139"/>
        <v>0.92199605180762978</v>
      </c>
      <c r="T750" s="29">
        <f t="shared" ca="1" si="124"/>
        <v>152</v>
      </c>
      <c r="V750" s="22">
        <v>45295</v>
      </c>
      <c r="W750" s="26">
        <f t="shared" ca="1" si="140"/>
        <v>0.95030910723162576</v>
      </c>
      <c r="X750" s="29">
        <f t="shared" ca="1" si="125"/>
        <v>250</v>
      </c>
      <c r="Z750" s="22">
        <v>45295</v>
      </c>
      <c r="AA750" s="26">
        <f t="shared" ca="1" si="141"/>
        <v>0.99762484883610902</v>
      </c>
      <c r="AB750" s="29">
        <f t="shared" ca="1" si="126"/>
        <v>321</v>
      </c>
      <c r="AC750"/>
      <c r="AD750" s="25"/>
      <c r="AF750" s="22">
        <v>45295</v>
      </c>
      <c r="AG750" s="26">
        <f t="shared" ca="1" si="142"/>
        <v>0.28007512552561264</v>
      </c>
      <c r="AH750" s="29">
        <f t="shared" ca="1" si="127"/>
        <v>277</v>
      </c>
      <c r="AJ750" s="22">
        <v>45295</v>
      </c>
      <c r="AK750" s="26">
        <f t="shared" ca="1" si="143"/>
        <v>0.75441322007040068</v>
      </c>
      <c r="AL750" s="29">
        <f t="shared" ca="1" si="128"/>
        <v>213</v>
      </c>
      <c r="AN750" s="22">
        <v>45295</v>
      </c>
      <c r="AO750" s="26">
        <f t="shared" ca="1" si="144"/>
        <v>0.23367198182502635</v>
      </c>
      <c r="AP750" s="29">
        <f t="shared" ca="1" si="129"/>
        <v>119</v>
      </c>
      <c r="AR750" s="22">
        <v>45295</v>
      </c>
      <c r="AS750" s="26">
        <f t="shared" ca="1" si="145"/>
        <v>0.91754180426999477</v>
      </c>
      <c r="AT750" s="29">
        <f t="shared" ca="1" si="130"/>
        <v>298</v>
      </c>
      <c r="AV750" s="22">
        <v>45295</v>
      </c>
      <c r="AW750" s="26">
        <f t="shared" ca="1" si="146"/>
        <v>0.20895230902997441</v>
      </c>
      <c r="AX750" s="29">
        <f t="shared" ca="1" si="131"/>
        <v>151</v>
      </c>
      <c r="AZ750" s="22">
        <v>45295</v>
      </c>
      <c r="BA750" s="26">
        <f t="shared" ca="1" si="147"/>
        <v>0.45087572230537409</v>
      </c>
      <c r="BB750" s="29">
        <f t="shared" ca="1" si="132"/>
        <v>174</v>
      </c>
      <c r="BC750"/>
      <c r="BD750" s="25"/>
      <c r="BF750" s="22">
        <v>45295</v>
      </c>
      <c r="BG750" s="26">
        <f t="shared" ca="1" si="148"/>
        <v>0.61205428939503159</v>
      </c>
      <c r="BH750" s="29">
        <f t="shared" ca="1" si="133"/>
        <v>172</v>
      </c>
      <c r="BJ750" s="22">
        <v>45295</v>
      </c>
      <c r="BK750" s="26">
        <f t="shared" ca="1" si="149"/>
        <v>0.20582509462365772</v>
      </c>
      <c r="BL750" s="29">
        <f t="shared" ref="BL750:BL752" ca="1" si="153">ROUNDUP(_xlfn.NORM.INV(BK750,BK$10,BK$12),0)</f>
        <v>129</v>
      </c>
      <c r="BN750" s="22">
        <v>45295</v>
      </c>
      <c r="BO750" s="26">
        <f t="shared" ca="1" si="150"/>
        <v>0.55509432186836949</v>
      </c>
      <c r="BP750" s="29">
        <v>0</v>
      </c>
      <c r="BR750" s="22">
        <v>45295</v>
      </c>
      <c r="BS750" s="26">
        <f t="shared" ca="1" si="151"/>
        <v>0.89977049113575036</v>
      </c>
      <c r="BT750" s="29">
        <v>0</v>
      </c>
      <c r="BV750" s="22">
        <v>45295</v>
      </c>
      <c r="BW750" s="26">
        <f t="shared" ca="1" si="152"/>
        <v>0.61071374475056195</v>
      </c>
      <c r="BX750" s="29">
        <v>0</v>
      </c>
    </row>
    <row r="751" spans="2:77" ht="12.75" x14ac:dyDescent="0.2">
      <c r="B751" s="22">
        <v>45296</v>
      </c>
      <c r="C751" s="26">
        <f t="shared" ca="1" si="135"/>
        <v>0.51859522611279951</v>
      </c>
      <c r="D751" s="29">
        <f t="shared" ca="1" si="134"/>
        <v>76</v>
      </c>
      <c r="F751" s="22"/>
      <c r="G751" s="26">
        <f t="shared" ca="1" si="136"/>
        <v>0.80665733831312791</v>
      </c>
      <c r="H751" s="29">
        <f t="shared" ca="1" si="121"/>
        <v>228</v>
      </c>
      <c r="J751" s="22">
        <v>45296</v>
      </c>
      <c r="K751" s="26">
        <f t="shared" ca="1" si="137"/>
        <v>0.37446393344667273</v>
      </c>
      <c r="L751" s="29">
        <f t="shared" ca="1" si="122"/>
        <v>147</v>
      </c>
      <c r="N751" s="22">
        <v>45296</v>
      </c>
      <c r="O751" s="26">
        <f t="shared" ca="1" si="138"/>
        <v>2.2941419507040428E-2</v>
      </c>
      <c r="P751" s="29">
        <f t="shared" ca="1" si="123"/>
        <v>199</v>
      </c>
      <c r="R751" s="22">
        <v>45296</v>
      </c>
      <c r="S751" s="26">
        <f t="shared" ca="1" si="139"/>
        <v>0.50481353411058749</v>
      </c>
      <c r="T751" s="29">
        <f t="shared" ca="1" si="124"/>
        <v>139</v>
      </c>
      <c r="V751" s="22">
        <v>45296</v>
      </c>
      <c r="W751" s="26">
        <f t="shared" ca="1" si="140"/>
        <v>0.44765149069111854</v>
      </c>
      <c r="X751" s="29">
        <f t="shared" ca="1" si="125"/>
        <v>224</v>
      </c>
      <c r="Z751" s="22">
        <v>45296</v>
      </c>
      <c r="AA751" s="26">
        <f t="shared" ca="1" si="141"/>
        <v>0.32962511667728578</v>
      </c>
      <c r="AB751" s="29">
        <f t="shared" ca="1" si="126"/>
        <v>263</v>
      </c>
      <c r="AC751"/>
      <c r="AD751" s="25"/>
      <c r="AF751" s="22">
        <v>45296</v>
      </c>
      <c r="AG751" s="26">
        <f t="shared" ca="1" si="142"/>
        <v>0.93434320747864563</v>
      </c>
      <c r="AH751" s="29">
        <f t="shared" ca="1" si="127"/>
        <v>459</v>
      </c>
      <c r="AJ751" s="22">
        <v>45296</v>
      </c>
      <c r="AK751" s="26">
        <f t="shared" ca="1" si="143"/>
        <v>0.7822925510773262</v>
      </c>
      <c r="AL751" s="29">
        <f t="shared" ca="1" si="128"/>
        <v>218</v>
      </c>
      <c r="AN751" s="22">
        <v>45296</v>
      </c>
      <c r="AO751" s="26">
        <f t="shared" ca="1" si="144"/>
        <v>0.97668752451512297</v>
      </c>
      <c r="AP751" s="29">
        <f t="shared" ca="1" si="129"/>
        <v>226</v>
      </c>
      <c r="AR751" s="22">
        <v>45296</v>
      </c>
      <c r="AS751" s="26">
        <f t="shared" ca="1" si="145"/>
        <v>0.50209613899701477</v>
      </c>
      <c r="AT751" s="29">
        <f t="shared" ca="1" si="130"/>
        <v>218</v>
      </c>
      <c r="AV751" s="22">
        <v>45296</v>
      </c>
      <c r="AW751" s="26">
        <f t="shared" ca="1" si="146"/>
        <v>0.16125955244991819</v>
      </c>
      <c r="AX751" s="29">
        <f t="shared" ca="1" si="131"/>
        <v>142</v>
      </c>
      <c r="AZ751" s="22">
        <v>45296</v>
      </c>
      <c r="BA751" s="26">
        <f t="shared" ca="1" si="147"/>
        <v>0.14792432700046387</v>
      </c>
      <c r="BB751" s="29">
        <f t="shared" ca="1" si="132"/>
        <v>130</v>
      </c>
      <c r="BC751"/>
      <c r="BD751" s="25"/>
      <c r="BF751" s="22">
        <v>45296</v>
      </c>
      <c r="BG751" s="26">
        <f t="shared" ca="1" si="148"/>
        <v>0.18497170074417768</v>
      </c>
      <c r="BH751" s="29">
        <f t="shared" ca="1" si="133"/>
        <v>122</v>
      </c>
      <c r="BJ751" s="22">
        <v>45296</v>
      </c>
      <c r="BK751" s="26">
        <f t="shared" ca="1" si="149"/>
        <v>0.62555592030762408</v>
      </c>
      <c r="BL751" s="29">
        <f t="shared" ca="1" si="153"/>
        <v>179</v>
      </c>
      <c r="BN751" s="22">
        <v>45296</v>
      </c>
      <c r="BO751" s="26">
        <f t="shared" ca="1" si="150"/>
        <v>0.11168298375803942</v>
      </c>
      <c r="BP751" s="29">
        <v>0</v>
      </c>
      <c r="BR751" s="22">
        <v>45296</v>
      </c>
      <c r="BS751" s="26">
        <f t="shared" ca="1" si="151"/>
        <v>1.1271725173395364E-2</v>
      </c>
      <c r="BT751" s="29">
        <v>0</v>
      </c>
      <c r="BV751" s="22">
        <v>45296</v>
      </c>
      <c r="BW751" s="26">
        <f t="shared" ca="1" si="152"/>
        <v>0.99329818537125325</v>
      </c>
      <c r="BX751" s="29">
        <v>0</v>
      </c>
    </row>
    <row r="752" spans="2:77" ht="12.75" x14ac:dyDescent="0.2">
      <c r="B752" s="22">
        <v>45297</v>
      </c>
      <c r="C752" s="26">
        <f t="shared" ca="1" si="135"/>
        <v>0.61779670449897794</v>
      </c>
      <c r="D752" s="29">
        <f t="shared" ca="1" si="134"/>
        <v>81</v>
      </c>
      <c r="F752" s="22"/>
      <c r="G752" s="26">
        <f t="shared" ca="1" si="136"/>
        <v>0.76234876312082878</v>
      </c>
      <c r="H752" s="29">
        <f t="shared" ca="1" si="121"/>
        <v>226</v>
      </c>
      <c r="J752" s="22">
        <v>45297</v>
      </c>
      <c r="K752" s="26">
        <f t="shared" ca="1" si="137"/>
        <v>0.43581313236614294</v>
      </c>
      <c r="L752" s="29">
        <f t="shared" ca="1" si="122"/>
        <v>149</v>
      </c>
      <c r="N752" s="22">
        <v>45297</v>
      </c>
      <c r="O752" s="26">
        <f t="shared" ca="1" si="138"/>
        <v>0.45356307330015322</v>
      </c>
      <c r="P752" s="29">
        <f t="shared" ca="1" si="123"/>
        <v>228</v>
      </c>
      <c r="R752" s="22">
        <v>45297</v>
      </c>
      <c r="S752" s="26">
        <f t="shared" ca="1" si="139"/>
        <v>0.16676281683712635</v>
      </c>
      <c r="T752" s="29">
        <f t="shared" ca="1" si="124"/>
        <v>130</v>
      </c>
      <c r="V752" s="22">
        <v>45297</v>
      </c>
      <c r="W752" s="26">
        <f t="shared" ca="1" si="140"/>
        <v>0.37711827970359901</v>
      </c>
      <c r="X752" s="29">
        <f t="shared" ca="1" si="125"/>
        <v>221</v>
      </c>
      <c r="Z752" s="22">
        <v>45297</v>
      </c>
      <c r="AA752" s="26">
        <f t="shared" ca="1" si="141"/>
        <v>0.4429702231314927</v>
      </c>
      <c r="AB752" s="29">
        <f t="shared" ca="1" si="126"/>
        <v>268</v>
      </c>
      <c r="AC752"/>
      <c r="AD752" s="25"/>
      <c r="AF752" s="22">
        <v>45297</v>
      </c>
      <c r="AG752" s="26">
        <f t="shared" ca="1" si="142"/>
        <v>0.51659028312933253</v>
      </c>
      <c r="AH752" s="29">
        <f t="shared" ca="1" si="127"/>
        <v>331</v>
      </c>
      <c r="AJ752" s="22">
        <v>45297</v>
      </c>
      <c r="AK752" s="26">
        <f t="shared" ca="1" si="143"/>
        <v>0.23131886808985602</v>
      </c>
      <c r="AL752" s="29">
        <f t="shared" ca="1" si="128"/>
        <v>145</v>
      </c>
      <c r="AN752" s="22">
        <v>45297</v>
      </c>
      <c r="AO752" s="26">
        <f t="shared" ca="1" si="144"/>
        <v>0.28443774478656603</v>
      </c>
      <c r="AP752" s="29">
        <f t="shared" ca="1" si="129"/>
        <v>125</v>
      </c>
      <c r="AR752" s="22">
        <v>45297</v>
      </c>
      <c r="AS752" s="26">
        <f t="shared" ca="1" si="145"/>
        <v>0.46299383644153203</v>
      </c>
      <c r="AT752" s="29">
        <f t="shared" ca="1" si="130"/>
        <v>212</v>
      </c>
      <c r="AV752" s="22">
        <v>45297</v>
      </c>
      <c r="AW752" s="26">
        <f t="shared" ca="1" si="146"/>
        <v>0.71194782181099192</v>
      </c>
      <c r="AX752" s="29">
        <f t="shared" ca="1" si="131"/>
        <v>221</v>
      </c>
      <c r="AZ752" s="22">
        <v>45297</v>
      </c>
      <c r="BA752" s="26">
        <f t="shared" ca="1" si="147"/>
        <v>0.33050113910816437</v>
      </c>
      <c r="BB752" s="29">
        <f t="shared" ca="1" si="132"/>
        <v>159</v>
      </c>
      <c r="BC752"/>
      <c r="BD752" s="25"/>
      <c r="BF752" s="22">
        <v>45297</v>
      </c>
      <c r="BG752" s="26">
        <f t="shared" ca="1" si="148"/>
        <v>0.53606163409316154</v>
      </c>
      <c r="BH752" s="29">
        <f t="shared" ca="1" si="133"/>
        <v>164</v>
      </c>
      <c r="BJ752" s="22">
        <v>45297</v>
      </c>
      <c r="BK752" s="26">
        <f t="shared" ca="1" si="149"/>
        <v>9.4901090228803109E-2</v>
      </c>
      <c r="BL752" s="29">
        <f t="shared" ca="1" si="153"/>
        <v>108</v>
      </c>
      <c r="BN752" s="22">
        <v>45297</v>
      </c>
      <c r="BO752" s="26">
        <f t="shared" ca="1" si="150"/>
        <v>0.6006737387873452</v>
      </c>
      <c r="BP752" s="29">
        <v>0</v>
      </c>
      <c r="BR752" s="22">
        <v>45297</v>
      </c>
      <c r="BS752" s="26">
        <f t="shared" ca="1" si="151"/>
        <v>0.78144720937300216</v>
      </c>
      <c r="BT752" s="29">
        <v>0</v>
      </c>
      <c r="BV752" s="22">
        <v>45297</v>
      </c>
      <c r="BW752" s="26">
        <f t="shared" ca="1" si="152"/>
        <v>0.14617546605607989</v>
      </c>
      <c r="BX752" s="29">
        <v>0</v>
      </c>
    </row>
    <row r="753" spans="2:76" ht="12.75" x14ac:dyDescent="0.2">
      <c r="B753" s="22">
        <v>45298</v>
      </c>
      <c r="C753" s="26">
        <f t="shared" ca="1" si="135"/>
        <v>8.381503869632867E-2</v>
      </c>
      <c r="D753" s="29">
        <f t="shared" ca="1" si="134"/>
        <v>48</v>
      </c>
      <c r="F753" s="22"/>
      <c r="G753" s="26">
        <f t="shared" ca="1" si="136"/>
        <v>0.66942020932673985</v>
      </c>
      <c r="H753" s="29">
        <f t="shared" ref="H753:H782" ca="1" si="154">ROUNDUP(_xlfn.NORM.INV(G753,G$10,G$12),0)</f>
        <v>222</v>
      </c>
      <c r="J753" s="22">
        <v>45298</v>
      </c>
      <c r="K753" s="26">
        <f t="shared" ca="1" si="137"/>
        <v>0.98143877224220144</v>
      </c>
      <c r="L753" s="29">
        <f t="shared" ref="L753:L782" ca="1" si="155">ROUNDUP(_xlfn.NORM.INV(K753,K$10,K$12),0)</f>
        <v>171</v>
      </c>
      <c r="N753" s="22">
        <v>45298</v>
      </c>
      <c r="O753" s="26">
        <f t="shared" ca="1" si="138"/>
        <v>0.9704547226121617</v>
      </c>
      <c r="P753" s="29">
        <f t="shared" ref="P753:P782" ca="1" si="156">ROUNDUP(_xlfn.NORM.INV(O753,O$10,O$12),0)</f>
        <v>259</v>
      </c>
      <c r="R753" s="22">
        <v>45298</v>
      </c>
      <c r="S753" s="26">
        <f t="shared" ca="1" si="139"/>
        <v>0.27954221125654444</v>
      </c>
      <c r="T753" s="29">
        <f t="shared" ref="T753:T782" ca="1" si="157">ROUNDUP(_xlfn.NORM.INV(S753,S$10,S$12),0)</f>
        <v>134</v>
      </c>
      <c r="V753" s="22">
        <v>45298</v>
      </c>
      <c r="W753" s="26">
        <f t="shared" ca="1" si="140"/>
        <v>1.3042999822002632E-2</v>
      </c>
      <c r="X753" s="29">
        <f t="shared" ref="X753:X782" ca="1" si="158">ROUNDUP(_xlfn.NORM.INV(W753,W$10,W$12),0)</f>
        <v>192</v>
      </c>
      <c r="Z753" s="22">
        <v>45298</v>
      </c>
      <c r="AA753" s="26">
        <f t="shared" ca="1" si="141"/>
        <v>0.90830987565836019</v>
      </c>
      <c r="AB753" s="29">
        <f t="shared" ref="AB753:AB782" ca="1" si="159">ROUNDUP(_xlfn.NORM.INV(AA753,AA$10,AA$12),0)</f>
        <v>294</v>
      </c>
      <c r="AC753"/>
      <c r="AD753" s="25"/>
      <c r="AF753" s="22">
        <v>45298</v>
      </c>
      <c r="AG753" s="26">
        <f t="shared" ca="1" si="142"/>
        <v>0.10699166304593222</v>
      </c>
      <c r="AH753" s="29">
        <f t="shared" ref="AH753:AH782" ca="1" si="160">ROUNDUP(_xlfn.NORM.INV(AG753,AG$10,AG$12),0)</f>
        <v>219</v>
      </c>
      <c r="AJ753" s="22">
        <v>45298</v>
      </c>
      <c r="AK753" s="26">
        <f t="shared" ca="1" si="143"/>
        <v>0.9616894181376977</v>
      </c>
      <c r="AL753" s="29">
        <f t="shared" ref="AL753:AL782" ca="1" si="161">ROUNDUP(_xlfn.NORM.INV(AK753,AK$10,AK$12),0)</f>
        <v>265</v>
      </c>
      <c r="AN753" s="22">
        <v>45298</v>
      </c>
      <c r="AO753" s="26">
        <f t="shared" ca="1" si="144"/>
        <v>0.26213572053696721</v>
      </c>
      <c r="AP753" s="29">
        <f t="shared" ref="AP753:AP782" ca="1" si="162">ROUNDUP(_xlfn.NORM.INV(AO753,AO$10,AO$12),0)</f>
        <v>123</v>
      </c>
      <c r="AR753" s="22">
        <v>45298</v>
      </c>
      <c r="AS753" s="26">
        <f t="shared" ca="1" si="145"/>
        <v>0.40690525106322584</v>
      </c>
      <c r="AT753" s="29">
        <f t="shared" ref="AT753:AT782" ca="1" si="163">ROUNDUP(_xlfn.NORM.INV(AS753,AS$10,AS$12),0)</f>
        <v>204</v>
      </c>
      <c r="AV753" s="22">
        <v>45298</v>
      </c>
      <c r="AW753" s="26">
        <f t="shared" ca="1" si="146"/>
        <v>0.94695963586563425</v>
      </c>
      <c r="AX753" s="29">
        <f t="shared" ref="AX753:AX782" ca="1" si="164">ROUNDUP(_xlfn.NORM.INV(AW753,AW$10,AW$12),0)</f>
        <v>275</v>
      </c>
      <c r="AZ753" s="22">
        <v>45298</v>
      </c>
      <c r="BA753" s="26">
        <f t="shared" ca="1" si="147"/>
        <v>0.37595570020035773</v>
      </c>
      <c r="BB753" s="29">
        <f t="shared" ref="BB753:BB782" ca="1" si="165">ROUNDUP(_xlfn.NORM.INV(BA753,BA$10,BA$12),0)</f>
        <v>165</v>
      </c>
      <c r="BC753"/>
      <c r="BD753" s="25"/>
      <c r="BF753" s="22">
        <v>45298</v>
      </c>
      <c r="BG753" s="26">
        <f t="shared" ca="1" si="148"/>
        <v>0.55608950401902091</v>
      </c>
      <c r="BH753" s="29">
        <f t="shared" ref="BH753:BH782" ca="1" si="166">ROUNDUP(_xlfn.NORM.INV(BG753,BG$10,BG$12),0)</f>
        <v>166</v>
      </c>
      <c r="BJ753" s="22">
        <v>45298</v>
      </c>
      <c r="BK753" s="26">
        <f t="shared" ca="1" si="149"/>
        <v>0.2105597697237469</v>
      </c>
      <c r="BL753" s="29">
        <f t="shared" ref="BL753:BL782" ca="1" si="167">ROUNDUP(_xlfn.NORM.INV(BK753,BK$10,BK$12),0)</f>
        <v>130</v>
      </c>
      <c r="BN753" s="22">
        <v>45298</v>
      </c>
      <c r="BO753" s="26">
        <f t="shared" ca="1" si="150"/>
        <v>0.63899953415880828</v>
      </c>
      <c r="BP753" s="29">
        <v>0</v>
      </c>
      <c r="BR753" s="22">
        <v>45298</v>
      </c>
      <c r="BS753" s="26">
        <f t="shared" ca="1" si="151"/>
        <v>6.7660904558365043E-2</v>
      </c>
      <c r="BT753" s="29">
        <v>0</v>
      </c>
      <c r="BV753" s="22">
        <v>45298</v>
      </c>
      <c r="BW753" s="26">
        <f t="shared" ca="1" si="152"/>
        <v>0.84693378075727888</v>
      </c>
      <c r="BX753" s="29">
        <v>0</v>
      </c>
    </row>
    <row r="754" spans="2:76" ht="12.75" x14ac:dyDescent="0.2">
      <c r="B754" s="22">
        <v>45299</v>
      </c>
      <c r="C754" s="26">
        <f t="shared" ca="1" si="135"/>
        <v>0.71175913917333911</v>
      </c>
      <c r="D754" s="29">
        <f t="shared" ca="1" si="134"/>
        <v>87</v>
      </c>
      <c r="F754" s="22"/>
      <c r="G754" s="26">
        <f t="shared" ca="1" si="136"/>
        <v>0.58903327686560236</v>
      </c>
      <c r="H754" s="29">
        <f t="shared" ca="1" si="154"/>
        <v>219</v>
      </c>
      <c r="J754" s="22">
        <v>45299</v>
      </c>
      <c r="K754" s="26">
        <f t="shared" ca="1" si="137"/>
        <v>0.80437347744322463</v>
      </c>
      <c r="L754" s="29">
        <f t="shared" ca="1" si="155"/>
        <v>159</v>
      </c>
      <c r="N754" s="22">
        <v>45299</v>
      </c>
      <c r="O754" s="26">
        <f t="shared" ca="1" si="138"/>
        <v>0.31548882930923539</v>
      </c>
      <c r="P754" s="29">
        <f t="shared" ca="1" si="156"/>
        <v>223</v>
      </c>
      <c r="R754" s="22">
        <v>45299</v>
      </c>
      <c r="S754" s="26">
        <f t="shared" ca="1" si="139"/>
        <v>0.19432860711819699</v>
      </c>
      <c r="T754" s="29">
        <f t="shared" ca="1" si="157"/>
        <v>131</v>
      </c>
      <c r="V754" s="22">
        <v>45299</v>
      </c>
      <c r="W754" s="26">
        <f t="shared" ca="1" si="140"/>
        <v>0.8692088217342494</v>
      </c>
      <c r="X754" s="29">
        <f t="shared" ca="1" si="158"/>
        <v>242</v>
      </c>
      <c r="Z754" s="22">
        <v>45299</v>
      </c>
      <c r="AA754" s="26">
        <f t="shared" ca="1" si="141"/>
        <v>0.62198293504234936</v>
      </c>
      <c r="AB754" s="29">
        <f t="shared" ca="1" si="159"/>
        <v>276</v>
      </c>
      <c r="AC754"/>
      <c r="AD754" s="25"/>
      <c r="AF754" s="22">
        <v>45299</v>
      </c>
      <c r="AG754" s="26">
        <f t="shared" ca="1" si="142"/>
        <v>0.69610679202111225</v>
      </c>
      <c r="AH754" s="29">
        <f t="shared" ca="1" si="160"/>
        <v>372</v>
      </c>
      <c r="AJ754" s="22">
        <v>45299</v>
      </c>
      <c r="AK754" s="26">
        <f t="shared" ca="1" si="143"/>
        <v>0.41710661843286367</v>
      </c>
      <c r="AL754" s="29">
        <f t="shared" ca="1" si="161"/>
        <v>170</v>
      </c>
      <c r="AN754" s="22">
        <v>45299</v>
      </c>
      <c r="AO754" s="26">
        <f t="shared" ca="1" si="144"/>
        <v>0.91335084222515006</v>
      </c>
      <c r="AP754" s="29">
        <f t="shared" ca="1" si="162"/>
        <v>201</v>
      </c>
      <c r="AR754" s="22">
        <v>45299</v>
      </c>
      <c r="AS754" s="26">
        <f t="shared" ca="1" si="145"/>
        <v>0.92465290410158596</v>
      </c>
      <c r="AT754" s="29">
        <f t="shared" ca="1" si="163"/>
        <v>300</v>
      </c>
      <c r="AV754" s="22">
        <v>45299</v>
      </c>
      <c r="AW754" s="26">
        <f t="shared" ca="1" si="146"/>
        <v>0.7643061621235635</v>
      </c>
      <c r="AX754" s="29">
        <f t="shared" ca="1" si="164"/>
        <v>229</v>
      </c>
      <c r="AZ754" s="22">
        <v>45299</v>
      </c>
      <c r="BA754" s="26">
        <f t="shared" ca="1" si="147"/>
        <v>0.90412452887755024</v>
      </c>
      <c r="BB754" s="29">
        <f t="shared" ca="1" si="165"/>
        <v>243</v>
      </c>
      <c r="BC754"/>
      <c r="BD754" s="25"/>
      <c r="BF754" s="22">
        <v>45299</v>
      </c>
      <c r="BG754" s="26">
        <f t="shared" ca="1" si="148"/>
        <v>0.11568579111565813</v>
      </c>
      <c r="BH754" s="29">
        <f t="shared" ca="1" si="166"/>
        <v>109</v>
      </c>
      <c r="BJ754" s="22">
        <v>45299</v>
      </c>
      <c r="BK754" s="26">
        <f t="shared" ca="1" si="149"/>
        <v>0.21794428561843049</v>
      </c>
      <c r="BL754" s="29">
        <f t="shared" ca="1" si="167"/>
        <v>131</v>
      </c>
      <c r="BN754" s="22">
        <v>45299</v>
      </c>
      <c r="BO754" s="26">
        <f t="shared" ca="1" si="150"/>
        <v>0.59544690007893752</v>
      </c>
      <c r="BP754" s="29">
        <v>0</v>
      </c>
      <c r="BR754" s="22">
        <v>45299</v>
      </c>
      <c r="BS754" s="26">
        <f t="shared" ca="1" si="151"/>
        <v>0.26526087758912753</v>
      </c>
      <c r="BT754" s="29">
        <v>0</v>
      </c>
      <c r="BV754" s="22">
        <v>45299</v>
      </c>
      <c r="BW754" s="26">
        <f t="shared" ca="1" si="152"/>
        <v>0.42274456835286589</v>
      </c>
      <c r="BX754" s="29">
        <v>0</v>
      </c>
    </row>
    <row r="755" spans="2:76" ht="12.75" x14ac:dyDescent="0.2">
      <c r="B755" s="22">
        <v>45300</v>
      </c>
      <c r="C755" s="26">
        <f t="shared" ca="1" si="135"/>
        <v>0.83112745383401532</v>
      </c>
      <c r="D755" s="29">
        <f t="shared" ca="1" si="134"/>
        <v>95</v>
      </c>
      <c r="F755" s="22"/>
      <c r="G755" s="26">
        <f t="shared" ca="1" si="136"/>
        <v>0.18584571457552457</v>
      </c>
      <c r="H755" s="29">
        <f t="shared" ca="1" si="154"/>
        <v>203</v>
      </c>
      <c r="J755" s="22">
        <v>45300</v>
      </c>
      <c r="K755" s="26">
        <f t="shared" ca="1" si="137"/>
        <v>0.95669227116849664</v>
      </c>
      <c r="L755" s="29">
        <f t="shared" ca="1" si="155"/>
        <v>168</v>
      </c>
      <c r="N755" s="22">
        <v>45300</v>
      </c>
      <c r="O755" s="26">
        <f t="shared" ca="1" si="138"/>
        <v>0.35768879914959184</v>
      </c>
      <c r="P755" s="29">
        <f t="shared" ca="1" si="156"/>
        <v>224</v>
      </c>
      <c r="R755" s="22">
        <v>45300</v>
      </c>
      <c r="S755" s="26">
        <f t="shared" ca="1" si="139"/>
        <v>0.15981773212887018</v>
      </c>
      <c r="T755" s="29">
        <f t="shared" ca="1" si="157"/>
        <v>130</v>
      </c>
      <c r="V755" s="22">
        <v>45300</v>
      </c>
      <c r="W755" s="26">
        <f t="shared" ca="1" si="140"/>
        <v>0.35039237764447195</v>
      </c>
      <c r="X755" s="29">
        <f t="shared" ca="1" si="158"/>
        <v>220</v>
      </c>
      <c r="Z755" s="22">
        <v>45300</v>
      </c>
      <c r="AA755" s="26">
        <f t="shared" ca="1" si="141"/>
        <v>0.52709578264096724</v>
      </c>
      <c r="AB755" s="29">
        <f t="shared" ca="1" si="159"/>
        <v>272</v>
      </c>
      <c r="AC755"/>
      <c r="AD755" s="25"/>
      <c r="AF755" s="22">
        <v>45300</v>
      </c>
      <c r="AG755" s="26">
        <f t="shared" ca="1" si="142"/>
        <v>0.65491210656128851</v>
      </c>
      <c r="AH755" s="29">
        <f t="shared" ca="1" si="160"/>
        <v>362</v>
      </c>
      <c r="AJ755" s="22">
        <v>45300</v>
      </c>
      <c r="AK755" s="26">
        <f t="shared" ca="1" si="143"/>
        <v>0.2284928926636195</v>
      </c>
      <c r="AL755" s="29">
        <f t="shared" ca="1" si="161"/>
        <v>145</v>
      </c>
      <c r="AN755" s="22">
        <v>45300</v>
      </c>
      <c r="AO755" s="26">
        <f t="shared" ca="1" si="144"/>
        <v>0.14136515512183834</v>
      </c>
      <c r="AP755" s="29">
        <f t="shared" ca="1" si="162"/>
        <v>105</v>
      </c>
      <c r="AR755" s="22">
        <v>45300</v>
      </c>
      <c r="AS755" s="26">
        <f t="shared" ca="1" si="145"/>
        <v>0.27415385722193042</v>
      </c>
      <c r="AT755" s="29">
        <f t="shared" ca="1" si="163"/>
        <v>183</v>
      </c>
      <c r="AV755" s="22">
        <v>45300</v>
      </c>
      <c r="AW755" s="26">
        <f t="shared" ca="1" si="146"/>
        <v>1.8681735204798544E-3</v>
      </c>
      <c r="AX755" s="29">
        <f t="shared" ca="1" si="164"/>
        <v>44</v>
      </c>
      <c r="AZ755" s="22">
        <v>45300</v>
      </c>
      <c r="BA755" s="26">
        <f t="shared" ca="1" si="147"/>
        <v>0.59545678048911932</v>
      </c>
      <c r="BB755" s="29">
        <f t="shared" ca="1" si="165"/>
        <v>192</v>
      </c>
      <c r="BC755"/>
      <c r="BD755" s="25"/>
      <c r="BF755" s="22">
        <v>45300</v>
      </c>
      <c r="BG755" s="26">
        <f t="shared" ca="1" si="148"/>
        <v>0.584134959958031</v>
      </c>
      <c r="BH755" s="29">
        <f t="shared" ca="1" si="166"/>
        <v>169</v>
      </c>
      <c r="BJ755" s="22">
        <v>45300</v>
      </c>
      <c r="BK755" s="26">
        <f t="shared" ca="1" si="149"/>
        <v>0.73237871375088803</v>
      </c>
      <c r="BL755" s="29">
        <f t="shared" ca="1" si="167"/>
        <v>192</v>
      </c>
      <c r="BN755" s="22">
        <v>45300</v>
      </c>
      <c r="BO755" s="26">
        <f t="shared" ca="1" si="150"/>
        <v>0.12788390120473214</v>
      </c>
      <c r="BP755" s="29">
        <v>0</v>
      </c>
      <c r="BR755" s="22">
        <v>45300</v>
      </c>
      <c r="BS755" s="26">
        <f t="shared" ca="1" si="151"/>
        <v>2.5162782669061134E-2</v>
      </c>
      <c r="BT755" s="29">
        <v>0</v>
      </c>
      <c r="BV755" s="22">
        <v>45300</v>
      </c>
      <c r="BW755" s="26">
        <f t="shared" ca="1" si="152"/>
        <v>0.99081948880344861</v>
      </c>
      <c r="BX755" s="29">
        <v>0</v>
      </c>
    </row>
    <row r="756" spans="2:76" ht="12.75" x14ac:dyDescent="0.2">
      <c r="B756" s="22">
        <v>45301</v>
      </c>
      <c r="C756" s="26">
        <f t="shared" ca="1" si="135"/>
        <v>0.18996908537351498</v>
      </c>
      <c r="D756" s="29">
        <f t="shared" ca="1" si="134"/>
        <v>58</v>
      </c>
      <c r="F756" s="22"/>
      <c r="G756" s="26">
        <f t="shared" ca="1" si="136"/>
        <v>6.3345445063704986E-2</v>
      </c>
      <c r="H756" s="29">
        <f t="shared" ca="1" si="154"/>
        <v>194</v>
      </c>
      <c r="J756" s="22">
        <v>45301</v>
      </c>
      <c r="K756" s="26">
        <f t="shared" ca="1" si="137"/>
        <v>0.15187930723057652</v>
      </c>
      <c r="L756" s="29">
        <f t="shared" ca="1" si="155"/>
        <v>140</v>
      </c>
      <c r="N756" s="22">
        <v>45301</v>
      </c>
      <c r="O756" s="26">
        <f t="shared" ca="1" si="138"/>
        <v>7.5255047322941859E-4</v>
      </c>
      <c r="P756" s="29">
        <f t="shared" ca="1" si="156"/>
        <v>181</v>
      </c>
      <c r="R756" s="22">
        <v>45301</v>
      </c>
      <c r="S756" s="26">
        <f t="shared" ca="1" si="139"/>
        <v>0.55910671677598855</v>
      </c>
      <c r="T756" s="29">
        <f t="shared" ca="1" si="157"/>
        <v>141</v>
      </c>
      <c r="V756" s="22">
        <v>45301</v>
      </c>
      <c r="W756" s="26">
        <f t="shared" ca="1" si="140"/>
        <v>0.89023265207149194</v>
      </c>
      <c r="X756" s="29">
        <f t="shared" ca="1" si="158"/>
        <v>244</v>
      </c>
      <c r="Z756" s="22">
        <v>45301</v>
      </c>
      <c r="AA756" s="26">
        <f t="shared" ca="1" si="141"/>
        <v>0.52032912974143763</v>
      </c>
      <c r="AB756" s="29">
        <f t="shared" ca="1" si="159"/>
        <v>271</v>
      </c>
      <c r="AC756"/>
      <c r="AD756" s="25"/>
      <c r="AF756" s="22">
        <v>45301</v>
      </c>
      <c r="AG756" s="26">
        <f t="shared" ca="1" si="142"/>
        <v>5.4406116713873853E-2</v>
      </c>
      <c r="AH756" s="29">
        <f t="shared" ca="1" si="160"/>
        <v>188</v>
      </c>
      <c r="AJ756" s="22">
        <v>45301</v>
      </c>
      <c r="AK756" s="26">
        <f t="shared" ca="1" si="143"/>
        <v>0.99653554468010186</v>
      </c>
      <c r="AL756" s="29">
        <f t="shared" ca="1" si="161"/>
        <v>310</v>
      </c>
      <c r="AN756" s="22">
        <v>45301</v>
      </c>
      <c r="AO756" s="26">
        <f t="shared" ca="1" si="144"/>
        <v>1.0750741600440428E-4</v>
      </c>
      <c r="AP756" s="29">
        <f t="shared" ca="1" si="162"/>
        <v>2</v>
      </c>
      <c r="AR756" s="22">
        <v>45301</v>
      </c>
      <c r="AS756" s="26">
        <f t="shared" ca="1" si="145"/>
        <v>0.56205688177340807</v>
      </c>
      <c r="AT756" s="29">
        <f t="shared" ca="1" si="163"/>
        <v>226</v>
      </c>
      <c r="AV756" s="22">
        <v>45301</v>
      </c>
      <c r="AW756" s="26">
        <f t="shared" ca="1" si="146"/>
        <v>0.90037844142296342</v>
      </c>
      <c r="AX756" s="29">
        <f t="shared" ca="1" si="164"/>
        <v>258</v>
      </c>
      <c r="AZ756" s="22">
        <v>45301</v>
      </c>
      <c r="BA756" s="26">
        <f t="shared" ca="1" si="147"/>
        <v>0.44289121613338545</v>
      </c>
      <c r="BB756" s="29">
        <f t="shared" ca="1" si="165"/>
        <v>173</v>
      </c>
      <c r="BC756"/>
      <c r="BD756" s="25"/>
      <c r="BF756" s="22">
        <v>45301</v>
      </c>
      <c r="BG756" s="26">
        <f t="shared" ca="1" si="148"/>
        <v>0.70530592824354965</v>
      </c>
      <c r="BH756" s="29">
        <f t="shared" ca="1" si="166"/>
        <v>183</v>
      </c>
      <c r="BJ756" s="22">
        <v>45301</v>
      </c>
      <c r="BK756" s="26">
        <f t="shared" ca="1" si="149"/>
        <v>0.34217833411819187</v>
      </c>
      <c r="BL756" s="29">
        <f t="shared" ca="1" si="167"/>
        <v>147</v>
      </c>
      <c r="BN756" s="22">
        <v>45301</v>
      </c>
      <c r="BO756" s="26">
        <f t="shared" ca="1" si="150"/>
        <v>0.2388077077407883</v>
      </c>
      <c r="BP756" s="29">
        <v>0</v>
      </c>
      <c r="BR756" s="22">
        <v>45301</v>
      </c>
      <c r="BS756" s="26">
        <f t="shared" ca="1" si="151"/>
        <v>0.84255649917841224</v>
      </c>
      <c r="BT756" s="29">
        <v>0</v>
      </c>
      <c r="BV756" s="22">
        <v>45301</v>
      </c>
      <c r="BW756" s="26">
        <f t="shared" ca="1" si="152"/>
        <v>0.59225406096980449</v>
      </c>
      <c r="BX756" s="29">
        <v>0</v>
      </c>
    </row>
    <row r="757" spans="2:76" ht="12.75" x14ac:dyDescent="0.2">
      <c r="B757" s="22">
        <v>45302</v>
      </c>
      <c r="C757" s="26">
        <f t="shared" ca="1" si="135"/>
        <v>0.55000953681214071</v>
      </c>
      <c r="D757" s="29">
        <f t="shared" ca="1" si="134"/>
        <v>78</v>
      </c>
      <c r="F757" s="22"/>
      <c r="G757" s="26">
        <f t="shared" ca="1" si="136"/>
        <v>0.68952902112359182</v>
      </c>
      <c r="H757" s="29">
        <f t="shared" ca="1" si="154"/>
        <v>223</v>
      </c>
      <c r="J757" s="22">
        <v>45302</v>
      </c>
      <c r="K757" s="26">
        <f t="shared" ca="1" si="137"/>
        <v>0.90555180892073761</v>
      </c>
      <c r="L757" s="29">
        <f t="shared" ca="1" si="155"/>
        <v>164</v>
      </c>
      <c r="N757" s="22">
        <v>45302</v>
      </c>
      <c r="O757" s="26">
        <f t="shared" ca="1" si="138"/>
        <v>0.43986774637801973</v>
      </c>
      <c r="P757" s="29">
        <f t="shared" ca="1" si="156"/>
        <v>228</v>
      </c>
      <c r="R757" s="22">
        <v>45302</v>
      </c>
      <c r="S757" s="26">
        <f t="shared" ca="1" si="139"/>
        <v>5.0624503489956174E-2</v>
      </c>
      <c r="T757" s="29">
        <f t="shared" ca="1" si="157"/>
        <v>124</v>
      </c>
      <c r="V757" s="22">
        <v>45302</v>
      </c>
      <c r="W757" s="26">
        <f t="shared" ca="1" si="140"/>
        <v>0.35126898038178056</v>
      </c>
      <c r="X757" s="29">
        <f t="shared" ca="1" si="158"/>
        <v>220</v>
      </c>
      <c r="Z757" s="22">
        <v>45302</v>
      </c>
      <c r="AA757" s="26">
        <f t="shared" ca="1" si="141"/>
        <v>0.6185086530966919</v>
      </c>
      <c r="AB757" s="29">
        <f t="shared" ca="1" si="159"/>
        <v>276</v>
      </c>
      <c r="AC757"/>
      <c r="AD757" s="25"/>
      <c r="AF757" s="22">
        <v>45302</v>
      </c>
      <c r="AG757" s="26">
        <f t="shared" ca="1" si="142"/>
        <v>0.76516204626245887</v>
      </c>
      <c r="AH757" s="29">
        <f t="shared" ca="1" si="160"/>
        <v>391</v>
      </c>
      <c r="AJ757" s="22">
        <v>45302</v>
      </c>
      <c r="AK757" s="26">
        <f t="shared" ca="1" si="143"/>
        <v>0.15974654713713832</v>
      </c>
      <c r="AL757" s="29">
        <f t="shared" ca="1" si="161"/>
        <v>133</v>
      </c>
      <c r="AN757" s="22">
        <v>45302</v>
      </c>
      <c r="AO757" s="26">
        <f t="shared" ca="1" si="144"/>
        <v>0.48552557736050328</v>
      </c>
      <c r="AP757" s="29">
        <f t="shared" ca="1" si="162"/>
        <v>146</v>
      </c>
      <c r="AR757" s="22">
        <v>45302</v>
      </c>
      <c r="AS757" s="26">
        <f t="shared" ca="1" si="145"/>
        <v>0.95511462847034312</v>
      </c>
      <c r="AT757" s="29">
        <f t="shared" ca="1" si="163"/>
        <v>315</v>
      </c>
      <c r="AV757" s="22">
        <v>45302</v>
      </c>
      <c r="AW757" s="26">
        <f t="shared" ca="1" si="146"/>
        <v>0.34904468619008988</v>
      </c>
      <c r="AX757" s="29">
        <f t="shared" ca="1" si="164"/>
        <v>172</v>
      </c>
      <c r="AZ757" s="22">
        <v>45302</v>
      </c>
      <c r="BA757" s="26">
        <f t="shared" ca="1" si="147"/>
        <v>0.48639018840909121</v>
      </c>
      <c r="BB757" s="29">
        <f t="shared" ca="1" si="165"/>
        <v>179</v>
      </c>
      <c r="BC757"/>
      <c r="BD757" s="25"/>
      <c r="BF757" s="22">
        <v>45302</v>
      </c>
      <c r="BG757" s="26">
        <f t="shared" ca="1" si="148"/>
        <v>0.54279436664010983</v>
      </c>
      <c r="BH757" s="29">
        <f t="shared" ca="1" si="166"/>
        <v>165</v>
      </c>
      <c r="BJ757" s="22">
        <v>45302</v>
      </c>
      <c r="BK757" s="26">
        <f t="shared" ca="1" si="149"/>
        <v>0.53279764040899746</v>
      </c>
      <c r="BL757" s="29">
        <f t="shared" ca="1" si="167"/>
        <v>169</v>
      </c>
      <c r="BN757" s="22">
        <v>45302</v>
      </c>
      <c r="BO757" s="26">
        <f t="shared" ca="1" si="150"/>
        <v>0.21708941174407581</v>
      </c>
      <c r="BP757" s="29">
        <v>0</v>
      </c>
      <c r="BR757" s="22">
        <v>45302</v>
      </c>
      <c r="BS757" s="26">
        <f t="shared" ca="1" si="151"/>
        <v>9.9769222076251385E-4</v>
      </c>
      <c r="BT757" s="29">
        <v>0</v>
      </c>
      <c r="BV757" s="22">
        <v>45302</v>
      </c>
      <c r="BW757" s="26">
        <f t="shared" ca="1" si="152"/>
        <v>6.784728496275394E-2</v>
      </c>
      <c r="BX757" s="29">
        <v>0</v>
      </c>
    </row>
    <row r="758" spans="2:76" ht="12.75" x14ac:dyDescent="0.2">
      <c r="B758" s="22">
        <v>45303</v>
      </c>
      <c r="C758" s="26">
        <f t="shared" ca="1" si="135"/>
        <v>0.10227680034763786</v>
      </c>
      <c r="D758" s="29">
        <f t="shared" ca="1" si="134"/>
        <v>50</v>
      </c>
      <c r="F758" s="22"/>
      <c r="G758" s="26">
        <f t="shared" ca="1" si="136"/>
        <v>0.79837004296723024</v>
      </c>
      <c r="H758" s="29">
        <f t="shared" ca="1" si="154"/>
        <v>228</v>
      </c>
      <c r="J758" s="22">
        <v>45303</v>
      </c>
      <c r="K758" s="26">
        <f t="shared" ca="1" si="137"/>
        <v>0.9154883798184541</v>
      </c>
      <c r="L758" s="29">
        <f t="shared" ca="1" si="155"/>
        <v>164</v>
      </c>
      <c r="N758" s="22">
        <v>45303</v>
      </c>
      <c r="O758" s="26">
        <f t="shared" ca="1" si="138"/>
        <v>0.68185206177439073</v>
      </c>
      <c r="P758" s="29">
        <f t="shared" ca="1" si="156"/>
        <v>237</v>
      </c>
      <c r="R758" s="22">
        <v>45303</v>
      </c>
      <c r="S758" s="26">
        <f t="shared" ca="1" si="139"/>
        <v>0.66528583931403429</v>
      </c>
      <c r="T758" s="29">
        <f t="shared" ca="1" si="157"/>
        <v>143</v>
      </c>
      <c r="V758" s="22">
        <v>45303</v>
      </c>
      <c r="W758" s="26">
        <f t="shared" ca="1" si="140"/>
        <v>0.2763326248556297</v>
      </c>
      <c r="X758" s="29">
        <f t="shared" ca="1" si="158"/>
        <v>217</v>
      </c>
      <c r="Z758" s="22">
        <v>45303</v>
      </c>
      <c r="AA758" s="26">
        <f t="shared" ca="1" si="141"/>
        <v>0.23036694961633741</v>
      </c>
      <c r="AB758" s="29">
        <f t="shared" ca="1" si="159"/>
        <v>257</v>
      </c>
      <c r="AC758"/>
      <c r="AD758" s="25"/>
      <c r="AF758" s="22">
        <v>45303</v>
      </c>
      <c r="AG758" s="26">
        <f t="shared" ca="1" si="142"/>
        <v>0.98164830201515485</v>
      </c>
      <c r="AH758" s="29">
        <f t="shared" ca="1" si="160"/>
        <v>510</v>
      </c>
      <c r="AJ758" s="22">
        <v>45303</v>
      </c>
      <c r="AK758" s="26">
        <f t="shared" ca="1" si="143"/>
        <v>0.14987317031665504</v>
      </c>
      <c r="AL758" s="29">
        <f t="shared" ca="1" si="161"/>
        <v>131</v>
      </c>
      <c r="AN758" s="22">
        <v>45303</v>
      </c>
      <c r="AO758" s="26">
        <f t="shared" ca="1" si="144"/>
        <v>0.40947216895264105</v>
      </c>
      <c r="AP758" s="29">
        <f t="shared" ca="1" si="162"/>
        <v>139</v>
      </c>
      <c r="AR758" s="22">
        <v>45303</v>
      </c>
      <c r="AS758" s="26">
        <f t="shared" ca="1" si="145"/>
        <v>0.41741545056604112</v>
      </c>
      <c r="AT758" s="29">
        <f t="shared" ca="1" si="163"/>
        <v>205</v>
      </c>
      <c r="AV758" s="22">
        <v>45303</v>
      </c>
      <c r="AW758" s="26">
        <f t="shared" ca="1" si="146"/>
        <v>2.3323819588091044E-2</v>
      </c>
      <c r="AX758" s="29">
        <f t="shared" ca="1" si="164"/>
        <v>90</v>
      </c>
      <c r="AZ758" s="22">
        <v>45303</v>
      </c>
      <c r="BA758" s="26">
        <f t="shared" ca="1" si="147"/>
        <v>0.33722008001231341</v>
      </c>
      <c r="BB758" s="29">
        <f t="shared" ca="1" si="165"/>
        <v>160</v>
      </c>
      <c r="BC758"/>
      <c r="BD758" s="25"/>
      <c r="BF758" s="22">
        <v>45303</v>
      </c>
      <c r="BG758" s="26">
        <f t="shared" ca="1" si="148"/>
        <v>0.96155893864542907</v>
      </c>
      <c r="BH758" s="29">
        <f t="shared" ca="1" si="166"/>
        <v>235</v>
      </c>
      <c r="BJ758" s="22">
        <v>45303</v>
      </c>
      <c r="BK758" s="26">
        <f t="shared" ca="1" si="149"/>
        <v>0.71575361420199368</v>
      </c>
      <c r="BL758" s="29">
        <f t="shared" ca="1" si="167"/>
        <v>190</v>
      </c>
      <c r="BN758" s="22">
        <v>45303</v>
      </c>
      <c r="BO758" s="26">
        <f t="shared" ca="1" si="150"/>
        <v>0.12703539284085008</v>
      </c>
      <c r="BP758" s="29">
        <v>0</v>
      </c>
      <c r="BR758" s="22">
        <v>45303</v>
      </c>
      <c r="BS758" s="26">
        <f t="shared" ca="1" si="151"/>
        <v>3.2836151919764967E-2</v>
      </c>
      <c r="BT758" s="29">
        <v>0</v>
      </c>
      <c r="BV758" s="22">
        <v>45303</v>
      </c>
      <c r="BW758" s="26">
        <f t="shared" ca="1" si="152"/>
        <v>0.49503068039582276</v>
      </c>
      <c r="BX758" s="29">
        <v>0</v>
      </c>
    </row>
    <row r="759" spans="2:76" ht="12.75" x14ac:dyDescent="0.2">
      <c r="B759" s="22">
        <v>45304</v>
      </c>
      <c r="C759" s="26">
        <f t="shared" ca="1" si="135"/>
        <v>0.1080742162294227</v>
      </c>
      <c r="D759" s="29">
        <f t="shared" ca="1" si="134"/>
        <v>51</v>
      </c>
      <c r="F759" s="22"/>
      <c r="G759" s="26">
        <f t="shared" ca="1" si="136"/>
        <v>0.59426980222930115</v>
      </c>
      <c r="H759" s="29">
        <f t="shared" ca="1" si="154"/>
        <v>219</v>
      </c>
      <c r="J759" s="22">
        <v>45304</v>
      </c>
      <c r="K759" s="26">
        <f t="shared" ca="1" si="137"/>
        <v>4.8186295167607085E-4</v>
      </c>
      <c r="L759" s="29">
        <f t="shared" ca="1" si="155"/>
        <v>117</v>
      </c>
      <c r="N759" s="22">
        <v>45304</v>
      </c>
      <c r="O759" s="26">
        <f t="shared" ca="1" si="138"/>
        <v>0.61348103537537335</v>
      </c>
      <c r="P759" s="29">
        <f t="shared" ca="1" si="156"/>
        <v>234</v>
      </c>
      <c r="R759" s="22">
        <v>45304</v>
      </c>
      <c r="S759" s="26">
        <f t="shared" ca="1" si="139"/>
        <v>0.4840521539063376</v>
      </c>
      <c r="T759" s="29">
        <f t="shared" ca="1" si="157"/>
        <v>139</v>
      </c>
      <c r="V759" s="22">
        <v>45304</v>
      </c>
      <c r="W759" s="26">
        <f t="shared" ca="1" si="140"/>
        <v>0.58141424884267778</v>
      </c>
      <c r="X759" s="29">
        <f t="shared" ca="1" si="158"/>
        <v>229</v>
      </c>
      <c r="Z759" s="22">
        <v>45304</v>
      </c>
      <c r="AA759" s="26">
        <f t="shared" ca="1" si="141"/>
        <v>0.22680344963468824</v>
      </c>
      <c r="AB759" s="29">
        <f t="shared" ca="1" si="159"/>
        <v>257</v>
      </c>
      <c r="AC759"/>
      <c r="AD759" s="25"/>
      <c r="AF759" s="22">
        <v>45304</v>
      </c>
      <c r="AG759" s="26">
        <f t="shared" ca="1" si="142"/>
        <v>0.22005194574681031</v>
      </c>
      <c r="AH759" s="29">
        <f t="shared" ca="1" si="160"/>
        <v>260</v>
      </c>
      <c r="AJ759" s="22">
        <v>45304</v>
      </c>
      <c r="AK759" s="26">
        <f t="shared" ca="1" si="143"/>
        <v>0.38862561065630841</v>
      </c>
      <c r="AL759" s="29">
        <f t="shared" ca="1" si="161"/>
        <v>167</v>
      </c>
      <c r="AN759" s="22">
        <v>45304</v>
      </c>
      <c r="AO759" s="26">
        <f t="shared" ca="1" si="144"/>
        <v>0.66722545814601564</v>
      </c>
      <c r="AP759" s="29">
        <f t="shared" ca="1" si="162"/>
        <v>165</v>
      </c>
      <c r="AR759" s="22">
        <v>45304</v>
      </c>
      <c r="AS759" s="26">
        <f t="shared" ca="1" si="145"/>
        <v>0.74271679590607531</v>
      </c>
      <c r="AT759" s="29">
        <f t="shared" ca="1" si="163"/>
        <v>255</v>
      </c>
      <c r="AV759" s="22">
        <v>45304</v>
      </c>
      <c r="AW759" s="26">
        <f t="shared" ca="1" si="146"/>
        <v>0.16717899243217615</v>
      </c>
      <c r="AX759" s="29">
        <f t="shared" ca="1" si="164"/>
        <v>143</v>
      </c>
      <c r="AZ759" s="22">
        <v>45304</v>
      </c>
      <c r="BA759" s="26">
        <f t="shared" ca="1" si="147"/>
        <v>0.8922471528260475</v>
      </c>
      <c r="BB759" s="29">
        <f t="shared" ca="1" si="165"/>
        <v>240</v>
      </c>
      <c r="BC759"/>
      <c r="BD759" s="25"/>
      <c r="BF759" s="22">
        <v>45304</v>
      </c>
      <c r="BG759" s="26">
        <f t="shared" ca="1" si="148"/>
        <v>0.41827196774124886</v>
      </c>
      <c r="BH759" s="29">
        <f t="shared" ca="1" si="166"/>
        <v>151</v>
      </c>
      <c r="BJ759" s="22">
        <v>45304</v>
      </c>
      <c r="BK759" s="26">
        <f t="shared" ca="1" si="149"/>
        <v>0.46447782044675545</v>
      </c>
      <c r="BL759" s="29">
        <f t="shared" ca="1" si="167"/>
        <v>161</v>
      </c>
      <c r="BN759" s="22">
        <v>45304</v>
      </c>
      <c r="BO759" s="26">
        <f t="shared" ca="1" si="150"/>
        <v>0.25786277709714833</v>
      </c>
      <c r="BP759" s="29">
        <v>0</v>
      </c>
      <c r="BR759" s="22">
        <v>45304</v>
      </c>
      <c r="BS759" s="26">
        <f t="shared" ca="1" si="151"/>
        <v>0.66852502996355712</v>
      </c>
      <c r="BT759" s="29">
        <v>0</v>
      </c>
      <c r="BV759" s="22">
        <v>45304</v>
      </c>
      <c r="BW759" s="26">
        <f t="shared" ca="1" si="152"/>
        <v>0.38291528688471732</v>
      </c>
      <c r="BX759" s="29">
        <v>0</v>
      </c>
    </row>
    <row r="760" spans="2:76" ht="12.75" x14ac:dyDescent="0.2">
      <c r="B760" s="22">
        <v>45305</v>
      </c>
      <c r="C760" s="26">
        <f t="shared" ca="1" si="135"/>
        <v>0.30214554735564858</v>
      </c>
      <c r="D760" s="29">
        <f t="shared" ca="1" si="134"/>
        <v>65</v>
      </c>
      <c r="F760" s="22"/>
      <c r="G760" s="26">
        <f t="shared" ca="1" si="136"/>
        <v>0.44918807230850066</v>
      </c>
      <c r="H760" s="29">
        <f t="shared" ca="1" si="154"/>
        <v>214</v>
      </c>
      <c r="J760" s="22">
        <v>45305</v>
      </c>
      <c r="K760" s="26">
        <f t="shared" ca="1" si="137"/>
        <v>0.95338014104459035</v>
      </c>
      <c r="L760" s="29">
        <f t="shared" ca="1" si="155"/>
        <v>167</v>
      </c>
      <c r="N760" s="22">
        <v>45305</v>
      </c>
      <c r="O760" s="26">
        <f t="shared" ca="1" si="138"/>
        <v>0.81077704125428873</v>
      </c>
      <c r="P760" s="29">
        <f t="shared" ca="1" si="156"/>
        <v>243</v>
      </c>
      <c r="R760" s="22">
        <v>45305</v>
      </c>
      <c r="S760" s="26">
        <f t="shared" ca="1" si="139"/>
        <v>0.95264270844911547</v>
      </c>
      <c r="T760" s="29">
        <f t="shared" ca="1" si="157"/>
        <v>155</v>
      </c>
      <c r="V760" s="22">
        <v>45305</v>
      </c>
      <c r="W760" s="26">
        <f t="shared" ca="1" si="140"/>
        <v>0.59905205132851491</v>
      </c>
      <c r="X760" s="29">
        <f t="shared" ca="1" si="158"/>
        <v>229</v>
      </c>
      <c r="Z760" s="22">
        <v>45305</v>
      </c>
      <c r="AA760" s="26">
        <f t="shared" ca="1" si="141"/>
        <v>0.96899654936473267</v>
      </c>
      <c r="AB760" s="29">
        <f t="shared" ca="1" si="159"/>
        <v>304</v>
      </c>
      <c r="AC760"/>
      <c r="AD760" s="25"/>
      <c r="AF760" s="22">
        <v>45305</v>
      </c>
      <c r="AG760" s="26">
        <f t="shared" ca="1" si="142"/>
        <v>0.58626374367140865</v>
      </c>
      <c r="AH760" s="29">
        <f t="shared" ca="1" si="160"/>
        <v>347</v>
      </c>
      <c r="AJ760" s="22">
        <v>45305</v>
      </c>
      <c r="AK760" s="26">
        <f t="shared" ca="1" si="143"/>
        <v>0.88100368201801182</v>
      </c>
      <c r="AL760" s="29">
        <f t="shared" ca="1" si="161"/>
        <v>237</v>
      </c>
      <c r="AN760" s="22">
        <v>45305</v>
      </c>
      <c r="AO760" s="26">
        <f t="shared" ca="1" si="144"/>
        <v>0.7336620751970504</v>
      </c>
      <c r="AP760" s="29">
        <f t="shared" ca="1" si="162"/>
        <v>172</v>
      </c>
      <c r="AR760" s="22">
        <v>45305</v>
      </c>
      <c r="AS760" s="26">
        <f t="shared" ca="1" si="145"/>
        <v>0.26534155234506307</v>
      </c>
      <c r="AT760" s="29">
        <f t="shared" ca="1" si="163"/>
        <v>181</v>
      </c>
      <c r="AV760" s="22">
        <v>45305</v>
      </c>
      <c r="AW760" s="26">
        <f t="shared" ca="1" si="146"/>
        <v>0.80984078654016534</v>
      </c>
      <c r="AX760" s="29">
        <f t="shared" ca="1" si="164"/>
        <v>237</v>
      </c>
      <c r="AZ760" s="22">
        <v>45305</v>
      </c>
      <c r="BA760" s="26">
        <f t="shared" ca="1" si="147"/>
        <v>0.31373387904897465</v>
      </c>
      <c r="BB760" s="29">
        <f t="shared" ca="1" si="165"/>
        <v>157</v>
      </c>
      <c r="BC760"/>
      <c r="BD760" s="25"/>
      <c r="BF760" s="22">
        <v>45305</v>
      </c>
      <c r="BG760" s="26">
        <f t="shared" ca="1" si="148"/>
        <v>0.90841906321701726</v>
      </c>
      <c r="BH760" s="29">
        <f t="shared" ca="1" si="166"/>
        <v>217</v>
      </c>
      <c r="BJ760" s="22">
        <v>45305</v>
      </c>
      <c r="BK760" s="26">
        <f t="shared" ca="1" si="149"/>
        <v>0.97253973359304036</v>
      </c>
      <c r="BL760" s="29">
        <f t="shared" ca="1" si="167"/>
        <v>249</v>
      </c>
      <c r="BN760" s="22">
        <v>45305</v>
      </c>
      <c r="BO760" s="26">
        <f t="shared" ca="1" si="150"/>
        <v>0.92909293355560885</v>
      </c>
      <c r="BP760" s="29">
        <v>0</v>
      </c>
      <c r="BR760" s="22">
        <v>45305</v>
      </c>
      <c r="BS760" s="26">
        <f t="shared" ca="1" si="151"/>
        <v>0.22303665634772618</v>
      </c>
      <c r="BT760" s="29">
        <v>0</v>
      </c>
      <c r="BV760" s="22">
        <v>45305</v>
      </c>
      <c r="BW760" s="26">
        <f t="shared" ca="1" si="152"/>
        <v>0.10445517189760956</v>
      </c>
      <c r="BX760" s="29">
        <v>0</v>
      </c>
    </row>
    <row r="761" spans="2:76" ht="12.75" x14ac:dyDescent="0.2">
      <c r="B761" s="22">
        <v>45306</v>
      </c>
      <c r="C761" s="26">
        <f t="shared" ca="1" si="135"/>
        <v>0.23554342641292214</v>
      </c>
      <c r="D761" s="29">
        <f t="shared" ca="1" si="134"/>
        <v>61</v>
      </c>
      <c r="F761" s="22"/>
      <c r="G761" s="26">
        <f t="shared" ca="1" si="136"/>
        <v>0.75970663788948256</v>
      </c>
      <c r="H761" s="29">
        <f t="shared" ca="1" si="154"/>
        <v>226</v>
      </c>
      <c r="J761" s="22">
        <v>45306</v>
      </c>
      <c r="K761" s="26">
        <f t="shared" ca="1" si="137"/>
        <v>0.40211513406882948</v>
      </c>
      <c r="L761" s="29">
        <f t="shared" ca="1" si="155"/>
        <v>148</v>
      </c>
      <c r="N761" s="22">
        <v>45306</v>
      </c>
      <c r="O761" s="26">
        <f t="shared" ca="1" si="138"/>
        <v>0.36377125328074578</v>
      </c>
      <c r="P761" s="29">
        <f t="shared" ca="1" si="156"/>
        <v>225</v>
      </c>
      <c r="R761" s="22">
        <v>45306</v>
      </c>
      <c r="S761" s="26">
        <f t="shared" ca="1" si="139"/>
        <v>0.34794664043883217</v>
      </c>
      <c r="T761" s="29">
        <f t="shared" ca="1" si="157"/>
        <v>136</v>
      </c>
      <c r="V761" s="22">
        <v>45306</v>
      </c>
      <c r="W761" s="26">
        <f t="shared" ca="1" si="140"/>
        <v>0.5646711717785402</v>
      </c>
      <c r="X761" s="29">
        <f t="shared" ca="1" si="158"/>
        <v>228</v>
      </c>
      <c r="Z761" s="22">
        <v>45306</v>
      </c>
      <c r="AA761" s="26">
        <f t="shared" ca="1" si="141"/>
        <v>0.72199865439506461</v>
      </c>
      <c r="AB761" s="29">
        <f t="shared" ca="1" si="159"/>
        <v>281</v>
      </c>
      <c r="AC761"/>
      <c r="AD761" s="25"/>
      <c r="AF761" s="22">
        <v>45306</v>
      </c>
      <c r="AG761" s="26">
        <f t="shared" ca="1" si="142"/>
        <v>0.54475977823592703</v>
      </c>
      <c r="AH761" s="29">
        <f t="shared" ca="1" si="160"/>
        <v>337</v>
      </c>
      <c r="AJ761" s="22">
        <v>45306</v>
      </c>
      <c r="AK761" s="26">
        <f t="shared" ca="1" si="143"/>
        <v>0.6459385132172154</v>
      </c>
      <c r="AL761" s="29">
        <f t="shared" ca="1" si="161"/>
        <v>198</v>
      </c>
      <c r="AN761" s="22">
        <v>45306</v>
      </c>
      <c r="AO761" s="26">
        <f t="shared" ca="1" si="144"/>
        <v>0.10063946645220456</v>
      </c>
      <c r="AP761" s="29">
        <f t="shared" ca="1" si="162"/>
        <v>98</v>
      </c>
      <c r="AR761" s="22">
        <v>45306</v>
      </c>
      <c r="AS761" s="26">
        <f t="shared" ca="1" si="145"/>
        <v>0.52525509950509996</v>
      </c>
      <c r="AT761" s="29">
        <f t="shared" ca="1" si="163"/>
        <v>221</v>
      </c>
      <c r="AV761" s="22">
        <v>45306</v>
      </c>
      <c r="AW761" s="26">
        <f t="shared" ca="1" si="146"/>
        <v>0.47675183319111647</v>
      </c>
      <c r="AX761" s="29">
        <f t="shared" ca="1" si="164"/>
        <v>189</v>
      </c>
      <c r="AZ761" s="22">
        <v>45306</v>
      </c>
      <c r="BA761" s="26">
        <f t="shared" ca="1" si="147"/>
        <v>0.71133091473073462</v>
      </c>
      <c r="BB761" s="29">
        <f t="shared" ca="1" si="165"/>
        <v>207</v>
      </c>
      <c r="BC761"/>
      <c r="BD761" s="25"/>
      <c r="BF761" s="22">
        <v>45306</v>
      </c>
      <c r="BG761" s="26">
        <f t="shared" ca="1" si="148"/>
        <v>8.7145456108518315E-2</v>
      </c>
      <c r="BH761" s="29">
        <f t="shared" ca="1" si="166"/>
        <v>102</v>
      </c>
      <c r="BJ761" s="22">
        <v>45306</v>
      </c>
      <c r="BK761" s="26">
        <f t="shared" ca="1" si="149"/>
        <v>0.87505715202057444</v>
      </c>
      <c r="BL761" s="29">
        <f t="shared" ca="1" si="167"/>
        <v>216</v>
      </c>
      <c r="BN761" s="22">
        <v>45306</v>
      </c>
      <c r="BO761" s="26">
        <f t="shared" ca="1" si="150"/>
        <v>0.32991957389400073</v>
      </c>
      <c r="BP761" s="29">
        <v>0</v>
      </c>
      <c r="BR761" s="22">
        <v>45306</v>
      </c>
      <c r="BS761" s="26">
        <f t="shared" ca="1" si="151"/>
        <v>0.94164785613681223</v>
      </c>
      <c r="BT761" s="29">
        <v>0</v>
      </c>
      <c r="BV761" s="22">
        <v>45306</v>
      </c>
      <c r="BW761" s="26">
        <f t="shared" ca="1" si="152"/>
        <v>0.88737498524330849</v>
      </c>
      <c r="BX761" s="29">
        <v>0</v>
      </c>
    </row>
    <row r="762" spans="2:76" ht="12.75" x14ac:dyDescent="0.2">
      <c r="B762" s="22">
        <v>45307</v>
      </c>
      <c r="C762" s="26">
        <f t="shared" ca="1" si="135"/>
        <v>0.71751879433561461</v>
      </c>
      <c r="D762" s="29">
        <f t="shared" ca="1" si="134"/>
        <v>87</v>
      </c>
      <c r="F762" s="22"/>
      <c r="G762" s="26">
        <f t="shared" ca="1" si="136"/>
        <v>0.72731191657547012</v>
      </c>
      <c r="H762" s="29">
        <f t="shared" ca="1" si="154"/>
        <v>225</v>
      </c>
      <c r="J762" s="22">
        <v>45307</v>
      </c>
      <c r="K762" s="26">
        <f t="shared" ca="1" si="137"/>
        <v>0.721794548421126</v>
      </c>
      <c r="L762" s="29">
        <f t="shared" ca="1" si="155"/>
        <v>156</v>
      </c>
      <c r="N762" s="22">
        <v>45307</v>
      </c>
      <c r="O762" s="26">
        <f t="shared" ca="1" si="138"/>
        <v>2.1695165483081036E-3</v>
      </c>
      <c r="P762" s="29">
        <f t="shared" ca="1" si="156"/>
        <v>186</v>
      </c>
      <c r="R762" s="22">
        <v>45307</v>
      </c>
      <c r="S762" s="26">
        <f t="shared" ca="1" si="139"/>
        <v>0.27553116248752219</v>
      </c>
      <c r="T762" s="29">
        <f t="shared" ca="1" si="157"/>
        <v>134</v>
      </c>
      <c r="V762" s="22">
        <v>45307</v>
      </c>
      <c r="W762" s="26">
        <f t="shared" ca="1" si="140"/>
        <v>0.6904961693353503</v>
      </c>
      <c r="X762" s="29">
        <f t="shared" ca="1" si="158"/>
        <v>233</v>
      </c>
      <c r="Z762" s="22">
        <v>45307</v>
      </c>
      <c r="AA762" s="26">
        <f t="shared" ca="1" si="141"/>
        <v>0.21133711239904529</v>
      </c>
      <c r="AB762" s="29">
        <f t="shared" ca="1" si="159"/>
        <v>256</v>
      </c>
      <c r="AC762"/>
      <c r="AD762" s="25"/>
      <c r="AF762" s="22">
        <v>45307</v>
      </c>
      <c r="AG762" s="26">
        <f t="shared" ca="1" si="142"/>
        <v>0.85275346952283415</v>
      </c>
      <c r="AH762" s="29">
        <f t="shared" ca="1" si="160"/>
        <v>419</v>
      </c>
      <c r="AJ762" s="22">
        <v>45307</v>
      </c>
      <c r="AK762" s="26">
        <f t="shared" ca="1" si="143"/>
        <v>0.69362506715895544</v>
      </c>
      <c r="AL762" s="29">
        <f t="shared" ca="1" si="161"/>
        <v>205</v>
      </c>
      <c r="AN762" s="22">
        <v>45307</v>
      </c>
      <c r="AO762" s="26">
        <f t="shared" ca="1" si="144"/>
        <v>0.60871408734735355</v>
      </c>
      <c r="AP762" s="29">
        <f t="shared" ca="1" si="162"/>
        <v>158</v>
      </c>
      <c r="AR762" s="22">
        <v>45307</v>
      </c>
      <c r="AS762" s="26">
        <f t="shared" ca="1" si="145"/>
        <v>0.29573276308005136</v>
      </c>
      <c r="AT762" s="29">
        <f t="shared" ca="1" si="163"/>
        <v>186</v>
      </c>
      <c r="AV762" s="22">
        <v>45307</v>
      </c>
      <c r="AW762" s="26">
        <f t="shared" ca="1" si="146"/>
        <v>0.73858462376772149</v>
      </c>
      <c r="AX762" s="29">
        <f t="shared" ca="1" si="164"/>
        <v>225</v>
      </c>
      <c r="AZ762" s="22">
        <v>45307</v>
      </c>
      <c r="BA762" s="26">
        <f t="shared" ca="1" si="147"/>
        <v>0.7785254643358146</v>
      </c>
      <c r="BB762" s="29">
        <f t="shared" ca="1" si="165"/>
        <v>217</v>
      </c>
      <c r="BC762"/>
      <c r="BD762" s="25"/>
      <c r="BF762" s="22">
        <v>45307</v>
      </c>
      <c r="BG762" s="26">
        <f t="shared" ca="1" si="148"/>
        <v>0.73493404279446095</v>
      </c>
      <c r="BH762" s="29">
        <f t="shared" ca="1" si="166"/>
        <v>187</v>
      </c>
      <c r="BJ762" s="22">
        <v>45307</v>
      </c>
      <c r="BK762" s="26">
        <f t="shared" ca="1" si="149"/>
        <v>0.21709968362467591</v>
      </c>
      <c r="BL762" s="29">
        <f t="shared" ca="1" si="167"/>
        <v>131</v>
      </c>
      <c r="BN762" s="22">
        <v>45307</v>
      </c>
      <c r="BO762" s="26">
        <f t="shared" ca="1" si="150"/>
        <v>0.9501874830564756</v>
      </c>
      <c r="BP762" s="29">
        <v>0</v>
      </c>
      <c r="BR762" s="22">
        <v>45307</v>
      </c>
      <c r="BS762" s="26">
        <f t="shared" ca="1" si="151"/>
        <v>0.46653744846148981</v>
      </c>
      <c r="BT762" s="29">
        <v>0</v>
      </c>
      <c r="BV762" s="22">
        <v>45307</v>
      </c>
      <c r="BW762" s="26">
        <f t="shared" ca="1" si="152"/>
        <v>0.19760132508783956</v>
      </c>
      <c r="BX762" s="29">
        <v>0</v>
      </c>
    </row>
    <row r="763" spans="2:76" ht="12.75" x14ac:dyDescent="0.2">
      <c r="B763" s="22">
        <v>45308</v>
      </c>
      <c r="C763" s="26">
        <f t="shared" ca="1" si="135"/>
        <v>0.39020887641577395</v>
      </c>
      <c r="D763" s="29">
        <f t="shared" ca="1" si="134"/>
        <v>70</v>
      </c>
      <c r="F763" s="22"/>
      <c r="G763" s="26">
        <f t="shared" ca="1" si="136"/>
        <v>0.74459814291108206</v>
      </c>
      <c r="H763" s="29">
        <f t="shared" ca="1" si="154"/>
        <v>225</v>
      </c>
      <c r="J763" s="22">
        <v>45308</v>
      </c>
      <c r="K763" s="26">
        <f t="shared" ca="1" si="137"/>
        <v>0.81005736734847245</v>
      </c>
      <c r="L763" s="29">
        <f t="shared" ca="1" si="155"/>
        <v>159</v>
      </c>
      <c r="N763" s="22">
        <v>45308</v>
      </c>
      <c r="O763" s="26">
        <f t="shared" ca="1" si="138"/>
        <v>3.7349975992410633E-2</v>
      </c>
      <c r="P763" s="29">
        <f t="shared" ca="1" si="156"/>
        <v>203</v>
      </c>
      <c r="R763" s="22">
        <v>45308</v>
      </c>
      <c r="S763" s="26">
        <f t="shared" ca="1" si="139"/>
        <v>0.89580340638196465</v>
      </c>
      <c r="T763" s="29">
        <f t="shared" ca="1" si="157"/>
        <v>151</v>
      </c>
      <c r="V763" s="22">
        <v>45308</v>
      </c>
      <c r="W763" s="26">
        <f t="shared" ca="1" si="140"/>
        <v>0.18460232182261715</v>
      </c>
      <c r="X763" s="29">
        <f t="shared" ca="1" si="158"/>
        <v>212</v>
      </c>
      <c r="Z763" s="22">
        <v>45308</v>
      </c>
      <c r="AA763" s="26">
        <f t="shared" ca="1" si="141"/>
        <v>0.51504486307046771</v>
      </c>
      <c r="AB763" s="29">
        <f t="shared" ca="1" si="159"/>
        <v>271</v>
      </c>
      <c r="AC763"/>
      <c r="AD763" s="25"/>
      <c r="AF763" s="22">
        <v>45308</v>
      </c>
      <c r="AG763" s="26">
        <f t="shared" ca="1" si="142"/>
        <v>0.55202678227428958</v>
      </c>
      <c r="AH763" s="29">
        <f t="shared" ca="1" si="160"/>
        <v>339</v>
      </c>
      <c r="AJ763" s="22">
        <v>45308</v>
      </c>
      <c r="AK763" s="26">
        <f t="shared" ca="1" si="143"/>
        <v>0.80202366297584182</v>
      </c>
      <c r="AL763" s="29">
        <f t="shared" ca="1" si="161"/>
        <v>221</v>
      </c>
      <c r="AN763" s="22">
        <v>45308</v>
      </c>
      <c r="AO763" s="26">
        <f t="shared" ca="1" si="144"/>
        <v>1.2007721570268859E-2</v>
      </c>
      <c r="AP763" s="29">
        <f t="shared" ca="1" si="162"/>
        <v>59</v>
      </c>
      <c r="AR763" s="22">
        <v>45308</v>
      </c>
      <c r="AS763" s="26">
        <f t="shared" ca="1" si="145"/>
        <v>0.51442686362463264</v>
      </c>
      <c r="AT763" s="29">
        <f t="shared" ca="1" si="163"/>
        <v>219</v>
      </c>
      <c r="AV763" s="22">
        <v>45308</v>
      </c>
      <c r="AW763" s="26">
        <f t="shared" ca="1" si="146"/>
        <v>0.75099493353363467</v>
      </c>
      <c r="AX763" s="29">
        <f t="shared" ca="1" si="164"/>
        <v>227</v>
      </c>
      <c r="AZ763" s="22">
        <v>45308</v>
      </c>
      <c r="BA763" s="26">
        <f t="shared" ca="1" si="147"/>
        <v>0.27230154586949751</v>
      </c>
      <c r="BB763" s="29">
        <f t="shared" ca="1" si="165"/>
        <v>151</v>
      </c>
      <c r="BC763"/>
      <c r="BD763" s="25"/>
      <c r="BF763" s="22">
        <v>45308</v>
      </c>
      <c r="BG763" s="26">
        <f t="shared" ca="1" si="148"/>
        <v>7.185203805648277E-2</v>
      </c>
      <c r="BH763" s="29">
        <f t="shared" ca="1" si="166"/>
        <v>98</v>
      </c>
      <c r="BJ763" s="22">
        <v>45308</v>
      </c>
      <c r="BK763" s="26">
        <f t="shared" ca="1" si="149"/>
        <v>0.27580918289562373</v>
      </c>
      <c r="BL763" s="29">
        <f t="shared" ca="1" si="167"/>
        <v>139</v>
      </c>
      <c r="BN763" s="22">
        <v>45308</v>
      </c>
      <c r="BO763" s="26">
        <f t="shared" ca="1" si="150"/>
        <v>0.68901014867711863</v>
      </c>
      <c r="BP763" s="29">
        <v>0</v>
      </c>
      <c r="BR763" s="22">
        <v>45308</v>
      </c>
      <c r="BS763" s="26">
        <f t="shared" ca="1" si="151"/>
        <v>0.738670987135291</v>
      </c>
      <c r="BT763" s="29">
        <v>0</v>
      </c>
      <c r="BV763" s="22">
        <v>45308</v>
      </c>
      <c r="BW763" s="26">
        <f t="shared" ca="1" si="152"/>
        <v>0.4854347273551024</v>
      </c>
      <c r="BX763" s="29">
        <v>0</v>
      </c>
    </row>
    <row r="764" spans="2:76" ht="12.75" x14ac:dyDescent="0.2">
      <c r="B764" s="22">
        <v>45309</v>
      </c>
      <c r="C764" s="26">
        <f t="shared" ca="1" si="135"/>
        <v>0.37888411862049598</v>
      </c>
      <c r="D764" s="29">
        <f t="shared" ca="1" si="134"/>
        <v>69</v>
      </c>
      <c r="F764" s="22"/>
      <c r="G764" s="26">
        <f t="shared" ca="1" si="136"/>
        <v>0.39554495735013029</v>
      </c>
      <c r="H764" s="29">
        <f t="shared" ca="1" si="154"/>
        <v>212</v>
      </c>
      <c r="J764" s="22">
        <v>45309</v>
      </c>
      <c r="K764" s="26">
        <f t="shared" ca="1" si="137"/>
        <v>0.43980140958240777</v>
      </c>
      <c r="L764" s="29">
        <f t="shared" ca="1" si="155"/>
        <v>149</v>
      </c>
      <c r="N764" s="22">
        <v>45309</v>
      </c>
      <c r="O764" s="26">
        <f t="shared" ca="1" si="138"/>
        <v>0.34990989137302408</v>
      </c>
      <c r="P764" s="29">
        <f t="shared" ca="1" si="156"/>
        <v>224</v>
      </c>
      <c r="R764" s="22">
        <v>45309</v>
      </c>
      <c r="S764" s="26">
        <f t="shared" ca="1" si="139"/>
        <v>0.63323295581356154</v>
      </c>
      <c r="T764" s="29">
        <f t="shared" ca="1" si="157"/>
        <v>142</v>
      </c>
      <c r="V764" s="22">
        <v>45309</v>
      </c>
      <c r="W764" s="26">
        <f t="shared" ca="1" si="140"/>
        <v>0.9570202736563338</v>
      </c>
      <c r="X764" s="29">
        <f t="shared" ca="1" si="158"/>
        <v>251</v>
      </c>
      <c r="Z764" s="22">
        <v>45309</v>
      </c>
      <c r="AA764" s="26">
        <f t="shared" ca="1" si="141"/>
        <v>6.2340696992455591E-2</v>
      </c>
      <c r="AB764" s="29">
        <f t="shared" ca="1" si="159"/>
        <v>243</v>
      </c>
      <c r="AC764"/>
      <c r="AD764" s="25"/>
      <c r="AF764" s="22">
        <v>45309</v>
      </c>
      <c r="AG764" s="26">
        <f t="shared" ca="1" si="142"/>
        <v>0.21414567101536253</v>
      </c>
      <c r="AH764" s="29">
        <f t="shared" ca="1" si="160"/>
        <v>258</v>
      </c>
      <c r="AJ764" s="22">
        <v>45309</v>
      </c>
      <c r="AK764" s="26">
        <f t="shared" ca="1" si="143"/>
        <v>0.65907142545845376</v>
      </c>
      <c r="AL764" s="29">
        <f t="shared" ca="1" si="161"/>
        <v>200</v>
      </c>
      <c r="AN764" s="22">
        <v>45309</v>
      </c>
      <c r="AO764" s="26">
        <f t="shared" ca="1" si="144"/>
        <v>0.60229865963879015</v>
      </c>
      <c r="AP764" s="29">
        <f t="shared" ca="1" si="162"/>
        <v>158</v>
      </c>
      <c r="AR764" s="22">
        <v>45309</v>
      </c>
      <c r="AS764" s="26">
        <f t="shared" ca="1" si="145"/>
        <v>0.2360356272976678</v>
      </c>
      <c r="AT764" s="29">
        <f t="shared" ca="1" si="163"/>
        <v>176</v>
      </c>
      <c r="AV764" s="22">
        <v>45309</v>
      </c>
      <c r="AW764" s="26">
        <f t="shared" ca="1" si="146"/>
        <v>0.51872558827963255</v>
      </c>
      <c r="AX764" s="29">
        <f t="shared" ca="1" si="164"/>
        <v>195</v>
      </c>
      <c r="AZ764" s="22">
        <v>45309</v>
      </c>
      <c r="BA764" s="26">
        <f t="shared" ca="1" si="147"/>
        <v>0.62729991472861291</v>
      </c>
      <c r="BB764" s="29">
        <f t="shared" ca="1" si="165"/>
        <v>196</v>
      </c>
      <c r="BC764"/>
      <c r="BD764" s="25"/>
      <c r="BF764" s="22">
        <v>45309</v>
      </c>
      <c r="BG764" s="26">
        <f t="shared" ca="1" si="148"/>
        <v>0.2584234679072539</v>
      </c>
      <c r="BH764" s="29">
        <f t="shared" ca="1" si="166"/>
        <v>133</v>
      </c>
      <c r="BJ764" s="22">
        <v>45309</v>
      </c>
      <c r="BK764" s="26">
        <f t="shared" ca="1" si="149"/>
        <v>0.66025891600844466</v>
      </c>
      <c r="BL764" s="29">
        <f t="shared" ca="1" si="167"/>
        <v>183</v>
      </c>
      <c r="BN764" s="22">
        <v>45309</v>
      </c>
      <c r="BO764" s="26">
        <f t="shared" ca="1" si="150"/>
        <v>0.19652801030336009</v>
      </c>
      <c r="BP764" s="29">
        <v>0</v>
      </c>
      <c r="BR764" s="22">
        <v>45309</v>
      </c>
      <c r="BS764" s="26">
        <f t="shared" ca="1" si="151"/>
        <v>0.8113090535494859</v>
      </c>
      <c r="BT764" s="29">
        <v>0</v>
      </c>
      <c r="BV764" s="22">
        <v>45309</v>
      </c>
      <c r="BW764" s="26">
        <f t="shared" ca="1" si="152"/>
        <v>0.2619777121387068</v>
      </c>
      <c r="BX764" s="29">
        <v>0</v>
      </c>
    </row>
    <row r="765" spans="2:76" ht="12.75" x14ac:dyDescent="0.2">
      <c r="B765" s="22">
        <v>45310</v>
      </c>
      <c r="C765" s="26">
        <f t="shared" ca="1" si="135"/>
        <v>0.71550165934675014</v>
      </c>
      <c r="D765" s="29">
        <f t="shared" ca="1" si="134"/>
        <v>87</v>
      </c>
      <c r="F765" s="22"/>
      <c r="G765" s="26">
        <f t="shared" ca="1" si="136"/>
        <v>0.9718943906691081</v>
      </c>
      <c r="H765" s="29">
        <f t="shared" ca="1" si="154"/>
        <v>243</v>
      </c>
      <c r="J765" s="22">
        <v>45310</v>
      </c>
      <c r="K765" s="26">
        <f t="shared" ca="1" si="137"/>
        <v>0.44677900307331975</v>
      </c>
      <c r="L765" s="29">
        <f t="shared" ca="1" si="155"/>
        <v>149</v>
      </c>
      <c r="N765" s="22">
        <v>45310</v>
      </c>
      <c r="O765" s="26">
        <f t="shared" ca="1" si="138"/>
        <v>0.76955058689142786</v>
      </c>
      <c r="P765" s="29">
        <f t="shared" ca="1" si="156"/>
        <v>241</v>
      </c>
      <c r="R765" s="22">
        <v>45310</v>
      </c>
      <c r="S765" s="26">
        <f t="shared" ca="1" si="139"/>
        <v>0.55870735774625346</v>
      </c>
      <c r="T765" s="29">
        <f t="shared" ca="1" si="157"/>
        <v>141</v>
      </c>
      <c r="V765" s="22">
        <v>45310</v>
      </c>
      <c r="W765" s="26">
        <f t="shared" ca="1" si="140"/>
        <v>1.5282404598345845E-2</v>
      </c>
      <c r="X765" s="29">
        <f t="shared" ca="1" si="158"/>
        <v>193</v>
      </c>
      <c r="Z765" s="22">
        <v>45310</v>
      </c>
      <c r="AA765" s="26">
        <f t="shared" ca="1" si="141"/>
        <v>0.2486704687483754</v>
      </c>
      <c r="AB765" s="29">
        <f t="shared" ca="1" si="159"/>
        <v>258</v>
      </c>
      <c r="AC765"/>
      <c r="AD765" s="25"/>
      <c r="AF765" s="22">
        <v>45310</v>
      </c>
      <c r="AG765" s="26">
        <f t="shared" ca="1" si="142"/>
        <v>0.17436173129943522</v>
      </c>
      <c r="AH765" s="29">
        <f t="shared" ca="1" si="160"/>
        <v>246</v>
      </c>
      <c r="AJ765" s="22">
        <v>45310</v>
      </c>
      <c r="AK765" s="26">
        <f t="shared" ca="1" si="143"/>
        <v>0.28409173829652679</v>
      </c>
      <c r="AL765" s="29">
        <f t="shared" ca="1" si="161"/>
        <v>153</v>
      </c>
      <c r="AN765" s="22">
        <v>45310</v>
      </c>
      <c r="AO765" s="26">
        <f t="shared" ca="1" si="144"/>
        <v>0.64650270126207732</v>
      </c>
      <c r="AP765" s="29">
        <f t="shared" ca="1" si="162"/>
        <v>162</v>
      </c>
      <c r="AR765" s="22">
        <v>45310</v>
      </c>
      <c r="AS765" s="26">
        <f t="shared" ca="1" si="145"/>
        <v>0.25027858680526627</v>
      </c>
      <c r="AT765" s="29">
        <f t="shared" ca="1" si="163"/>
        <v>178</v>
      </c>
      <c r="AV765" s="22">
        <v>45310</v>
      </c>
      <c r="AW765" s="26">
        <f t="shared" ca="1" si="146"/>
        <v>0.46166249336843346</v>
      </c>
      <c r="AX765" s="29">
        <f t="shared" ca="1" si="164"/>
        <v>187</v>
      </c>
      <c r="AZ765" s="22">
        <v>45310</v>
      </c>
      <c r="BA765" s="26">
        <f t="shared" ca="1" si="147"/>
        <v>0.19052865183277068</v>
      </c>
      <c r="BB765" s="29">
        <f t="shared" ca="1" si="165"/>
        <v>138</v>
      </c>
      <c r="BC765"/>
      <c r="BD765" s="25"/>
      <c r="BF765" s="22">
        <v>45310</v>
      </c>
      <c r="BG765" s="26">
        <f t="shared" ca="1" si="148"/>
        <v>0.29605562893260751</v>
      </c>
      <c r="BH765" s="29">
        <f t="shared" ca="1" si="166"/>
        <v>137</v>
      </c>
      <c r="BJ765" s="22">
        <v>45310</v>
      </c>
      <c r="BK765" s="26">
        <f t="shared" ca="1" si="149"/>
        <v>0.86218500679004562</v>
      </c>
      <c r="BL765" s="29">
        <f t="shared" ca="1" si="167"/>
        <v>213</v>
      </c>
      <c r="BN765" s="22">
        <v>45310</v>
      </c>
      <c r="BO765" s="26">
        <f t="shared" ca="1" si="150"/>
        <v>2.1897080123844392E-2</v>
      </c>
      <c r="BP765" s="29">
        <v>0</v>
      </c>
      <c r="BR765" s="22">
        <v>45310</v>
      </c>
      <c r="BS765" s="26">
        <f t="shared" ca="1" si="151"/>
        <v>0.48563607406545617</v>
      </c>
      <c r="BT765" s="29">
        <v>0</v>
      </c>
      <c r="BV765" s="22">
        <v>45310</v>
      </c>
      <c r="BW765" s="26">
        <f t="shared" ca="1" si="152"/>
        <v>0.97351560539497128</v>
      </c>
      <c r="BX765" s="29">
        <v>0</v>
      </c>
    </row>
    <row r="766" spans="2:76" ht="12.75" x14ac:dyDescent="0.2">
      <c r="B766" s="22">
        <v>45311</v>
      </c>
      <c r="C766" s="26">
        <f t="shared" ca="1" si="135"/>
        <v>0.20650247698817414</v>
      </c>
      <c r="D766" s="29">
        <f t="shared" ca="1" si="134"/>
        <v>59</v>
      </c>
      <c r="F766" s="22"/>
      <c r="G766" s="26">
        <f t="shared" ca="1" si="136"/>
        <v>7.7612722659313627E-2</v>
      </c>
      <c r="H766" s="29">
        <f t="shared" ca="1" si="154"/>
        <v>195</v>
      </c>
      <c r="J766" s="22">
        <v>45311</v>
      </c>
      <c r="K766" s="26">
        <f t="shared" ca="1" si="137"/>
        <v>0.57988065201595529</v>
      </c>
      <c r="L766" s="29">
        <f t="shared" ca="1" si="155"/>
        <v>153</v>
      </c>
      <c r="N766" s="22">
        <v>45311</v>
      </c>
      <c r="O766" s="26">
        <f t="shared" ca="1" si="138"/>
        <v>0.24248732774499082</v>
      </c>
      <c r="P766" s="29">
        <f t="shared" ca="1" si="156"/>
        <v>219</v>
      </c>
      <c r="R766" s="22">
        <v>45311</v>
      </c>
      <c r="S766" s="26">
        <f t="shared" ca="1" si="139"/>
        <v>0.8129791737618981</v>
      </c>
      <c r="T766" s="29">
        <f t="shared" ca="1" si="157"/>
        <v>147</v>
      </c>
      <c r="V766" s="22">
        <v>45311</v>
      </c>
      <c r="W766" s="26">
        <f t="shared" ca="1" si="140"/>
        <v>0.86948841156790824</v>
      </c>
      <c r="X766" s="29">
        <f t="shared" ca="1" si="158"/>
        <v>242</v>
      </c>
      <c r="Z766" s="22">
        <v>45311</v>
      </c>
      <c r="AA766" s="26">
        <f t="shared" ca="1" si="141"/>
        <v>0.42054898884204706</v>
      </c>
      <c r="AB766" s="29">
        <f t="shared" ca="1" si="159"/>
        <v>267</v>
      </c>
      <c r="AC766"/>
      <c r="AD766" s="25"/>
      <c r="AF766" s="22">
        <v>45311</v>
      </c>
      <c r="AG766" s="26">
        <f t="shared" ca="1" si="142"/>
        <v>0.32329868256921668</v>
      </c>
      <c r="AH766" s="29">
        <f t="shared" ca="1" si="160"/>
        <v>288</v>
      </c>
      <c r="AJ766" s="22">
        <v>45311</v>
      </c>
      <c r="AK766" s="26">
        <f t="shared" ca="1" si="143"/>
        <v>0.61411495770622593</v>
      </c>
      <c r="AL766" s="29">
        <f t="shared" ca="1" si="161"/>
        <v>194</v>
      </c>
      <c r="AN766" s="22">
        <v>45311</v>
      </c>
      <c r="AO766" s="26">
        <f t="shared" ca="1" si="144"/>
        <v>0.53305812423189514</v>
      </c>
      <c r="AP766" s="29">
        <f t="shared" ca="1" si="162"/>
        <v>151</v>
      </c>
      <c r="AR766" s="22">
        <v>45311</v>
      </c>
      <c r="AS766" s="26">
        <f t="shared" ca="1" si="145"/>
        <v>5.179930039672731E-2</v>
      </c>
      <c r="AT766" s="29">
        <f t="shared" ca="1" si="163"/>
        <v>123</v>
      </c>
      <c r="AV766" s="22">
        <v>45311</v>
      </c>
      <c r="AW766" s="26">
        <f t="shared" ca="1" si="146"/>
        <v>0.70557932780046595</v>
      </c>
      <c r="AX766" s="29">
        <f t="shared" ca="1" si="164"/>
        <v>220</v>
      </c>
      <c r="AZ766" s="22">
        <v>45311</v>
      </c>
      <c r="BA766" s="26">
        <f t="shared" ca="1" si="147"/>
        <v>0.60551500484314824</v>
      </c>
      <c r="BB766" s="29">
        <f t="shared" ca="1" si="165"/>
        <v>193</v>
      </c>
      <c r="BC766"/>
      <c r="BD766" s="25"/>
      <c r="BF766" s="22">
        <v>45311</v>
      </c>
      <c r="BG766" s="26">
        <f t="shared" ca="1" si="148"/>
        <v>0.99982855293437756</v>
      </c>
      <c r="BH766" s="29">
        <f t="shared" ca="1" si="166"/>
        <v>312</v>
      </c>
      <c r="BJ766" s="22">
        <v>45311</v>
      </c>
      <c r="BK766" s="26">
        <f t="shared" ca="1" si="149"/>
        <v>0.43525617772975222</v>
      </c>
      <c r="BL766" s="29">
        <f t="shared" ca="1" si="167"/>
        <v>158</v>
      </c>
      <c r="BN766" s="22">
        <v>45311</v>
      </c>
      <c r="BO766" s="26">
        <f t="shared" ca="1" si="150"/>
        <v>0.40210988986751084</v>
      </c>
      <c r="BP766" s="29">
        <v>0</v>
      </c>
      <c r="BR766" s="22">
        <v>45311</v>
      </c>
      <c r="BS766" s="26">
        <f t="shared" ca="1" si="151"/>
        <v>0.48799345543939343</v>
      </c>
      <c r="BT766" s="29">
        <v>0</v>
      </c>
      <c r="BV766" s="22">
        <v>45311</v>
      </c>
      <c r="BW766" s="26">
        <f t="shared" ca="1" si="152"/>
        <v>0.43854675258795439</v>
      </c>
      <c r="BX766" s="29">
        <v>0</v>
      </c>
    </row>
    <row r="767" spans="2:76" ht="12.75" x14ac:dyDescent="0.2">
      <c r="B767" s="22">
        <v>45312</v>
      </c>
      <c r="C767" s="26">
        <f t="shared" ca="1" si="135"/>
        <v>0.6621769880436148</v>
      </c>
      <c r="D767" s="29">
        <f t="shared" ca="1" si="134"/>
        <v>84</v>
      </c>
      <c r="F767" s="22"/>
      <c r="G767" s="26">
        <f t="shared" ca="1" si="136"/>
        <v>0.14339529008203111</v>
      </c>
      <c r="H767" s="29">
        <f t="shared" ca="1" si="154"/>
        <v>201</v>
      </c>
      <c r="J767" s="22">
        <v>45312</v>
      </c>
      <c r="K767" s="26">
        <f t="shared" ca="1" si="137"/>
        <v>0.79729139250813663</v>
      </c>
      <c r="L767" s="29">
        <f t="shared" ca="1" si="155"/>
        <v>159</v>
      </c>
      <c r="N767" s="22">
        <v>45312</v>
      </c>
      <c r="O767" s="26">
        <f t="shared" ca="1" si="138"/>
        <v>0.95908553889259152</v>
      </c>
      <c r="P767" s="29">
        <f t="shared" ca="1" si="156"/>
        <v>256</v>
      </c>
      <c r="R767" s="22">
        <v>45312</v>
      </c>
      <c r="S767" s="26">
        <f t="shared" ca="1" si="139"/>
        <v>0.92127471057269872</v>
      </c>
      <c r="T767" s="29">
        <f t="shared" ca="1" si="157"/>
        <v>152</v>
      </c>
      <c r="V767" s="22">
        <v>45312</v>
      </c>
      <c r="W767" s="26">
        <f t="shared" ca="1" si="140"/>
        <v>0.5943801734822296</v>
      </c>
      <c r="X767" s="29">
        <f t="shared" ca="1" si="158"/>
        <v>229</v>
      </c>
      <c r="Z767" s="22">
        <v>45312</v>
      </c>
      <c r="AA767" s="26">
        <f t="shared" ca="1" si="141"/>
        <v>0.57195563448490805</v>
      </c>
      <c r="AB767" s="29">
        <f t="shared" ca="1" si="159"/>
        <v>274</v>
      </c>
      <c r="AC767"/>
      <c r="AD767" s="25"/>
      <c r="AF767" s="22">
        <v>45312</v>
      </c>
      <c r="AG767" s="26">
        <f t="shared" ca="1" si="142"/>
        <v>0.53976601304498839</v>
      </c>
      <c r="AH767" s="29">
        <f t="shared" ca="1" si="160"/>
        <v>336</v>
      </c>
      <c r="AJ767" s="22">
        <v>45312</v>
      </c>
      <c r="AK767" s="26">
        <f t="shared" ca="1" si="143"/>
        <v>0.47588088709444132</v>
      </c>
      <c r="AL767" s="29">
        <f t="shared" ca="1" si="161"/>
        <v>177</v>
      </c>
      <c r="AN767" s="22">
        <v>45312</v>
      </c>
      <c r="AO767" s="26">
        <f t="shared" ca="1" si="144"/>
        <v>0.4030661679340104</v>
      </c>
      <c r="AP767" s="29">
        <f t="shared" ca="1" si="162"/>
        <v>138</v>
      </c>
      <c r="AR767" s="22">
        <v>45312</v>
      </c>
      <c r="AS767" s="26">
        <f t="shared" ca="1" si="145"/>
        <v>0.99575053221081145</v>
      </c>
      <c r="AT767" s="29">
        <f t="shared" ca="1" si="163"/>
        <v>369</v>
      </c>
      <c r="AV767" s="22">
        <v>45312</v>
      </c>
      <c r="AW767" s="26">
        <f t="shared" ca="1" si="146"/>
        <v>0.80440954779168827</v>
      </c>
      <c r="AX767" s="29">
        <f t="shared" ca="1" si="164"/>
        <v>236</v>
      </c>
      <c r="AZ767" s="22">
        <v>45312</v>
      </c>
      <c r="BA767" s="26">
        <f t="shared" ca="1" si="147"/>
        <v>0.81064196704069746</v>
      </c>
      <c r="BB767" s="29">
        <f t="shared" ca="1" si="165"/>
        <v>223</v>
      </c>
      <c r="BC767"/>
      <c r="BD767" s="25"/>
      <c r="BF767" s="22">
        <v>45312</v>
      </c>
      <c r="BG767" s="26">
        <f t="shared" ca="1" si="148"/>
        <v>0.92376038865883614</v>
      </c>
      <c r="BH767" s="29">
        <f t="shared" ca="1" si="166"/>
        <v>221</v>
      </c>
      <c r="BJ767" s="22">
        <v>45312</v>
      </c>
      <c r="BK767" s="26">
        <f t="shared" ca="1" si="149"/>
        <v>0.48188334165542934</v>
      </c>
      <c r="BL767" s="29">
        <f t="shared" ca="1" si="167"/>
        <v>163</v>
      </c>
      <c r="BN767" s="22">
        <v>45312</v>
      </c>
      <c r="BO767" s="26">
        <f t="shared" ca="1" si="150"/>
        <v>0.12460188566546049</v>
      </c>
      <c r="BP767" s="29">
        <v>0</v>
      </c>
      <c r="BR767" s="22">
        <v>45312</v>
      </c>
      <c r="BS767" s="26">
        <f t="shared" ca="1" si="151"/>
        <v>0.33390545150228201</v>
      </c>
      <c r="BT767" s="29">
        <v>0</v>
      </c>
      <c r="BV767" s="22">
        <v>45312</v>
      </c>
      <c r="BW767" s="26">
        <f t="shared" ca="1" si="152"/>
        <v>0.73690372121604286</v>
      </c>
      <c r="BX767" s="29">
        <v>0</v>
      </c>
    </row>
    <row r="768" spans="2:76" ht="12.75" x14ac:dyDescent="0.2">
      <c r="B768" s="22">
        <v>45313</v>
      </c>
      <c r="C768" s="26">
        <f t="shared" ca="1" si="135"/>
        <v>0.53842440842886308</v>
      </c>
      <c r="D768" s="29">
        <f t="shared" ca="1" si="134"/>
        <v>77</v>
      </c>
      <c r="F768" s="22"/>
      <c r="G768" s="26">
        <f t="shared" ca="1" si="136"/>
        <v>0.31687903900202163</v>
      </c>
      <c r="H768" s="29">
        <f t="shared" ca="1" si="154"/>
        <v>209</v>
      </c>
      <c r="J768" s="22">
        <v>45313</v>
      </c>
      <c r="K768" s="26">
        <f t="shared" ca="1" si="137"/>
        <v>1.830313376277104E-2</v>
      </c>
      <c r="L768" s="29">
        <f t="shared" ca="1" si="155"/>
        <v>130</v>
      </c>
      <c r="N768" s="22">
        <v>45313</v>
      </c>
      <c r="O768" s="26">
        <f t="shared" ca="1" si="138"/>
        <v>0.89797619434391995</v>
      </c>
      <c r="P768" s="29">
        <f t="shared" ca="1" si="156"/>
        <v>249</v>
      </c>
      <c r="R768" s="22">
        <v>45313</v>
      </c>
      <c r="S768" s="26">
        <f t="shared" ca="1" si="139"/>
        <v>0.51800148935990176</v>
      </c>
      <c r="T768" s="29">
        <f t="shared" ca="1" si="157"/>
        <v>140</v>
      </c>
      <c r="V768" s="22">
        <v>45313</v>
      </c>
      <c r="W768" s="26">
        <f t="shared" ca="1" si="140"/>
        <v>0.33070554576612621</v>
      </c>
      <c r="X768" s="29">
        <f t="shared" ca="1" si="158"/>
        <v>219</v>
      </c>
      <c r="Z768" s="22">
        <v>45313</v>
      </c>
      <c r="AA768" s="26">
        <f t="shared" ca="1" si="141"/>
        <v>0.29644558980671643</v>
      </c>
      <c r="AB768" s="29">
        <f t="shared" ca="1" si="159"/>
        <v>261</v>
      </c>
      <c r="AC768"/>
      <c r="AD768" s="25"/>
      <c r="AF768" s="22">
        <v>45313</v>
      </c>
      <c r="AG768" s="26">
        <f t="shared" ca="1" si="142"/>
        <v>0.51663877624566168</v>
      </c>
      <c r="AH768" s="29">
        <f t="shared" ca="1" si="160"/>
        <v>331</v>
      </c>
      <c r="AJ768" s="22">
        <v>45313</v>
      </c>
      <c r="AK768" s="26">
        <f t="shared" ca="1" si="143"/>
        <v>0.831214727140135</v>
      </c>
      <c r="AL768" s="29">
        <f t="shared" ca="1" si="161"/>
        <v>226</v>
      </c>
      <c r="AN768" s="22">
        <v>45313</v>
      </c>
      <c r="AO768" s="26">
        <f t="shared" ca="1" si="144"/>
        <v>0.66193771190633632</v>
      </c>
      <c r="AP768" s="29">
        <f t="shared" ca="1" si="162"/>
        <v>164</v>
      </c>
      <c r="AR768" s="22">
        <v>45313</v>
      </c>
      <c r="AS768" s="26">
        <f t="shared" ca="1" si="145"/>
        <v>0.57775842484793749</v>
      </c>
      <c r="AT768" s="29">
        <f t="shared" ca="1" si="163"/>
        <v>229</v>
      </c>
      <c r="AV768" s="22">
        <v>45313</v>
      </c>
      <c r="AW768" s="26">
        <f t="shared" ca="1" si="146"/>
        <v>0.16221986153851986</v>
      </c>
      <c r="AX768" s="29">
        <f t="shared" ca="1" si="164"/>
        <v>142</v>
      </c>
      <c r="AZ768" s="22">
        <v>45313</v>
      </c>
      <c r="BA768" s="26">
        <f t="shared" ca="1" si="147"/>
        <v>0.89620101503531369</v>
      </c>
      <c r="BB768" s="29">
        <f t="shared" ca="1" si="165"/>
        <v>241</v>
      </c>
      <c r="BC768"/>
      <c r="BD768" s="25"/>
      <c r="BF768" s="22">
        <v>45313</v>
      </c>
      <c r="BG768" s="26">
        <f t="shared" ca="1" si="148"/>
        <v>0.80988008824426361</v>
      </c>
      <c r="BH768" s="29">
        <f t="shared" ca="1" si="166"/>
        <v>197</v>
      </c>
      <c r="BJ768" s="22">
        <v>45313</v>
      </c>
      <c r="BK768" s="26">
        <f t="shared" ca="1" si="149"/>
        <v>0.31095043671928968</v>
      </c>
      <c r="BL768" s="29">
        <f t="shared" ca="1" si="167"/>
        <v>143</v>
      </c>
      <c r="BN768" s="22">
        <v>45313</v>
      </c>
      <c r="BO768" s="26">
        <f t="shared" ca="1" si="150"/>
        <v>0.8848740842671089</v>
      </c>
      <c r="BP768" s="29">
        <v>0</v>
      </c>
      <c r="BR768" s="22">
        <v>45313</v>
      </c>
      <c r="BS768" s="26">
        <f t="shared" ca="1" si="151"/>
        <v>0.24229875343922957</v>
      </c>
      <c r="BT768" s="29">
        <v>0</v>
      </c>
      <c r="BV768" s="22">
        <v>45313</v>
      </c>
      <c r="BW768" s="26">
        <f t="shared" ca="1" si="152"/>
        <v>0.20846402945867881</v>
      </c>
      <c r="BX768" s="29">
        <v>0</v>
      </c>
    </row>
    <row r="769" spans="2:77" ht="12.75" x14ac:dyDescent="0.2">
      <c r="B769" s="22">
        <v>45314</v>
      </c>
      <c r="C769" s="26">
        <f t="shared" ca="1" si="135"/>
        <v>0.21200324796736203</v>
      </c>
      <c r="D769" s="29">
        <f t="shared" ca="1" si="134"/>
        <v>60</v>
      </c>
      <c r="F769" s="22"/>
      <c r="G769" s="26">
        <f t="shared" ca="1" si="136"/>
        <v>0.30132434517941042</v>
      </c>
      <c r="H769" s="29">
        <f t="shared" ca="1" si="154"/>
        <v>208</v>
      </c>
      <c r="J769" s="22">
        <v>45314</v>
      </c>
      <c r="K769" s="26">
        <f t="shared" ca="1" si="137"/>
        <v>0.98251141858239899</v>
      </c>
      <c r="L769" s="29">
        <f t="shared" ca="1" si="155"/>
        <v>172</v>
      </c>
      <c r="N769" s="22">
        <v>45314</v>
      </c>
      <c r="O769" s="26">
        <f t="shared" ca="1" si="138"/>
        <v>0.98309673276909826</v>
      </c>
      <c r="P769" s="29">
        <f t="shared" ca="1" si="156"/>
        <v>262</v>
      </c>
      <c r="R769" s="22">
        <v>45314</v>
      </c>
      <c r="S769" s="26">
        <f t="shared" ca="1" si="139"/>
        <v>0.95726757307461896</v>
      </c>
      <c r="T769" s="29">
        <f t="shared" ca="1" si="157"/>
        <v>155</v>
      </c>
      <c r="V769" s="22">
        <v>45314</v>
      </c>
      <c r="W769" s="26">
        <f t="shared" ca="1" si="140"/>
        <v>0.20702523661184868</v>
      </c>
      <c r="X769" s="29">
        <f t="shared" ca="1" si="158"/>
        <v>213</v>
      </c>
      <c r="Z769" s="22">
        <v>45314</v>
      </c>
      <c r="AA769" s="26">
        <f t="shared" ca="1" si="141"/>
        <v>0.61253258811403399</v>
      </c>
      <c r="AB769" s="29">
        <f t="shared" ca="1" si="159"/>
        <v>276</v>
      </c>
      <c r="AC769"/>
      <c r="AD769" s="25"/>
      <c r="AF769" s="22">
        <v>45314</v>
      </c>
      <c r="AG769" s="26">
        <f t="shared" ca="1" si="142"/>
        <v>0.91455985259265726</v>
      </c>
      <c r="AH769" s="29">
        <f t="shared" ca="1" si="160"/>
        <v>447</v>
      </c>
      <c r="AJ769" s="22">
        <v>45314</v>
      </c>
      <c r="AK769" s="26">
        <f t="shared" ca="1" si="143"/>
        <v>5.5293149770939687E-3</v>
      </c>
      <c r="AL769" s="29">
        <f t="shared" ca="1" si="161"/>
        <v>58</v>
      </c>
      <c r="AN769" s="22">
        <v>45314</v>
      </c>
      <c r="AO769" s="26">
        <f t="shared" ca="1" si="144"/>
        <v>0.1034781063199125</v>
      </c>
      <c r="AP769" s="29">
        <f t="shared" ca="1" si="162"/>
        <v>98</v>
      </c>
      <c r="AR769" s="22">
        <v>45314</v>
      </c>
      <c r="AS769" s="26">
        <f t="shared" ca="1" si="145"/>
        <v>0.91787059838802232</v>
      </c>
      <c r="AT769" s="29">
        <f t="shared" ca="1" si="163"/>
        <v>298</v>
      </c>
      <c r="AV769" s="22">
        <v>45314</v>
      </c>
      <c r="AW769" s="26">
        <f t="shared" ca="1" si="146"/>
        <v>0.62698151947364733</v>
      </c>
      <c r="AX769" s="29">
        <f t="shared" ca="1" si="164"/>
        <v>209</v>
      </c>
      <c r="AZ769" s="22">
        <v>45314</v>
      </c>
      <c r="BA769" s="26">
        <f t="shared" ca="1" si="147"/>
        <v>0.18873214537952143</v>
      </c>
      <c r="BB769" s="29">
        <f t="shared" ca="1" si="165"/>
        <v>138</v>
      </c>
      <c r="BC769"/>
      <c r="BD769" s="25"/>
      <c r="BF769" s="22">
        <v>45314</v>
      </c>
      <c r="BG769" s="26">
        <f t="shared" ca="1" si="148"/>
        <v>0.32500964946536703</v>
      </c>
      <c r="BH769" s="29">
        <f t="shared" ca="1" si="166"/>
        <v>141</v>
      </c>
      <c r="BJ769" s="22">
        <v>45314</v>
      </c>
      <c r="BK769" s="26">
        <f t="shared" ca="1" si="149"/>
        <v>0.72705682079180967</v>
      </c>
      <c r="BL769" s="29">
        <f t="shared" ca="1" si="167"/>
        <v>192</v>
      </c>
      <c r="BN769" s="22">
        <v>45314</v>
      </c>
      <c r="BO769" s="26">
        <f t="shared" ca="1" si="150"/>
        <v>0.70865134672701224</v>
      </c>
      <c r="BP769" s="29">
        <v>0</v>
      </c>
      <c r="BR769" s="22">
        <v>45314</v>
      </c>
      <c r="BS769" s="26">
        <f t="shared" ca="1" si="151"/>
        <v>0.37721945731033135</v>
      </c>
      <c r="BT769" s="29">
        <v>0</v>
      </c>
      <c r="BV769" s="22">
        <v>45314</v>
      </c>
      <c r="BW769" s="26">
        <f t="shared" ca="1" si="152"/>
        <v>0.43979959649950051</v>
      </c>
      <c r="BX769" s="29">
        <v>0</v>
      </c>
    </row>
    <row r="770" spans="2:77" ht="12.75" x14ac:dyDescent="0.2">
      <c r="B770" s="22">
        <v>45315</v>
      </c>
      <c r="C770" s="26">
        <f t="shared" ca="1" si="135"/>
        <v>0.55601721530197767</v>
      </c>
      <c r="D770" s="29">
        <f t="shared" ca="1" si="134"/>
        <v>78</v>
      </c>
      <c r="F770" s="22"/>
      <c r="G770" s="26">
        <f t="shared" ca="1" si="136"/>
        <v>0.76298221820948131</v>
      </c>
      <c r="H770" s="29">
        <f t="shared" ca="1" si="154"/>
        <v>226</v>
      </c>
      <c r="J770" s="22">
        <v>45315</v>
      </c>
      <c r="K770" s="26">
        <f t="shared" ca="1" si="137"/>
        <v>0.31076359635781536</v>
      </c>
      <c r="L770" s="29">
        <f t="shared" ca="1" si="155"/>
        <v>146</v>
      </c>
      <c r="N770" s="22">
        <v>45315</v>
      </c>
      <c r="O770" s="26">
        <f t="shared" ca="1" si="138"/>
        <v>0.80169829253353375</v>
      </c>
      <c r="P770" s="29">
        <f t="shared" ca="1" si="156"/>
        <v>243</v>
      </c>
      <c r="R770" s="22">
        <v>45315</v>
      </c>
      <c r="S770" s="26">
        <f t="shared" ca="1" si="139"/>
        <v>0.21161956449100772</v>
      </c>
      <c r="T770" s="29">
        <f t="shared" ca="1" si="157"/>
        <v>132</v>
      </c>
      <c r="V770" s="22">
        <v>45315</v>
      </c>
      <c r="W770" s="26">
        <f t="shared" ca="1" si="140"/>
        <v>0.9171777520824862</v>
      </c>
      <c r="X770" s="29">
        <f t="shared" ca="1" si="158"/>
        <v>246</v>
      </c>
      <c r="Z770" s="22">
        <v>45315</v>
      </c>
      <c r="AA770" s="26">
        <f t="shared" ca="1" si="141"/>
        <v>0.41135124483652719</v>
      </c>
      <c r="AB770" s="29">
        <f t="shared" ca="1" si="159"/>
        <v>266</v>
      </c>
      <c r="AC770"/>
      <c r="AD770" s="25"/>
      <c r="AF770" s="22">
        <v>45315</v>
      </c>
      <c r="AG770" s="26">
        <f t="shared" ca="1" si="142"/>
        <v>0.17852383602532984</v>
      </c>
      <c r="AH770" s="29">
        <f t="shared" ca="1" si="160"/>
        <v>247</v>
      </c>
      <c r="AJ770" s="22">
        <v>45315</v>
      </c>
      <c r="AK770" s="26">
        <f t="shared" ca="1" si="143"/>
        <v>0.98204462488503574</v>
      </c>
      <c r="AL770" s="29">
        <f t="shared" ca="1" si="161"/>
        <v>281</v>
      </c>
      <c r="AN770" s="22">
        <v>45315</v>
      </c>
      <c r="AO770" s="26">
        <f t="shared" ca="1" si="144"/>
        <v>0.35937816424312652</v>
      </c>
      <c r="AP770" s="29">
        <f t="shared" ca="1" si="162"/>
        <v>134</v>
      </c>
      <c r="AR770" s="22">
        <v>45315</v>
      </c>
      <c r="AS770" s="26">
        <f t="shared" ca="1" si="145"/>
        <v>0.43909996798638862</v>
      </c>
      <c r="AT770" s="29">
        <f t="shared" ca="1" si="163"/>
        <v>208</v>
      </c>
      <c r="AV770" s="22">
        <v>45315</v>
      </c>
      <c r="AW770" s="26">
        <f t="shared" ca="1" si="146"/>
        <v>0.91479885401391769</v>
      </c>
      <c r="AX770" s="29">
        <f t="shared" ca="1" si="164"/>
        <v>262</v>
      </c>
      <c r="AZ770" s="22">
        <v>45315</v>
      </c>
      <c r="BA770" s="26">
        <f t="shared" ca="1" si="147"/>
        <v>0.44802037244304094</v>
      </c>
      <c r="BB770" s="29">
        <f t="shared" ca="1" si="165"/>
        <v>174</v>
      </c>
      <c r="BC770"/>
      <c r="BD770" s="25"/>
      <c r="BF770" s="22">
        <v>45315</v>
      </c>
      <c r="BG770" s="26">
        <f t="shared" ca="1" si="148"/>
        <v>0.8088442021184562</v>
      </c>
      <c r="BH770" s="29">
        <f t="shared" ca="1" si="166"/>
        <v>197</v>
      </c>
      <c r="BJ770" s="22">
        <v>45315</v>
      </c>
      <c r="BK770" s="26">
        <f t="shared" ca="1" si="149"/>
        <v>0.56945604050083642</v>
      </c>
      <c r="BL770" s="29">
        <f t="shared" ca="1" si="167"/>
        <v>173</v>
      </c>
      <c r="BN770" s="22">
        <v>45315</v>
      </c>
      <c r="BO770" s="26">
        <f t="shared" ca="1" si="150"/>
        <v>0.73313566279022468</v>
      </c>
      <c r="BP770" s="29">
        <v>0</v>
      </c>
      <c r="BR770" s="22">
        <v>45315</v>
      </c>
      <c r="BS770" s="26">
        <f t="shared" ca="1" si="151"/>
        <v>0.11847650884436634</v>
      </c>
      <c r="BT770" s="29">
        <v>0</v>
      </c>
      <c r="BV770" s="22">
        <v>45315</v>
      </c>
      <c r="BW770" s="26">
        <f t="shared" ca="1" si="152"/>
        <v>9.7845248431366771E-2</v>
      </c>
      <c r="BX770" s="29">
        <v>0</v>
      </c>
    </row>
    <row r="771" spans="2:77" ht="12.75" x14ac:dyDescent="0.2">
      <c r="B771" s="22">
        <v>45316</v>
      </c>
      <c r="C771" s="26">
        <f t="shared" ca="1" si="135"/>
        <v>0.72006312630881275</v>
      </c>
      <c r="D771" s="29">
        <f t="shared" ca="1" si="134"/>
        <v>87</v>
      </c>
      <c r="F771" s="22"/>
      <c r="G771" s="26">
        <f t="shared" ca="1" si="136"/>
        <v>0.29354187710159296</v>
      </c>
      <c r="H771" s="29">
        <f t="shared" ca="1" si="154"/>
        <v>208</v>
      </c>
      <c r="J771" s="22">
        <v>45316</v>
      </c>
      <c r="K771" s="26">
        <f t="shared" ca="1" si="137"/>
        <v>0.64384998147803441</v>
      </c>
      <c r="L771" s="29">
        <f t="shared" ca="1" si="155"/>
        <v>154</v>
      </c>
      <c r="N771" s="22">
        <v>45316</v>
      </c>
      <c r="O771" s="26">
        <f t="shared" ca="1" si="138"/>
        <v>0.53975475891322322</v>
      </c>
      <c r="P771" s="29">
        <f t="shared" ca="1" si="156"/>
        <v>231</v>
      </c>
      <c r="R771" s="22">
        <v>45316</v>
      </c>
      <c r="S771" s="26">
        <f t="shared" ca="1" si="139"/>
        <v>0.11448897545848014</v>
      </c>
      <c r="T771" s="29">
        <f t="shared" ca="1" si="157"/>
        <v>128</v>
      </c>
      <c r="V771" s="22">
        <v>45316</v>
      </c>
      <c r="W771" s="26">
        <f t="shared" ca="1" si="140"/>
        <v>0.96300074531118429</v>
      </c>
      <c r="X771" s="29">
        <f t="shared" ca="1" si="158"/>
        <v>252</v>
      </c>
      <c r="Z771" s="22">
        <v>45316</v>
      </c>
      <c r="AA771" s="26">
        <f t="shared" ca="1" si="141"/>
        <v>0.37206055933237625</v>
      </c>
      <c r="AB771" s="29">
        <f t="shared" ca="1" si="159"/>
        <v>265</v>
      </c>
      <c r="AC771"/>
      <c r="AD771" s="25"/>
      <c r="AF771" s="22">
        <v>45316</v>
      </c>
      <c r="AG771" s="26">
        <f t="shared" ca="1" si="142"/>
        <v>0.44714461939050909</v>
      </c>
      <c r="AH771" s="29">
        <f t="shared" ca="1" si="160"/>
        <v>316</v>
      </c>
      <c r="AJ771" s="22">
        <v>45316</v>
      </c>
      <c r="AK771" s="26">
        <f t="shared" ca="1" si="143"/>
        <v>0.89750557106313922</v>
      </c>
      <c r="AL771" s="29">
        <f t="shared" ca="1" si="161"/>
        <v>241</v>
      </c>
      <c r="AN771" s="22">
        <v>45316</v>
      </c>
      <c r="AO771" s="26">
        <f t="shared" ca="1" si="144"/>
        <v>0.9369188108761608</v>
      </c>
      <c r="AP771" s="29">
        <f t="shared" ca="1" si="162"/>
        <v>208</v>
      </c>
      <c r="AR771" s="22">
        <v>45316</v>
      </c>
      <c r="AS771" s="26">
        <f t="shared" ca="1" si="145"/>
        <v>0.15565161657890869</v>
      </c>
      <c r="AT771" s="29">
        <f t="shared" ca="1" si="163"/>
        <v>159</v>
      </c>
      <c r="AV771" s="22">
        <v>45316</v>
      </c>
      <c r="AW771" s="26">
        <f t="shared" ca="1" si="146"/>
        <v>0.61815252216621852</v>
      </c>
      <c r="AX771" s="29">
        <f t="shared" ca="1" si="164"/>
        <v>208</v>
      </c>
      <c r="AZ771" s="22">
        <v>45316</v>
      </c>
      <c r="BA771" s="26">
        <f t="shared" ca="1" si="147"/>
        <v>5.8828725403726745E-3</v>
      </c>
      <c r="BB771" s="29">
        <f t="shared" ca="1" si="165"/>
        <v>60</v>
      </c>
      <c r="BC771"/>
      <c r="BD771" s="25"/>
      <c r="BF771" s="22">
        <v>45316</v>
      </c>
      <c r="BG771" s="26">
        <f t="shared" ca="1" si="148"/>
        <v>0.1418591863700206</v>
      </c>
      <c r="BH771" s="29">
        <f t="shared" ca="1" si="166"/>
        <v>114</v>
      </c>
      <c r="BJ771" s="22">
        <v>45316</v>
      </c>
      <c r="BK771" s="26">
        <f t="shared" ca="1" si="149"/>
        <v>0.81721173015035864</v>
      </c>
      <c r="BL771" s="29">
        <f t="shared" ca="1" si="167"/>
        <v>205</v>
      </c>
      <c r="BN771" s="22">
        <v>45316</v>
      </c>
      <c r="BO771" s="26">
        <f t="shared" ca="1" si="150"/>
        <v>0.58278709388163008</v>
      </c>
      <c r="BP771" s="29">
        <v>0</v>
      </c>
      <c r="BR771" s="22">
        <v>45316</v>
      </c>
      <c r="BS771" s="26">
        <f t="shared" ca="1" si="151"/>
        <v>0.70322298499184854</v>
      </c>
      <c r="BT771" s="29">
        <v>0</v>
      </c>
      <c r="BV771" s="22">
        <v>45316</v>
      </c>
      <c r="BW771" s="26">
        <f t="shared" ca="1" si="152"/>
        <v>0.32136777153699636</v>
      </c>
      <c r="BX771" s="29">
        <v>0</v>
      </c>
    </row>
    <row r="772" spans="2:77" ht="12.75" x14ac:dyDescent="0.2">
      <c r="B772" s="22">
        <v>45317</v>
      </c>
      <c r="C772" s="26">
        <f t="shared" ca="1" si="135"/>
        <v>0.62608256057389999</v>
      </c>
      <c r="D772" s="29">
        <f t="shared" ca="1" si="134"/>
        <v>82</v>
      </c>
      <c r="F772" s="22"/>
      <c r="G772" s="26">
        <f t="shared" ca="1" si="136"/>
        <v>0.57614981537664856</v>
      </c>
      <c r="H772" s="29">
        <f t="shared" ca="1" si="154"/>
        <v>219</v>
      </c>
      <c r="J772" s="22">
        <v>45317</v>
      </c>
      <c r="K772" s="26">
        <f t="shared" ca="1" si="137"/>
        <v>0.94756848536695026</v>
      </c>
      <c r="L772" s="29">
        <f t="shared" ca="1" si="155"/>
        <v>167</v>
      </c>
      <c r="N772" s="22">
        <v>45317</v>
      </c>
      <c r="O772" s="26">
        <f t="shared" ca="1" si="138"/>
        <v>0.79338735014892092</v>
      </c>
      <c r="P772" s="29">
        <f t="shared" ca="1" si="156"/>
        <v>242</v>
      </c>
      <c r="R772" s="22">
        <v>45317</v>
      </c>
      <c r="S772" s="26">
        <f t="shared" ca="1" si="139"/>
        <v>0.38274988624545458</v>
      </c>
      <c r="T772" s="29">
        <f t="shared" ca="1" si="157"/>
        <v>136</v>
      </c>
      <c r="V772" s="22">
        <v>45317</v>
      </c>
      <c r="W772" s="26">
        <f t="shared" ca="1" si="140"/>
        <v>0.75359654338681414</v>
      </c>
      <c r="X772" s="29">
        <f t="shared" ca="1" si="158"/>
        <v>236</v>
      </c>
      <c r="Z772" s="22">
        <v>45317</v>
      </c>
      <c r="AA772" s="26">
        <f t="shared" ca="1" si="141"/>
        <v>0.62624615328189659</v>
      </c>
      <c r="AB772" s="29">
        <f t="shared" ca="1" si="159"/>
        <v>276</v>
      </c>
      <c r="AC772"/>
      <c r="AD772" s="25"/>
      <c r="AF772" s="22">
        <v>45317</v>
      </c>
      <c r="AG772" s="26">
        <f t="shared" ca="1" si="142"/>
        <v>0.46570013222499795</v>
      </c>
      <c r="AH772" s="29">
        <f t="shared" ca="1" si="160"/>
        <v>320</v>
      </c>
      <c r="AJ772" s="22">
        <v>45317</v>
      </c>
      <c r="AK772" s="26">
        <f t="shared" ca="1" si="143"/>
        <v>0.45296982137175956</v>
      </c>
      <c r="AL772" s="29">
        <f t="shared" ca="1" si="161"/>
        <v>175</v>
      </c>
      <c r="AN772" s="22">
        <v>45317</v>
      </c>
      <c r="AO772" s="26">
        <f t="shared" ca="1" si="144"/>
        <v>0.36087017497000085</v>
      </c>
      <c r="AP772" s="29">
        <f t="shared" ca="1" si="162"/>
        <v>134</v>
      </c>
      <c r="AR772" s="22">
        <v>45317</v>
      </c>
      <c r="AS772" s="26">
        <f t="shared" ca="1" si="145"/>
        <v>0.30847706459275004</v>
      </c>
      <c r="AT772" s="29">
        <f t="shared" ca="1" si="163"/>
        <v>188</v>
      </c>
      <c r="AV772" s="22">
        <v>45317</v>
      </c>
      <c r="AW772" s="26">
        <f t="shared" ca="1" si="146"/>
        <v>0.37531235522310058</v>
      </c>
      <c r="AX772" s="29">
        <f t="shared" ca="1" si="164"/>
        <v>176</v>
      </c>
      <c r="AZ772" s="22">
        <v>45317</v>
      </c>
      <c r="BA772" s="26">
        <f t="shared" ca="1" si="147"/>
        <v>0.56634011763853098</v>
      </c>
      <c r="BB772" s="29">
        <f t="shared" ca="1" si="165"/>
        <v>188</v>
      </c>
      <c r="BC772"/>
      <c r="BD772" s="25"/>
      <c r="BF772" s="22">
        <v>45317</v>
      </c>
      <c r="BG772" s="26">
        <f t="shared" ca="1" si="148"/>
        <v>0.6733767492390863</v>
      </c>
      <c r="BH772" s="29">
        <f t="shared" ca="1" si="166"/>
        <v>179</v>
      </c>
      <c r="BJ772" s="22">
        <v>45317</v>
      </c>
      <c r="BK772" s="26">
        <f t="shared" ca="1" si="149"/>
        <v>0.34046379409153715</v>
      </c>
      <c r="BL772" s="29">
        <f t="shared" ca="1" si="167"/>
        <v>147</v>
      </c>
      <c r="BN772" s="22">
        <v>45317</v>
      </c>
      <c r="BO772" s="26">
        <f t="shared" ca="1" si="150"/>
        <v>0.95280483778603642</v>
      </c>
      <c r="BP772" s="29">
        <v>0</v>
      </c>
      <c r="BR772" s="22">
        <v>45317</v>
      </c>
      <c r="BS772" s="26">
        <f t="shared" ca="1" si="151"/>
        <v>0.5009419189111437</v>
      </c>
      <c r="BT772" s="29">
        <v>0</v>
      </c>
      <c r="BV772" s="22">
        <v>45317</v>
      </c>
      <c r="BW772" s="26">
        <f t="shared" ca="1" si="152"/>
        <v>0.79070267111616943</v>
      </c>
      <c r="BX772" s="29">
        <v>0</v>
      </c>
    </row>
    <row r="773" spans="2:77" ht="12.75" x14ac:dyDescent="0.2">
      <c r="B773" s="22">
        <v>45318</v>
      </c>
      <c r="C773" s="26">
        <f t="shared" ca="1" si="135"/>
        <v>0.69947370738907988</v>
      </c>
      <c r="D773" s="29">
        <f t="shared" ca="1" si="134"/>
        <v>86</v>
      </c>
      <c r="F773" s="22"/>
      <c r="G773" s="26">
        <f t="shared" ca="1" si="136"/>
        <v>0.75574116422517257</v>
      </c>
      <c r="H773" s="29">
        <f t="shared" ca="1" si="154"/>
        <v>226</v>
      </c>
      <c r="J773" s="22">
        <v>45318</v>
      </c>
      <c r="K773" s="26">
        <f t="shared" ca="1" si="137"/>
        <v>0.85915306473109831</v>
      </c>
      <c r="L773" s="29">
        <f t="shared" ca="1" si="155"/>
        <v>161</v>
      </c>
      <c r="N773" s="22">
        <v>45318</v>
      </c>
      <c r="O773" s="26">
        <f t="shared" ca="1" si="138"/>
        <v>0.95621710970021379</v>
      </c>
      <c r="P773" s="29">
        <f t="shared" ca="1" si="156"/>
        <v>256</v>
      </c>
      <c r="R773" s="22">
        <v>45318</v>
      </c>
      <c r="S773" s="26">
        <f t="shared" ca="1" si="139"/>
        <v>0.32388472165892535</v>
      </c>
      <c r="T773" s="29">
        <f t="shared" ca="1" si="157"/>
        <v>135</v>
      </c>
      <c r="V773" s="22">
        <v>45318</v>
      </c>
      <c r="W773" s="26">
        <f t="shared" ca="1" si="140"/>
        <v>0.51982676960153129</v>
      </c>
      <c r="X773" s="29">
        <f t="shared" ca="1" si="158"/>
        <v>226</v>
      </c>
      <c r="Z773" s="22">
        <v>45318</v>
      </c>
      <c r="AA773" s="26">
        <f t="shared" ca="1" si="141"/>
        <v>0.24623828051574181</v>
      </c>
      <c r="AB773" s="29">
        <f t="shared" ca="1" si="159"/>
        <v>258</v>
      </c>
      <c r="AC773"/>
      <c r="AD773" s="25"/>
      <c r="AF773" s="22">
        <v>45318</v>
      </c>
      <c r="AG773" s="26">
        <f t="shared" ca="1" si="142"/>
        <v>0.30661603017387906</v>
      </c>
      <c r="AH773" s="29">
        <f t="shared" ca="1" si="160"/>
        <v>283</v>
      </c>
      <c r="AJ773" s="22">
        <v>45318</v>
      </c>
      <c r="AK773" s="26">
        <f t="shared" ca="1" si="143"/>
        <v>0.52725503770035698</v>
      </c>
      <c r="AL773" s="29">
        <f t="shared" ca="1" si="161"/>
        <v>184</v>
      </c>
      <c r="AN773" s="22">
        <v>45318</v>
      </c>
      <c r="AO773" s="26">
        <f t="shared" ca="1" si="144"/>
        <v>0.36140717438054115</v>
      </c>
      <c r="AP773" s="29">
        <f t="shared" ca="1" si="162"/>
        <v>134</v>
      </c>
      <c r="AR773" s="22">
        <v>45318</v>
      </c>
      <c r="AS773" s="26">
        <f t="shared" ca="1" si="145"/>
        <v>0.22417816767077048</v>
      </c>
      <c r="AT773" s="29">
        <f t="shared" ca="1" si="163"/>
        <v>173</v>
      </c>
      <c r="AV773" s="22">
        <v>45318</v>
      </c>
      <c r="AW773" s="26">
        <f t="shared" ca="1" si="146"/>
        <v>0.37010427208400509</v>
      </c>
      <c r="AX773" s="29">
        <f t="shared" ca="1" si="164"/>
        <v>175</v>
      </c>
      <c r="AZ773" s="22">
        <v>45318</v>
      </c>
      <c r="BA773" s="26">
        <f t="shared" ca="1" si="147"/>
        <v>0.61339763288092486</v>
      </c>
      <c r="BB773" s="29">
        <f t="shared" ca="1" si="165"/>
        <v>194</v>
      </c>
      <c r="BC773"/>
      <c r="BD773" s="25"/>
      <c r="BF773" s="22">
        <v>45318</v>
      </c>
      <c r="BG773" s="26">
        <f t="shared" ca="1" si="148"/>
        <v>0.88210647270773213</v>
      </c>
      <c r="BH773" s="29">
        <f t="shared" ca="1" si="166"/>
        <v>211</v>
      </c>
      <c r="BJ773" s="22">
        <v>45318</v>
      </c>
      <c r="BK773" s="26">
        <f t="shared" ca="1" si="149"/>
        <v>0.46687723503386258</v>
      </c>
      <c r="BL773" s="29">
        <f t="shared" ca="1" si="167"/>
        <v>161</v>
      </c>
      <c r="BN773" s="22">
        <v>45318</v>
      </c>
      <c r="BO773" s="26">
        <f t="shared" ca="1" si="150"/>
        <v>0.9030536882976844</v>
      </c>
      <c r="BP773" s="29">
        <v>0</v>
      </c>
      <c r="BR773" s="22">
        <v>45318</v>
      </c>
      <c r="BS773" s="26">
        <f t="shared" ca="1" si="151"/>
        <v>0.94043300350698988</v>
      </c>
      <c r="BT773" s="29">
        <v>0</v>
      </c>
      <c r="BV773" s="22">
        <v>45318</v>
      </c>
      <c r="BW773" s="26">
        <f t="shared" ca="1" si="152"/>
        <v>0.17289824436712165</v>
      </c>
      <c r="BX773" s="29">
        <v>0</v>
      </c>
    </row>
    <row r="774" spans="2:77" ht="12.75" x14ac:dyDescent="0.2">
      <c r="B774" s="22">
        <v>45319</v>
      </c>
      <c r="C774" s="26">
        <f t="shared" ca="1" si="135"/>
        <v>0.32804930854048164</v>
      </c>
      <c r="D774" s="29">
        <f t="shared" ca="1" si="134"/>
        <v>67</v>
      </c>
      <c r="F774" s="22"/>
      <c r="G774" s="26">
        <f t="shared" ca="1" si="136"/>
        <v>0.9803848586512709</v>
      </c>
      <c r="H774" s="29">
        <f t="shared" ca="1" si="154"/>
        <v>246</v>
      </c>
      <c r="J774" s="22">
        <v>45319</v>
      </c>
      <c r="K774" s="26">
        <f t="shared" ca="1" si="137"/>
        <v>0.1935938502171447</v>
      </c>
      <c r="L774" s="29">
        <f t="shared" ca="1" si="155"/>
        <v>142</v>
      </c>
      <c r="N774" s="22">
        <v>45319</v>
      </c>
      <c r="O774" s="26">
        <f t="shared" ca="1" si="138"/>
        <v>7.8871004025349079E-2</v>
      </c>
      <c r="P774" s="29">
        <f t="shared" ca="1" si="156"/>
        <v>208</v>
      </c>
      <c r="R774" s="22">
        <v>45319</v>
      </c>
      <c r="S774" s="26">
        <f t="shared" ca="1" si="139"/>
        <v>0.14165942483798422</v>
      </c>
      <c r="T774" s="29">
        <f t="shared" ca="1" si="157"/>
        <v>129</v>
      </c>
      <c r="V774" s="22">
        <v>45319</v>
      </c>
      <c r="W774" s="26">
        <f t="shared" ca="1" si="140"/>
        <v>0.14710636778799691</v>
      </c>
      <c r="X774" s="29">
        <f t="shared" ca="1" si="158"/>
        <v>210</v>
      </c>
      <c r="Z774" s="22">
        <v>45319</v>
      </c>
      <c r="AA774" s="26">
        <f t="shared" ca="1" si="141"/>
        <v>0.36858163083990558</v>
      </c>
      <c r="AB774" s="29">
        <f t="shared" ca="1" si="159"/>
        <v>264</v>
      </c>
      <c r="AC774"/>
      <c r="AD774" s="25"/>
      <c r="AF774" s="22">
        <v>45319</v>
      </c>
      <c r="AG774" s="26">
        <f t="shared" ca="1" si="142"/>
        <v>0.88907443380621287</v>
      </c>
      <c r="AH774" s="29">
        <f t="shared" ca="1" si="160"/>
        <v>434</v>
      </c>
      <c r="AJ774" s="22">
        <v>45319</v>
      </c>
      <c r="AK774" s="26">
        <f t="shared" ca="1" si="143"/>
        <v>0.22500078277625746</v>
      </c>
      <c r="AL774" s="29">
        <f t="shared" ca="1" si="161"/>
        <v>144</v>
      </c>
      <c r="AN774" s="22">
        <v>45319</v>
      </c>
      <c r="AO774" s="26">
        <f t="shared" ca="1" si="144"/>
        <v>0.46663320201266256</v>
      </c>
      <c r="AP774" s="29">
        <f t="shared" ca="1" si="162"/>
        <v>144</v>
      </c>
      <c r="AR774" s="22">
        <v>45319</v>
      </c>
      <c r="AS774" s="26">
        <f t="shared" ca="1" si="145"/>
        <v>0.64236392152937571</v>
      </c>
      <c r="AT774" s="29">
        <f t="shared" ca="1" si="163"/>
        <v>238</v>
      </c>
      <c r="AV774" s="22">
        <v>45319</v>
      </c>
      <c r="AW774" s="26">
        <f t="shared" ca="1" si="146"/>
        <v>0.6056702645047477</v>
      </c>
      <c r="AX774" s="29">
        <f t="shared" ca="1" si="164"/>
        <v>206</v>
      </c>
      <c r="AZ774" s="22">
        <v>45319</v>
      </c>
      <c r="BA774" s="26">
        <f t="shared" ca="1" si="147"/>
        <v>0.57404508087304729</v>
      </c>
      <c r="BB774" s="29">
        <f t="shared" ca="1" si="165"/>
        <v>189</v>
      </c>
      <c r="BC774"/>
      <c r="BD774" s="25"/>
      <c r="BF774" s="22">
        <v>45319</v>
      </c>
      <c r="BG774" s="26">
        <f t="shared" ca="1" si="148"/>
        <v>0.31257229191877312</v>
      </c>
      <c r="BH774" s="29">
        <f t="shared" ca="1" si="166"/>
        <v>139</v>
      </c>
      <c r="BJ774" s="22">
        <v>45319</v>
      </c>
      <c r="BK774" s="26">
        <f t="shared" ca="1" si="149"/>
        <v>0.92549972939053393</v>
      </c>
      <c r="BL774" s="29">
        <f t="shared" ca="1" si="167"/>
        <v>228</v>
      </c>
      <c r="BN774" s="22">
        <v>45319</v>
      </c>
      <c r="BO774" s="26">
        <f t="shared" ca="1" si="150"/>
        <v>0.16736883717289441</v>
      </c>
      <c r="BP774" s="29">
        <v>0</v>
      </c>
      <c r="BR774" s="22">
        <v>45319</v>
      </c>
      <c r="BS774" s="26">
        <f t="shared" ca="1" si="151"/>
        <v>0.70103068881767672</v>
      </c>
      <c r="BT774" s="29">
        <v>0</v>
      </c>
      <c r="BV774" s="22">
        <v>45319</v>
      </c>
      <c r="BW774" s="26">
        <f t="shared" ca="1" si="152"/>
        <v>0.53490066586555696</v>
      </c>
      <c r="BX774" s="29">
        <v>0</v>
      </c>
    </row>
    <row r="775" spans="2:77" ht="12.75" x14ac:dyDescent="0.2">
      <c r="B775" s="22">
        <v>45320</v>
      </c>
      <c r="C775" s="26">
        <f t="shared" ca="1" si="135"/>
        <v>0.56412018595170355</v>
      </c>
      <c r="D775" s="29">
        <f t="shared" ca="1" si="134"/>
        <v>79</v>
      </c>
      <c r="F775" s="22"/>
      <c r="G775" s="26">
        <f t="shared" ca="1" si="136"/>
        <v>0.54756170718355734</v>
      </c>
      <c r="H775" s="29">
        <f t="shared" ca="1" si="154"/>
        <v>218</v>
      </c>
      <c r="J775" s="22">
        <v>45320</v>
      </c>
      <c r="K775" s="26">
        <f t="shared" ca="1" si="137"/>
        <v>0.53235860795909407</v>
      </c>
      <c r="L775" s="29">
        <f t="shared" ca="1" si="155"/>
        <v>151</v>
      </c>
      <c r="N775" s="22">
        <v>45320</v>
      </c>
      <c r="O775" s="26">
        <f t="shared" ca="1" si="138"/>
        <v>0.1711991909023014</v>
      </c>
      <c r="P775" s="29">
        <f t="shared" ca="1" si="156"/>
        <v>215</v>
      </c>
      <c r="R775" s="22">
        <v>45320</v>
      </c>
      <c r="S775" s="26">
        <f t="shared" ca="1" si="139"/>
        <v>0.6819305772912323</v>
      </c>
      <c r="T775" s="29">
        <f t="shared" ca="1" si="157"/>
        <v>144</v>
      </c>
      <c r="V775" s="22">
        <v>45320</v>
      </c>
      <c r="W775" s="26">
        <f t="shared" ca="1" si="140"/>
        <v>0.70642862113482552</v>
      </c>
      <c r="X775" s="29">
        <f t="shared" ca="1" si="158"/>
        <v>234</v>
      </c>
      <c r="Z775" s="22">
        <v>45320</v>
      </c>
      <c r="AA775" s="26">
        <f t="shared" ca="1" si="141"/>
        <v>0.17025365771513723</v>
      </c>
      <c r="AB775" s="29">
        <f t="shared" ca="1" si="159"/>
        <v>253</v>
      </c>
      <c r="AC775"/>
      <c r="AD775" s="25"/>
      <c r="AF775" s="22">
        <v>45320</v>
      </c>
      <c r="AG775" s="26">
        <f t="shared" ca="1" si="142"/>
        <v>9.7219826952305799E-2</v>
      </c>
      <c r="AH775" s="29">
        <f t="shared" ca="1" si="160"/>
        <v>214</v>
      </c>
      <c r="AJ775" s="22">
        <v>45320</v>
      </c>
      <c r="AK775" s="26">
        <f t="shared" ca="1" si="143"/>
        <v>0.74329088656645603</v>
      </c>
      <c r="AL775" s="29">
        <f t="shared" ca="1" si="161"/>
        <v>212</v>
      </c>
      <c r="AN775" s="22">
        <v>45320</v>
      </c>
      <c r="AO775" s="26">
        <f t="shared" ca="1" si="144"/>
        <v>0.58273464462576785</v>
      </c>
      <c r="AP775" s="29">
        <f t="shared" ca="1" si="162"/>
        <v>156</v>
      </c>
      <c r="AR775" s="22">
        <v>45320</v>
      </c>
      <c r="AS775" s="26">
        <f t="shared" ca="1" si="145"/>
        <v>0.81480976630882185</v>
      </c>
      <c r="AT775" s="29">
        <f t="shared" ca="1" si="163"/>
        <v>269</v>
      </c>
      <c r="AV775" s="22">
        <v>45320</v>
      </c>
      <c r="AW775" s="26">
        <f t="shared" ca="1" si="146"/>
        <v>0.29155513868725869</v>
      </c>
      <c r="AX775" s="29">
        <f t="shared" ca="1" si="164"/>
        <v>164</v>
      </c>
      <c r="AZ775" s="22">
        <v>45320</v>
      </c>
      <c r="BA775" s="26">
        <f t="shared" ca="1" si="147"/>
        <v>0.16387735393155067</v>
      </c>
      <c r="BB775" s="29">
        <f t="shared" ca="1" si="165"/>
        <v>133</v>
      </c>
      <c r="BC775"/>
      <c r="BD775" s="25"/>
      <c r="BF775" s="22">
        <v>45320</v>
      </c>
      <c r="BG775" s="26">
        <f t="shared" ca="1" si="148"/>
        <v>0.19066098238191365</v>
      </c>
      <c r="BH775" s="29">
        <f t="shared" ca="1" si="166"/>
        <v>123</v>
      </c>
      <c r="BJ775" s="22">
        <v>45320</v>
      </c>
      <c r="BK775" s="26">
        <f t="shared" ca="1" si="149"/>
        <v>0.25188977534689183</v>
      </c>
      <c r="BL775" s="29">
        <f t="shared" ca="1" si="167"/>
        <v>136</v>
      </c>
      <c r="BN775" s="22">
        <v>45320</v>
      </c>
      <c r="BO775" s="26">
        <f t="shared" ca="1" si="150"/>
        <v>0.45337328910805141</v>
      </c>
      <c r="BP775" s="29">
        <v>0</v>
      </c>
      <c r="BR775" s="22">
        <v>45320</v>
      </c>
      <c r="BS775" s="26">
        <f t="shared" ca="1" si="151"/>
        <v>0.31710905858609639</v>
      </c>
      <c r="BT775" s="29">
        <v>0</v>
      </c>
      <c r="BV775" s="22">
        <v>45320</v>
      </c>
      <c r="BW775" s="26">
        <f t="shared" ca="1" si="152"/>
        <v>0.86533182330469272</v>
      </c>
      <c r="BX775" s="29">
        <v>0</v>
      </c>
    </row>
    <row r="776" spans="2:77" ht="12.75" x14ac:dyDescent="0.2">
      <c r="B776" s="22">
        <v>45321</v>
      </c>
      <c r="C776" s="26">
        <f t="shared" ca="1" si="135"/>
        <v>0.37490404400507282</v>
      </c>
      <c r="D776" s="29">
        <f t="shared" ca="1" si="134"/>
        <v>69</v>
      </c>
      <c r="F776" s="22"/>
      <c r="G776" s="26">
        <f t="shared" ca="1" si="136"/>
        <v>0.1845588829562288</v>
      </c>
      <c r="H776" s="29">
        <f t="shared" ca="1" si="154"/>
        <v>203</v>
      </c>
      <c r="J776" s="22">
        <v>45321</v>
      </c>
      <c r="K776" s="26">
        <f t="shared" ca="1" si="137"/>
        <v>0.89043423932550558</v>
      </c>
      <c r="L776" s="29">
        <f t="shared" ca="1" si="155"/>
        <v>163</v>
      </c>
      <c r="N776" s="22">
        <v>45321</v>
      </c>
      <c r="O776" s="26">
        <f t="shared" ca="1" si="138"/>
        <v>0.11244632631795215</v>
      </c>
      <c r="P776" s="29">
        <f t="shared" ca="1" si="156"/>
        <v>211</v>
      </c>
      <c r="R776" s="22">
        <v>45321</v>
      </c>
      <c r="S776" s="26">
        <f t="shared" ca="1" si="139"/>
        <v>0.31581955899191527</v>
      </c>
      <c r="T776" s="29">
        <f t="shared" ca="1" si="157"/>
        <v>135</v>
      </c>
      <c r="V776" s="22">
        <v>45321</v>
      </c>
      <c r="W776" s="26">
        <f t="shared" ca="1" si="140"/>
        <v>0.52312258715379145</v>
      </c>
      <c r="X776" s="29">
        <f t="shared" ca="1" si="158"/>
        <v>226</v>
      </c>
      <c r="Z776" s="22">
        <v>45321</v>
      </c>
      <c r="AA776" s="26">
        <f t="shared" ca="1" si="141"/>
        <v>0.69441929184507645</v>
      </c>
      <c r="AB776" s="29">
        <f t="shared" ca="1" si="159"/>
        <v>280</v>
      </c>
      <c r="AC776"/>
      <c r="AD776" s="25"/>
      <c r="AF776" s="22">
        <v>45321</v>
      </c>
      <c r="AG776" s="26">
        <f t="shared" ca="1" si="142"/>
        <v>0.23948085660654228</v>
      </c>
      <c r="AH776" s="29">
        <f t="shared" ca="1" si="160"/>
        <v>266</v>
      </c>
      <c r="AJ776" s="22">
        <v>45321</v>
      </c>
      <c r="AK776" s="26">
        <f t="shared" ca="1" si="143"/>
        <v>1.3901081901042556E-2</v>
      </c>
      <c r="AL776" s="29">
        <f t="shared" ca="1" si="161"/>
        <v>75</v>
      </c>
      <c r="AN776" s="22">
        <v>45321</v>
      </c>
      <c r="AO776" s="26">
        <f t="shared" ca="1" si="144"/>
        <v>0.68662885949625796</v>
      </c>
      <c r="AP776" s="29">
        <f t="shared" ca="1" si="162"/>
        <v>167</v>
      </c>
      <c r="AR776" s="22">
        <v>45321</v>
      </c>
      <c r="AS776" s="26">
        <f t="shared" ca="1" si="145"/>
        <v>0.69297049658901788</v>
      </c>
      <c r="AT776" s="29">
        <f t="shared" ca="1" si="163"/>
        <v>246</v>
      </c>
      <c r="AV776" s="22">
        <v>45321</v>
      </c>
      <c r="AW776" s="26">
        <f t="shared" ca="1" si="146"/>
        <v>0.50744902283715088</v>
      </c>
      <c r="AX776" s="29">
        <f t="shared" ca="1" si="164"/>
        <v>193</v>
      </c>
      <c r="AZ776" s="22">
        <v>45321</v>
      </c>
      <c r="BA776" s="26">
        <f t="shared" ca="1" si="147"/>
        <v>0.22739636279348319</v>
      </c>
      <c r="BB776" s="29">
        <f t="shared" ca="1" si="165"/>
        <v>145</v>
      </c>
      <c r="BC776"/>
      <c r="BD776" s="25"/>
      <c r="BF776" s="22">
        <v>45321</v>
      </c>
      <c r="BG776" s="26">
        <f t="shared" ca="1" si="148"/>
        <v>0.72172437800025702</v>
      </c>
      <c r="BH776" s="29">
        <f t="shared" ca="1" si="166"/>
        <v>185</v>
      </c>
      <c r="BJ776" s="22">
        <v>45321</v>
      </c>
      <c r="BK776" s="26">
        <f t="shared" ca="1" si="149"/>
        <v>0.69096536013886878</v>
      </c>
      <c r="BL776" s="29">
        <f t="shared" ca="1" si="167"/>
        <v>187</v>
      </c>
      <c r="BN776" s="22">
        <v>45321</v>
      </c>
      <c r="BO776" s="26">
        <f t="shared" ca="1" si="150"/>
        <v>0.39490775110868637</v>
      </c>
      <c r="BP776" s="29">
        <v>0</v>
      </c>
      <c r="BR776" s="22">
        <v>45321</v>
      </c>
      <c r="BS776" s="26">
        <f t="shared" ca="1" si="151"/>
        <v>7.0826606168682082E-2</v>
      </c>
      <c r="BT776" s="29">
        <v>0</v>
      </c>
      <c r="BV776" s="22">
        <v>45321</v>
      </c>
      <c r="BW776" s="26">
        <f t="shared" ca="1" si="152"/>
        <v>6.6063622416941858E-2</v>
      </c>
      <c r="BX776" s="29">
        <v>0</v>
      </c>
    </row>
    <row r="777" spans="2:77" ht="12.75" x14ac:dyDescent="0.2">
      <c r="B777" s="22">
        <v>45322</v>
      </c>
      <c r="C777" s="26">
        <f t="shared" ca="1" si="135"/>
        <v>0.44737593174485824</v>
      </c>
      <c r="D777" s="29">
        <f t="shared" ca="1" si="134"/>
        <v>73</v>
      </c>
      <c r="E777">
        <v>2010</v>
      </c>
      <c r="F777" s="22"/>
      <c r="G777" s="26">
        <f t="shared" ca="1" si="136"/>
        <v>0.51876865497768199</v>
      </c>
      <c r="H777" s="29">
        <f t="shared" ca="1" si="154"/>
        <v>217</v>
      </c>
      <c r="I777">
        <v>3303</v>
      </c>
      <c r="J777" s="22">
        <v>45322</v>
      </c>
      <c r="K777" s="26">
        <f t="shared" ca="1" si="137"/>
        <v>0.91346161673419601</v>
      </c>
      <c r="L777" s="29">
        <f t="shared" ca="1" si="155"/>
        <v>164</v>
      </c>
      <c r="M777">
        <v>4194</v>
      </c>
      <c r="N777" s="22">
        <v>45322</v>
      </c>
      <c r="O777" s="26">
        <f t="shared" ca="1" si="138"/>
        <v>0.21040989542871791</v>
      </c>
      <c r="P777" s="29">
        <f t="shared" ca="1" si="156"/>
        <v>218</v>
      </c>
      <c r="Q777">
        <v>6572</v>
      </c>
      <c r="R777" s="22">
        <v>45322</v>
      </c>
      <c r="S777" s="26">
        <f t="shared" ca="1" si="139"/>
        <v>0.67157512409497344</v>
      </c>
      <c r="T777" s="29">
        <f t="shared" ca="1" si="157"/>
        <v>143</v>
      </c>
      <c r="U777">
        <v>3829</v>
      </c>
      <c r="V777" s="22">
        <v>45322</v>
      </c>
      <c r="W777" s="26">
        <f t="shared" ca="1" si="140"/>
        <v>0.44598403269850229</v>
      </c>
      <c r="X777" s="29">
        <f t="shared" ca="1" si="158"/>
        <v>223</v>
      </c>
      <c r="Y777">
        <v>6183</v>
      </c>
      <c r="Z777" s="22">
        <v>45322</v>
      </c>
      <c r="AA777" s="26">
        <f t="shared" ca="1" si="141"/>
        <v>0.36727240928125826</v>
      </c>
      <c r="AB777" s="29">
        <f t="shared" ca="1" si="159"/>
        <v>264</v>
      </c>
      <c r="AC777">
        <v>7735</v>
      </c>
      <c r="AD777" s="25"/>
      <c r="AF777" s="22">
        <v>45322</v>
      </c>
      <c r="AG777" s="26">
        <f t="shared" ca="1" si="142"/>
        <v>0.34509694305736116</v>
      </c>
      <c r="AH777" s="29">
        <f t="shared" ca="1" si="160"/>
        <v>293</v>
      </c>
      <c r="AI777">
        <v>8981</v>
      </c>
      <c r="AJ777" s="22">
        <v>45322</v>
      </c>
      <c r="AK777" s="26">
        <f t="shared" ca="1" si="143"/>
        <v>0.21012182012351333</v>
      </c>
      <c r="AL777" s="29">
        <f t="shared" ca="1" si="161"/>
        <v>142</v>
      </c>
      <c r="AM777">
        <v>4882</v>
      </c>
      <c r="AN777" s="22">
        <v>45322</v>
      </c>
      <c r="AO777" s="26">
        <f t="shared" ca="1" si="144"/>
        <v>0.9378140069527835</v>
      </c>
      <c r="AP777" s="29">
        <f t="shared" ca="1" si="162"/>
        <v>208</v>
      </c>
      <c r="AQ777">
        <v>3968</v>
      </c>
      <c r="AR777" s="22">
        <v>45322</v>
      </c>
      <c r="AS777" s="26">
        <f t="shared" ca="1" si="145"/>
        <v>0.55467399887970759</v>
      </c>
      <c r="AT777" s="29">
        <f t="shared" ca="1" si="163"/>
        <v>225</v>
      </c>
      <c r="AU777">
        <v>5821</v>
      </c>
      <c r="AV777" s="22">
        <v>45322</v>
      </c>
      <c r="AW777" s="26">
        <f t="shared" ca="1" si="146"/>
        <v>0.19071087397741227</v>
      </c>
      <c r="AX777" s="29">
        <f t="shared" ca="1" si="164"/>
        <v>147</v>
      </c>
      <c r="AY777">
        <v>5437</v>
      </c>
      <c r="AZ777" s="22">
        <v>45322</v>
      </c>
      <c r="BA777" s="26">
        <f t="shared" ca="1" si="147"/>
        <v>0.94743023786610769</v>
      </c>
      <c r="BB777" s="29">
        <f t="shared" ca="1" si="165"/>
        <v>258</v>
      </c>
      <c r="BC777">
        <v>5365</v>
      </c>
      <c r="BD777" s="25"/>
      <c r="BF777" s="22">
        <v>45322</v>
      </c>
      <c r="BG777" s="26">
        <f t="shared" ca="1" si="148"/>
        <v>0.4616165566802789</v>
      </c>
      <c r="BH777" s="29">
        <f t="shared" ca="1" si="166"/>
        <v>156</v>
      </c>
      <c r="BI777">
        <v>4476</v>
      </c>
      <c r="BJ777" s="22">
        <v>45322</v>
      </c>
      <c r="BK777" s="26">
        <f t="shared" ca="1" si="149"/>
        <v>0.53985171550900435</v>
      </c>
      <c r="BL777" s="29">
        <f t="shared" ca="1" si="167"/>
        <v>169</v>
      </c>
      <c r="BM777">
        <v>4325</v>
      </c>
      <c r="BN777" s="22">
        <v>45322</v>
      </c>
      <c r="BO777" s="26">
        <f t="shared" ca="1" si="150"/>
        <v>0.39550167402895664</v>
      </c>
      <c r="BP777" s="29">
        <v>0</v>
      </c>
      <c r="BQ777">
        <v>0</v>
      </c>
      <c r="BR777" s="22">
        <v>45322</v>
      </c>
      <c r="BS777" s="26">
        <f t="shared" ca="1" si="151"/>
        <v>0.64604589316658489</v>
      </c>
      <c r="BT777" s="29">
        <v>0</v>
      </c>
      <c r="BU777">
        <v>0</v>
      </c>
      <c r="BV777" s="22">
        <v>45322</v>
      </c>
      <c r="BW777" s="26">
        <f t="shared" ca="1" si="152"/>
        <v>0.54495099868194108</v>
      </c>
      <c r="BX777" s="29">
        <v>0</v>
      </c>
      <c r="BY777">
        <v>0</v>
      </c>
    </row>
    <row r="778" spans="2:77" ht="12.75" x14ac:dyDescent="0.2">
      <c r="B778" s="22">
        <v>45323</v>
      </c>
      <c r="C778" s="26">
        <f t="shared" ca="1" si="135"/>
        <v>9.3487045467394836E-2</v>
      </c>
      <c r="D778" s="29">
        <f ca="1">ROUNDUP(_xlfn.NORM.INV(C777,C$10,C$12),0)</f>
        <v>73</v>
      </c>
      <c r="F778" s="22"/>
      <c r="G778" s="26">
        <f t="shared" ca="1" si="136"/>
        <v>0.37959435785872875</v>
      </c>
      <c r="H778" s="29">
        <f ca="1">ROUNDUP(_xlfn.NORM.INV(G777,G$10,G$12),0)</f>
        <v>217</v>
      </c>
      <c r="J778" s="22">
        <v>45323</v>
      </c>
      <c r="K778" s="26">
        <f t="shared" ca="1" si="137"/>
        <v>1.8836685660831298E-2</v>
      </c>
      <c r="L778" s="29">
        <f ca="1">ROUNDUP(_xlfn.NORM.INV(K777,K$10,K$12),0)</f>
        <v>164</v>
      </c>
      <c r="N778" s="22">
        <v>45323</v>
      </c>
      <c r="O778" s="26">
        <f t="shared" ca="1" si="138"/>
        <v>3.9666144688235372E-2</v>
      </c>
      <c r="P778" s="29">
        <f ca="1">ROUNDUP(_xlfn.NORM.INV(O777,O$10,O$12),0)</f>
        <v>218</v>
      </c>
      <c r="R778" s="22">
        <v>45323</v>
      </c>
      <c r="S778" s="26">
        <f t="shared" ca="1" si="139"/>
        <v>0.34339246198003681</v>
      </c>
      <c r="T778" s="29">
        <f ca="1">ROUNDUP(_xlfn.NORM.INV(S777,S$10,S$12),0)</f>
        <v>143</v>
      </c>
      <c r="V778" s="22">
        <v>45323</v>
      </c>
      <c r="W778" s="26">
        <f t="shared" ca="1" si="140"/>
        <v>0.76490694523281788</v>
      </c>
      <c r="X778" s="29">
        <f ca="1">ROUNDUP(_xlfn.NORM.INV(W777,W$10,W$12),0)</f>
        <v>223</v>
      </c>
      <c r="Z778" s="22">
        <v>45323</v>
      </c>
      <c r="AA778" s="26">
        <f t="shared" ca="1" si="141"/>
        <v>0.54198198615499438</v>
      </c>
      <c r="AB778" s="29">
        <f ca="1">ROUNDUP(_xlfn.NORM.INV(AA777,AA$10,AA$12),0)</f>
        <v>264</v>
      </c>
      <c r="AC778"/>
      <c r="AD778" s="25"/>
      <c r="AF778" s="22">
        <v>45323</v>
      </c>
      <c r="AG778" s="26">
        <f t="shared" ca="1" si="142"/>
        <v>0.12592671562310642</v>
      </c>
      <c r="AH778" s="29">
        <f ca="1">ROUNDUP(_xlfn.NORM.INV(AG777,AG$10,AG$12),0)</f>
        <v>293</v>
      </c>
      <c r="AJ778" s="22">
        <v>45323</v>
      </c>
      <c r="AK778" s="26">
        <f t="shared" ca="1" si="143"/>
        <v>0.58464810606419604</v>
      </c>
      <c r="AL778" s="29">
        <f ca="1">ROUNDUP(_xlfn.NORM.INV(AK777,AK$10,AK$12),0)</f>
        <v>142</v>
      </c>
      <c r="AN778" s="22">
        <v>45323</v>
      </c>
      <c r="AO778" s="26">
        <f t="shared" ca="1" si="144"/>
        <v>0.29913430623090342</v>
      </c>
      <c r="AP778" s="29">
        <f ca="1">ROUNDUP(_xlfn.NORM.INV(AO777,AO$10,AO$12),0)</f>
        <v>208</v>
      </c>
      <c r="AR778" s="22">
        <v>45323</v>
      </c>
      <c r="AS778" s="26">
        <f t="shared" ca="1" si="145"/>
        <v>2.8038806336941557E-2</v>
      </c>
      <c r="AT778" s="29">
        <f ca="1">ROUNDUP(_xlfn.NORM.INV(AS777,AS$10,AS$12),0)</f>
        <v>225</v>
      </c>
      <c r="AV778" s="22">
        <v>45323</v>
      </c>
      <c r="AW778" s="26">
        <f t="shared" ca="1" si="146"/>
        <v>0.9583424355059017</v>
      </c>
      <c r="AX778" s="29">
        <f ca="1">ROUNDUP(_xlfn.NORM.INV(AW777,AW$10,AW$12),0)</f>
        <v>147</v>
      </c>
      <c r="AZ778" s="22">
        <v>45323</v>
      </c>
      <c r="BA778" s="26">
        <f t="shared" ca="1" si="147"/>
        <v>0.23906527574755287</v>
      </c>
      <c r="BB778" s="29">
        <f ca="1">ROUNDUP(_xlfn.NORM.INV(BA777,BA$10,BA$12),0)</f>
        <v>258</v>
      </c>
      <c r="BC778"/>
      <c r="BD778" s="25"/>
      <c r="BF778" s="22">
        <v>45323</v>
      </c>
      <c r="BG778" s="26">
        <f t="shared" ca="1" si="148"/>
        <v>0.95426549349334056</v>
      </c>
      <c r="BH778" s="29">
        <f ca="1">ROUNDUP(_xlfn.NORM.INV(BG777,BG$10,BG$12),0)</f>
        <v>156</v>
      </c>
      <c r="BJ778" s="22">
        <v>45323</v>
      </c>
      <c r="BK778" s="26">
        <f t="shared" ca="1" si="149"/>
        <v>0.85256698496755201</v>
      </c>
      <c r="BL778" s="29">
        <f ca="1">ROUNDUP(_xlfn.NORM.INV(BK777,BK$10,BK$12),0)</f>
        <v>169</v>
      </c>
      <c r="BN778" s="22">
        <v>45323</v>
      </c>
      <c r="BO778" s="26">
        <f t="shared" ca="1" si="150"/>
        <v>0.67002818644826323</v>
      </c>
      <c r="BP778" s="29">
        <v>0</v>
      </c>
      <c r="BR778" s="22">
        <v>45323</v>
      </c>
      <c r="BS778" s="26">
        <f t="shared" ca="1" si="151"/>
        <v>0.46141743083986697</v>
      </c>
      <c r="BT778" s="29">
        <v>0</v>
      </c>
      <c r="BV778" s="22">
        <v>45323</v>
      </c>
      <c r="BW778" s="26">
        <f t="shared" ca="1" si="152"/>
        <v>0.37970463803939414</v>
      </c>
      <c r="BX778" s="29">
        <v>0</v>
      </c>
    </row>
    <row r="779" spans="2:77" ht="12.75" x14ac:dyDescent="0.2">
      <c r="B779" s="22">
        <v>45324</v>
      </c>
      <c r="C779" s="26">
        <f t="shared" ca="1" si="135"/>
        <v>0.49638524384713156</v>
      </c>
      <c r="D779" s="29">
        <f t="shared" ca="1" si="134"/>
        <v>75</v>
      </c>
      <c r="F779" s="22"/>
      <c r="G779" s="26">
        <f t="shared" ca="1" si="136"/>
        <v>8.5715298450193766E-2</v>
      </c>
      <c r="H779" s="29">
        <f t="shared" ca="1" si="154"/>
        <v>196</v>
      </c>
      <c r="J779" s="22">
        <v>45324</v>
      </c>
      <c r="K779" s="26">
        <f t="shared" ca="1" si="137"/>
        <v>0.30777844091680362</v>
      </c>
      <c r="L779" s="29">
        <f t="shared" ca="1" si="155"/>
        <v>145</v>
      </c>
      <c r="N779" s="22">
        <v>45324</v>
      </c>
      <c r="O779" s="26">
        <f t="shared" ca="1" si="138"/>
        <v>0.71356892356488777</v>
      </c>
      <c r="P779" s="29">
        <f t="shared" ca="1" si="156"/>
        <v>238</v>
      </c>
      <c r="R779" s="22">
        <v>45324</v>
      </c>
      <c r="S779" s="26">
        <f t="shared" ca="1" si="139"/>
        <v>0.68739287614461297</v>
      </c>
      <c r="T779" s="29">
        <f t="shared" ca="1" si="157"/>
        <v>144</v>
      </c>
      <c r="V779" s="22">
        <v>45324</v>
      </c>
      <c r="W779" s="26">
        <f t="shared" ca="1" si="140"/>
        <v>0.78487688434765368</v>
      </c>
      <c r="X779" s="29">
        <f t="shared" ca="1" si="158"/>
        <v>237</v>
      </c>
      <c r="Z779" s="22">
        <v>45324</v>
      </c>
      <c r="AA779" s="26">
        <f t="shared" ca="1" si="141"/>
        <v>0.21857547930815768</v>
      </c>
      <c r="AB779" s="29">
        <f t="shared" ca="1" si="159"/>
        <v>257</v>
      </c>
      <c r="AC779"/>
      <c r="AD779" s="25"/>
      <c r="AF779" s="22">
        <v>45324</v>
      </c>
      <c r="AG779" s="26">
        <f t="shared" ca="1" si="142"/>
        <v>0.57581240723701455</v>
      </c>
      <c r="AH779" s="29">
        <f t="shared" ca="1" si="160"/>
        <v>344</v>
      </c>
      <c r="AJ779" s="22">
        <v>45324</v>
      </c>
      <c r="AK779" s="26">
        <f t="shared" ca="1" si="143"/>
        <v>0.53401274045671154</v>
      </c>
      <c r="AL779" s="29">
        <f t="shared" ca="1" si="161"/>
        <v>184</v>
      </c>
      <c r="AN779" s="22">
        <v>45324</v>
      </c>
      <c r="AO779" s="26">
        <f t="shared" ca="1" si="144"/>
        <v>0.26969067714594186</v>
      </c>
      <c r="AP779" s="29">
        <f t="shared" ca="1" si="162"/>
        <v>124</v>
      </c>
      <c r="AR779" s="22">
        <v>45324</v>
      </c>
      <c r="AS779" s="26">
        <f t="shared" ca="1" si="145"/>
        <v>0.67417535606662282</v>
      </c>
      <c r="AT779" s="29">
        <f t="shared" ca="1" si="163"/>
        <v>243</v>
      </c>
      <c r="AV779" s="22">
        <v>45324</v>
      </c>
      <c r="AW779" s="26">
        <f t="shared" ca="1" si="146"/>
        <v>1.3666264201479317E-2</v>
      </c>
      <c r="AX779" s="29">
        <f t="shared" ca="1" si="164"/>
        <v>79</v>
      </c>
      <c r="AZ779" s="22">
        <v>45324</v>
      </c>
      <c r="BA779" s="26">
        <f t="shared" ca="1" si="147"/>
        <v>0.537974569808506</v>
      </c>
      <c r="BB779" s="29">
        <f t="shared" ca="1" si="165"/>
        <v>185</v>
      </c>
      <c r="BC779"/>
      <c r="BD779" s="25"/>
      <c r="BF779" s="22">
        <v>45324</v>
      </c>
      <c r="BG779" s="26">
        <f t="shared" ca="1" si="148"/>
        <v>2.0581705912563475E-3</v>
      </c>
      <c r="BH779" s="29">
        <f t="shared" ca="1" si="166"/>
        <v>38</v>
      </c>
      <c r="BJ779" s="22">
        <v>45324</v>
      </c>
      <c r="BK779" s="26">
        <f t="shared" ca="1" si="149"/>
        <v>0.52984000095999562</v>
      </c>
      <c r="BL779" s="29">
        <f t="shared" ca="1" si="167"/>
        <v>168</v>
      </c>
      <c r="BN779" s="22">
        <v>45324</v>
      </c>
      <c r="BO779" s="26">
        <f t="shared" ca="1" si="150"/>
        <v>0.1168319699708561</v>
      </c>
      <c r="BP779" s="29">
        <f t="shared" ref="BP779:BP782" ca="1" si="168">ROUNDUP(_xlfn.NORM.INV(BO779,BO$10,BO$12),0)</f>
        <v>90</v>
      </c>
      <c r="BR779" s="22">
        <v>45324</v>
      </c>
      <c r="BS779" s="26">
        <f t="shared" ca="1" si="151"/>
        <v>4.8698069429888413E-2</v>
      </c>
      <c r="BT779" s="29">
        <v>0</v>
      </c>
      <c r="BV779" s="22">
        <v>45324</v>
      </c>
      <c r="BW779" s="26">
        <f t="shared" ca="1" si="152"/>
        <v>0.90876049098624057</v>
      </c>
      <c r="BX779" s="29">
        <v>0</v>
      </c>
    </row>
    <row r="780" spans="2:77" ht="12.75" x14ac:dyDescent="0.2">
      <c r="B780" s="22">
        <v>45325</v>
      </c>
      <c r="C780" s="26">
        <f t="shared" ca="1" si="135"/>
        <v>0.4609775335555869</v>
      </c>
      <c r="D780" s="29">
        <f t="shared" ca="1" si="134"/>
        <v>74</v>
      </c>
      <c r="F780" s="22"/>
      <c r="G780" s="26">
        <f t="shared" ca="1" si="136"/>
        <v>0.55980932029159891</v>
      </c>
      <c r="H780" s="29">
        <f t="shared" ca="1" si="154"/>
        <v>218</v>
      </c>
      <c r="J780" s="22">
        <v>45325</v>
      </c>
      <c r="K780" s="26">
        <f t="shared" ca="1" si="137"/>
        <v>7.7687805110392638E-2</v>
      </c>
      <c r="L780" s="29">
        <f t="shared" ca="1" si="155"/>
        <v>136</v>
      </c>
      <c r="N780" s="22">
        <v>45325</v>
      </c>
      <c r="O780" s="26">
        <f t="shared" ca="1" si="138"/>
        <v>0.97753509152795359</v>
      </c>
      <c r="P780" s="29">
        <f t="shared" ca="1" si="156"/>
        <v>261</v>
      </c>
      <c r="R780" s="22">
        <v>45325</v>
      </c>
      <c r="S780" s="26">
        <f t="shared" ca="1" si="139"/>
        <v>0.64071560734259481</v>
      </c>
      <c r="T780" s="29">
        <f t="shared" ca="1" si="157"/>
        <v>143</v>
      </c>
      <c r="V780" s="22">
        <v>45325</v>
      </c>
      <c r="W780" s="26">
        <f t="shared" ca="1" si="140"/>
        <v>0.76204372987304292</v>
      </c>
      <c r="X780" s="29">
        <f t="shared" ca="1" si="158"/>
        <v>236</v>
      </c>
      <c r="Z780" s="22">
        <v>45325</v>
      </c>
      <c r="AA780" s="26">
        <f t="shared" ca="1" si="141"/>
        <v>0.5973849214717325</v>
      </c>
      <c r="AB780" s="29">
        <f t="shared" ca="1" si="159"/>
        <v>275</v>
      </c>
      <c r="AC780"/>
      <c r="AD780" s="25"/>
      <c r="AF780" s="22">
        <v>45325</v>
      </c>
      <c r="AG780" s="26">
        <f t="shared" ca="1" si="142"/>
        <v>5.0904571692803713E-2</v>
      </c>
      <c r="AH780" s="29">
        <f t="shared" ca="1" si="160"/>
        <v>185</v>
      </c>
      <c r="AJ780" s="22">
        <v>45325</v>
      </c>
      <c r="AK780" s="26">
        <f t="shared" ca="1" si="143"/>
        <v>9.3213094384372863E-2</v>
      </c>
      <c r="AL780" s="29">
        <f t="shared" ca="1" si="161"/>
        <v>117</v>
      </c>
      <c r="AN780" s="22">
        <v>45325</v>
      </c>
      <c r="AO780" s="26">
        <f t="shared" ca="1" si="144"/>
        <v>0.19504209905966441</v>
      </c>
      <c r="AP780" s="29">
        <f t="shared" ca="1" si="162"/>
        <v>114</v>
      </c>
      <c r="AR780" s="22">
        <v>45325</v>
      </c>
      <c r="AS780" s="26">
        <f t="shared" ca="1" si="145"/>
        <v>0.73904406016823776</v>
      </c>
      <c r="AT780" s="29">
        <f t="shared" ca="1" si="163"/>
        <v>254</v>
      </c>
      <c r="AV780" s="22">
        <v>45325</v>
      </c>
      <c r="AW780" s="26">
        <f t="shared" ca="1" si="146"/>
        <v>9.9827044955933752E-2</v>
      </c>
      <c r="AX780" s="29">
        <f t="shared" ca="1" si="164"/>
        <v>127</v>
      </c>
      <c r="AZ780" s="22">
        <v>45325</v>
      </c>
      <c r="BA780" s="26">
        <f t="shared" ca="1" si="147"/>
        <v>0.73744632294338575</v>
      </c>
      <c r="BB780" s="29">
        <f t="shared" ca="1" si="165"/>
        <v>211</v>
      </c>
      <c r="BC780"/>
      <c r="BD780" s="25"/>
      <c r="BF780" s="22">
        <v>45325</v>
      </c>
      <c r="BG780" s="26">
        <f t="shared" ca="1" si="148"/>
        <v>0.10567944247640704</v>
      </c>
      <c r="BH780" s="29">
        <f t="shared" ca="1" si="166"/>
        <v>107</v>
      </c>
      <c r="BJ780" s="22">
        <v>45325</v>
      </c>
      <c r="BK780" s="26">
        <f t="shared" ca="1" si="149"/>
        <v>0.64440104247287788</v>
      </c>
      <c r="BL780" s="29">
        <f t="shared" ca="1" si="167"/>
        <v>181</v>
      </c>
      <c r="BN780" s="22">
        <v>45325</v>
      </c>
      <c r="BO780" s="26">
        <f t="shared" ca="1" si="150"/>
        <v>0.892497221993093</v>
      </c>
      <c r="BP780" s="29">
        <f t="shared" ca="1" si="168"/>
        <v>175</v>
      </c>
      <c r="BR780" s="22">
        <v>45325</v>
      </c>
      <c r="BS780" s="26">
        <f t="shared" ca="1" si="151"/>
        <v>0.70475555669606793</v>
      </c>
      <c r="BT780" s="29">
        <v>0</v>
      </c>
      <c r="BV780" s="22">
        <v>45325</v>
      </c>
      <c r="BW780" s="26">
        <f t="shared" ca="1" si="152"/>
        <v>0.82420298375601841</v>
      </c>
      <c r="BX780" s="29">
        <v>0</v>
      </c>
    </row>
    <row r="781" spans="2:77" ht="12.75" x14ac:dyDescent="0.2">
      <c r="B781" s="22">
        <v>45326</v>
      </c>
      <c r="C781" s="26">
        <f t="shared" ca="1" si="135"/>
        <v>0.98522272796207577</v>
      </c>
      <c r="D781" s="29">
        <f t="shared" ca="1" si="134"/>
        <v>119</v>
      </c>
      <c r="F781" s="22"/>
      <c r="G781" s="26">
        <f t="shared" ca="1" si="136"/>
        <v>0.78384946167716618</v>
      </c>
      <c r="H781" s="29">
        <f t="shared" ca="1" si="154"/>
        <v>227</v>
      </c>
      <c r="J781" s="22">
        <v>45326</v>
      </c>
      <c r="K781" s="26">
        <f t="shared" ca="1" si="137"/>
        <v>0.62107032191234457</v>
      </c>
      <c r="L781" s="29">
        <f t="shared" ca="1" si="155"/>
        <v>154</v>
      </c>
      <c r="N781" s="22">
        <v>45326</v>
      </c>
      <c r="O781" s="26">
        <f t="shared" ca="1" si="138"/>
        <v>0.22255862164180107</v>
      </c>
      <c r="P781" s="29">
        <f t="shared" ca="1" si="156"/>
        <v>218</v>
      </c>
      <c r="R781" s="22">
        <v>45326</v>
      </c>
      <c r="S781" s="26">
        <f t="shared" ca="1" si="139"/>
        <v>0.12608662160441475</v>
      </c>
      <c r="T781" s="29">
        <f t="shared" ca="1" si="157"/>
        <v>129</v>
      </c>
      <c r="V781" s="22">
        <v>45326</v>
      </c>
      <c r="W781" s="26">
        <f t="shared" ca="1" si="140"/>
        <v>0.6808623497689662</v>
      </c>
      <c r="X781" s="29">
        <f t="shared" ca="1" si="158"/>
        <v>233</v>
      </c>
      <c r="Z781" s="22">
        <v>45326</v>
      </c>
      <c r="AA781" s="26">
        <f t="shared" ca="1" si="141"/>
        <v>0.52381059858557366</v>
      </c>
      <c r="AB781" s="29">
        <f t="shared" ca="1" si="159"/>
        <v>272</v>
      </c>
      <c r="AC781"/>
      <c r="AD781" s="25"/>
      <c r="AF781" s="22">
        <v>45326</v>
      </c>
      <c r="AG781" s="26">
        <f t="shared" ca="1" si="142"/>
        <v>0.5311588564051305</v>
      </c>
      <c r="AH781" s="29">
        <f t="shared" ca="1" si="160"/>
        <v>334</v>
      </c>
      <c r="AJ781" s="22">
        <v>45326</v>
      </c>
      <c r="AK781" s="26">
        <f t="shared" ca="1" si="143"/>
        <v>0.93527700687325976</v>
      </c>
      <c r="AL781" s="29">
        <f t="shared" ca="1" si="161"/>
        <v>253</v>
      </c>
      <c r="AN781" s="22">
        <v>45326</v>
      </c>
      <c r="AO781" s="26">
        <f t="shared" ca="1" si="144"/>
        <v>0.41064903814921216</v>
      </c>
      <c r="AP781" s="29">
        <f t="shared" ca="1" si="162"/>
        <v>139</v>
      </c>
      <c r="AR781" s="22">
        <v>45326</v>
      </c>
      <c r="AS781" s="26">
        <f t="shared" ca="1" si="145"/>
        <v>0.4099677487161062</v>
      </c>
      <c r="AT781" s="29">
        <f t="shared" ca="1" si="163"/>
        <v>204</v>
      </c>
      <c r="AV781" s="22">
        <v>45326</v>
      </c>
      <c r="AW781" s="26">
        <f t="shared" ca="1" si="146"/>
        <v>0.53852276408706878</v>
      </c>
      <c r="AX781" s="29">
        <f t="shared" ca="1" si="164"/>
        <v>197</v>
      </c>
      <c r="AZ781" s="22">
        <v>45326</v>
      </c>
      <c r="BA781" s="26">
        <f t="shared" ca="1" si="147"/>
        <v>0.81969612630840716</v>
      </c>
      <c r="BB781" s="29">
        <f t="shared" ca="1" si="165"/>
        <v>224</v>
      </c>
      <c r="BC781"/>
      <c r="BD781" s="25"/>
      <c r="BF781" s="22">
        <v>45326</v>
      </c>
      <c r="BG781" s="26">
        <f t="shared" ca="1" si="148"/>
        <v>0.88111116437694037</v>
      </c>
      <c r="BH781" s="29">
        <f t="shared" ca="1" si="166"/>
        <v>210</v>
      </c>
      <c r="BJ781" s="22">
        <v>45326</v>
      </c>
      <c r="BK781" s="26">
        <f t="shared" ca="1" si="149"/>
        <v>0.75983836134989124</v>
      </c>
      <c r="BL781" s="29">
        <f t="shared" ca="1" si="167"/>
        <v>196</v>
      </c>
      <c r="BN781" s="22">
        <v>45326</v>
      </c>
      <c r="BO781" s="26">
        <f t="shared" ca="1" si="150"/>
        <v>0.9638486133663674</v>
      </c>
      <c r="BP781" s="29">
        <f t="shared" ca="1" si="168"/>
        <v>194</v>
      </c>
      <c r="BR781" s="22">
        <v>45326</v>
      </c>
      <c r="BS781" s="26">
        <f t="shared" ca="1" si="151"/>
        <v>0.87553595342675905</v>
      </c>
      <c r="BT781" s="29">
        <v>0</v>
      </c>
      <c r="BV781" s="22">
        <v>45326</v>
      </c>
      <c r="BW781" s="26">
        <f t="shared" ca="1" si="152"/>
        <v>4.8879379658750333E-2</v>
      </c>
      <c r="BX781" s="29">
        <v>0</v>
      </c>
    </row>
    <row r="782" spans="2:77" ht="12.75" x14ac:dyDescent="0.2">
      <c r="B782" s="22">
        <v>45327</v>
      </c>
      <c r="C782" s="26">
        <f t="shared" ca="1" si="135"/>
        <v>0.41049876256677331</v>
      </c>
      <c r="D782" s="29">
        <f t="shared" ca="1" si="134"/>
        <v>71</v>
      </c>
      <c r="F782" s="22"/>
      <c r="G782" s="26">
        <f t="shared" ca="1" si="136"/>
        <v>0.82204991743621003</v>
      </c>
      <c r="H782" s="29">
        <f t="shared" ca="1" si="154"/>
        <v>229</v>
      </c>
      <c r="J782" s="22">
        <v>45327</v>
      </c>
      <c r="K782" s="26">
        <f t="shared" ca="1" si="137"/>
        <v>7.0898316052171673E-2</v>
      </c>
      <c r="L782" s="29">
        <f t="shared" ca="1" si="155"/>
        <v>136</v>
      </c>
      <c r="N782" s="22">
        <v>45327</v>
      </c>
      <c r="O782" s="26">
        <f t="shared" ca="1" si="138"/>
        <v>0.52868094132365906</v>
      </c>
      <c r="P782" s="29">
        <f t="shared" ca="1" si="156"/>
        <v>231</v>
      </c>
      <c r="R782" s="22">
        <v>45327</v>
      </c>
      <c r="S782" s="26">
        <f t="shared" ca="1" si="139"/>
        <v>0.57323040997126085</v>
      </c>
      <c r="T782" s="29">
        <f t="shared" ca="1" si="157"/>
        <v>141</v>
      </c>
      <c r="V782" s="22">
        <v>45327</v>
      </c>
      <c r="W782" s="26">
        <f t="shared" ca="1" si="140"/>
        <v>0.86158758049664574</v>
      </c>
      <c r="X782" s="29">
        <f t="shared" ca="1" si="158"/>
        <v>242</v>
      </c>
      <c r="Z782" s="22">
        <v>45327</v>
      </c>
      <c r="AA782" s="26">
        <f t="shared" ca="1" si="141"/>
        <v>0.28729738234195079</v>
      </c>
      <c r="AB782" s="29">
        <f t="shared" ca="1" si="159"/>
        <v>260</v>
      </c>
      <c r="AC782"/>
      <c r="AD782" s="25"/>
      <c r="AF782" s="22">
        <v>45327</v>
      </c>
      <c r="AG782" s="26">
        <f t="shared" ca="1" si="142"/>
        <v>0.47284958305511615</v>
      </c>
      <c r="AH782" s="29">
        <f t="shared" ca="1" si="160"/>
        <v>322</v>
      </c>
      <c r="AJ782" s="22">
        <v>45327</v>
      </c>
      <c r="AK782" s="26">
        <f t="shared" ca="1" si="143"/>
        <v>0.62149244501285816</v>
      </c>
      <c r="AL782" s="29">
        <f t="shared" ca="1" si="161"/>
        <v>195</v>
      </c>
      <c r="AN782" s="22">
        <v>45327</v>
      </c>
      <c r="AO782" s="26">
        <f t="shared" ca="1" si="144"/>
        <v>0.74029248355090338</v>
      </c>
      <c r="AP782" s="29">
        <f t="shared" ca="1" si="162"/>
        <v>173</v>
      </c>
      <c r="AR782" s="22">
        <v>45327</v>
      </c>
      <c r="AS782" s="26">
        <f t="shared" ca="1" si="145"/>
        <v>6.8516071189986705E-2</v>
      </c>
      <c r="AT782" s="29">
        <f t="shared" ca="1" si="163"/>
        <v>131</v>
      </c>
      <c r="AV782" s="22">
        <v>45327</v>
      </c>
      <c r="AW782" s="26">
        <f t="shared" ca="1" si="146"/>
        <v>0.22336519559501788</v>
      </c>
      <c r="AX782" s="29">
        <f t="shared" ca="1" si="164"/>
        <v>153</v>
      </c>
      <c r="AZ782" s="22">
        <v>45327</v>
      </c>
      <c r="BA782" s="26">
        <f t="shared" ca="1" si="147"/>
        <v>0.3821737849705058</v>
      </c>
      <c r="BB782" s="29">
        <f t="shared" ca="1" si="165"/>
        <v>166</v>
      </c>
      <c r="BC782"/>
      <c r="BD782" s="25"/>
      <c r="BF782" s="22">
        <v>45327</v>
      </c>
      <c r="BG782" s="26">
        <f t="shared" ca="1" si="148"/>
        <v>0.81151455945618034</v>
      </c>
      <c r="BH782" s="29">
        <f t="shared" ca="1" si="166"/>
        <v>198</v>
      </c>
      <c r="BJ782" s="22">
        <v>45327</v>
      </c>
      <c r="BK782" s="26">
        <f t="shared" ca="1" si="149"/>
        <v>0.99449604406391856</v>
      </c>
      <c r="BL782" s="29">
        <f t="shared" ca="1" si="167"/>
        <v>277</v>
      </c>
      <c r="BN782" s="22">
        <v>45327</v>
      </c>
      <c r="BO782" s="26">
        <f t="shared" ca="1" si="150"/>
        <v>0.25117909869192301</v>
      </c>
      <c r="BP782" s="29">
        <f t="shared" ca="1" si="168"/>
        <v>108</v>
      </c>
      <c r="BR782" s="22">
        <v>45327</v>
      </c>
      <c r="BS782" s="26">
        <f t="shared" ca="1" si="151"/>
        <v>0.18901441491178261</v>
      </c>
      <c r="BT782" s="29">
        <v>0</v>
      </c>
      <c r="BV782" s="22">
        <v>45327</v>
      </c>
      <c r="BW782" s="26">
        <f t="shared" ca="1" si="152"/>
        <v>0.49449339975772866</v>
      </c>
      <c r="BX782" s="29">
        <v>0</v>
      </c>
    </row>
    <row r="783" spans="2:77" ht="12.75" x14ac:dyDescent="0.2">
      <c r="B783" s="22">
        <v>45328</v>
      </c>
      <c r="C783" s="26">
        <f t="shared" ca="1" si="135"/>
        <v>0.31984631981612965</v>
      </c>
      <c r="D783" s="29">
        <v>0</v>
      </c>
      <c r="F783" s="22"/>
      <c r="G783" s="26">
        <f t="shared" ca="1" si="136"/>
        <v>6.4104035183132901E-2</v>
      </c>
      <c r="H783" s="29">
        <v>0</v>
      </c>
      <c r="J783" s="22">
        <v>45328</v>
      </c>
      <c r="K783" s="26">
        <f t="shared" ca="1" si="137"/>
        <v>0.93639365770528593</v>
      </c>
      <c r="L783" s="29">
        <v>0</v>
      </c>
      <c r="N783" s="22">
        <v>45328</v>
      </c>
      <c r="O783" s="26">
        <f t="shared" ca="1" si="138"/>
        <v>7.3826922458182564E-2</v>
      </c>
      <c r="P783" s="29">
        <v>0</v>
      </c>
      <c r="R783" s="22">
        <v>45328</v>
      </c>
      <c r="S783" s="26">
        <f t="shared" ca="1" si="139"/>
        <v>0.27050830178092944</v>
      </c>
      <c r="T783" s="29">
        <v>0</v>
      </c>
      <c r="V783" s="22">
        <v>45328</v>
      </c>
      <c r="W783" s="26">
        <f t="shared" ca="1" si="140"/>
        <v>0.64918349602297676</v>
      </c>
      <c r="X783" s="29">
        <v>0</v>
      </c>
      <c r="Z783" s="22">
        <v>45328</v>
      </c>
      <c r="AA783" s="26">
        <f t="shared" ca="1" si="141"/>
        <v>0.72292638231156947</v>
      </c>
      <c r="AB783" s="29">
        <v>0</v>
      </c>
      <c r="AC783"/>
      <c r="AD783" s="25"/>
      <c r="AF783" s="22">
        <v>45328</v>
      </c>
      <c r="AG783" s="26">
        <f t="shared" ca="1" si="142"/>
        <v>0.48350969599908611</v>
      </c>
      <c r="AH783" s="29">
        <v>0</v>
      </c>
      <c r="AJ783" s="22">
        <v>45328</v>
      </c>
      <c r="AK783" s="26">
        <f t="shared" ca="1" si="143"/>
        <v>0.41064508794413324</v>
      </c>
      <c r="AL783" s="29">
        <v>0</v>
      </c>
      <c r="AN783" s="22">
        <v>45328</v>
      </c>
      <c r="AO783" s="26">
        <f t="shared" ca="1" si="144"/>
        <v>0.42456588559471631</v>
      </c>
      <c r="AP783" s="29">
        <v>0</v>
      </c>
      <c r="AR783" s="22">
        <v>45328</v>
      </c>
      <c r="AS783" s="26">
        <f t="shared" ca="1" si="145"/>
        <v>0.92173837798298552</v>
      </c>
      <c r="AT783" s="29">
        <v>0</v>
      </c>
      <c r="AV783" s="22">
        <v>45328</v>
      </c>
      <c r="AW783" s="26">
        <f t="shared" ca="1" si="146"/>
        <v>0.37543923817709401</v>
      </c>
      <c r="AX783" s="29">
        <v>0</v>
      </c>
      <c r="AZ783" s="22">
        <v>45328</v>
      </c>
      <c r="BA783" s="26">
        <f t="shared" ca="1" si="147"/>
        <v>0.26501096898885468</v>
      </c>
      <c r="BB783" s="29">
        <v>0</v>
      </c>
      <c r="BC783"/>
      <c r="BD783" s="25"/>
      <c r="BF783" s="22">
        <v>45328</v>
      </c>
      <c r="BG783" s="26">
        <f t="shared" ca="1" si="148"/>
        <v>0.39849921276370615</v>
      </c>
      <c r="BH783" s="29">
        <v>0</v>
      </c>
      <c r="BJ783" s="22">
        <v>45328</v>
      </c>
      <c r="BK783" s="26">
        <f t="shared" ca="1" si="149"/>
        <v>0.36355026422652659</v>
      </c>
      <c r="BL783" s="29">
        <v>0</v>
      </c>
      <c r="BN783" s="22">
        <v>45328</v>
      </c>
      <c r="BO783" s="26">
        <f t="shared" ca="1" si="150"/>
        <v>0.77062409175511004</v>
      </c>
      <c r="BP783" s="29">
        <v>0</v>
      </c>
      <c r="BR783" s="22">
        <v>45328</v>
      </c>
      <c r="BS783" s="26">
        <f t="shared" ca="1" si="151"/>
        <v>4.7766759661458713E-2</v>
      </c>
      <c r="BT783" s="29">
        <v>0</v>
      </c>
      <c r="BV783" s="22">
        <v>45328</v>
      </c>
      <c r="BW783" s="26">
        <f t="shared" ca="1" si="152"/>
        <v>0.80693366804281574</v>
      </c>
      <c r="BX783" s="29">
        <v>0</v>
      </c>
    </row>
    <row r="784" spans="2:77" ht="12.75" x14ac:dyDescent="0.2">
      <c r="B784" s="22">
        <v>45329</v>
      </c>
      <c r="C784" s="26">
        <f t="shared" ca="1" si="135"/>
        <v>0.19962546727265151</v>
      </c>
      <c r="D784" s="29">
        <v>0</v>
      </c>
      <c r="F784" s="22"/>
      <c r="G784" s="26">
        <f t="shared" ca="1" si="136"/>
        <v>0.38888846023007662</v>
      </c>
      <c r="H784" s="29">
        <v>0</v>
      </c>
      <c r="J784" s="22">
        <v>45329</v>
      </c>
      <c r="K784" s="26">
        <f t="shared" ca="1" si="137"/>
        <v>0.9985617469006105</v>
      </c>
      <c r="L784" s="29">
        <v>0</v>
      </c>
      <c r="N784" s="22">
        <v>45329</v>
      </c>
      <c r="O784" s="26">
        <f t="shared" ca="1" si="138"/>
        <v>0.21609045813743</v>
      </c>
      <c r="P784" s="29">
        <v>0</v>
      </c>
      <c r="R784" s="22">
        <v>45329</v>
      </c>
      <c r="S784" s="26">
        <f t="shared" ca="1" si="139"/>
        <v>0.50857890946281248</v>
      </c>
      <c r="T784" s="29">
        <v>0</v>
      </c>
      <c r="V784" s="22">
        <v>45329</v>
      </c>
      <c r="W784" s="26">
        <f t="shared" ca="1" si="140"/>
        <v>0.59810886061535873</v>
      </c>
      <c r="X784" s="29">
        <v>0</v>
      </c>
      <c r="Z784" s="22">
        <v>45329</v>
      </c>
      <c r="AA784" s="26">
        <f t="shared" ca="1" si="141"/>
        <v>0.36855358994845011</v>
      </c>
      <c r="AB784" s="29">
        <v>0</v>
      </c>
      <c r="AC784"/>
      <c r="AD784" s="25"/>
      <c r="AF784" s="22">
        <v>45329</v>
      </c>
      <c r="AG784" s="26">
        <f t="shared" ca="1" si="142"/>
        <v>0.17218239301547866</v>
      </c>
      <c r="AH784" s="29">
        <v>0</v>
      </c>
      <c r="AJ784" s="22">
        <v>45329</v>
      </c>
      <c r="AK784" s="26">
        <f t="shared" ca="1" si="143"/>
        <v>0.4019555582490123</v>
      </c>
      <c r="AL784" s="29">
        <v>0</v>
      </c>
      <c r="AN784" s="22">
        <v>45329</v>
      </c>
      <c r="AO784" s="26">
        <f t="shared" ca="1" si="144"/>
        <v>0.94441405768432463</v>
      </c>
      <c r="AP784" s="29">
        <v>0</v>
      </c>
      <c r="AR784" s="22">
        <v>45329</v>
      </c>
      <c r="AS784" s="26">
        <f t="shared" ca="1" si="145"/>
        <v>0.26199447208914417</v>
      </c>
      <c r="AT784" s="29">
        <v>0</v>
      </c>
      <c r="AV784" s="22">
        <v>45329</v>
      </c>
      <c r="AW784" s="26">
        <f t="shared" ca="1" si="146"/>
        <v>0.98324599640021015</v>
      </c>
      <c r="AX784" s="29">
        <v>0</v>
      </c>
      <c r="AZ784" s="22">
        <v>45329</v>
      </c>
      <c r="BA784" s="26">
        <f t="shared" ca="1" si="147"/>
        <v>0.40843995641820119</v>
      </c>
      <c r="BB784" s="29">
        <v>0</v>
      </c>
      <c r="BC784"/>
      <c r="BD784" s="25"/>
      <c r="BF784" s="22">
        <v>45329</v>
      </c>
      <c r="BG784" s="26">
        <f t="shared" ca="1" si="148"/>
        <v>0.71015655896946905</v>
      </c>
      <c r="BH784" s="29">
        <v>0</v>
      </c>
      <c r="BJ784" s="22">
        <v>45329</v>
      </c>
      <c r="BK784" s="26">
        <f t="shared" ca="1" si="149"/>
        <v>0.72175592331979943</v>
      </c>
      <c r="BL784" s="29">
        <v>0</v>
      </c>
      <c r="BN784" s="22">
        <v>45329</v>
      </c>
      <c r="BO784" s="26">
        <f t="shared" ca="1" si="150"/>
        <v>0.79255036758161868</v>
      </c>
      <c r="BP784" s="29">
        <v>0</v>
      </c>
      <c r="BR784" s="22">
        <v>45329</v>
      </c>
      <c r="BS784" s="26">
        <f t="shared" ca="1" si="151"/>
        <v>0.4684404142022367</v>
      </c>
      <c r="BT784" s="29">
        <v>0</v>
      </c>
      <c r="BV784" s="22">
        <v>45329</v>
      </c>
      <c r="BW784" s="26">
        <f t="shared" ca="1" si="152"/>
        <v>0.24799366655629818</v>
      </c>
      <c r="BX784" s="29">
        <v>0</v>
      </c>
    </row>
    <row r="785" spans="2:76" ht="12.75" x14ac:dyDescent="0.2">
      <c r="B785" s="22">
        <v>45330</v>
      </c>
      <c r="C785" s="26">
        <f t="shared" ca="1" si="135"/>
        <v>0.44057644347289304</v>
      </c>
      <c r="D785" s="29">
        <v>0</v>
      </c>
      <c r="F785" s="22"/>
      <c r="G785" s="26">
        <f t="shared" ca="1" si="136"/>
        <v>0.77225228836978277</v>
      </c>
      <c r="H785" s="29">
        <v>0</v>
      </c>
      <c r="J785" s="22">
        <v>45330</v>
      </c>
      <c r="K785" s="26">
        <f t="shared" ca="1" si="137"/>
        <v>0.20159296255336312</v>
      </c>
      <c r="L785" s="29">
        <v>0</v>
      </c>
      <c r="N785" s="22">
        <v>45330</v>
      </c>
      <c r="O785" s="26">
        <f t="shared" ca="1" si="138"/>
        <v>2.27933675993649E-2</v>
      </c>
      <c r="P785" s="29">
        <v>0</v>
      </c>
      <c r="R785" s="22">
        <v>45330</v>
      </c>
      <c r="S785" s="26">
        <f t="shared" ca="1" si="139"/>
        <v>0.29171525928338871</v>
      </c>
      <c r="T785" s="29">
        <v>0</v>
      </c>
      <c r="V785" s="22">
        <v>45330</v>
      </c>
      <c r="W785" s="26">
        <f t="shared" ca="1" si="140"/>
        <v>0.92007773089371303</v>
      </c>
      <c r="X785" s="29">
        <v>0</v>
      </c>
      <c r="Z785" s="22">
        <v>45330</v>
      </c>
      <c r="AA785" s="26">
        <f t="shared" ca="1" si="141"/>
        <v>0.47894884087959722</v>
      </c>
      <c r="AB785" s="29">
        <v>0</v>
      </c>
      <c r="AC785"/>
      <c r="AD785" s="25"/>
      <c r="AF785" s="22">
        <v>45330</v>
      </c>
      <c r="AG785" s="26">
        <f t="shared" ca="1" si="142"/>
        <v>0.26601773288323827</v>
      </c>
      <c r="AH785" s="29">
        <v>0</v>
      </c>
      <c r="AJ785" s="22">
        <v>45330</v>
      </c>
      <c r="AK785" s="26">
        <f t="shared" ca="1" si="143"/>
        <v>0.44469274711434248</v>
      </c>
      <c r="AL785" s="29">
        <v>0</v>
      </c>
      <c r="AN785" s="22">
        <v>45330</v>
      </c>
      <c r="AO785" s="26">
        <f t="shared" ca="1" si="144"/>
        <v>0.43469962423785169</v>
      </c>
      <c r="AP785" s="29">
        <v>0</v>
      </c>
      <c r="AR785" s="22">
        <v>45330</v>
      </c>
      <c r="AS785" s="26">
        <f t="shared" ca="1" si="145"/>
        <v>0.54074652920609123</v>
      </c>
      <c r="AT785" s="29">
        <v>0</v>
      </c>
      <c r="AV785" s="22">
        <v>45330</v>
      </c>
      <c r="AW785" s="26">
        <f t="shared" ca="1" si="146"/>
        <v>2.2862751552346405E-2</v>
      </c>
      <c r="AX785" s="29">
        <v>0</v>
      </c>
      <c r="AZ785" s="22">
        <v>45330</v>
      </c>
      <c r="BA785" s="26">
        <f t="shared" ca="1" si="147"/>
        <v>0.56429045109611287</v>
      </c>
      <c r="BB785" s="29">
        <v>0</v>
      </c>
      <c r="BC785"/>
      <c r="BD785" s="25"/>
      <c r="BF785" s="22">
        <v>45330</v>
      </c>
      <c r="BG785" s="26">
        <f t="shared" ca="1" si="148"/>
        <v>0.89832894025391763</v>
      </c>
      <c r="BH785" s="29">
        <v>0</v>
      </c>
      <c r="BJ785" s="22">
        <v>45330</v>
      </c>
      <c r="BK785" s="26">
        <f t="shared" ca="1" si="149"/>
        <v>0.31344756742946567</v>
      </c>
      <c r="BL785" s="29">
        <v>0</v>
      </c>
      <c r="BN785" s="22">
        <v>45330</v>
      </c>
      <c r="BO785" s="26">
        <f t="shared" ca="1" si="150"/>
        <v>0.82918794036927024</v>
      </c>
      <c r="BP785" s="29">
        <v>0</v>
      </c>
      <c r="BR785" s="22">
        <v>45330</v>
      </c>
      <c r="BS785" s="26">
        <f t="shared" ca="1" si="151"/>
        <v>1.7419950121933314E-2</v>
      </c>
      <c r="BT785" s="29">
        <v>0</v>
      </c>
      <c r="BV785" s="22">
        <v>45330</v>
      </c>
      <c r="BW785" s="26">
        <f t="shared" ca="1" si="152"/>
        <v>0.91547204028940032</v>
      </c>
      <c r="BX785" s="29">
        <v>0</v>
      </c>
    </row>
    <row r="786" spans="2:76" ht="12.75" x14ac:dyDescent="0.2">
      <c r="B786" s="22">
        <v>45331</v>
      </c>
      <c r="C786" s="26">
        <f t="shared" ca="1" si="135"/>
        <v>0.44676281665779127</v>
      </c>
      <c r="D786" s="29">
        <v>0</v>
      </c>
      <c r="F786" s="22"/>
      <c r="G786" s="26">
        <f t="shared" ca="1" si="136"/>
        <v>0.67858526081504789</v>
      </c>
      <c r="H786" s="29">
        <v>0</v>
      </c>
      <c r="J786" s="22">
        <v>45331</v>
      </c>
      <c r="K786" s="26">
        <f t="shared" ca="1" si="137"/>
        <v>0.60157895988333543</v>
      </c>
      <c r="L786" s="29">
        <v>0</v>
      </c>
      <c r="N786" s="22">
        <v>45331</v>
      </c>
      <c r="O786" s="26">
        <f t="shared" ca="1" si="138"/>
        <v>0.59356143256388794</v>
      </c>
      <c r="P786" s="29">
        <v>0</v>
      </c>
      <c r="R786" s="22">
        <v>45331</v>
      </c>
      <c r="S786" s="26">
        <f t="shared" ca="1" si="139"/>
        <v>0.95971656516391768</v>
      </c>
      <c r="T786" s="29">
        <v>0</v>
      </c>
      <c r="V786" s="22">
        <v>45331</v>
      </c>
      <c r="W786" s="26">
        <f t="shared" ca="1" si="140"/>
        <v>0.98071370845039696</v>
      </c>
      <c r="X786" s="29">
        <v>0</v>
      </c>
      <c r="Z786" s="22">
        <v>45331</v>
      </c>
      <c r="AA786" s="26">
        <f t="shared" ca="1" si="141"/>
        <v>0.88485381827384901</v>
      </c>
      <c r="AB786" s="29">
        <v>0</v>
      </c>
      <c r="AC786"/>
      <c r="AD786" s="25"/>
      <c r="AF786" s="22">
        <v>45331</v>
      </c>
      <c r="AG786" s="26">
        <f t="shared" ca="1" si="142"/>
        <v>0.24147468319764542</v>
      </c>
      <c r="AH786" s="29">
        <v>0</v>
      </c>
      <c r="AJ786" s="22">
        <v>45331</v>
      </c>
      <c r="AK786" s="26">
        <f t="shared" ca="1" si="143"/>
        <v>0.56685285559728438</v>
      </c>
      <c r="AL786" s="29">
        <v>0</v>
      </c>
      <c r="AN786" s="22">
        <v>45331</v>
      </c>
      <c r="AO786" s="26">
        <f t="shared" ca="1" si="144"/>
        <v>0.89392712936458019</v>
      </c>
      <c r="AP786" s="29">
        <v>0</v>
      </c>
      <c r="AR786" s="22">
        <v>45331</v>
      </c>
      <c r="AS786" s="26">
        <f t="shared" ca="1" si="145"/>
        <v>3.808932329607595E-2</v>
      </c>
      <c r="AT786" s="29">
        <v>0</v>
      </c>
      <c r="AV786" s="22">
        <v>45331</v>
      </c>
      <c r="AW786" s="26">
        <f t="shared" ca="1" si="146"/>
        <v>0.66711852880446609</v>
      </c>
      <c r="AX786" s="29">
        <v>0</v>
      </c>
      <c r="AZ786" s="22">
        <v>45331</v>
      </c>
      <c r="BA786" s="26">
        <f t="shared" ca="1" si="147"/>
        <v>0.68178232142720296</v>
      </c>
      <c r="BB786" s="29">
        <v>0</v>
      </c>
      <c r="BC786"/>
      <c r="BD786" s="25"/>
      <c r="BF786" s="22">
        <v>45331</v>
      </c>
      <c r="BG786" s="26">
        <f t="shared" ca="1" si="148"/>
        <v>0.74159600108780599</v>
      </c>
      <c r="BH786" s="29">
        <v>0</v>
      </c>
      <c r="BJ786" s="22">
        <v>45331</v>
      </c>
      <c r="BK786" s="26">
        <f t="shared" ca="1" si="149"/>
        <v>0.38507452680138243</v>
      </c>
      <c r="BL786" s="29">
        <v>0</v>
      </c>
      <c r="BN786" s="22">
        <v>45331</v>
      </c>
      <c r="BO786" s="26">
        <f t="shared" ca="1" si="150"/>
        <v>0.94122760156044216</v>
      </c>
      <c r="BP786" s="29">
        <v>0</v>
      </c>
      <c r="BR786" s="22">
        <v>45331</v>
      </c>
      <c r="BS786" s="26">
        <f t="shared" ca="1" si="151"/>
        <v>7.4326645955063109E-2</v>
      </c>
      <c r="BT786" s="29">
        <v>0</v>
      </c>
      <c r="BV786" s="22">
        <v>45331</v>
      </c>
      <c r="BW786" s="26">
        <f t="shared" ca="1" si="152"/>
        <v>0.36191894525915247</v>
      </c>
      <c r="BX786" s="29">
        <v>0</v>
      </c>
    </row>
    <row r="787" spans="2:76" ht="12.75" x14ac:dyDescent="0.2">
      <c r="B787" s="22">
        <v>45332</v>
      </c>
      <c r="C787" s="26">
        <f t="shared" ca="1" si="135"/>
        <v>0.7902717087956278</v>
      </c>
      <c r="D787" s="29">
        <v>0</v>
      </c>
      <c r="F787" s="22"/>
      <c r="G787" s="26">
        <f t="shared" ca="1" si="136"/>
        <v>0.55205903945454571</v>
      </c>
      <c r="H787" s="29">
        <v>0</v>
      </c>
      <c r="J787" s="22">
        <v>45332</v>
      </c>
      <c r="K787" s="26">
        <f t="shared" ca="1" si="137"/>
        <v>0.87764803147731851</v>
      </c>
      <c r="L787" s="29">
        <v>0</v>
      </c>
      <c r="N787" s="22">
        <v>45332</v>
      </c>
      <c r="O787" s="26">
        <f t="shared" ca="1" si="138"/>
        <v>0.91209414182312032</v>
      </c>
      <c r="P787" s="29">
        <v>0</v>
      </c>
      <c r="R787" s="22">
        <v>45332</v>
      </c>
      <c r="S787" s="26">
        <f t="shared" ca="1" si="139"/>
        <v>0.47145393280284453</v>
      </c>
      <c r="T787" s="29">
        <v>0</v>
      </c>
      <c r="V787" s="22">
        <v>45332</v>
      </c>
      <c r="W787" s="26">
        <f t="shared" ca="1" si="140"/>
        <v>0.98658685923461686</v>
      </c>
      <c r="X787" s="29">
        <v>0</v>
      </c>
      <c r="Z787" s="22">
        <v>45332</v>
      </c>
      <c r="AA787" s="26">
        <f t="shared" ca="1" si="141"/>
        <v>0.80697671348104827</v>
      </c>
      <c r="AB787" s="29">
        <v>0</v>
      </c>
      <c r="AC787"/>
      <c r="AD787" s="25"/>
      <c r="AF787" s="22">
        <v>45332</v>
      </c>
      <c r="AG787" s="26">
        <f t="shared" ca="1" si="142"/>
        <v>0.46943659521534742</v>
      </c>
      <c r="AH787" s="29">
        <v>0</v>
      </c>
      <c r="AJ787" s="22">
        <v>45332</v>
      </c>
      <c r="AK787" s="26">
        <f t="shared" ca="1" si="143"/>
        <v>0.81608437858243676</v>
      </c>
      <c r="AL787" s="29">
        <v>0</v>
      </c>
      <c r="AN787" s="22">
        <v>45332</v>
      </c>
      <c r="AO787" s="26">
        <f t="shared" ca="1" si="144"/>
        <v>0.40243126565725595</v>
      </c>
      <c r="AP787" s="29">
        <v>0</v>
      </c>
      <c r="AR787" s="22">
        <v>45332</v>
      </c>
      <c r="AS787" s="26">
        <f t="shared" ca="1" si="145"/>
        <v>0.7044627846742052</v>
      </c>
      <c r="AT787" s="29">
        <v>0</v>
      </c>
      <c r="AV787" s="22">
        <v>45332</v>
      </c>
      <c r="AW787" s="26">
        <f t="shared" ca="1" si="146"/>
        <v>0.60820113566749712</v>
      </c>
      <c r="AX787" s="29">
        <v>0</v>
      </c>
      <c r="AZ787" s="22">
        <v>45332</v>
      </c>
      <c r="BA787" s="26">
        <f t="shared" ca="1" si="147"/>
        <v>0.26517774675192518</v>
      </c>
      <c r="BB787" s="29">
        <v>0</v>
      </c>
      <c r="BC787"/>
      <c r="BD787" s="25"/>
      <c r="BF787" s="22">
        <v>45332</v>
      </c>
      <c r="BG787" s="26">
        <f t="shared" ca="1" si="148"/>
        <v>0.72912528775068908</v>
      </c>
      <c r="BH787" s="29">
        <v>0</v>
      </c>
      <c r="BJ787" s="22">
        <v>45332</v>
      </c>
      <c r="BK787" s="26">
        <f t="shared" ca="1" si="149"/>
        <v>0.26099327105978265</v>
      </c>
      <c r="BL787" s="29">
        <v>0</v>
      </c>
      <c r="BN787" s="22">
        <v>45332</v>
      </c>
      <c r="BO787" s="26">
        <f t="shared" ca="1" si="150"/>
        <v>0.36695075201819749</v>
      </c>
      <c r="BP787" s="29">
        <v>0</v>
      </c>
      <c r="BR787" s="22">
        <v>45332</v>
      </c>
      <c r="BS787" s="26">
        <f t="shared" ca="1" si="151"/>
        <v>0.86987945569248126</v>
      </c>
      <c r="BT787" s="29">
        <v>0</v>
      </c>
      <c r="BV787" s="22">
        <v>45332</v>
      </c>
      <c r="BW787" s="26">
        <f t="shared" ca="1" si="152"/>
        <v>0.92777619999468097</v>
      </c>
      <c r="BX787" s="29">
        <v>0</v>
      </c>
    </row>
    <row r="788" spans="2:76" ht="12.75" x14ac:dyDescent="0.2">
      <c r="B788" s="22">
        <v>45333</v>
      </c>
      <c r="C788" s="26">
        <f t="shared" ca="1" si="135"/>
        <v>0.36804577829036234</v>
      </c>
      <c r="D788" s="29">
        <v>0</v>
      </c>
      <c r="F788" s="22"/>
      <c r="G788" s="26">
        <f t="shared" ca="1" si="136"/>
        <v>0.64743313311032691</v>
      </c>
      <c r="H788" s="29">
        <v>0</v>
      </c>
      <c r="J788" s="22">
        <v>45333</v>
      </c>
      <c r="K788" s="26">
        <f t="shared" ca="1" si="137"/>
        <v>1.2926186264419548E-2</v>
      </c>
      <c r="L788" s="29">
        <v>0</v>
      </c>
      <c r="N788" s="22">
        <v>45333</v>
      </c>
      <c r="O788" s="26">
        <f t="shared" ca="1" si="138"/>
        <v>3.25740245020254E-2</v>
      </c>
      <c r="P788" s="29">
        <v>0</v>
      </c>
      <c r="R788" s="22">
        <v>45333</v>
      </c>
      <c r="S788" s="26">
        <f t="shared" ca="1" si="139"/>
        <v>0.53675963760588818</v>
      </c>
      <c r="T788" s="29">
        <v>0</v>
      </c>
      <c r="V788" s="22">
        <v>45333</v>
      </c>
      <c r="W788" s="26">
        <f t="shared" ca="1" si="140"/>
        <v>0.18385560571054615</v>
      </c>
      <c r="X788" s="29">
        <v>0</v>
      </c>
      <c r="Z788" s="22">
        <v>45333</v>
      </c>
      <c r="AA788" s="26">
        <f t="shared" ca="1" si="141"/>
        <v>0.1474785245810869</v>
      </c>
      <c r="AB788" s="29">
        <v>0</v>
      </c>
      <c r="AC788"/>
      <c r="AD788" s="25"/>
      <c r="AF788" s="22">
        <v>45333</v>
      </c>
      <c r="AG788" s="26">
        <f t="shared" ca="1" si="142"/>
        <v>0.96926626226146362</v>
      </c>
      <c r="AH788" s="29">
        <v>0</v>
      </c>
      <c r="AJ788" s="22">
        <v>45333</v>
      </c>
      <c r="AK788" s="26">
        <f t="shared" ca="1" si="143"/>
        <v>0.26273031715709827</v>
      </c>
      <c r="AL788" s="29">
        <v>0</v>
      </c>
      <c r="AN788" s="22">
        <v>45333</v>
      </c>
      <c r="AO788" s="26">
        <f t="shared" ca="1" si="144"/>
        <v>0.12711383347963179</v>
      </c>
      <c r="AP788" s="29">
        <v>0</v>
      </c>
      <c r="AR788" s="22">
        <v>45333</v>
      </c>
      <c r="AS788" s="26">
        <f t="shared" ca="1" si="145"/>
        <v>0.44527148645213488</v>
      </c>
      <c r="AT788" s="29">
        <v>0</v>
      </c>
      <c r="AV788" s="22">
        <v>45333</v>
      </c>
      <c r="AW788" s="26">
        <f t="shared" ca="1" si="146"/>
        <v>0.97478905879319255</v>
      </c>
      <c r="AX788" s="29">
        <v>0</v>
      </c>
      <c r="AZ788" s="22">
        <v>45333</v>
      </c>
      <c r="BA788" s="26">
        <f t="shared" ca="1" si="147"/>
        <v>0.58016316513088217</v>
      </c>
      <c r="BB788" s="29">
        <v>0</v>
      </c>
      <c r="BC788"/>
      <c r="BD788" s="25"/>
      <c r="BF788" s="22">
        <v>45333</v>
      </c>
      <c r="BG788" s="26">
        <f t="shared" ca="1" si="148"/>
        <v>0.27998337756194847</v>
      </c>
      <c r="BH788" s="29">
        <v>0</v>
      </c>
      <c r="BJ788" s="22">
        <v>45333</v>
      </c>
      <c r="BK788" s="26">
        <f t="shared" ca="1" si="149"/>
        <v>0.96694614167808202</v>
      </c>
      <c r="BL788" s="29">
        <v>0</v>
      </c>
      <c r="BN788" s="22">
        <v>45333</v>
      </c>
      <c r="BO788" s="26">
        <f t="shared" ca="1" si="150"/>
        <v>0.89789623860630985</v>
      </c>
      <c r="BP788" s="29">
        <v>0</v>
      </c>
      <c r="BR788" s="22">
        <v>45333</v>
      </c>
      <c r="BS788" s="26">
        <f t="shared" ca="1" si="151"/>
        <v>0.49123015569456763</v>
      </c>
      <c r="BT788" s="29">
        <v>0</v>
      </c>
      <c r="BV788" s="22">
        <v>45333</v>
      </c>
      <c r="BW788" s="26">
        <f t="shared" ca="1" si="152"/>
        <v>0.23449388572700713</v>
      </c>
      <c r="BX788" s="29">
        <v>0</v>
      </c>
    </row>
    <row r="789" spans="2:76" ht="12.75" x14ac:dyDescent="0.2">
      <c r="B789" s="22">
        <v>45334</v>
      </c>
      <c r="C789" s="26">
        <f t="shared" ca="1" si="135"/>
        <v>0.87714207124236232</v>
      </c>
      <c r="D789" s="29">
        <v>0</v>
      </c>
      <c r="F789" s="22"/>
      <c r="G789" s="26">
        <f t="shared" ca="1" si="136"/>
        <v>0.66786136452252587</v>
      </c>
      <c r="H789" s="29">
        <v>0</v>
      </c>
      <c r="J789" s="22">
        <v>45334</v>
      </c>
      <c r="K789" s="26">
        <f t="shared" ca="1" si="137"/>
        <v>0.22263775032770627</v>
      </c>
      <c r="L789" s="29">
        <v>0</v>
      </c>
      <c r="N789" s="22">
        <v>45334</v>
      </c>
      <c r="O789" s="26">
        <f t="shared" ca="1" si="138"/>
        <v>0.35944594158514698</v>
      </c>
      <c r="P789" s="29">
        <v>0</v>
      </c>
      <c r="R789" s="22">
        <v>45334</v>
      </c>
      <c r="S789" s="26">
        <f t="shared" ca="1" si="139"/>
        <v>0.17604592745700387</v>
      </c>
      <c r="T789" s="29">
        <v>0</v>
      </c>
      <c r="V789" s="22">
        <v>45334</v>
      </c>
      <c r="W789" s="26">
        <f t="shared" ca="1" si="140"/>
        <v>0.40684365928949662</v>
      </c>
      <c r="X789" s="29">
        <v>0</v>
      </c>
      <c r="Z789" s="22">
        <v>45334</v>
      </c>
      <c r="AA789" s="26">
        <f t="shared" ca="1" si="141"/>
        <v>0.2793089780813609</v>
      </c>
      <c r="AB789" s="29">
        <v>0</v>
      </c>
      <c r="AC789"/>
      <c r="AD789" s="25"/>
      <c r="AF789" s="22">
        <v>45334</v>
      </c>
      <c r="AG789" s="26">
        <f t="shared" ca="1" si="142"/>
        <v>0.66239033722303486</v>
      </c>
      <c r="AH789" s="29">
        <v>0</v>
      </c>
      <c r="AJ789" s="22">
        <v>45334</v>
      </c>
      <c r="AK789" s="26">
        <f t="shared" ca="1" si="143"/>
        <v>0.17365228337084859</v>
      </c>
      <c r="AL789" s="29">
        <v>0</v>
      </c>
      <c r="AN789" s="22">
        <v>45334</v>
      </c>
      <c r="AO789" s="26">
        <f t="shared" ca="1" si="144"/>
        <v>3.3924500321356521E-2</v>
      </c>
      <c r="AP789" s="29">
        <v>0</v>
      </c>
      <c r="AR789" s="22">
        <v>45334</v>
      </c>
      <c r="AS789" s="26">
        <f t="shared" ca="1" si="145"/>
        <v>0.93730855484345854</v>
      </c>
      <c r="AT789" s="29">
        <v>0</v>
      </c>
      <c r="AV789" s="22">
        <v>45334</v>
      </c>
      <c r="AW789" s="26">
        <f t="shared" ca="1" si="146"/>
        <v>0.33300854497104804</v>
      </c>
      <c r="AX789" s="29">
        <v>0</v>
      </c>
      <c r="AZ789" s="22">
        <v>45334</v>
      </c>
      <c r="BA789" s="26">
        <f t="shared" ca="1" si="147"/>
        <v>0.44095739126002631</v>
      </c>
      <c r="BB789" s="29">
        <v>0</v>
      </c>
      <c r="BC789"/>
      <c r="BD789" s="25"/>
      <c r="BF789" s="22">
        <v>45334</v>
      </c>
      <c r="BG789" s="26">
        <f t="shared" ca="1" si="148"/>
        <v>0.68793945511176136</v>
      </c>
      <c r="BH789" s="29">
        <v>0</v>
      </c>
      <c r="BJ789" s="22">
        <v>45334</v>
      </c>
      <c r="BK789" s="26">
        <f t="shared" ca="1" si="149"/>
        <v>0.48328351219621668</v>
      </c>
      <c r="BL789" s="29">
        <v>0</v>
      </c>
      <c r="BN789" s="22">
        <v>45334</v>
      </c>
      <c r="BO789" s="26">
        <f t="shared" ca="1" si="150"/>
        <v>3.2926289788494323E-2</v>
      </c>
      <c r="BP789" s="29">
        <v>0</v>
      </c>
      <c r="BR789" s="22">
        <v>45334</v>
      </c>
      <c r="BS789" s="26">
        <f t="shared" ca="1" si="151"/>
        <v>0.33348150165165757</v>
      </c>
      <c r="BT789" s="29">
        <v>0</v>
      </c>
      <c r="BV789" s="22">
        <v>45334</v>
      </c>
      <c r="BW789" s="26">
        <f t="shared" ca="1" si="152"/>
        <v>5.20472707262849E-2</v>
      </c>
      <c r="BX789" s="29">
        <v>0</v>
      </c>
    </row>
    <row r="790" spans="2:76" ht="12.75" x14ac:dyDescent="0.2">
      <c r="B790" s="22">
        <v>45335</v>
      </c>
      <c r="C790" s="26">
        <f t="shared" ca="1" si="135"/>
        <v>0.95415878254693598</v>
      </c>
      <c r="D790" s="29">
        <v>0</v>
      </c>
      <c r="F790" s="22"/>
      <c r="G790" s="26">
        <f t="shared" ca="1" si="136"/>
        <v>5.3509375951232063E-2</v>
      </c>
      <c r="H790" s="29">
        <v>0</v>
      </c>
      <c r="J790" s="22">
        <v>45335</v>
      </c>
      <c r="K790" s="26">
        <f t="shared" ca="1" si="137"/>
        <v>0.67862734302411309</v>
      </c>
      <c r="L790" s="29">
        <v>0</v>
      </c>
      <c r="N790" s="22">
        <v>45335</v>
      </c>
      <c r="O790" s="26">
        <f t="shared" ca="1" si="138"/>
        <v>0.72884284241821207</v>
      </c>
      <c r="P790" s="29">
        <v>0</v>
      </c>
      <c r="R790" s="22">
        <v>45335</v>
      </c>
      <c r="S790" s="26">
        <f t="shared" ca="1" si="139"/>
        <v>1.1763058626407252E-2</v>
      </c>
      <c r="T790" s="29">
        <v>0</v>
      </c>
      <c r="V790" s="22">
        <v>45335</v>
      </c>
      <c r="W790" s="26">
        <f t="shared" ca="1" si="140"/>
        <v>0.96302142218314835</v>
      </c>
      <c r="X790" s="29">
        <v>0</v>
      </c>
      <c r="Z790" s="22">
        <v>45335</v>
      </c>
      <c r="AA790" s="26">
        <f t="shared" ca="1" si="141"/>
        <v>1.6217218041561399E-2</v>
      </c>
      <c r="AB790" s="29">
        <v>0</v>
      </c>
      <c r="AC790"/>
      <c r="AD790" s="25"/>
      <c r="AF790" s="22">
        <v>45335</v>
      </c>
      <c r="AG790" s="26">
        <f t="shared" ca="1" si="142"/>
        <v>0.13441520108507321</v>
      </c>
      <c r="AH790" s="29">
        <v>0</v>
      </c>
      <c r="AJ790" s="22">
        <v>45335</v>
      </c>
      <c r="AK790" s="26">
        <f t="shared" ca="1" si="143"/>
        <v>0.49839833259446453</v>
      </c>
      <c r="AL790" s="29">
        <v>0</v>
      </c>
      <c r="AN790" s="22">
        <v>45335</v>
      </c>
      <c r="AO790" s="26">
        <f t="shared" ca="1" si="144"/>
        <v>0.74700502279206593</v>
      </c>
      <c r="AP790" s="29">
        <v>0</v>
      </c>
      <c r="AR790" s="22">
        <v>45335</v>
      </c>
      <c r="AS790" s="26">
        <f t="shared" ca="1" si="145"/>
        <v>0.12938033485203282</v>
      </c>
      <c r="AT790" s="29">
        <v>0</v>
      </c>
      <c r="AV790" s="22">
        <v>45335</v>
      </c>
      <c r="AW790" s="26">
        <f t="shared" ca="1" si="146"/>
        <v>0.36844957836892367</v>
      </c>
      <c r="AX790" s="29">
        <v>0</v>
      </c>
      <c r="AZ790" s="22">
        <v>45335</v>
      </c>
      <c r="BA790" s="26">
        <f t="shared" ca="1" si="147"/>
        <v>0.56912836486525997</v>
      </c>
      <c r="BB790" s="29">
        <v>0</v>
      </c>
      <c r="BC790"/>
      <c r="BD790" s="25"/>
      <c r="BF790" s="22">
        <v>45335</v>
      </c>
      <c r="BG790" s="26">
        <f t="shared" ca="1" si="148"/>
        <v>7.592288086363741E-2</v>
      </c>
      <c r="BH790" s="29">
        <v>0</v>
      </c>
      <c r="BJ790" s="22">
        <v>45335</v>
      </c>
      <c r="BK790" s="26">
        <f t="shared" ca="1" si="149"/>
        <v>0.72870272024677185</v>
      </c>
      <c r="BL790" s="29">
        <v>0</v>
      </c>
      <c r="BN790" s="22">
        <v>45335</v>
      </c>
      <c r="BO790" s="26">
        <f t="shared" ca="1" si="150"/>
        <v>0.52479194707807908</v>
      </c>
      <c r="BP790" s="29">
        <v>0</v>
      </c>
      <c r="BR790" s="22">
        <v>45335</v>
      </c>
      <c r="BS790" s="26">
        <f t="shared" ca="1" si="151"/>
        <v>0.20147844718520447</v>
      </c>
      <c r="BT790" s="29">
        <v>0</v>
      </c>
      <c r="BV790" s="22">
        <v>45335</v>
      </c>
      <c r="BW790" s="26">
        <f t="shared" ca="1" si="152"/>
        <v>0.85859508390147188</v>
      </c>
      <c r="BX790" s="29">
        <v>0</v>
      </c>
    </row>
    <row r="791" spans="2:76" ht="12.75" x14ac:dyDescent="0.2">
      <c r="B791" s="22">
        <v>45336</v>
      </c>
      <c r="C791" s="26">
        <f t="shared" ca="1" si="135"/>
        <v>0.1152523469830532</v>
      </c>
      <c r="D791" s="29">
        <v>0</v>
      </c>
      <c r="F791" s="22"/>
      <c r="G791" s="26">
        <f t="shared" ca="1" si="136"/>
        <v>0.38233367145485264</v>
      </c>
      <c r="H791" s="29">
        <v>0</v>
      </c>
      <c r="J791" s="22">
        <v>45336</v>
      </c>
      <c r="K791" s="26">
        <f t="shared" ca="1" si="137"/>
        <v>0.59288187051880614</v>
      </c>
      <c r="L791" s="29">
        <v>0</v>
      </c>
      <c r="N791" s="22">
        <v>45336</v>
      </c>
      <c r="O791" s="26">
        <f t="shared" ca="1" si="138"/>
        <v>0.11679107058269034</v>
      </c>
      <c r="P791" s="29">
        <v>0</v>
      </c>
      <c r="R791" s="22">
        <v>45336</v>
      </c>
      <c r="S791" s="26">
        <f t="shared" ca="1" si="139"/>
        <v>0.36322290436802862</v>
      </c>
      <c r="T791" s="29">
        <v>0</v>
      </c>
      <c r="V791" s="22">
        <v>45336</v>
      </c>
      <c r="W791" s="26">
        <f t="shared" ca="1" si="140"/>
        <v>0.59392544965046423</v>
      </c>
      <c r="X791" s="29">
        <v>0</v>
      </c>
      <c r="Z791" s="22">
        <v>45336</v>
      </c>
      <c r="AA791" s="26">
        <f t="shared" ca="1" si="141"/>
        <v>6.8832698340920651E-2</v>
      </c>
      <c r="AB791" s="29">
        <v>0</v>
      </c>
      <c r="AC791"/>
      <c r="AD791" s="25"/>
      <c r="AF791" s="22">
        <v>45336</v>
      </c>
      <c r="AG791" s="26">
        <f t="shared" ca="1" si="142"/>
        <v>7.3609164822803885E-2</v>
      </c>
      <c r="AH791" s="29">
        <v>0</v>
      </c>
      <c r="AJ791" s="22">
        <v>45336</v>
      </c>
      <c r="AK791" s="26">
        <f t="shared" ca="1" si="143"/>
        <v>0.40137943094914108</v>
      </c>
      <c r="AL791" s="29">
        <v>0</v>
      </c>
      <c r="AN791" s="22">
        <v>45336</v>
      </c>
      <c r="AO791" s="26">
        <f t="shared" ca="1" si="144"/>
        <v>1.2402960693164156E-2</v>
      </c>
      <c r="AP791" s="29">
        <v>0</v>
      </c>
      <c r="AR791" s="22">
        <v>45336</v>
      </c>
      <c r="AS791" s="26">
        <f t="shared" ca="1" si="145"/>
        <v>0.46666736408276743</v>
      </c>
      <c r="AT791" s="29">
        <v>0</v>
      </c>
      <c r="AV791" s="22">
        <v>45336</v>
      </c>
      <c r="AW791" s="26">
        <f t="shared" ca="1" si="146"/>
        <v>0.4076001485286197</v>
      </c>
      <c r="AX791" s="29">
        <v>0</v>
      </c>
      <c r="AZ791" s="22">
        <v>45336</v>
      </c>
      <c r="BA791" s="26">
        <f t="shared" ca="1" si="147"/>
        <v>2.5574312569040747E-2</v>
      </c>
      <c r="BB791" s="29">
        <v>0</v>
      </c>
      <c r="BC791"/>
      <c r="BD791" s="25"/>
      <c r="BF791" s="22">
        <v>45336</v>
      </c>
      <c r="BG791" s="26">
        <f t="shared" ca="1" si="148"/>
        <v>0.94213123282745448</v>
      </c>
      <c r="BH791" s="29">
        <v>0</v>
      </c>
      <c r="BJ791" s="22">
        <v>45336</v>
      </c>
      <c r="BK791" s="26">
        <f t="shared" ca="1" si="149"/>
        <v>0.62187313839130387</v>
      </c>
      <c r="BL791" s="29">
        <v>0</v>
      </c>
      <c r="BN791" s="22">
        <v>45336</v>
      </c>
      <c r="BO791" s="26">
        <f t="shared" ca="1" si="150"/>
        <v>0.14878569919195728</v>
      </c>
      <c r="BP791" s="29">
        <v>0</v>
      </c>
      <c r="BR791" s="22">
        <v>45336</v>
      </c>
      <c r="BS791" s="26">
        <f t="shared" ca="1" si="151"/>
        <v>0.74224014398045379</v>
      </c>
      <c r="BT791" s="29">
        <v>0</v>
      </c>
      <c r="BV791" s="22">
        <v>45336</v>
      </c>
      <c r="BW791" s="26">
        <f t="shared" ca="1" si="152"/>
        <v>0.24602819141602272</v>
      </c>
      <c r="BX791" s="29">
        <v>0</v>
      </c>
    </row>
    <row r="792" spans="2:76" ht="12.75" x14ac:dyDescent="0.2">
      <c r="B792" s="22">
        <v>45337</v>
      </c>
      <c r="C792" s="26">
        <f t="shared" ca="1" si="135"/>
        <v>0.50730740470399427</v>
      </c>
      <c r="D792" s="29">
        <f t="shared" ref="D792:D845" ca="1" si="169">ROUNDUP(_xlfn.NORM.INV(C792,C$10,C$12),0)</f>
        <v>76</v>
      </c>
      <c r="F792" s="22"/>
      <c r="G792" s="26">
        <f t="shared" ca="1" si="136"/>
        <v>0.81761419485414666</v>
      </c>
      <c r="H792" s="29">
        <f t="shared" ref="H792:H845" ca="1" si="170">ROUNDUP(_xlfn.NORM.INV(G792,G$10,G$12),0)</f>
        <v>229</v>
      </c>
      <c r="J792" s="22">
        <v>45337</v>
      </c>
      <c r="K792" s="26">
        <f t="shared" ca="1" si="137"/>
        <v>0.49440560881938755</v>
      </c>
      <c r="L792" s="29">
        <f t="shared" ref="L792:L845" ca="1" si="171">ROUNDUP(_xlfn.NORM.INV(K792,K$10,K$12),0)</f>
        <v>150</v>
      </c>
      <c r="N792" s="22">
        <v>45337</v>
      </c>
      <c r="O792" s="26">
        <f t="shared" ca="1" si="138"/>
        <v>0.22204941041014747</v>
      </c>
      <c r="P792" s="29">
        <f t="shared" ref="P792:P845" ca="1" si="172">ROUNDUP(_xlfn.NORM.INV(O792,O$10,O$12),0)</f>
        <v>218</v>
      </c>
      <c r="R792" s="22">
        <v>45337</v>
      </c>
      <c r="S792" s="26">
        <f t="shared" ca="1" si="139"/>
        <v>0.24941442548254189</v>
      </c>
      <c r="T792" s="29">
        <f t="shared" ref="T792:T845" ca="1" si="173">ROUNDUP(_xlfn.NORM.INV(S792,S$10,S$12),0)</f>
        <v>133</v>
      </c>
      <c r="V792" s="22">
        <v>45337</v>
      </c>
      <c r="W792" s="26">
        <f t="shared" ca="1" si="140"/>
        <v>0.99548115856471453</v>
      </c>
      <c r="X792" s="29">
        <f t="shared" ref="X792:X845" ca="1" si="174">ROUNDUP(_xlfn.NORM.INV(W792,W$10,W$12),0)</f>
        <v>265</v>
      </c>
      <c r="Z792" s="22">
        <v>45337</v>
      </c>
      <c r="AA792" s="26">
        <f t="shared" ca="1" si="141"/>
        <v>0.98864798462977621</v>
      </c>
      <c r="AB792" s="29">
        <f t="shared" ref="AB792:AB845" ca="1" si="175">ROUNDUP(_xlfn.NORM.INV(AA792,AA$10,AA$12),0)</f>
        <v>312</v>
      </c>
      <c r="AC792"/>
      <c r="AD792" s="25"/>
      <c r="AF792" s="22">
        <v>45337</v>
      </c>
      <c r="AG792" s="26">
        <f t="shared" ca="1" si="142"/>
        <v>0.15030618245142602</v>
      </c>
      <c r="AH792" s="29">
        <f t="shared" ref="AH792:AH845" ca="1" si="176">ROUNDUP(_xlfn.NORM.INV(AG792,AG$10,AG$12),0)</f>
        <v>237</v>
      </c>
      <c r="AJ792" s="22">
        <v>45337</v>
      </c>
      <c r="AK792" s="26">
        <f t="shared" ca="1" si="143"/>
        <v>0.62114833130018299</v>
      </c>
      <c r="AL792" s="29">
        <f t="shared" ref="AL792:AL845" ca="1" si="177">ROUNDUP(_xlfn.NORM.INV(AK792,AK$10,AK$12),0)</f>
        <v>195</v>
      </c>
      <c r="AN792" s="22">
        <v>45337</v>
      </c>
      <c r="AO792" s="26">
        <f t="shared" ca="1" si="144"/>
        <v>0.70210583825202511</v>
      </c>
      <c r="AP792" s="29">
        <f t="shared" ref="AP792:AP845" ca="1" si="178">ROUNDUP(_xlfn.NORM.INV(AO792,AO$10,AO$12),0)</f>
        <v>168</v>
      </c>
      <c r="AR792" s="22">
        <v>45337</v>
      </c>
      <c r="AS792" s="26">
        <f t="shared" ca="1" si="145"/>
        <v>0.37075442936787317</v>
      </c>
      <c r="AT792" s="29">
        <f t="shared" ref="AT792:AT845" ca="1" si="179">ROUNDUP(_xlfn.NORM.INV(AS792,AS$10,AS$12),0)</f>
        <v>198</v>
      </c>
      <c r="AV792" s="22">
        <v>45337</v>
      </c>
      <c r="AW792" s="26">
        <f t="shared" ca="1" si="146"/>
        <v>0.93271318043535878</v>
      </c>
      <c r="AX792" s="29">
        <f t="shared" ref="AX792:AX845" ca="1" si="180">ROUNDUP(_xlfn.NORM.INV(AW792,AW$10,AW$12),0)</f>
        <v>269</v>
      </c>
      <c r="AZ792" s="22">
        <v>45337</v>
      </c>
      <c r="BA792" s="26">
        <f t="shared" ca="1" si="147"/>
        <v>0.36345095552113793</v>
      </c>
      <c r="BB792" s="29">
        <f t="shared" ref="BB792:BB845" ca="1" si="181">ROUNDUP(_xlfn.NORM.INV(BA792,BA$10,BA$12),0)</f>
        <v>164</v>
      </c>
      <c r="BC792"/>
      <c r="BD792" s="25"/>
      <c r="BF792" s="22">
        <v>45337</v>
      </c>
      <c r="BG792" s="26">
        <f t="shared" ca="1" si="148"/>
        <v>0.41329141542902104</v>
      </c>
      <c r="BH792" s="29">
        <f t="shared" ref="BH792:BH845" ca="1" si="182">ROUNDUP(_xlfn.NORM.INV(BG792,BG$10,BG$12),0)</f>
        <v>151</v>
      </c>
      <c r="BJ792" s="22">
        <v>45337</v>
      </c>
      <c r="BK792" s="26">
        <f t="shared" ca="1" si="149"/>
        <v>0.28750640324653687</v>
      </c>
      <c r="BL792" s="29">
        <f t="shared" ref="BL792:BL845" ca="1" si="183">ROUNDUP(_xlfn.NORM.INV(BK792,BK$10,BK$12),0)</f>
        <v>140</v>
      </c>
      <c r="BN792" s="22">
        <v>45337</v>
      </c>
      <c r="BO792" s="26">
        <f t="shared" ca="1" si="150"/>
        <v>0.62776584720077466</v>
      </c>
      <c r="BP792" s="29">
        <f t="shared" ref="BP792:BP845" ca="1" si="184">ROUNDUP(_xlfn.NORM.INV(BO792,BO$10,BO$12),0)</f>
        <v>143</v>
      </c>
      <c r="BR792" s="22">
        <v>45337</v>
      </c>
      <c r="BS792" s="26">
        <f t="shared" ca="1" si="151"/>
        <v>0.28494249955252171</v>
      </c>
      <c r="BT792" s="29">
        <v>0</v>
      </c>
      <c r="BV792" s="22">
        <v>45337</v>
      </c>
      <c r="BW792" s="26">
        <f t="shared" ca="1" si="152"/>
        <v>0.53036842540445683</v>
      </c>
      <c r="BX792" s="29">
        <v>0</v>
      </c>
    </row>
    <row r="793" spans="2:76" ht="12.75" x14ac:dyDescent="0.2">
      <c r="B793" s="22">
        <v>45338</v>
      </c>
      <c r="C793" s="26">
        <f t="shared" ca="1" si="135"/>
        <v>0.74981032925830693</v>
      </c>
      <c r="D793" s="29">
        <f t="shared" ca="1" si="169"/>
        <v>89</v>
      </c>
      <c r="F793" s="22"/>
      <c r="G793" s="26">
        <f t="shared" ca="1" si="136"/>
        <v>0.5035490176124966</v>
      </c>
      <c r="H793" s="29">
        <f t="shared" ca="1" si="170"/>
        <v>216</v>
      </c>
      <c r="J793" s="22">
        <v>45338</v>
      </c>
      <c r="K793" s="26">
        <f t="shared" ca="1" si="137"/>
        <v>0.90199057604514254</v>
      </c>
      <c r="L793" s="29">
        <f t="shared" ca="1" si="171"/>
        <v>163</v>
      </c>
      <c r="N793" s="22">
        <v>45338</v>
      </c>
      <c r="O793" s="26">
        <f t="shared" ca="1" si="138"/>
        <v>0.1630894455894486</v>
      </c>
      <c r="P793" s="29">
        <f t="shared" ca="1" si="172"/>
        <v>215</v>
      </c>
      <c r="R793" s="22">
        <v>45338</v>
      </c>
      <c r="S793" s="26">
        <f t="shared" ca="1" si="139"/>
        <v>0.47086260840581839</v>
      </c>
      <c r="T793" s="29">
        <f t="shared" ca="1" si="173"/>
        <v>139</v>
      </c>
      <c r="V793" s="22">
        <v>45338</v>
      </c>
      <c r="W793" s="26">
        <f t="shared" ca="1" si="140"/>
        <v>0.83058002065992365</v>
      </c>
      <c r="X793" s="29">
        <f t="shared" ca="1" si="174"/>
        <v>240</v>
      </c>
      <c r="Z793" s="22">
        <v>45338</v>
      </c>
      <c r="AA793" s="26">
        <f t="shared" ca="1" si="141"/>
        <v>0.56369192637720644</v>
      </c>
      <c r="AB793" s="29">
        <f t="shared" ca="1" si="175"/>
        <v>273</v>
      </c>
      <c r="AC793"/>
      <c r="AD793" s="25"/>
      <c r="AF793" s="22">
        <v>45338</v>
      </c>
      <c r="AG793" s="26">
        <f t="shared" ca="1" si="142"/>
        <v>0.5231294828508487</v>
      </c>
      <c r="AH793" s="29">
        <f t="shared" ca="1" si="176"/>
        <v>333</v>
      </c>
      <c r="AJ793" s="22">
        <v>45338</v>
      </c>
      <c r="AK793" s="26">
        <f t="shared" ca="1" si="143"/>
        <v>0.79176071161238448</v>
      </c>
      <c r="AL793" s="29">
        <f t="shared" ca="1" si="177"/>
        <v>219</v>
      </c>
      <c r="AN793" s="22">
        <v>45338</v>
      </c>
      <c r="AO793" s="26">
        <f t="shared" ca="1" si="144"/>
        <v>0.60538632918438373</v>
      </c>
      <c r="AP793" s="29">
        <f t="shared" ca="1" si="178"/>
        <v>158</v>
      </c>
      <c r="AR793" s="22">
        <v>45338</v>
      </c>
      <c r="AS793" s="26">
        <f t="shared" ca="1" si="145"/>
        <v>0.92161175707838072</v>
      </c>
      <c r="AT793" s="29">
        <f t="shared" ca="1" si="179"/>
        <v>299</v>
      </c>
      <c r="AV793" s="22">
        <v>45338</v>
      </c>
      <c r="AW793" s="26">
        <f t="shared" ca="1" si="146"/>
        <v>9.7866080560827684E-2</v>
      </c>
      <c r="AX793" s="29">
        <f t="shared" ca="1" si="180"/>
        <v>126</v>
      </c>
      <c r="AZ793" s="22">
        <v>45338</v>
      </c>
      <c r="BA793" s="26">
        <f t="shared" ca="1" si="147"/>
        <v>0.84957706790001097</v>
      </c>
      <c r="BB793" s="29">
        <f t="shared" ca="1" si="181"/>
        <v>230</v>
      </c>
      <c r="BC793"/>
      <c r="BD793" s="25"/>
      <c r="BF793" s="22">
        <v>45338</v>
      </c>
      <c r="BG793" s="26">
        <f t="shared" ca="1" si="148"/>
        <v>0.72157320479525489</v>
      </c>
      <c r="BH793" s="29">
        <f t="shared" ca="1" si="182"/>
        <v>185</v>
      </c>
      <c r="BJ793" s="22">
        <v>45338</v>
      </c>
      <c r="BK793" s="26">
        <f t="shared" ca="1" si="149"/>
        <v>0.8863069732328922</v>
      </c>
      <c r="BL793" s="29">
        <f t="shared" ca="1" si="183"/>
        <v>218</v>
      </c>
      <c r="BN793" s="22">
        <v>45338</v>
      </c>
      <c r="BO793" s="26">
        <f t="shared" ca="1" si="150"/>
        <v>0.99764114747180954</v>
      </c>
      <c r="BP793" s="29">
        <f t="shared" ca="1" si="184"/>
        <v>230</v>
      </c>
      <c r="BR793" s="22">
        <v>45338</v>
      </c>
      <c r="BS793" s="26">
        <f t="shared" ca="1" si="151"/>
        <v>0.87943736628708213</v>
      </c>
      <c r="BT793" s="29">
        <v>0</v>
      </c>
      <c r="BV793" s="22">
        <v>45338</v>
      </c>
      <c r="BW793" s="26">
        <f t="shared" ca="1" si="152"/>
        <v>4.4242001768994732E-2</v>
      </c>
      <c r="BX793" s="29">
        <v>0</v>
      </c>
    </row>
    <row r="794" spans="2:76" ht="12.75" x14ac:dyDescent="0.2">
      <c r="B794" s="22">
        <v>45339</v>
      </c>
      <c r="C794" s="26">
        <f t="shared" ca="1" si="135"/>
        <v>0.34603161753030931</v>
      </c>
      <c r="D794" s="29">
        <f t="shared" ca="1" si="169"/>
        <v>68</v>
      </c>
      <c r="F794" s="22"/>
      <c r="G794" s="26">
        <f t="shared" ca="1" si="136"/>
        <v>0.4354313254584441</v>
      </c>
      <c r="H794" s="29">
        <f t="shared" ca="1" si="170"/>
        <v>214</v>
      </c>
      <c r="J794" s="22">
        <v>45339</v>
      </c>
      <c r="K794" s="26">
        <f t="shared" ca="1" si="137"/>
        <v>0.47350582207417968</v>
      </c>
      <c r="L794" s="29">
        <f t="shared" ca="1" si="171"/>
        <v>150</v>
      </c>
      <c r="N794" s="22">
        <v>45339</v>
      </c>
      <c r="O794" s="26">
        <f t="shared" ca="1" si="138"/>
        <v>0.69846927085782928</v>
      </c>
      <c r="P794" s="29">
        <f t="shared" ca="1" si="172"/>
        <v>238</v>
      </c>
      <c r="R794" s="22">
        <v>45339</v>
      </c>
      <c r="S794" s="26">
        <f t="shared" ca="1" si="139"/>
        <v>0.53670137635880621</v>
      </c>
      <c r="T794" s="29">
        <f t="shared" ca="1" si="173"/>
        <v>140</v>
      </c>
      <c r="V794" s="22">
        <v>45339</v>
      </c>
      <c r="W794" s="26">
        <f t="shared" ca="1" si="140"/>
        <v>0.28106371508357908</v>
      </c>
      <c r="X794" s="29">
        <f t="shared" ca="1" si="174"/>
        <v>217</v>
      </c>
      <c r="Z794" s="22">
        <v>45339</v>
      </c>
      <c r="AA794" s="26">
        <f t="shared" ca="1" si="141"/>
        <v>0.5868544524064393</v>
      </c>
      <c r="AB794" s="29">
        <f t="shared" ca="1" si="175"/>
        <v>274</v>
      </c>
      <c r="AC794"/>
      <c r="AD794" s="25"/>
      <c r="AF794" s="22">
        <v>45339</v>
      </c>
      <c r="AG794" s="26">
        <f t="shared" ca="1" si="142"/>
        <v>0.796031252946929</v>
      </c>
      <c r="AH794" s="29">
        <f t="shared" ca="1" si="176"/>
        <v>400</v>
      </c>
      <c r="AJ794" s="22">
        <v>45339</v>
      </c>
      <c r="AK794" s="26">
        <f t="shared" ca="1" si="143"/>
        <v>0.39084843608596886</v>
      </c>
      <c r="AL794" s="29">
        <f t="shared" ca="1" si="177"/>
        <v>167</v>
      </c>
      <c r="AN794" s="22">
        <v>45339</v>
      </c>
      <c r="AO794" s="26">
        <f t="shared" ca="1" si="144"/>
        <v>0.71224916489032419</v>
      </c>
      <c r="AP794" s="29">
        <f t="shared" ca="1" si="178"/>
        <v>170</v>
      </c>
      <c r="AR794" s="22">
        <v>45339</v>
      </c>
      <c r="AS794" s="26">
        <f t="shared" ca="1" si="145"/>
        <v>0.19197898703880811</v>
      </c>
      <c r="AT794" s="29">
        <f t="shared" ca="1" si="179"/>
        <v>167</v>
      </c>
      <c r="AV794" s="22">
        <v>45339</v>
      </c>
      <c r="AW794" s="26">
        <f t="shared" ca="1" si="146"/>
        <v>0.35768635639359769</v>
      </c>
      <c r="AX794" s="29">
        <f t="shared" ca="1" si="180"/>
        <v>174</v>
      </c>
      <c r="AZ794" s="22">
        <v>45339</v>
      </c>
      <c r="BA794" s="26">
        <f t="shared" ca="1" si="147"/>
        <v>0.21179234544802683</v>
      </c>
      <c r="BB794" s="29">
        <f t="shared" ca="1" si="181"/>
        <v>142</v>
      </c>
      <c r="BC794"/>
      <c r="BD794" s="25"/>
      <c r="BF794" s="22">
        <v>45339</v>
      </c>
      <c r="BG794" s="26">
        <f t="shared" ca="1" si="148"/>
        <v>0.85809443018609033</v>
      </c>
      <c r="BH794" s="29">
        <f t="shared" ca="1" si="182"/>
        <v>206</v>
      </c>
      <c r="BJ794" s="22">
        <v>45339</v>
      </c>
      <c r="BK794" s="26">
        <f t="shared" ca="1" si="149"/>
        <v>0.61108874662699764</v>
      </c>
      <c r="BL794" s="29">
        <f t="shared" ca="1" si="183"/>
        <v>177</v>
      </c>
      <c r="BN794" s="22">
        <v>45339</v>
      </c>
      <c r="BO794" s="26">
        <f t="shared" ca="1" si="150"/>
        <v>5.9924900522786428E-2</v>
      </c>
      <c r="BP794" s="29">
        <f t="shared" ca="1" si="184"/>
        <v>77</v>
      </c>
      <c r="BR794" s="22">
        <v>45339</v>
      </c>
      <c r="BS794" s="26">
        <f t="shared" ca="1" si="151"/>
        <v>0.92240438357613896</v>
      </c>
      <c r="BT794" s="29">
        <v>0</v>
      </c>
      <c r="BV794" s="22">
        <v>45339</v>
      </c>
      <c r="BW794" s="26">
        <f t="shared" ca="1" si="152"/>
        <v>0.97929209821905894</v>
      </c>
      <c r="BX794" s="29">
        <v>0</v>
      </c>
    </row>
    <row r="795" spans="2:76" ht="12.75" x14ac:dyDescent="0.2">
      <c r="B795" s="22">
        <v>45340</v>
      </c>
      <c r="C795" s="26">
        <f t="shared" ca="1" si="135"/>
        <v>0.65060679206103711</v>
      </c>
      <c r="D795" s="29">
        <f t="shared" ca="1" si="169"/>
        <v>83</v>
      </c>
      <c r="F795" s="22"/>
      <c r="G795" s="26">
        <f t="shared" ca="1" si="136"/>
        <v>0.18385810900633903</v>
      </c>
      <c r="H795" s="29">
        <f t="shared" ca="1" si="170"/>
        <v>203</v>
      </c>
      <c r="J795" s="22">
        <v>45340</v>
      </c>
      <c r="K795" s="26">
        <f t="shared" ca="1" si="137"/>
        <v>0.80888712791130835</v>
      </c>
      <c r="L795" s="29">
        <f t="shared" ca="1" si="171"/>
        <v>159</v>
      </c>
      <c r="N795" s="22">
        <v>45340</v>
      </c>
      <c r="O795" s="26">
        <f t="shared" ca="1" si="138"/>
        <v>0.62610549615917255</v>
      </c>
      <c r="P795" s="29">
        <f t="shared" ca="1" si="172"/>
        <v>235</v>
      </c>
      <c r="R795" s="22">
        <v>45340</v>
      </c>
      <c r="S795" s="26">
        <f t="shared" ca="1" si="139"/>
        <v>0.81650510302727919</v>
      </c>
      <c r="T795" s="29">
        <f t="shared" ca="1" si="173"/>
        <v>148</v>
      </c>
      <c r="V795" s="22">
        <v>45340</v>
      </c>
      <c r="W795" s="26">
        <f t="shared" ca="1" si="140"/>
        <v>0.31361939474066691</v>
      </c>
      <c r="X795" s="29">
        <f t="shared" ca="1" si="174"/>
        <v>218</v>
      </c>
      <c r="Z795" s="22">
        <v>45340</v>
      </c>
      <c r="AA795" s="26">
        <f t="shared" ca="1" si="141"/>
        <v>0.36476073724301428</v>
      </c>
      <c r="AB795" s="29">
        <f t="shared" ca="1" si="175"/>
        <v>264</v>
      </c>
      <c r="AC795"/>
      <c r="AD795" s="25"/>
      <c r="AF795" s="22">
        <v>45340</v>
      </c>
      <c r="AG795" s="26">
        <f t="shared" ca="1" si="142"/>
        <v>0.60565790117537344</v>
      </c>
      <c r="AH795" s="29">
        <f t="shared" ca="1" si="176"/>
        <v>351</v>
      </c>
      <c r="AJ795" s="22">
        <v>45340</v>
      </c>
      <c r="AK795" s="26">
        <f t="shared" ca="1" si="143"/>
        <v>0.52925850490863235</v>
      </c>
      <c r="AL795" s="29">
        <f t="shared" ca="1" si="177"/>
        <v>184</v>
      </c>
      <c r="AN795" s="22">
        <v>45340</v>
      </c>
      <c r="AO795" s="26">
        <f t="shared" ca="1" si="144"/>
        <v>0.10808030741482322</v>
      </c>
      <c r="AP795" s="29">
        <f t="shared" ca="1" si="178"/>
        <v>99</v>
      </c>
      <c r="AR795" s="22">
        <v>45340</v>
      </c>
      <c r="AS795" s="26">
        <f t="shared" ca="1" si="145"/>
        <v>0.56150089030477646</v>
      </c>
      <c r="AT795" s="29">
        <f t="shared" ca="1" si="179"/>
        <v>226</v>
      </c>
      <c r="AV795" s="22">
        <v>45340</v>
      </c>
      <c r="AW795" s="26">
        <f t="shared" ca="1" si="146"/>
        <v>9.4736025047417183E-2</v>
      </c>
      <c r="AX795" s="29">
        <f t="shared" ca="1" si="180"/>
        <v>125</v>
      </c>
      <c r="AZ795" s="22">
        <v>45340</v>
      </c>
      <c r="BA795" s="26">
        <f t="shared" ca="1" si="147"/>
        <v>0.65115184698123751</v>
      </c>
      <c r="BB795" s="29">
        <f t="shared" ca="1" si="181"/>
        <v>199</v>
      </c>
      <c r="BC795"/>
      <c r="BD795" s="25"/>
      <c r="BF795" s="22">
        <v>45340</v>
      </c>
      <c r="BG795" s="26">
        <f t="shared" ca="1" si="148"/>
        <v>0.78054987160941403</v>
      </c>
      <c r="BH795" s="29">
        <f t="shared" ca="1" si="182"/>
        <v>193</v>
      </c>
      <c r="BJ795" s="22">
        <v>45340</v>
      </c>
      <c r="BK795" s="26">
        <f t="shared" ca="1" si="149"/>
        <v>0.94373712741244264</v>
      </c>
      <c r="BL795" s="29">
        <f t="shared" ca="1" si="183"/>
        <v>235</v>
      </c>
      <c r="BN795" s="22">
        <v>45340</v>
      </c>
      <c r="BO795" s="26">
        <f t="shared" ca="1" si="150"/>
        <v>0.93449695867250659</v>
      </c>
      <c r="BP795" s="29">
        <f t="shared" ca="1" si="184"/>
        <v>184</v>
      </c>
      <c r="BR795" s="22">
        <v>45340</v>
      </c>
      <c r="BS795" s="26">
        <f t="shared" ca="1" si="151"/>
        <v>0.87039007342840524</v>
      </c>
      <c r="BT795" s="29">
        <v>0</v>
      </c>
      <c r="BV795" s="22">
        <v>45340</v>
      </c>
      <c r="BW795" s="26">
        <f t="shared" ca="1" si="152"/>
        <v>0.19402324424631934</v>
      </c>
      <c r="BX795" s="29">
        <v>0</v>
      </c>
    </row>
    <row r="796" spans="2:76" ht="12.75" x14ac:dyDescent="0.2">
      <c r="B796" s="22">
        <v>45341</v>
      </c>
      <c r="C796" s="26">
        <f t="shared" ca="1" si="135"/>
        <v>0.53022608339179944</v>
      </c>
      <c r="D796" s="29">
        <f t="shared" ca="1" si="169"/>
        <v>77</v>
      </c>
      <c r="F796" s="22"/>
      <c r="G796" s="26">
        <f t="shared" ca="1" si="136"/>
        <v>0.62351944392101177</v>
      </c>
      <c r="H796" s="29">
        <f t="shared" ca="1" si="170"/>
        <v>220</v>
      </c>
      <c r="J796" s="22">
        <v>45341</v>
      </c>
      <c r="K796" s="26">
        <f t="shared" ca="1" si="137"/>
        <v>0.44987262645257398</v>
      </c>
      <c r="L796" s="29">
        <f t="shared" ca="1" si="171"/>
        <v>149</v>
      </c>
      <c r="N796" s="22">
        <v>45341</v>
      </c>
      <c r="O796" s="26">
        <f t="shared" ca="1" si="138"/>
        <v>0.75138838502535155</v>
      </c>
      <c r="P796" s="29">
        <f t="shared" ca="1" si="172"/>
        <v>240</v>
      </c>
      <c r="R796" s="22">
        <v>45341</v>
      </c>
      <c r="S796" s="26">
        <f t="shared" ca="1" si="139"/>
        <v>0.74891515427241362</v>
      </c>
      <c r="T796" s="29">
        <f t="shared" ca="1" si="173"/>
        <v>145</v>
      </c>
      <c r="V796" s="22">
        <v>45341</v>
      </c>
      <c r="W796" s="26">
        <f t="shared" ca="1" si="140"/>
        <v>0.33042925182466276</v>
      </c>
      <c r="X796" s="29">
        <f t="shared" ca="1" si="174"/>
        <v>219</v>
      </c>
      <c r="Z796" s="22">
        <v>45341</v>
      </c>
      <c r="AA796" s="26">
        <f t="shared" ca="1" si="141"/>
        <v>0.30481226704148945</v>
      </c>
      <c r="AB796" s="29">
        <f t="shared" ca="1" si="175"/>
        <v>261</v>
      </c>
      <c r="AC796"/>
      <c r="AD796" s="25"/>
      <c r="AF796" s="22">
        <v>45341</v>
      </c>
      <c r="AG796" s="26">
        <f t="shared" ca="1" si="142"/>
        <v>0.24783469644900324</v>
      </c>
      <c r="AH796" s="29">
        <f t="shared" ca="1" si="176"/>
        <v>268</v>
      </c>
      <c r="AJ796" s="22">
        <v>45341</v>
      </c>
      <c r="AK796" s="26">
        <f t="shared" ca="1" si="143"/>
        <v>0.61652100050266367</v>
      </c>
      <c r="AL796" s="29">
        <f t="shared" ca="1" si="177"/>
        <v>195</v>
      </c>
      <c r="AN796" s="22">
        <v>45341</v>
      </c>
      <c r="AO796" s="26">
        <f t="shared" ca="1" si="144"/>
        <v>0.7852227932874577</v>
      </c>
      <c r="AP796" s="29">
        <f t="shared" ca="1" si="178"/>
        <v>179</v>
      </c>
      <c r="AR796" s="22">
        <v>45341</v>
      </c>
      <c r="AS796" s="26">
        <f t="shared" ca="1" si="145"/>
        <v>0.75239189671413453</v>
      </c>
      <c r="AT796" s="29">
        <f t="shared" ca="1" si="179"/>
        <v>257</v>
      </c>
      <c r="AV796" s="22">
        <v>45341</v>
      </c>
      <c r="AW796" s="26">
        <f t="shared" ca="1" si="146"/>
        <v>0.21915565084772426</v>
      </c>
      <c r="AX796" s="29">
        <f t="shared" ca="1" si="180"/>
        <v>153</v>
      </c>
      <c r="AZ796" s="22">
        <v>45341</v>
      </c>
      <c r="BA796" s="26">
        <f t="shared" ca="1" si="147"/>
        <v>0.53748664226746379</v>
      </c>
      <c r="BB796" s="29">
        <f t="shared" ca="1" si="181"/>
        <v>185</v>
      </c>
      <c r="BC796"/>
      <c r="BD796" s="25"/>
      <c r="BF796" s="22">
        <v>45341</v>
      </c>
      <c r="BG796" s="26">
        <f t="shared" ca="1" si="148"/>
        <v>0.21508244810231669</v>
      </c>
      <c r="BH796" s="29">
        <f t="shared" ca="1" si="182"/>
        <v>127</v>
      </c>
      <c r="BJ796" s="22">
        <v>45341</v>
      </c>
      <c r="BK796" s="26">
        <f t="shared" ca="1" si="149"/>
        <v>0.35135880609720949</v>
      </c>
      <c r="BL796" s="29">
        <f t="shared" ca="1" si="183"/>
        <v>148</v>
      </c>
      <c r="BN796" s="22">
        <v>45341</v>
      </c>
      <c r="BO796" s="26">
        <f t="shared" ca="1" si="150"/>
        <v>0.87251916962150899</v>
      </c>
      <c r="BP796" s="29">
        <f t="shared" ca="1" si="184"/>
        <v>171</v>
      </c>
      <c r="BR796" s="22">
        <v>45341</v>
      </c>
      <c r="BS796" s="26">
        <f t="shared" ca="1" si="151"/>
        <v>0.8375895900832544</v>
      </c>
      <c r="BT796" s="29">
        <v>0</v>
      </c>
      <c r="BV796" s="22">
        <v>45341</v>
      </c>
      <c r="BW796" s="26">
        <f t="shared" ca="1" si="152"/>
        <v>0.12088215391921875</v>
      </c>
      <c r="BX796" s="29">
        <v>0</v>
      </c>
    </row>
    <row r="797" spans="2:76" ht="12.75" x14ac:dyDescent="0.2">
      <c r="B797" s="22">
        <v>45342</v>
      </c>
      <c r="C797" s="26">
        <f t="shared" ca="1" si="135"/>
        <v>0.731201905230774</v>
      </c>
      <c r="D797" s="29">
        <f t="shared" ca="1" si="169"/>
        <v>88</v>
      </c>
      <c r="F797" s="22"/>
      <c r="G797" s="26">
        <f t="shared" ca="1" si="136"/>
        <v>0.35176485082449849</v>
      </c>
      <c r="H797" s="29">
        <f t="shared" ca="1" si="170"/>
        <v>210</v>
      </c>
      <c r="J797" s="22">
        <v>45342</v>
      </c>
      <c r="K797" s="26">
        <f t="shared" ca="1" si="137"/>
        <v>0.15599648238250752</v>
      </c>
      <c r="L797" s="29">
        <f t="shared" ca="1" si="171"/>
        <v>140</v>
      </c>
      <c r="N797" s="22">
        <v>45342</v>
      </c>
      <c r="O797" s="26">
        <f t="shared" ca="1" si="138"/>
        <v>0.86533811083141321</v>
      </c>
      <c r="P797" s="29">
        <f t="shared" ca="1" si="172"/>
        <v>247</v>
      </c>
      <c r="R797" s="22">
        <v>45342</v>
      </c>
      <c r="S797" s="26">
        <f t="shared" ca="1" si="139"/>
        <v>0.42938057845793343</v>
      </c>
      <c r="T797" s="29">
        <f t="shared" ca="1" si="173"/>
        <v>138</v>
      </c>
      <c r="V797" s="22">
        <v>45342</v>
      </c>
      <c r="W797" s="26">
        <f t="shared" ca="1" si="140"/>
        <v>0.26928033788102312</v>
      </c>
      <c r="X797" s="29">
        <f t="shared" ca="1" si="174"/>
        <v>216</v>
      </c>
      <c r="Z797" s="22">
        <v>45342</v>
      </c>
      <c r="AA797" s="26">
        <f t="shared" ca="1" si="141"/>
        <v>0.4754910952523248</v>
      </c>
      <c r="AB797" s="29">
        <f t="shared" ca="1" si="175"/>
        <v>269</v>
      </c>
      <c r="AC797"/>
      <c r="AD797" s="25"/>
      <c r="AF797" s="22">
        <v>45342</v>
      </c>
      <c r="AG797" s="26">
        <f t="shared" ca="1" si="142"/>
        <v>0.33192365631921217</v>
      </c>
      <c r="AH797" s="29">
        <f t="shared" ca="1" si="176"/>
        <v>290</v>
      </c>
      <c r="AJ797" s="22">
        <v>45342</v>
      </c>
      <c r="AK797" s="26">
        <f t="shared" ca="1" si="143"/>
        <v>0.62183755234463289</v>
      </c>
      <c r="AL797" s="29">
        <f t="shared" ca="1" si="177"/>
        <v>195</v>
      </c>
      <c r="AN797" s="22">
        <v>45342</v>
      </c>
      <c r="AO797" s="26">
        <f t="shared" ca="1" si="144"/>
        <v>2.5428191087495278E-2</v>
      </c>
      <c r="AP797" s="29">
        <f t="shared" ca="1" si="178"/>
        <v>71</v>
      </c>
      <c r="AR797" s="22">
        <v>45342</v>
      </c>
      <c r="AS797" s="26">
        <f t="shared" ca="1" si="145"/>
        <v>4.625258389173037E-2</v>
      </c>
      <c r="AT797" s="29">
        <f t="shared" ca="1" si="179"/>
        <v>120</v>
      </c>
      <c r="AV797" s="22">
        <v>45342</v>
      </c>
      <c r="AW797" s="26">
        <f t="shared" ca="1" si="146"/>
        <v>0.5443679609223524</v>
      </c>
      <c r="AX797" s="29">
        <f t="shared" ca="1" si="180"/>
        <v>198</v>
      </c>
      <c r="AZ797" s="22">
        <v>45342</v>
      </c>
      <c r="BA797" s="26">
        <f t="shared" ca="1" si="147"/>
        <v>0.21898552984431729</v>
      </c>
      <c r="BB797" s="29">
        <f t="shared" ca="1" si="181"/>
        <v>143</v>
      </c>
      <c r="BC797"/>
      <c r="BD797" s="25"/>
      <c r="BF797" s="22">
        <v>45342</v>
      </c>
      <c r="BG797" s="26">
        <f t="shared" ca="1" si="148"/>
        <v>0.16324034087857231</v>
      </c>
      <c r="BH797" s="29">
        <f t="shared" ca="1" si="182"/>
        <v>118</v>
      </c>
      <c r="BJ797" s="22">
        <v>45342</v>
      </c>
      <c r="BK797" s="26">
        <f t="shared" ca="1" si="149"/>
        <v>0.2873785050374269</v>
      </c>
      <c r="BL797" s="29">
        <f t="shared" ca="1" si="183"/>
        <v>140</v>
      </c>
      <c r="BN797" s="22">
        <v>45342</v>
      </c>
      <c r="BO797" s="26">
        <f t="shared" ca="1" si="150"/>
        <v>0.93665062427749712</v>
      </c>
      <c r="BP797" s="29">
        <f t="shared" ca="1" si="184"/>
        <v>185</v>
      </c>
      <c r="BR797" s="22">
        <v>45342</v>
      </c>
      <c r="BS797" s="26">
        <f t="shared" ca="1" si="151"/>
        <v>6.3672667375729963E-2</v>
      </c>
      <c r="BT797" s="29">
        <v>0</v>
      </c>
      <c r="BV797" s="22">
        <v>45342</v>
      </c>
      <c r="BW797" s="26">
        <f t="shared" ca="1" si="152"/>
        <v>0.28031280142840276</v>
      </c>
      <c r="BX797" s="29">
        <v>0</v>
      </c>
    </row>
    <row r="798" spans="2:76" ht="12.75" x14ac:dyDescent="0.2">
      <c r="B798" s="22">
        <v>45343</v>
      </c>
      <c r="C798" s="26">
        <f t="shared" ca="1" si="135"/>
        <v>0.94590845537605062</v>
      </c>
      <c r="D798" s="29">
        <f t="shared" ca="1" si="169"/>
        <v>108</v>
      </c>
      <c r="F798" s="22"/>
      <c r="G798" s="26">
        <f t="shared" ca="1" si="136"/>
        <v>0.85048704504636463</v>
      </c>
      <c r="H798" s="29">
        <f t="shared" ca="1" si="170"/>
        <v>231</v>
      </c>
      <c r="J798" s="22">
        <v>45343</v>
      </c>
      <c r="K798" s="26">
        <f t="shared" ca="1" si="137"/>
        <v>0.82768981245076179</v>
      </c>
      <c r="L798" s="29">
        <f t="shared" ca="1" si="171"/>
        <v>160</v>
      </c>
      <c r="N798" s="22">
        <v>45343</v>
      </c>
      <c r="O798" s="26">
        <f t="shared" ca="1" si="138"/>
        <v>0.53459855165420755</v>
      </c>
      <c r="P798" s="29">
        <f t="shared" ca="1" si="172"/>
        <v>231</v>
      </c>
      <c r="R798" s="22">
        <v>45343</v>
      </c>
      <c r="S798" s="26">
        <f t="shared" ca="1" si="139"/>
        <v>0.71653000339402428</v>
      </c>
      <c r="T798" s="29">
        <f t="shared" ca="1" si="173"/>
        <v>145</v>
      </c>
      <c r="V798" s="22">
        <v>45343</v>
      </c>
      <c r="W798" s="26">
        <f t="shared" ca="1" si="140"/>
        <v>0.51800086102681309</v>
      </c>
      <c r="X798" s="29">
        <f t="shared" ca="1" si="174"/>
        <v>226</v>
      </c>
      <c r="Z798" s="22">
        <v>45343</v>
      </c>
      <c r="AA798" s="26">
        <f t="shared" ca="1" si="141"/>
        <v>0.20885799721805121</v>
      </c>
      <c r="AB798" s="29">
        <f t="shared" ca="1" si="175"/>
        <v>256</v>
      </c>
      <c r="AC798"/>
      <c r="AD798" s="25"/>
      <c r="AF798" s="22">
        <v>45343</v>
      </c>
      <c r="AG798" s="26">
        <f t="shared" ca="1" si="142"/>
        <v>0.12301378261450935</v>
      </c>
      <c r="AH798" s="29">
        <f t="shared" ca="1" si="176"/>
        <v>226</v>
      </c>
      <c r="AJ798" s="22">
        <v>45343</v>
      </c>
      <c r="AK798" s="26">
        <f t="shared" ca="1" si="143"/>
        <v>0.41930361432540053</v>
      </c>
      <c r="AL798" s="29">
        <f t="shared" ca="1" si="177"/>
        <v>171</v>
      </c>
      <c r="AN798" s="22">
        <v>45343</v>
      </c>
      <c r="AO798" s="26">
        <f t="shared" ca="1" si="144"/>
        <v>0.15521991364769094</v>
      </c>
      <c r="AP798" s="29">
        <f t="shared" ca="1" si="178"/>
        <v>108</v>
      </c>
      <c r="AR798" s="22">
        <v>45343</v>
      </c>
      <c r="AS798" s="26">
        <f t="shared" ca="1" si="145"/>
        <v>0.92478312219528069</v>
      </c>
      <c r="AT798" s="29">
        <f t="shared" ca="1" si="179"/>
        <v>300</v>
      </c>
      <c r="AV798" s="22">
        <v>45343</v>
      </c>
      <c r="AW798" s="26">
        <f t="shared" ca="1" si="146"/>
        <v>0.27211906815701581</v>
      </c>
      <c r="AX798" s="29">
        <f t="shared" ca="1" si="180"/>
        <v>161</v>
      </c>
      <c r="AZ798" s="22">
        <v>45343</v>
      </c>
      <c r="BA798" s="26">
        <f t="shared" ca="1" si="147"/>
        <v>0.33706272255936276</v>
      </c>
      <c r="BB798" s="29">
        <f t="shared" ca="1" si="181"/>
        <v>160</v>
      </c>
      <c r="BC798"/>
      <c r="BD798" s="25"/>
      <c r="BF798" s="22">
        <v>45343</v>
      </c>
      <c r="BG798" s="26">
        <f t="shared" ca="1" si="148"/>
        <v>0.7487031527980722</v>
      </c>
      <c r="BH798" s="29">
        <f t="shared" ca="1" si="182"/>
        <v>189</v>
      </c>
      <c r="BJ798" s="22">
        <v>45343</v>
      </c>
      <c r="BK798" s="26">
        <f t="shared" ca="1" si="149"/>
        <v>0.76660834594531613</v>
      </c>
      <c r="BL798" s="29">
        <f t="shared" ca="1" si="183"/>
        <v>197</v>
      </c>
      <c r="BN798" s="22">
        <v>45343</v>
      </c>
      <c r="BO798" s="26">
        <f t="shared" ca="1" si="150"/>
        <v>0.40019998934174084</v>
      </c>
      <c r="BP798" s="29">
        <f t="shared" ca="1" si="184"/>
        <v>123</v>
      </c>
      <c r="BR798" s="22">
        <v>45343</v>
      </c>
      <c r="BS798" s="26">
        <f t="shared" ca="1" si="151"/>
        <v>0.82991485869630621</v>
      </c>
      <c r="BT798" s="29">
        <v>0</v>
      </c>
      <c r="BV798" s="22">
        <v>45343</v>
      </c>
      <c r="BW798" s="26">
        <f t="shared" ca="1" si="152"/>
        <v>0.10020813652752236</v>
      </c>
      <c r="BX798" s="29">
        <v>0</v>
      </c>
    </row>
    <row r="799" spans="2:76" ht="12.75" x14ac:dyDescent="0.2">
      <c r="B799" s="22">
        <v>45344</v>
      </c>
      <c r="C799" s="26">
        <f t="shared" ca="1" si="135"/>
        <v>0.33923798677556216</v>
      </c>
      <c r="D799" s="29">
        <f t="shared" ca="1" si="169"/>
        <v>67</v>
      </c>
      <c r="F799" s="22"/>
      <c r="G799" s="26">
        <f t="shared" ca="1" si="136"/>
        <v>0.52421225876189237</v>
      </c>
      <c r="H799" s="29">
        <f t="shared" ca="1" si="170"/>
        <v>217</v>
      </c>
      <c r="J799" s="22">
        <v>45344</v>
      </c>
      <c r="K799" s="26">
        <f t="shared" ca="1" si="137"/>
        <v>0.70001205216768769</v>
      </c>
      <c r="L799" s="29">
        <f t="shared" ca="1" si="171"/>
        <v>156</v>
      </c>
      <c r="N799" s="22">
        <v>45344</v>
      </c>
      <c r="O799" s="26">
        <f t="shared" ca="1" si="138"/>
        <v>7.7810864391444023E-2</v>
      </c>
      <c r="P799" s="29">
        <f t="shared" ca="1" si="172"/>
        <v>208</v>
      </c>
      <c r="R799" s="22">
        <v>45344</v>
      </c>
      <c r="S799" s="26">
        <f t="shared" ca="1" si="139"/>
        <v>2.1008240869622608E-2</v>
      </c>
      <c r="T799" s="29">
        <f t="shared" ca="1" si="173"/>
        <v>120</v>
      </c>
      <c r="V799" s="22">
        <v>45344</v>
      </c>
      <c r="W799" s="26">
        <f t="shared" ca="1" si="140"/>
        <v>0.34281428649877921</v>
      </c>
      <c r="X799" s="29">
        <f t="shared" ca="1" si="174"/>
        <v>219</v>
      </c>
      <c r="Z799" s="22">
        <v>45344</v>
      </c>
      <c r="AA799" s="26">
        <f t="shared" ca="1" si="141"/>
        <v>0.49278179385794996</v>
      </c>
      <c r="AB799" s="29">
        <f t="shared" ca="1" si="175"/>
        <v>270</v>
      </c>
      <c r="AC799"/>
      <c r="AD799" s="25"/>
      <c r="AF799" s="22">
        <v>45344</v>
      </c>
      <c r="AG799" s="26">
        <f t="shared" ca="1" si="142"/>
        <v>0.65481086796775312</v>
      </c>
      <c r="AH799" s="29">
        <f t="shared" ca="1" si="176"/>
        <v>362</v>
      </c>
      <c r="AJ799" s="22">
        <v>45344</v>
      </c>
      <c r="AK799" s="26">
        <f t="shared" ca="1" si="143"/>
        <v>0.66221986823958301</v>
      </c>
      <c r="AL799" s="29">
        <f t="shared" ca="1" si="177"/>
        <v>200</v>
      </c>
      <c r="AN799" s="22">
        <v>45344</v>
      </c>
      <c r="AO799" s="26">
        <f t="shared" ca="1" si="144"/>
        <v>0.49771064767812578</v>
      </c>
      <c r="AP799" s="29">
        <f t="shared" ca="1" si="178"/>
        <v>147</v>
      </c>
      <c r="AR799" s="22">
        <v>45344</v>
      </c>
      <c r="AS799" s="26">
        <f t="shared" ca="1" si="145"/>
        <v>0.34989613333093472</v>
      </c>
      <c r="AT799" s="29">
        <f t="shared" ca="1" si="179"/>
        <v>195</v>
      </c>
      <c r="AV799" s="22">
        <v>45344</v>
      </c>
      <c r="AW799" s="26">
        <f t="shared" ca="1" si="146"/>
        <v>0.27073626405878315</v>
      </c>
      <c r="AX799" s="29">
        <f t="shared" ca="1" si="180"/>
        <v>161</v>
      </c>
      <c r="AZ799" s="22">
        <v>45344</v>
      </c>
      <c r="BA799" s="26">
        <f t="shared" ca="1" si="147"/>
        <v>0.17590825466308346</v>
      </c>
      <c r="BB799" s="29">
        <f t="shared" ca="1" si="181"/>
        <v>136</v>
      </c>
      <c r="BC799"/>
      <c r="BD799" s="25"/>
      <c r="BF799" s="22">
        <v>45344</v>
      </c>
      <c r="BG799" s="26">
        <f t="shared" ca="1" si="148"/>
        <v>0.9020948480975286</v>
      </c>
      <c r="BH799" s="29">
        <f t="shared" ca="1" si="182"/>
        <v>215</v>
      </c>
      <c r="BJ799" s="22">
        <v>45344</v>
      </c>
      <c r="BK799" s="26">
        <f t="shared" ca="1" si="149"/>
        <v>8.4380580371955727E-2</v>
      </c>
      <c r="BL799" s="29">
        <f t="shared" ca="1" si="183"/>
        <v>105</v>
      </c>
      <c r="BN799" s="22">
        <v>45344</v>
      </c>
      <c r="BO799" s="26">
        <f t="shared" ca="1" si="150"/>
        <v>0.2892208094110027</v>
      </c>
      <c r="BP799" s="29">
        <f t="shared" ca="1" si="184"/>
        <v>112</v>
      </c>
      <c r="BR799" s="22">
        <v>45344</v>
      </c>
      <c r="BS799" s="26">
        <f t="shared" ca="1" si="151"/>
        <v>0.44931058059521911</v>
      </c>
      <c r="BT799" s="29">
        <v>0</v>
      </c>
      <c r="BV799" s="22">
        <v>45344</v>
      </c>
      <c r="BW799" s="26">
        <f t="shared" ca="1" si="152"/>
        <v>0.28387101103684032</v>
      </c>
      <c r="BX799" s="29">
        <v>0</v>
      </c>
    </row>
    <row r="800" spans="2:76" ht="12.75" x14ac:dyDescent="0.2">
      <c r="B800" s="22">
        <v>45345</v>
      </c>
      <c r="C800" s="26">
        <f t="shared" ca="1" si="135"/>
        <v>0.40069460886256969</v>
      </c>
      <c r="D800" s="29">
        <f t="shared" ca="1" si="169"/>
        <v>70</v>
      </c>
      <c r="F800" s="22"/>
      <c r="G800" s="26">
        <f t="shared" ca="1" si="136"/>
        <v>0.13676075055747849</v>
      </c>
      <c r="H800" s="29">
        <f t="shared" ca="1" si="170"/>
        <v>200</v>
      </c>
      <c r="J800" s="22">
        <v>45345</v>
      </c>
      <c r="K800" s="26">
        <f t="shared" ca="1" si="137"/>
        <v>0.52792177647433502</v>
      </c>
      <c r="L800" s="29">
        <f t="shared" ca="1" si="171"/>
        <v>151</v>
      </c>
      <c r="N800" s="22">
        <v>45345</v>
      </c>
      <c r="O800" s="26">
        <f t="shared" ca="1" si="138"/>
        <v>0.52941113812647911</v>
      </c>
      <c r="P800" s="29">
        <f t="shared" ca="1" si="172"/>
        <v>231</v>
      </c>
      <c r="R800" s="22">
        <v>45345</v>
      </c>
      <c r="S800" s="26">
        <f t="shared" ca="1" si="139"/>
        <v>0.84024458788183998</v>
      </c>
      <c r="T800" s="29">
        <f t="shared" ca="1" si="173"/>
        <v>148</v>
      </c>
      <c r="V800" s="22">
        <v>45345</v>
      </c>
      <c r="W800" s="26">
        <f t="shared" ca="1" si="140"/>
        <v>0.79361775472830709</v>
      </c>
      <c r="X800" s="29">
        <f t="shared" ca="1" si="174"/>
        <v>238</v>
      </c>
      <c r="Z800" s="22">
        <v>45345</v>
      </c>
      <c r="AA800" s="26">
        <f t="shared" ca="1" si="141"/>
        <v>8.1696944618898981E-2</v>
      </c>
      <c r="AB800" s="29">
        <f t="shared" ca="1" si="175"/>
        <v>245</v>
      </c>
      <c r="AC800"/>
      <c r="AD800" s="25"/>
      <c r="AF800" s="22">
        <v>45345</v>
      </c>
      <c r="AG800" s="26">
        <f t="shared" ca="1" si="142"/>
        <v>0.16381138375728899</v>
      </c>
      <c r="AH800" s="29">
        <f t="shared" ca="1" si="176"/>
        <v>242</v>
      </c>
      <c r="AJ800" s="22">
        <v>45345</v>
      </c>
      <c r="AK800" s="26">
        <f t="shared" ca="1" si="143"/>
        <v>8.7517350353119916E-2</v>
      </c>
      <c r="AL800" s="29">
        <f t="shared" ca="1" si="177"/>
        <v>115</v>
      </c>
      <c r="AN800" s="22">
        <v>45345</v>
      </c>
      <c r="AO800" s="26">
        <f t="shared" ca="1" si="144"/>
        <v>0.8667168838734568</v>
      </c>
      <c r="AP800" s="29">
        <f t="shared" ca="1" si="178"/>
        <v>191</v>
      </c>
      <c r="AR800" s="22">
        <v>45345</v>
      </c>
      <c r="AS800" s="26">
        <f t="shared" ca="1" si="145"/>
        <v>9.3007210471029333E-2</v>
      </c>
      <c r="AT800" s="29">
        <f t="shared" ca="1" si="179"/>
        <v>141</v>
      </c>
      <c r="AV800" s="22">
        <v>45345</v>
      </c>
      <c r="AW800" s="26">
        <f t="shared" ca="1" si="146"/>
        <v>0.11456004795603347</v>
      </c>
      <c r="AX800" s="29">
        <f t="shared" ca="1" si="180"/>
        <v>131</v>
      </c>
      <c r="AZ800" s="22">
        <v>45345</v>
      </c>
      <c r="BA800" s="26">
        <f t="shared" ca="1" si="147"/>
        <v>0.55323795719448954</v>
      </c>
      <c r="BB800" s="29">
        <f t="shared" ca="1" si="181"/>
        <v>187</v>
      </c>
      <c r="BC800"/>
      <c r="BD800" s="25"/>
      <c r="BF800" s="22">
        <v>45345</v>
      </c>
      <c r="BG800" s="26">
        <f t="shared" ca="1" si="148"/>
        <v>0.30827396376414207</v>
      </c>
      <c r="BH800" s="29">
        <f t="shared" ca="1" si="182"/>
        <v>139</v>
      </c>
      <c r="BJ800" s="22">
        <v>45345</v>
      </c>
      <c r="BK800" s="26">
        <f t="shared" ca="1" si="149"/>
        <v>0.13016274875735978</v>
      </c>
      <c r="BL800" s="29">
        <f t="shared" ca="1" si="183"/>
        <v>116</v>
      </c>
      <c r="BN800" s="22">
        <v>45345</v>
      </c>
      <c r="BO800" s="26">
        <f t="shared" ca="1" si="150"/>
        <v>5.7306358465088914E-2</v>
      </c>
      <c r="BP800" s="29">
        <f t="shared" ca="1" si="184"/>
        <v>76</v>
      </c>
      <c r="BR800" s="22">
        <v>45345</v>
      </c>
      <c r="BS800" s="26">
        <f t="shared" ca="1" si="151"/>
        <v>0.11588516472076393</v>
      </c>
      <c r="BT800" s="29">
        <v>0</v>
      </c>
      <c r="BV800" s="22">
        <v>45345</v>
      </c>
      <c r="BW800" s="26">
        <f t="shared" ca="1" si="152"/>
        <v>0.17228479508112693</v>
      </c>
      <c r="BX800" s="29">
        <v>0</v>
      </c>
    </row>
    <row r="801" spans="2:77" ht="12.75" x14ac:dyDescent="0.2">
      <c r="B801" s="22">
        <v>45346</v>
      </c>
      <c r="C801" s="26">
        <f t="shared" ca="1" si="135"/>
        <v>0.27025849545037306</v>
      </c>
      <c r="D801" s="29">
        <f t="shared" ca="1" si="169"/>
        <v>63</v>
      </c>
      <c r="F801" s="22"/>
      <c r="G801" s="26">
        <f t="shared" ca="1" si="136"/>
        <v>1.9759148588989195E-3</v>
      </c>
      <c r="H801" s="29">
        <f t="shared" ca="1" si="170"/>
        <v>175</v>
      </c>
      <c r="J801" s="22">
        <v>45346</v>
      </c>
      <c r="K801" s="26">
        <f t="shared" ca="1" si="137"/>
        <v>0.30459034526197781</v>
      </c>
      <c r="L801" s="29">
        <f t="shared" ca="1" si="171"/>
        <v>145</v>
      </c>
      <c r="N801" s="22">
        <v>45346</v>
      </c>
      <c r="O801" s="26">
        <f t="shared" ca="1" si="138"/>
        <v>0.71170142120777946</v>
      </c>
      <c r="P801" s="29">
        <f t="shared" ca="1" si="172"/>
        <v>238</v>
      </c>
      <c r="R801" s="22">
        <v>45346</v>
      </c>
      <c r="S801" s="26">
        <f t="shared" ca="1" si="139"/>
        <v>0.39550833811930408</v>
      </c>
      <c r="T801" s="29">
        <f t="shared" ca="1" si="173"/>
        <v>137</v>
      </c>
      <c r="V801" s="22">
        <v>45346</v>
      </c>
      <c r="W801" s="26">
        <f t="shared" ca="1" si="140"/>
        <v>0.58480770993103492</v>
      </c>
      <c r="X801" s="29">
        <f t="shared" ca="1" si="174"/>
        <v>229</v>
      </c>
      <c r="Z801" s="22">
        <v>45346</v>
      </c>
      <c r="AA801" s="26">
        <f t="shared" ca="1" si="141"/>
        <v>0.5049973793014022</v>
      </c>
      <c r="AB801" s="29">
        <f t="shared" ca="1" si="175"/>
        <v>271</v>
      </c>
      <c r="AC801"/>
      <c r="AD801" s="25"/>
      <c r="AF801" s="22">
        <v>45346</v>
      </c>
      <c r="AG801" s="26">
        <f t="shared" ca="1" si="142"/>
        <v>0.50129758456967721</v>
      </c>
      <c r="AH801" s="29">
        <f t="shared" ca="1" si="176"/>
        <v>328</v>
      </c>
      <c r="AJ801" s="22">
        <v>45346</v>
      </c>
      <c r="AK801" s="26">
        <f t="shared" ca="1" si="143"/>
        <v>0.788533303550075</v>
      </c>
      <c r="AL801" s="29">
        <f t="shared" ca="1" si="177"/>
        <v>219</v>
      </c>
      <c r="AN801" s="22">
        <v>45346</v>
      </c>
      <c r="AO801" s="26">
        <f t="shared" ca="1" si="144"/>
        <v>0.45106971919898287</v>
      </c>
      <c r="AP801" s="29">
        <f t="shared" ca="1" si="178"/>
        <v>143</v>
      </c>
      <c r="AR801" s="22">
        <v>45346</v>
      </c>
      <c r="AS801" s="26">
        <f t="shared" ca="1" si="145"/>
        <v>0.19052044503052568</v>
      </c>
      <c r="AT801" s="29">
        <f t="shared" ca="1" si="179"/>
        <v>167</v>
      </c>
      <c r="AV801" s="22">
        <v>45346</v>
      </c>
      <c r="AW801" s="26">
        <f t="shared" ca="1" si="146"/>
        <v>0.16203555114308987</v>
      </c>
      <c r="AX801" s="29">
        <f t="shared" ca="1" si="180"/>
        <v>142</v>
      </c>
      <c r="AZ801" s="22">
        <v>45346</v>
      </c>
      <c r="BA801" s="26">
        <f t="shared" ca="1" si="147"/>
        <v>0.60593485436255556</v>
      </c>
      <c r="BB801" s="29">
        <f t="shared" ca="1" si="181"/>
        <v>193</v>
      </c>
      <c r="BC801"/>
      <c r="BD801" s="25"/>
      <c r="BF801" s="22">
        <v>45346</v>
      </c>
      <c r="BG801" s="26">
        <f t="shared" ca="1" si="148"/>
        <v>0.50420366840808217</v>
      </c>
      <c r="BH801" s="29">
        <f t="shared" ca="1" si="182"/>
        <v>161</v>
      </c>
      <c r="BJ801" s="22">
        <v>45346</v>
      </c>
      <c r="BK801" s="26">
        <f t="shared" ca="1" si="149"/>
        <v>0.17514894212765597</v>
      </c>
      <c r="BL801" s="29">
        <f t="shared" ca="1" si="183"/>
        <v>124</v>
      </c>
      <c r="BN801" s="22">
        <v>45346</v>
      </c>
      <c r="BO801" s="26">
        <f t="shared" ca="1" si="150"/>
        <v>0.88418714181287961</v>
      </c>
      <c r="BP801" s="29">
        <f t="shared" ca="1" si="184"/>
        <v>173</v>
      </c>
      <c r="BR801" s="22">
        <v>45346</v>
      </c>
      <c r="BS801" s="26">
        <f t="shared" ca="1" si="151"/>
        <v>0.49478419881980962</v>
      </c>
      <c r="BT801" s="29">
        <v>0</v>
      </c>
      <c r="BV801" s="22">
        <v>45346</v>
      </c>
      <c r="BW801" s="26">
        <f t="shared" ca="1" si="152"/>
        <v>0.21291657514661855</v>
      </c>
      <c r="BX801" s="29">
        <v>0</v>
      </c>
    </row>
    <row r="802" spans="2:77" ht="12.75" x14ac:dyDescent="0.2">
      <c r="B802" s="22">
        <v>45347</v>
      </c>
      <c r="C802" s="26">
        <f t="shared" ca="1" si="135"/>
        <v>0.89860485273494084</v>
      </c>
      <c r="D802" s="29">
        <f t="shared" ca="1" si="169"/>
        <v>101</v>
      </c>
      <c r="F802" s="22"/>
      <c r="G802" s="26">
        <f t="shared" ca="1" si="136"/>
        <v>0.66532615091655356</v>
      </c>
      <c r="H802" s="29">
        <f t="shared" ca="1" si="170"/>
        <v>222</v>
      </c>
      <c r="J802" s="22">
        <v>45347</v>
      </c>
      <c r="K802" s="26">
        <f t="shared" ca="1" si="137"/>
        <v>0.53155480395130372</v>
      </c>
      <c r="L802" s="29">
        <f t="shared" ca="1" si="171"/>
        <v>151</v>
      </c>
      <c r="N802" s="22">
        <v>45347</v>
      </c>
      <c r="O802" s="26">
        <f t="shared" ca="1" si="138"/>
        <v>0.52960980242824551</v>
      </c>
      <c r="P802" s="29">
        <f t="shared" ca="1" si="172"/>
        <v>231</v>
      </c>
      <c r="R802" s="22">
        <v>45347</v>
      </c>
      <c r="S802" s="26">
        <f t="shared" ca="1" si="139"/>
        <v>0.63387128742723431</v>
      </c>
      <c r="T802" s="29">
        <f t="shared" ca="1" si="173"/>
        <v>142</v>
      </c>
      <c r="V802" s="22">
        <v>45347</v>
      </c>
      <c r="W802" s="26">
        <f t="shared" ca="1" si="140"/>
        <v>0.40140460315445758</v>
      </c>
      <c r="X802" s="29">
        <f t="shared" ca="1" si="174"/>
        <v>222</v>
      </c>
      <c r="Z802" s="22">
        <v>45347</v>
      </c>
      <c r="AA802" s="26">
        <f t="shared" ca="1" si="141"/>
        <v>0.41232032376462702</v>
      </c>
      <c r="AB802" s="29">
        <f t="shared" ca="1" si="175"/>
        <v>267</v>
      </c>
      <c r="AC802"/>
      <c r="AD802" s="25"/>
      <c r="AF802" s="22">
        <v>45347</v>
      </c>
      <c r="AG802" s="26">
        <f t="shared" ca="1" si="142"/>
        <v>0.39591789059875615</v>
      </c>
      <c r="AH802" s="29">
        <f t="shared" ca="1" si="176"/>
        <v>304</v>
      </c>
      <c r="AJ802" s="22">
        <v>45347</v>
      </c>
      <c r="AK802" s="26">
        <f t="shared" ca="1" si="143"/>
        <v>0.23060711624562258</v>
      </c>
      <c r="AL802" s="29">
        <f t="shared" ca="1" si="177"/>
        <v>145</v>
      </c>
      <c r="AN802" s="22">
        <v>45347</v>
      </c>
      <c r="AO802" s="26">
        <f t="shared" ca="1" si="144"/>
        <v>0.89940077112271777</v>
      </c>
      <c r="AP802" s="29">
        <f t="shared" ca="1" si="178"/>
        <v>198</v>
      </c>
      <c r="AR802" s="22">
        <v>45347</v>
      </c>
      <c r="AS802" s="26">
        <f t="shared" ca="1" si="145"/>
        <v>0.83852371539743276</v>
      </c>
      <c r="AT802" s="29">
        <f t="shared" ca="1" si="179"/>
        <v>274</v>
      </c>
      <c r="AV802" s="22">
        <v>45347</v>
      </c>
      <c r="AW802" s="26">
        <f t="shared" ca="1" si="146"/>
        <v>0.67321365597609462</v>
      </c>
      <c r="AX802" s="29">
        <f t="shared" ca="1" si="180"/>
        <v>215</v>
      </c>
      <c r="AZ802" s="22">
        <v>45347</v>
      </c>
      <c r="BA802" s="26">
        <f t="shared" ca="1" si="147"/>
        <v>0.88845882831127099</v>
      </c>
      <c r="BB802" s="29">
        <f t="shared" ca="1" si="181"/>
        <v>239</v>
      </c>
      <c r="BC802"/>
      <c r="BD802" s="25"/>
      <c r="BF802" s="22">
        <v>45347</v>
      </c>
      <c r="BG802" s="26">
        <f t="shared" ca="1" si="148"/>
        <v>0.61307637167717588</v>
      </c>
      <c r="BH802" s="29">
        <f t="shared" ca="1" si="182"/>
        <v>172</v>
      </c>
      <c r="BJ802" s="22">
        <v>45347</v>
      </c>
      <c r="BK802" s="26">
        <f t="shared" ca="1" si="149"/>
        <v>0.93946510943295458</v>
      </c>
      <c r="BL802" s="29">
        <f t="shared" ca="1" si="183"/>
        <v>233</v>
      </c>
      <c r="BN802" s="22">
        <v>45347</v>
      </c>
      <c r="BO802" s="26">
        <f t="shared" ca="1" si="150"/>
        <v>0.47812488808776887</v>
      </c>
      <c r="BP802" s="29">
        <f t="shared" ca="1" si="184"/>
        <v>130</v>
      </c>
      <c r="BR802" s="22">
        <v>45347</v>
      </c>
      <c r="BS802" s="26">
        <f t="shared" ca="1" si="151"/>
        <v>0.44010492621846398</v>
      </c>
      <c r="BT802" s="29">
        <v>0</v>
      </c>
      <c r="BV802" s="22">
        <v>45347</v>
      </c>
      <c r="BW802" s="26">
        <f t="shared" ca="1" si="152"/>
        <v>0.31794702734227076</v>
      </c>
      <c r="BX802" s="29">
        <v>0</v>
      </c>
    </row>
    <row r="803" spans="2:77" ht="12.75" x14ac:dyDescent="0.2">
      <c r="B803" s="22">
        <v>45348</v>
      </c>
      <c r="C803" s="26">
        <f t="shared" ca="1" si="135"/>
        <v>0.97832665105673222</v>
      </c>
      <c r="D803" s="29">
        <f t="shared" ca="1" si="169"/>
        <v>116</v>
      </c>
      <c r="F803" s="22"/>
      <c r="G803" s="26">
        <f t="shared" ca="1" si="136"/>
        <v>0.92238001216729038</v>
      </c>
      <c r="H803" s="29">
        <f t="shared" ca="1" si="170"/>
        <v>236</v>
      </c>
      <c r="J803" s="22">
        <v>45348</v>
      </c>
      <c r="K803" s="26">
        <f t="shared" ca="1" si="137"/>
        <v>0.44136979617643934</v>
      </c>
      <c r="L803" s="29">
        <f t="shared" ca="1" si="171"/>
        <v>149</v>
      </c>
      <c r="N803" s="22">
        <v>45348</v>
      </c>
      <c r="O803" s="26">
        <f t="shared" ca="1" si="138"/>
        <v>0.19451803863709483</v>
      </c>
      <c r="P803" s="29">
        <f t="shared" ca="1" si="172"/>
        <v>217</v>
      </c>
      <c r="R803" s="22">
        <v>45348</v>
      </c>
      <c r="S803" s="26">
        <f t="shared" ca="1" si="139"/>
        <v>0.19806245761709618</v>
      </c>
      <c r="T803" s="29">
        <f t="shared" ca="1" si="173"/>
        <v>131</v>
      </c>
      <c r="V803" s="22">
        <v>45348</v>
      </c>
      <c r="W803" s="26">
        <f t="shared" ca="1" si="140"/>
        <v>0.32641112254972204</v>
      </c>
      <c r="X803" s="29">
        <f t="shared" ca="1" si="174"/>
        <v>219</v>
      </c>
      <c r="Z803" s="22">
        <v>45348</v>
      </c>
      <c r="AA803" s="26">
        <f t="shared" ca="1" si="141"/>
        <v>0.65553652035524634</v>
      </c>
      <c r="AB803" s="29">
        <f t="shared" ca="1" si="175"/>
        <v>278</v>
      </c>
      <c r="AC803"/>
      <c r="AD803" s="25"/>
      <c r="AF803" s="22">
        <v>45348</v>
      </c>
      <c r="AG803" s="26">
        <f t="shared" ca="1" si="142"/>
        <v>0.25998162013870041</v>
      </c>
      <c r="AH803" s="29">
        <f t="shared" ca="1" si="176"/>
        <v>271</v>
      </c>
      <c r="AJ803" s="22">
        <v>45348</v>
      </c>
      <c r="AK803" s="26">
        <f t="shared" ca="1" si="143"/>
        <v>0.51042062984130132</v>
      </c>
      <c r="AL803" s="29">
        <f t="shared" ca="1" si="177"/>
        <v>182</v>
      </c>
      <c r="AN803" s="22">
        <v>45348</v>
      </c>
      <c r="AO803" s="26">
        <f t="shared" ca="1" si="144"/>
        <v>2.8428362988572875E-3</v>
      </c>
      <c r="AP803" s="29">
        <f t="shared" ca="1" si="178"/>
        <v>39</v>
      </c>
      <c r="AR803" s="22">
        <v>45348</v>
      </c>
      <c r="AS803" s="26">
        <f t="shared" ca="1" si="145"/>
        <v>0.96415235059331383</v>
      </c>
      <c r="AT803" s="29">
        <f t="shared" ca="1" si="179"/>
        <v>321</v>
      </c>
      <c r="AV803" s="22">
        <v>45348</v>
      </c>
      <c r="AW803" s="26">
        <f t="shared" ca="1" si="146"/>
        <v>0.23524969930755968</v>
      </c>
      <c r="AX803" s="29">
        <f t="shared" ca="1" si="180"/>
        <v>155</v>
      </c>
      <c r="AZ803" s="22">
        <v>45348</v>
      </c>
      <c r="BA803" s="26">
        <f t="shared" ca="1" si="147"/>
        <v>0.70928823894767412</v>
      </c>
      <c r="BB803" s="29">
        <f t="shared" ca="1" si="181"/>
        <v>207</v>
      </c>
      <c r="BC803"/>
      <c r="BD803" s="25"/>
      <c r="BF803" s="22">
        <v>45348</v>
      </c>
      <c r="BG803" s="26">
        <f t="shared" ca="1" si="148"/>
        <v>0.32078076468004446</v>
      </c>
      <c r="BH803" s="29">
        <f t="shared" ca="1" si="182"/>
        <v>140</v>
      </c>
      <c r="BJ803" s="22">
        <v>45348</v>
      </c>
      <c r="BK803" s="26">
        <f t="shared" ca="1" si="149"/>
        <v>0.10359169431110138</v>
      </c>
      <c r="BL803" s="29">
        <f t="shared" ca="1" si="183"/>
        <v>110</v>
      </c>
      <c r="BN803" s="22">
        <v>45348</v>
      </c>
      <c r="BO803" s="26">
        <f t="shared" ca="1" si="150"/>
        <v>0.79223004515687589</v>
      </c>
      <c r="BP803" s="29">
        <f t="shared" ca="1" si="184"/>
        <v>160</v>
      </c>
      <c r="BR803" s="22">
        <v>45348</v>
      </c>
      <c r="BS803" s="26">
        <f t="shared" ca="1" si="151"/>
        <v>0.6973284353855953</v>
      </c>
      <c r="BT803" s="29">
        <v>0</v>
      </c>
      <c r="BV803" s="22">
        <v>45348</v>
      </c>
      <c r="BW803" s="26">
        <f t="shared" ca="1" si="152"/>
        <v>0.74993404876999248</v>
      </c>
      <c r="BX803" s="29">
        <v>0</v>
      </c>
    </row>
    <row r="804" spans="2:77" ht="12.75" x14ac:dyDescent="0.2">
      <c r="B804" s="22">
        <v>45349</v>
      </c>
      <c r="C804" s="26">
        <f t="shared" ca="1" si="135"/>
        <v>0.91350833730411307</v>
      </c>
      <c r="D804" s="29">
        <f t="shared" ca="1" si="169"/>
        <v>103</v>
      </c>
      <c r="F804" s="22"/>
      <c r="G804" s="26">
        <f t="shared" ca="1" si="136"/>
        <v>0.60010391766842275</v>
      </c>
      <c r="H804" s="29">
        <f t="shared" ca="1" si="170"/>
        <v>220</v>
      </c>
      <c r="J804" s="22">
        <v>45349</v>
      </c>
      <c r="K804" s="26">
        <f t="shared" ca="1" si="137"/>
        <v>0.16833325903190899</v>
      </c>
      <c r="L804" s="29">
        <f t="shared" ca="1" si="171"/>
        <v>141</v>
      </c>
      <c r="N804" s="22">
        <v>45349</v>
      </c>
      <c r="O804" s="26">
        <f t="shared" ca="1" si="138"/>
        <v>7.8433029534762944E-2</v>
      </c>
      <c r="P804" s="29">
        <f t="shared" ca="1" si="172"/>
        <v>208</v>
      </c>
      <c r="R804" s="22">
        <v>45349</v>
      </c>
      <c r="S804" s="26">
        <f t="shared" ca="1" si="139"/>
        <v>0.18667721383549329</v>
      </c>
      <c r="T804" s="29">
        <f t="shared" ca="1" si="173"/>
        <v>131</v>
      </c>
      <c r="V804" s="22">
        <v>45349</v>
      </c>
      <c r="W804" s="26">
        <f t="shared" ca="1" si="140"/>
        <v>0.72426714228294897</v>
      </c>
      <c r="X804" s="29">
        <f t="shared" ca="1" si="174"/>
        <v>234</v>
      </c>
      <c r="Z804" s="22">
        <v>45349</v>
      </c>
      <c r="AA804" s="26">
        <f t="shared" ca="1" si="141"/>
        <v>0.4514416112192996</v>
      </c>
      <c r="AB804" s="29">
        <f t="shared" ca="1" si="175"/>
        <v>268</v>
      </c>
      <c r="AC804"/>
      <c r="AD804" s="25"/>
      <c r="AF804" s="22">
        <v>45349</v>
      </c>
      <c r="AG804" s="26">
        <f t="shared" ca="1" si="142"/>
        <v>0.89756184528971616</v>
      </c>
      <c r="AH804" s="29">
        <f t="shared" ca="1" si="176"/>
        <v>438</v>
      </c>
      <c r="AJ804" s="22">
        <v>45349</v>
      </c>
      <c r="AK804" s="26">
        <f t="shared" ca="1" si="143"/>
        <v>0.44803270377342796</v>
      </c>
      <c r="AL804" s="29">
        <f t="shared" ca="1" si="177"/>
        <v>174</v>
      </c>
      <c r="AN804" s="22">
        <v>45349</v>
      </c>
      <c r="AO804" s="26">
        <f t="shared" ca="1" si="144"/>
        <v>0.1742838355899855</v>
      </c>
      <c r="AP804" s="29">
        <f t="shared" ca="1" si="178"/>
        <v>111</v>
      </c>
      <c r="AR804" s="22">
        <v>45349</v>
      </c>
      <c r="AS804" s="26">
        <f t="shared" ca="1" si="145"/>
        <v>0.32159253683881117</v>
      </c>
      <c r="AT804" s="29">
        <f t="shared" ca="1" si="179"/>
        <v>190</v>
      </c>
      <c r="AV804" s="22">
        <v>45349</v>
      </c>
      <c r="AW804" s="26">
        <f t="shared" ca="1" si="146"/>
        <v>0.86057839994672347</v>
      </c>
      <c r="AX804" s="29">
        <f t="shared" ca="1" si="180"/>
        <v>248</v>
      </c>
      <c r="AZ804" s="22">
        <v>45349</v>
      </c>
      <c r="BA804" s="26">
        <f t="shared" ca="1" si="147"/>
        <v>0.16245096045060481</v>
      </c>
      <c r="BB804" s="29">
        <f t="shared" ca="1" si="181"/>
        <v>133</v>
      </c>
      <c r="BC804"/>
      <c r="BD804" s="25"/>
      <c r="BF804" s="22">
        <v>45349</v>
      </c>
      <c r="BG804" s="26">
        <f t="shared" ca="1" si="148"/>
        <v>0.78750763235502252</v>
      </c>
      <c r="BH804" s="29">
        <f t="shared" ca="1" si="182"/>
        <v>194</v>
      </c>
      <c r="BJ804" s="22">
        <v>45349</v>
      </c>
      <c r="BK804" s="26">
        <f t="shared" ca="1" si="149"/>
        <v>0.20779328025999222</v>
      </c>
      <c r="BL804" s="29">
        <f t="shared" ca="1" si="183"/>
        <v>129</v>
      </c>
      <c r="BN804" s="22">
        <v>45349</v>
      </c>
      <c r="BO804" s="26">
        <f t="shared" ca="1" si="150"/>
        <v>0.80342348978694356</v>
      </c>
      <c r="BP804" s="29">
        <f t="shared" ca="1" si="184"/>
        <v>161</v>
      </c>
      <c r="BR804" s="22">
        <v>45349</v>
      </c>
      <c r="BS804" s="26">
        <f t="shared" ca="1" si="151"/>
        <v>0.31365259973211479</v>
      </c>
      <c r="BT804" s="29">
        <v>0</v>
      </c>
      <c r="BV804" s="22">
        <v>45349</v>
      </c>
      <c r="BW804" s="26">
        <f t="shared" ca="1" si="152"/>
        <v>3.5103770138387946E-2</v>
      </c>
      <c r="BX804" s="29">
        <v>0</v>
      </c>
    </row>
    <row r="805" spans="2:77" ht="12.75" x14ac:dyDescent="0.2">
      <c r="B805" s="22">
        <v>45350</v>
      </c>
      <c r="C805" s="26">
        <f t="shared" ca="1" si="135"/>
        <v>0.26682695418071656</v>
      </c>
      <c r="D805" s="29">
        <f t="shared" ca="1" si="169"/>
        <v>63</v>
      </c>
      <c r="F805" s="22"/>
      <c r="G805" s="26">
        <f t="shared" ca="1" si="136"/>
        <v>0.56103450294029766</v>
      </c>
      <c r="H805" s="29">
        <f t="shared" ca="1" si="170"/>
        <v>218</v>
      </c>
      <c r="J805" s="22">
        <v>45350</v>
      </c>
      <c r="K805" s="26">
        <f t="shared" ca="1" si="137"/>
        <v>0.68481019678264732</v>
      </c>
      <c r="L805" s="29">
        <f t="shared" ca="1" si="171"/>
        <v>155</v>
      </c>
      <c r="N805" s="22">
        <v>45350</v>
      </c>
      <c r="O805" s="26">
        <f t="shared" ca="1" si="138"/>
        <v>0.37050655847438563</v>
      </c>
      <c r="P805" s="29">
        <f t="shared" ca="1" si="172"/>
        <v>225</v>
      </c>
      <c r="R805" s="22">
        <v>45350</v>
      </c>
      <c r="S805" s="26">
        <f t="shared" ca="1" si="139"/>
        <v>0.42014289287368367</v>
      </c>
      <c r="T805" s="29">
        <f t="shared" ca="1" si="173"/>
        <v>137</v>
      </c>
      <c r="V805" s="22">
        <v>45350</v>
      </c>
      <c r="W805" s="26">
        <f t="shared" ca="1" si="140"/>
        <v>0.66287579860901968</v>
      </c>
      <c r="X805" s="29">
        <f t="shared" ca="1" si="174"/>
        <v>232</v>
      </c>
      <c r="Z805" s="22">
        <v>45350</v>
      </c>
      <c r="AA805" s="26">
        <f t="shared" ca="1" si="141"/>
        <v>0.9305266359480604</v>
      </c>
      <c r="AB805" s="29">
        <f t="shared" ca="1" si="175"/>
        <v>297</v>
      </c>
      <c r="AC805"/>
      <c r="AD805" s="25"/>
      <c r="AF805" s="22">
        <v>45350</v>
      </c>
      <c r="AG805" s="26">
        <f t="shared" ca="1" si="142"/>
        <v>0.24321578326928417</v>
      </c>
      <c r="AH805" s="29">
        <f t="shared" ca="1" si="176"/>
        <v>267</v>
      </c>
      <c r="AJ805" s="22">
        <v>45350</v>
      </c>
      <c r="AK805" s="26">
        <f t="shared" ca="1" si="143"/>
        <v>0.86371052422878081</v>
      </c>
      <c r="AL805" s="29">
        <f t="shared" ca="1" si="177"/>
        <v>233</v>
      </c>
      <c r="AN805" s="22">
        <v>45350</v>
      </c>
      <c r="AO805" s="26">
        <f t="shared" ca="1" si="144"/>
        <v>0.7813144262109214</v>
      </c>
      <c r="AP805" s="29">
        <f t="shared" ca="1" si="178"/>
        <v>178</v>
      </c>
      <c r="AR805" s="22">
        <v>45350</v>
      </c>
      <c r="AS805" s="26">
        <f t="shared" ca="1" si="145"/>
        <v>0.20009567586005961</v>
      </c>
      <c r="AT805" s="29">
        <f t="shared" ca="1" si="179"/>
        <v>169</v>
      </c>
      <c r="AV805" s="22">
        <v>45350</v>
      </c>
      <c r="AW805" s="26">
        <f t="shared" ca="1" si="146"/>
        <v>0.78266822874229347</v>
      </c>
      <c r="AX805" s="29">
        <f t="shared" ca="1" si="180"/>
        <v>232</v>
      </c>
      <c r="AZ805" s="22">
        <v>45350</v>
      </c>
      <c r="BA805" s="26">
        <f t="shared" ca="1" si="147"/>
        <v>1.2539339499375579E-2</v>
      </c>
      <c r="BB805" s="29">
        <f t="shared" ca="1" si="181"/>
        <v>73</v>
      </c>
      <c r="BC805"/>
      <c r="BD805" s="25"/>
      <c r="BF805" s="22">
        <v>45350</v>
      </c>
      <c r="BG805" s="26">
        <f t="shared" ca="1" si="148"/>
        <v>0.22554712857346859</v>
      </c>
      <c r="BH805" s="29">
        <f t="shared" ca="1" si="182"/>
        <v>128</v>
      </c>
      <c r="BJ805" s="22">
        <v>45350</v>
      </c>
      <c r="BK805" s="26">
        <f t="shared" ca="1" si="149"/>
        <v>0.81260746828344599</v>
      </c>
      <c r="BL805" s="29">
        <f t="shared" ca="1" si="183"/>
        <v>204</v>
      </c>
      <c r="BN805" s="22">
        <v>45350</v>
      </c>
      <c r="BO805" s="26">
        <f t="shared" ca="1" si="150"/>
        <v>0.72005956586484443</v>
      </c>
      <c r="BP805" s="29">
        <f t="shared" ca="1" si="184"/>
        <v>152</v>
      </c>
      <c r="BR805" s="22">
        <v>45350</v>
      </c>
      <c r="BS805" s="26">
        <f t="shared" ca="1" si="151"/>
        <v>0.43696189853970802</v>
      </c>
      <c r="BT805" s="29">
        <v>0</v>
      </c>
      <c r="BV805" s="22">
        <v>45350</v>
      </c>
      <c r="BW805" s="26">
        <f t="shared" ca="1" si="152"/>
        <v>0.9390091214004499</v>
      </c>
      <c r="BX805" s="29">
        <v>0</v>
      </c>
    </row>
    <row r="806" spans="2:77" ht="12.75" x14ac:dyDescent="0.2">
      <c r="B806" s="22">
        <v>45351</v>
      </c>
      <c r="C806" s="26">
        <f t="shared" ca="1" si="135"/>
        <v>5.239545927505973E-3</v>
      </c>
      <c r="D806" s="29">
        <f t="shared" ca="1" si="169"/>
        <v>24</v>
      </c>
      <c r="E806">
        <v>1760</v>
      </c>
      <c r="F806" s="22"/>
      <c r="G806" s="26">
        <f t="shared" ca="1" si="136"/>
        <v>0.9953844465443572</v>
      </c>
      <c r="H806" s="29">
        <f t="shared" ca="1" si="170"/>
        <v>253</v>
      </c>
      <c r="I806">
        <v>1511</v>
      </c>
      <c r="J806" s="22">
        <v>45351</v>
      </c>
      <c r="K806" s="26">
        <f t="shared" ca="1" si="137"/>
        <v>0.82256425109789089</v>
      </c>
      <c r="L806" s="29">
        <f t="shared" ca="1" si="171"/>
        <v>160</v>
      </c>
      <c r="M806">
        <v>3044</v>
      </c>
      <c r="N806" s="22">
        <v>45351</v>
      </c>
      <c r="O806" s="26">
        <f t="shared" ca="1" si="138"/>
        <v>0.22828524504098502</v>
      </c>
      <c r="P806" s="29">
        <f t="shared" ca="1" si="172"/>
        <v>218</v>
      </c>
      <c r="Q806">
        <v>4635</v>
      </c>
      <c r="R806" s="22">
        <v>45351</v>
      </c>
      <c r="S806" s="26">
        <f t="shared" ca="1" si="139"/>
        <v>0.26772534873425224</v>
      </c>
      <c r="T806" s="29">
        <f t="shared" ca="1" si="173"/>
        <v>134</v>
      </c>
      <c r="U806">
        <v>2735</v>
      </c>
      <c r="V806" s="22">
        <v>45351</v>
      </c>
      <c r="W806" s="26">
        <f t="shared" ca="1" si="140"/>
        <v>0.23647017731808451</v>
      </c>
      <c r="X806" s="29">
        <f t="shared" ca="1" si="174"/>
        <v>215</v>
      </c>
      <c r="Y806">
        <v>4495</v>
      </c>
      <c r="Z806" s="22">
        <v>45351</v>
      </c>
      <c r="AA806" s="26">
        <f t="shared" ca="1" si="141"/>
        <v>0.36798678072748425</v>
      </c>
      <c r="AB806" s="29">
        <f t="shared" ca="1" si="175"/>
        <v>264</v>
      </c>
      <c r="AC806">
        <v>5466</v>
      </c>
      <c r="AD806" s="25"/>
      <c r="AF806" s="22">
        <v>45351</v>
      </c>
      <c r="AG806" s="26">
        <f t="shared" ca="1" si="142"/>
        <v>0.87127449660469081</v>
      </c>
      <c r="AH806" s="29">
        <f t="shared" ca="1" si="176"/>
        <v>426</v>
      </c>
      <c r="AI806">
        <v>6621</v>
      </c>
      <c r="AJ806" s="22">
        <v>45351</v>
      </c>
      <c r="AK806" s="26">
        <f t="shared" ca="1" si="143"/>
        <v>0.7587051031097708</v>
      </c>
      <c r="AL806" s="29">
        <f t="shared" ca="1" si="177"/>
        <v>214</v>
      </c>
      <c r="AM806">
        <v>3772</v>
      </c>
      <c r="AN806" s="22">
        <v>45351</v>
      </c>
      <c r="AO806" s="26">
        <f t="shared" ca="1" si="144"/>
        <v>0.24722826160202449</v>
      </c>
      <c r="AP806" s="29">
        <f t="shared" ca="1" si="178"/>
        <v>121</v>
      </c>
      <c r="AQ806">
        <v>3041</v>
      </c>
      <c r="AR806" s="22">
        <v>45351</v>
      </c>
      <c r="AS806" s="26">
        <f t="shared" ca="1" si="145"/>
        <v>0.90726428136151993</v>
      </c>
      <c r="AT806" s="29">
        <f t="shared" ca="1" si="179"/>
        <v>294</v>
      </c>
      <c r="AU806">
        <v>3925</v>
      </c>
      <c r="AV806" s="22">
        <v>45351</v>
      </c>
      <c r="AW806" s="26">
        <f t="shared" ca="1" si="146"/>
        <v>0.81272760776492825</v>
      </c>
      <c r="AX806" s="29">
        <f t="shared" ca="1" si="180"/>
        <v>238</v>
      </c>
      <c r="AY806">
        <v>3787</v>
      </c>
      <c r="AZ806" s="22">
        <v>45351</v>
      </c>
      <c r="BA806" s="26">
        <f t="shared" ca="1" si="147"/>
        <v>0.76447202160767658</v>
      </c>
      <c r="BB806" s="29">
        <f t="shared" ca="1" si="181"/>
        <v>215</v>
      </c>
      <c r="BC806">
        <v>3898</v>
      </c>
      <c r="BD806" s="25"/>
      <c r="BF806" s="22">
        <v>45351</v>
      </c>
      <c r="BG806" s="26">
        <f t="shared" ca="1" si="148"/>
        <v>0.14794328478519847</v>
      </c>
      <c r="BH806" s="29">
        <f t="shared" ca="1" si="182"/>
        <v>116</v>
      </c>
      <c r="BI806">
        <v>3096</v>
      </c>
      <c r="BJ806" s="22">
        <v>45351</v>
      </c>
      <c r="BK806" s="26">
        <f t="shared" ca="1" si="149"/>
        <v>0.37794936049213013</v>
      </c>
      <c r="BL806" s="29">
        <f t="shared" ca="1" si="183"/>
        <v>151</v>
      </c>
      <c r="BM806">
        <v>3078</v>
      </c>
      <c r="BN806" s="22">
        <v>45351</v>
      </c>
      <c r="BO806" s="26">
        <f t="shared" ca="1" si="150"/>
        <v>0.80013935053015739</v>
      </c>
      <c r="BP806" s="29">
        <f t="shared" ca="1" si="184"/>
        <v>161</v>
      </c>
      <c r="BQ806">
        <v>2272</v>
      </c>
      <c r="BR806" s="22">
        <v>45351</v>
      </c>
      <c r="BS806" s="26">
        <f t="shared" ca="1" si="151"/>
        <v>0.19676755573848059</v>
      </c>
      <c r="BT806" s="29">
        <v>0</v>
      </c>
      <c r="BU806">
        <v>0</v>
      </c>
      <c r="BV806" s="22">
        <v>45351</v>
      </c>
      <c r="BW806" s="26">
        <f t="shared" ca="1" si="152"/>
        <v>0.13665836597641445</v>
      </c>
      <c r="BX806" s="29">
        <v>0</v>
      </c>
      <c r="BY806">
        <v>0</v>
      </c>
    </row>
    <row r="807" spans="2:77" ht="12.75" x14ac:dyDescent="0.2">
      <c r="B807" s="22">
        <v>45352</v>
      </c>
      <c r="C807" s="26">
        <f t="shared" ca="1" si="135"/>
        <v>1.3241237660210903E-4</v>
      </c>
      <c r="D807" s="29">
        <f ca="1">ROUNDUP(_xlfn.NORM.INV(C806,C$10,C$12),0)</f>
        <v>24</v>
      </c>
      <c r="F807" s="22"/>
      <c r="G807" s="26">
        <f t="shared" ca="1" si="136"/>
        <v>0.21535877032078843</v>
      </c>
      <c r="H807" s="29">
        <f ca="1">ROUNDUP(_xlfn.NORM.INV(G806,G$10,G$12),0)</f>
        <v>253</v>
      </c>
      <c r="J807" s="22">
        <v>45352</v>
      </c>
      <c r="K807" s="26">
        <f t="shared" ca="1" si="137"/>
        <v>5.5850630131603296E-2</v>
      </c>
      <c r="L807" s="29">
        <f ca="1">ROUNDUP(_xlfn.NORM.INV(K806,K$10,K$12),0)</f>
        <v>160</v>
      </c>
      <c r="N807" s="22">
        <v>45352</v>
      </c>
      <c r="O807" s="26">
        <f t="shared" ca="1" si="138"/>
        <v>4.6818616713828032E-2</v>
      </c>
      <c r="P807" s="29">
        <f ca="1">ROUNDUP(_xlfn.NORM.INV(O806,O$10,O$12),0)</f>
        <v>218</v>
      </c>
      <c r="R807" s="22">
        <v>45352</v>
      </c>
      <c r="S807" s="26">
        <f t="shared" ca="1" si="139"/>
        <v>0.90839356281887151</v>
      </c>
      <c r="T807" s="29">
        <f ca="1">ROUNDUP(_xlfn.NORM.INV(S806,S$10,S$12),0)</f>
        <v>134</v>
      </c>
      <c r="V807" s="22">
        <v>45352</v>
      </c>
      <c r="W807" s="26">
        <f t="shared" ca="1" si="140"/>
        <v>0.84125478487733352</v>
      </c>
      <c r="X807" s="29">
        <f ca="1">ROUNDUP(_xlfn.NORM.INV(W806,W$10,W$12),0)</f>
        <v>215</v>
      </c>
      <c r="Z807" s="22">
        <v>45352</v>
      </c>
      <c r="AA807" s="26">
        <f t="shared" ca="1" si="141"/>
        <v>0.22428241562722229</v>
      </c>
      <c r="AB807" s="29">
        <f ca="1">ROUNDUP(_xlfn.NORM.INV(AA806,AA$10,AA$12),0)</f>
        <v>264</v>
      </c>
      <c r="AC807"/>
      <c r="AD807" s="25"/>
      <c r="AF807" s="22">
        <v>45352</v>
      </c>
      <c r="AG807" s="26">
        <f t="shared" ca="1" si="142"/>
        <v>0.52852382442315937</v>
      </c>
      <c r="AH807" s="29">
        <f ca="1">ROUNDUP(_xlfn.NORM.INV(AG806,AG$10,AG$12),0)</f>
        <v>426</v>
      </c>
      <c r="AJ807" s="22">
        <v>45352</v>
      </c>
      <c r="AK807" s="26">
        <f t="shared" ca="1" si="143"/>
        <v>0.5006119436376596</v>
      </c>
      <c r="AL807" s="29">
        <f ca="1">ROUNDUP(_xlfn.NORM.INV(AK806,AK$10,AK$12),0)</f>
        <v>214</v>
      </c>
      <c r="AN807" s="22">
        <v>45352</v>
      </c>
      <c r="AO807" s="26">
        <f t="shared" ca="1" si="144"/>
        <v>0.13386470690536889</v>
      </c>
      <c r="AP807" s="29">
        <f ca="1">ROUNDUP(_xlfn.NORM.INV(AO806,AO$10,AO$12),0)</f>
        <v>121</v>
      </c>
      <c r="AR807" s="22">
        <v>45352</v>
      </c>
      <c r="AS807" s="26">
        <f t="shared" ca="1" si="145"/>
        <v>0.34110795849914077</v>
      </c>
      <c r="AT807" s="29">
        <f ca="1">ROUNDUP(_xlfn.NORM.INV(AS806,AS$10,AS$12),0)</f>
        <v>294</v>
      </c>
      <c r="AV807" s="22">
        <v>45352</v>
      </c>
      <c r="AW807" s="26">
        <f t="shared" ca="1" si="146"/>
        <v>0.93376664292999034</v>
      </c>
      <c r="AX807" s="29">
        <f ca="1">ROUNDUP(_xlfn.NORM.INV(AW806,AW$10,AW$12),0)</f>
        <v>238</v>
      </c>
      <c r="AZ807" s="22">
        <v>45352</v>
      </c>
      <c r="BA807" s="26">
        <f t="shared" ca="1" si="147"/>
        <v>0.9393444092010198</v>
      </c>
      <c r="BB807" s="29">
        <f ca="1">ROUNDUP(_xlfn.NORM.INV(BA806,BA$10,BA$12),0)</f>
        <v>215</v>
      </c>
      <c r="BC807"/>
      <c r="BD807" s="25"/>
      <c r="BF807" s="22">
        <v>45352</v>
      </c>
      <c r="BG807" s="26">
        <f t="shared" ca="1" si="148"/>
        <v>0.81263039568498419</v>
      </c>
      <c r="BH807" s="29">
        <f ca="1">ROUNDUP(_xlfn.NORM.INV(BG806,BG$10,BG$12),0)</f>
        <v>116</v>
      </c>
      <c r="BJ807" s="22">
        <v>45352</v>
      </c>
      <c r="BK807" s="26">
        <f t="shared" ca="1" si="149"/>
        <v>0.7476062190180236</v>
      </c>
      <c r="BL807" s="29">
        <f ca="1">ROUNDUP(_xlfn.NORM.INV(BK806,BK$10,BK$12),0)</f>
        <v>151</v>
      </c>
      <c r="BN807" s="22">
        <v>45352</v>
      </c>
      <c r="BO807" s="26">
        <f t="shared" ca="1" si="150"/>
        <v>0.29920366416740207</v>
      </c>
      <c r="BP807" s="29">
        <f ca="1">ROUNDUP(_xlfn.NORM.INV(BO806,BO$10,BO$12),0)</f>
        <v>161</v>
      </c>
      <c r="BR807" s="22">
        <v>45352</v>
      </c>
      <c r="BS807" s="26">
        <f t="shared" ca="1" si="151"/>
        <v>0.67642284747945569</v>
      </c>
      <c r="BT807" s="29">
        <v>0</v>
      </c>
      <c r="BV807" s="22">
        <v>45352</v>
      </c>
      <c r="BW807" s="26">
        <f t="shared" ca="1" si="152"/>
        <v>0.78867162101810051</v>
      </c>
      <c r="BX807" s="29">
        <v>0</v>
      </c>
    </row>
    <row r="808" spans="2:77" ht="12.75" x14ac:dyDescent="0.2">
      <c r="B808" s="22">
        <v>45353</v>
      </c>
      <c r="C808" s="26">
        <f t="shared" ca="1" si="135"/>
        <v>0.51229866219016118</v>
      </c>
      <c r="D808" s="29">
        <f t="shared" ca="1" si="169"/>
        <v>76</v>
      </c>
      <c r="F808" s="22"/>
      <c r="G808" s="26">
        <f t="shared" ca="1" si="136"/>
        <v>0.72828451703895269</v>
      </c>
      <c r="H808" s="29">
        <f t="shared" ca="1" si="170"/>
        <v>225</v>
      </c>
      <c r="J808" s="22">
        <v>45353</v>
      </c>
      <c r="K808" s="26">
        <f t="shared" ca="1" si="137"/>
        <v>0.46918204780731132</v>
      </c>
      <c r="L808" s="29">
        <f t="shared" ca="1" si="171"/>
        <v>150</v>
      </c>
      <c r="N808" s="22">
        <v>45353</v>
      </c>
      <c r="O808" s="26">
        <f t="shared" ca="1" si="138"/>
        <v>0.44231769678524868</v>
      </c>
      <c r="P808" s="29">
        <f t="shared" ca="1" si="172"/>
        <v>228</v>
      </c>
      <c r="R808" s="22">
        <v>45353</v>
      </c>
      <c r="S808" s="26">
        <f t="shared" ca="1" si="139"/>
        <v>0.95500883556080374</v>
      </c>
      <c r="T808" s="29">
        <f t="shared" ca="1" si="173"/>
        <v>155</v>
      </c>
      <c r="V808" s="22">
        <v>45353</v>
      </c>
      <c r="W808" s="26">
        <f t="shared" ca="1" si="140"/>
        <v>0.30740256393233356</v>
      </c>
      <c r="X808" s="29">
        <f t="shared" ca="1" si="174"/>
        <v>218</v>
      </c>
      <c r="Z808" s="22">
        <v>45353</v>
      </c>
      <c r="AA808" s="26">
        <f t="shared" ca="1" si="141"/>
        <v>0.35005876845642125</v>
      </c>
      <c r="AB808" s="29">
        <f t="shared" ca="1" si="175"/>
        <v>264</v>
      </c>
      <c r="AC808"/>
      <c r="AD808" s="25"/>
      <c r="AF808" s="22">
        <v>45353</v>
      </c>
      <c r="AG808" s="26">
        <f t="shared" ca="1" si="142"/>
        <v>0.87360243749750921</v>
      </c>
      <c r="AH808" s="29">
        <f t="shared" ca="1" si="176"/>
        <v>427</v>
      </c>
      <c r="AJ808" s="22">
        <v>45353</v>
      </c>
      <c r="AK808" s="26">
        <f t="shared" ca="1" si="143"/>
        <v>7.1631589113343663E-2</v>
      </c>
      <c r="AL808" s="29">
        <f t="shared" ca="1" si="177"/>
        <v>110</v>
      </c>
      <c r="AN808" s="22">
        <v>45353</v>
      </c>
      <c r="AO808" s="26">
        <f t="shared" ca="1" si="144"/>
        <v>0.77157627595829781</v>
      </c>
      <c r="AP808" s="29">
        <f t="shared" ca="1" si="178"/>
        <v>177</v>
      </c>
      <c r="AR808" s="22">
        <v>45353</v>
      </c>
      <c r="AS808" s="26">
        <f t="shared" ca="1" si="145"/>
        <v>0.9143087152798326</v>
      </c>
      <c r="AT808" s="29">
        <f t="shared" ca="1" si="179"/>
        <v>296</v>
      </c>
      <c r="AV808" s="22">
        <v>45353</v>
      </c>
      <c r="AW808" s="26">
        <f t="shared" ca="1" si="146"/>
        <v>0.16954767668751158</v>
      </c>
      <c r="AX808" s="29">
        <f t="shared" ca="1" si="180"/>
        <v>143</v>
      </c>
      <c r="AZ808" s="22">
        <v>45353</v>
      </c>
      <c r="BA808" s="26">
        <f t="shared" ca="1" si="147"/>
        <v>0.89742006128483276</v>
      </c>
      <c r="BB808" s="29">
        <f t="shared" ca="1" si="181"/>
        <v>241</v>
      </c>
      <c r="BC808"/>
      <c r="BD808" s="25"/>
      <c r="BF808" s="22">
        <v>45353</v>
      </c>
      <c r="BG808" s="26">
        <f t="shared" ca="1" si="148"/>
        <v>0.24925484823099919</v>
      </c>
      <c r="BH808" s="29">
        <f t="shared" ca="1" si="182"/>
        <v>131</v>
      </c>
      <c r="BJ808" s="22">
        <v>45353</v>
      </c>
      <c r="BK808" s="26">
        <f t="shared" ca="1" si="149"/>
        <v>0.10304042336248809</v>
      </c>
      <c r="BL808" s="29">
        <f t="shared" ca="1" si="183"/>
        <v>110</v>
      </c>
      <c r="BN808" s="22">
        <v>45353</v>
      </c>
      <c r="BO808" s="26">
        <f t="shared" ca="1" si="150"/>
        <v>0.13245002777445591</v>
      </c>
      <c r="BP808" s="29">
        <f t="shared" ca="1" si="184"/>
        <v>93</v>
      </c>
      <c r="BR808" s="22">
        <v>45353</v>
      </c>
      <c r="BS808" s="26">
        <f t="shared" ca="1" si="151"/>
        <v>3.9121346403767743E-2</v>
      </c>
      <c r="BT808" s="29">
        <f t="shared" ref="BT808:BT845" ca="1" si="185">ROUNDUP(_xlfn.NORM.INV(BS808,BS$10,BS$12),0)</f>
        <v>93</v>
      </c>
      <c r="BV808" s="22">
        <v>45353</v>
      </c>
      <c r="BW808" s="26">
        <f t="shared" ca="1" si="152"/>
        <v>0.58010662210666597</v>
      </c>
      <c r="BX808" s="29">
        <v>0</v>
      </c>
    </row>
    <row r="809" spans="2:77" ht="12.75" x14ac:dyDescent="0.2">
      <c r="B809" s="22">
        <v>45354</v>
      </c>
      <c r="C809" s="26">
        <f t="shared" ca="1" si="135"/>
        <v>0.66344604018987252</v>
      </c>
      <c r="D809" s="29">
        <f t="shared" ca="1" si="169"/>
        <v>84</v>
      </c>
      <c r="F809" s="22"/>
      <c r="G809" s="26">
        <f t="shared" ca="1" si="136"/>
        <v>0.98255019999058102</v>
      </c>
      <c r="H809" s="29">
        <f t="shared" ca="1" si="170"/>
        <v>246</v>
      </c>
      <c r="J809" s="22">
        <v>45354</v>
      </c>
      <c r="K809" s="26">
        <f t="shared" ca="1" si="137"/>
        <v>0.9486827108109982</v>
      </c>
      <c r="L809" s="29">
        <f t="shared" ca="1" si="171"/>
        <v>167</v>
      </c>
      <c r="N809" s="22">
        <v>45354</v>
      </c>
      <c r="O809" s="26">
        <f t="shared" ca="1" si="138"/>
        <v>0.15953252328438494</v>
      </c>
      <c r="P809" s="29">
        <f t="shared" ca="1" si="172"/>
        <v>215</v>
      </c>
      <c r="R809" s="22">
        <v>45354</v>
      </c>
      <c r="S809" s="26">
        <f t="shared" ca="1" si="139"/>
        <v>0.85377552711414595</v>
      </c>
      <c r="T809" s="29">
        <f t="shared" ca="1" si="173"/>
        <v>149</v>
      </c>
      <c r="V809" s="22">
        <v>45354</v>
      </c>
      <c r="W809" s="26">
        <f t="shared" ca="1" si="140"/>
        <v>0.52685580440830182</v>
      </c>
      <c r="X809" s="29">
        <f t="shared" ca="1" si="174"/>
        <v>227</v>
      </c>
      <c r="Z809" s="22">
        <v>45354</v>
      </c>
      <c r="AA809" s="26">
        <f t="shared" ca="1" si="141"/>
        <v>0.13194646231897755</v>
      </c>
      <c r="AB809" s="29">
        <f t="shared" ca="1" si="175"/>
        <v>250</v>
      </c>
      <c r="AC809"/>
      <c r="AD809" s="25"/>
      <c r="AF809" s="22">
        <v>45354</v>
      </c>
      <c r="AG809" s="26">
        <f t="shared" ca="1" si="142"/>
        <v>0.35773372747946863</v>
      </c>
      <c r="AH809" s="29">
        <f t="shared" ca="1" si="176"/>
        <v>296</v>
      </c>
      <c r="AJ809" s="22">
        <v>45354</v>
      </c>
      <c r="AK809" s="26">
        <f t="shared" ca="1" si="143"/>
        <v>0.41626061346895282</v>
      </c>
      <c r="AL809" s="29">
        <f t="shared" ca="1" si="177"/>
        <v>170</v>
      </c>
      <c r="AN809" s="22">
        <v>45354</v>
      </c>
      <c r="AO809" s="26">
        <f t="shared" ca="1" si="144"/>
        <v>0.47929068425108212</v>
      </c>
      <c r="AP809" s="29">
        <f t="shared" ca="1" si="178"/>
        <v>146</v>
      </c>
      <c r="AR809" s="22">
        <v>45354</v>
      </c>
      <c r="AS809" s="26">
        <f t="shared" ca="1" si="145"/>
        <v>0.77292536447277504</v>
      </c>
      <c r="AT809" s="29">
        <f t="shared" ca="1" si="179"/>
        <v>261</v>
      </c>
      <c r="AV809" s="22">
        <v>45354</v>
      </c>
      <c r="AW809" s="26">
        <f t="shared" ca="1" si="146"/>
        <v>0.62339838376861356</v>
      </c>
      <c r="AX809" s="29">
        <f t="shared" ca="1" si="180"/>
        <v>208</v>
      </c>
      <c r="AZ809" s="22">
        <v>45354</v>
      </c>
      <c r="BA809" s="26">
        <f t="shared" ca="1" si="147"/>
        <v>0.2505404859932352</v>
      </c>
      <c r="BB809" s="29">
        <f t="shared" ca="1" si="181"/>
        <v>148</v>
      </c>
      <c r="BC809"/>
      <c r="BD809" s="25"/>
      <c r="BF809" s="22">
        <v>45354</v>
      </c>
      <c r="BG809" s="26">
        <f t="shared" ca="1" si="148"/>
        <v>1.0962577205145929E-2</v>
      </c>
      <c r="BH809" s="29">
        <f t="shared" ca="1" si="182"/>
        <v>63</v>
      </c>
      <c r="BJ809" s="22">
        <v>45354</v>
      </c>
      <c r="BK809" s="26">
        <f t="shared" ca="1" si="149"/>
        <v>0.86949428092431724</v>
      </c>
      <c r="BL809" s="29">
        <f t="shared" ca="1" si="183"/>
        <v>214</v>
      </c>
      <c r="BN809" s="22">
        <v>45354</v>
      </c>
      <c r="BO809" s="26">
        <f t="shared" ca="1" si="150"/>
        <v>0.97347756958333254</v>
      </c>
      <c r="BP809" s="29">
        <f t="shared" ca="1" si="184"/>
        <v>199</v>
      </c>
      <c r="BR809" s="22">
        <v>45354</v>
      </c>
      <c r="BS809" s="26">
        <f t="shared" ca="1" si="151"/>
        <v>0.25554123770986947</v>
      </c>
      <c r="BT809" s="29">
        <f t="shared" ca="1" si="185"/>
        <v>144</v>
      </c>
      <c r="BV809" s="22">
        <v>45354</v>
      </c>
      <c r="BW809" s="26">
        <f t="shared" ca="1" si="152"/>
        <v>0.66120357764344917</v>
      </c>
      <c r="BX809" s="29">
        <v>0</v>
      </c>
    </row>
    <row r="810" spans="2:77" ht="12.75" x14ac:dyDescent="0.2">
      <c r="B810" s="22">
        <v>45355</v>
      </c>
      <c r="C810" s="26">
        <f t="shared" ca="1" si="135"/>
        <v>0.99355763487875048</v>
      </c>
      <c r="D810" s="29">
        <f t="shared" ca="1" si="169"/>
        <v>125</v>
      </c>
      <c r="F810" s="22"/>
      <c r="G810" s="26">
        <f t="shared" ca="1" si="136"/>
        <v>0.66748424640361925</v>
      </c>
      <c r="H810" s="29">
        <f t="shared" ca="1" si="170"/>
        <v>222</v>
      </c>
      <c r="J810" s="22">
        <v>45355</v>
      </c>
      <c r="K810" s="26">
        <f t="shared" ca="1" si="137"/>
        <v>0.8204905417544508</v>
      </c>
      <c r="L810" s="29">
        <f t="shared" ca="1" si="171"/>
        <v>160</v>
      </c>
      <c r="N810" s="22">
        <v>45355</v>
      </c>
      <c r="O810" s="26">
        <f t="shared" ca="1" si="138"/>
        <v>0.72648126801165225</v>
      </c>
      <c r="P810" s="29">
        <f t="shared" ca="1" si="172"/>
        <v>239</v>
      </c>
      <c r="R810" s="22">
        <v>45355</v>
      </c>
      <c r="S810" s="26">
        <f t="shared" ca="1" si="139"/>
        <v>0.32168627673853023</v>
      </c>
      <c r="T810" s="29">
        <f t="shared" ca="1" si="173"/>
        <v>135</v>
      </c>
      <c r="V810" s="22">
        <v>45355</v>
      </c>
      <c r="W810" s="26">
        <f t="shared" ca="1" si="140"/>
        <v>0.48507932316711022</v>
      </c>
      <c r="X810" s="29">
        <f t="shared" ca="1" si="174"/>
        <v>225</v>
      </c>
      <c r="Z810" s="22">
        <v>45355</v>
      </c>
      <c r="AA810" s="26">
        <f t="shared" ca="1" si="141"/>
        <v>0.66028273541056082</v>
      </c>
      <c r="AB810" s="29">
        <f t="shared" ca="1" si="175"/>
        <v>278</v>
      </c>
      <c r="AC810"/>
      <c r="AD810" s="25"/>
      <c r="AF810" s="22">
        <v>45355</v>
      </c>
      <c r="AG810" s="26">
        <f t="shared" ca="1" si="142"/>
        <v>0.62153978897374573</v>
      </c>
      <c r="AH810" s="29">
        <f t="shared" ca="1" si="176"/>
        <v>354</v>
      </c>
      <c r="AJ810" s="22">
        <v>45355</v>
      </c>
      <c r="AK810" s="26">
        <f t="shared" ca="1" si="143"/>
        <v>0.89439352081894496</v>
      </c>
      <c r="AL810" s="29">
        <f t="shared" ca="1" si="177"/>
        <v>240</v>
      </c>
      <c r="AN810" s="22">
        <v>45355</v>
      </c>
      <c r="AO810" s="26">
        <f t="shared" ca="1" si="144"/>
        <v>0.59106750512058381</v>
      </c>
      <c r="AP810" s="29">
        <f t="shared" ca="1" si="178"/>
        <v>157</v>
      </c>
      <c r="AR810" s="22">
        <v>45355</v>
      </c>
      <c r="AS810" s="26">
        <f t="shared" ca="1" si="145"/>
        <v>0.57657313393557696</v>
      </c>
      <c r="AT810" s="29">
        <f t="shared" ca="1" si="179"/>
        <v>228</v>
      </c>
      <c r="AV810" s="22">
        <v>45355</v>
      </c>
      <c r="AW810" s="26">
        <f t="shared" ca="1" si="146"/>
        <v>0.82317297001721224</v>
      </c>
      <c r="AX810" s="29">
        <f t="shared" ca="1" si="180"/>
        <v>240</v>
      </c>
      <c r="AZ810" s="22">
        <v>45355</v>
      </c>
      <c r="BA810" s="26">
        <f t="shared" ca="1" si="147"/>
        <v>0.63081971830198502</v>
      </c>
      <c r="BB810" s="29">
        <f t="shared" ca="1" si="181"/>
        <v>196</v>
      </c>
      <c r="BC810"/>
      <c r="BD810" s="25"/>
      <c r="BF810" s="22">
        <v>45355</v>
      </c>
      <c r="BG810" s="26">
        <f t="shared" ca="1" si="148"/>
        <v>0.95591563877119368</v>
      </c>
      <c r="BH810" s="29">
        <f t="shared" ca="1" si="182"/>
        <v>233</v>
      </c>
      <c r="BJ810" s="22">
        <v>45355</v>
      </c>
      <c r="BK810" s="26">
        <f t="shared" ca="1" si="149"/>
        <v>0.58896486618047139</v>
      </c>
      <c r="BL810" s="29">
        <f t="shared" ca="1" si="183"/>
        <v>175</v>
      </c>
      <c r="BN810" s="22">
        <v>45355</v>
      </c>
      <c r="BO810" s="26">
        <f t="shared" ca="1" si="150"/>
        <v>0.52989895033401202</v>
      </c>
      <c r="BP810" s="29">
        <f t="shared" ca="1" si="184"/>
        <v>134</v>
      </c>
      <c r="BR810" s="22">
        <v>45355</v>
      </c>
      <c r="BS810" s="26">
        <f t="shared" ca="1" si="151"/>
        <v>0.41813768372191973</v>
      </c>
      <c r="BT810" s="29">
        <f t="shared" ca="1" si="185"/>
        <v>164</v>
      </c>
      <c r="BV810" s="22">
        <v>45355</v>
      </c>
      <c r="BW810" s="26">
        <f t="shared" ca="1" si="152"/>
        <v>0.23364673443008432</v>
      </c>
      <c r="BX810" s="29">
        <v>0</v>
      </c>
    </row>
    <row r="811" spans="2:77" ht="12.75" x14ac:dyDescent="0.2">
      <c r="B811" s="22">
        <v>45356</v>
      </c>
      <c r="C811" s="26">
        <f t="shared" ca="1" si="135"/>
        <v>0.67922476969160628</v>
      </c>
      <c r="D811" s="29">
        <f t="shared" ca="1" si="169"/>
        <v>85</v>
      </c>
      <c r="F811" s="22"/>
      <c r="G811" s="26">
        <f t="shared" ca="1" si="136"/>
        <v>0.77717837280443591</v>
      </c>
      <c r="H811" s="29">
        <f t="shared" ca="1" si="170"/>
        <v>227</v>
      </c>
      <c r="J811" s="22">
        <v>45356</v>
      </c>
      <c r="K811" s="26">
        <f t="shared" ca="1" si="137"/>
        <v>0.75740703777191853</v>
      </c>
      <c r="L811" s="29">
        <f t="shared" ca="1" si="171"/>
        <v>157</v>
      </c>
      <c r="N811" s="22">
        <v>45356</v>
      </c>
      <c r="O811" s="26">
        <f t="shared" ca="1" si="138"/>
        <v>0.7234593935197986</v>
      </c>
      <c r="P811" s="29">
        <f t="shared" ca="1" si="172"/>
        <v>239</v>
      </c>
      <c r="R811" s="22">
        <v>45356</v>
      </c>
      <c r="S811" s="26">
        <f t="shared" ca="1" si="139"/>
        <v>0.74951910818935563</v>
      </c>
      <c r="T811" s="29">
        <f t="shared" ca="1" si="173"/>
        <v>145</v>
      </c>
      <c r="V811" s="22">
        <v>45356</v>
      </c>
      <c r="W811" s="26">
        <f t="shared" ca="1" si="140"/>
        <v>0.42956544585759571</v>
      </c>
      <c r="X811" s="29">
        <f t="shared" ca="1" si="174"/>
        <v>223</v>
      </c>
      <c r="Z811" s="22">
        <v>45356</v>
      </c>
      <c r="AA811" s="26">
        <f t="shared" ca="1" si="141"/>
        <v>1.1233946654035987E-2</v>
      </c>
      <c r="AB811" s="29">
        <f t="shared" ca="1" si="175"/>
        <v>229</v>
      </c>
      <c r="AC811"/>
      <c r="AD811" s="25"/>
      <c r="AF811" s="22">
        <v>45356</v>
      </c>
      <c r="AG811" s="26">
        <f t="shared" ca="1" si="142"/>
        <v>0.96186399688661717</v>
      </c>
      <c r="AH811" s="29">
        <f t="shared" ca="1" si="176"/>
        <v>482</v>
      </c>
      <c r="AJ811" s="22">
        <v>45356</v>
      </c>
      <c r="AK811" s="26">
        <f t="shared" ca="1" si="143"/>
        <v>0.84918508877941357</v>
      </c>
      <c r="AL811" s="29">
        <f t="shared" ca="1" si="177"/>
        <v>230</v>
      </c>
      <c r="AN811" s="22">
        <v>45356</v>
      </c>
      <c r="AO811" s="26">
        <f t="shared" ca="1" si="144"/>
        <v>0.72269670280300857</v>
      </c>
      <c r="AP811" s="29">
        <f t="shared" ca="1" si="178"/>
        <v>171</v>
      </c>
      <c r="AR811" s="22">
        <v>45356</v>
      </c>
      <c r="AS811" s="26">
        <f t="shared" ca="1" si="145"/>
        <v>0.94863977866800808</v>
      </c>
      <c r="AT811" s="29">
        <f t="shared" ca="1" si="179"/>
        <v>312</v>
      </c>
      <c r="AV811" s="22">
        <v>45356</v>
      </c>
      <c r="AW811" s="26">
        <f t="shared" ca="1" si="146"/>
        <v>0.35358641148624581</v>
      </c>
      <c r="AX811" s="29">
        <f t="shared" ca="1" si="180"/>
        <v>173</v>
      </c>
      <c r="AZ811" s="22">
        <v>45356</v>
      </c>
      <c r="BA811" s="26">
        <f t="shared" ca="1" si="147"/>
        <v>8.3623448677911827E-2</v>
      </c>
      <c r="BB811" s="29">
        <f t="shared" ca="1" si="181"/>
        <v>114</v>
      </c>
      <c r="BC811"/>
      <c r="BD811" s="25"/>
      <c r="BF811" s="22">
        <v>45356</v>
      </c>
      <c r="BG811" s="26">
        <f t="shared" ca="1" si="148"/>
        <v>0.19376202468603421</v>
      </c>
      <c r="BH811" s="29">
        <f t="shared" ca="1" si="182"/>
        <v>123</v>
      </c>
      <c r="BJ811" s="22">
        <v>45356</v>
      </c>
      <c r="BK811" s="26">
        <f t="shared" ca="1" si="149"/>
        <v>0.93026337985440055</v>
      </c>
      <c r="BL811" s="29">
        <f t="shared" ca="1" si="183"/>
        <v>230</v>
      </c>
      <c r="BN811" s="22">
        <v>45356</v>
      </c>
      <c r="BO811" s="26">
        <f t="shared" ca="1" si="150"/>
        <v>0.83528094759557148</v>
      </c>
      <c r="BP811" s="29">
        <f t="shared" ca="1" si="184"/>
        <v>166</v>
      </c>
      <c r="BR811" s="22">
        <v>45356</v>
      </c>
      <c r="BS811" s="26">
        <f t="shared" ca="1" si="151"/>
        <v>0.45133669642972096</v>
      </c>
      <c r="BT811" s="29">
        <f t="shared" ca="1" si="185"/>
        <v>168</v>
      </c>
      <c r="BV811" s="22">
        <v>45356</v>
      </c>
      <c r="BW811" s="26">
        <f t="shared" ca="1" si="152"/>
        <v>0.56916789392603506</v>
      </c>
      <c r="BX811" s="29">
        <v>0</v>
      </c>
    </row>
    <row r="812" spans="2:77" ht="12.75" x14ac:dyDescent="0.2">
      <c r="B812" s="22">
        <v>45357</v>
      </c>
      <c r="C812" s="26">
        <f t="shared" ca="1" si="135"/>
        <v>0.52110129582750053</v>
      </c>
      <c r="D812" s="29">
        <f t="shared" ca="1" si="169"/>
        <v>77</v>
      </c>
      <c r="F812" s="22"/>
      <c r="G812" s="26">
        <f t="shared" ca="1" si="136"/>
        <v>0.41063755224394516</v>
      </c>
      <c r="H812" s="29">
        <f t="shared" ca="1" si="170"/>
        <v>213</v>
      </c>
      <c r="J812" s="22">
        <v>45357</v>
      </c>
      <c r="K812" s="26">
        <f t="shared" ca="1" si="137"/>
        <v>0.75875744544644586</v>
      </c>
      <c r="L812" s="29">
        <f t="shared" ca="1" si="171"/>
        <v>158</v>
      </c>
      <c r="N812" s="22">
        <v>45357</v>
      </c>
      <c r="O812" s="26">
        <f t="shared" ca="1" si="138"/>
        <v>0.63314175310381993</v>
      </c>
      <c r="P812" s="29">
        <f t="shared" ca="1" si="172"/>
        <v>235</v>
      </c>
      <c r="R812" s="22">
        <v>45357</v>
      </c>
      <c r="S812" s="26">
        <f t="shared" ca="1" si="139"/>
        <v>0.82375612182572477</v>
      </c>
      <c r="T812" s="29">
        <f t="shared" ca="1" si="173"/>
        <v>148</v>
      </c>
      <c r="V812" s="22">
        <v>45357</v>
      </c>
      <c r="W812" s="26">
        <f t="shared" ca="1" si="140"/>
        <v>0.1469616845058106</v>
      </c>
      <c r="X812" s="29">
        <f t="shared" ca="1" si="174"/>
        <v>210</v>
      </c>
      <c r="Z812" s="22">
        <v>45357</v>
      </c>
      <c r="AA812" s="26">
        <f t="shared" ca="1" si="141"/>
        <v>0.17928448647779993</v>
      </c>
      <c r="AB812" s="29">
        <f t="shared" ca="1" si="175"/>
        <v>254</v>
      </c>
      <c r="AC812"/>
      <c r="AD812" s="25"/>
      <c r="AF812" s="22">
        <v>45357</v>
      </c>
      <c r="AG812" s="26">
        <f t="shared" ca="1" si="142"/>
        <v>0.70881019237637621</v>
      </c>
      <c r="AH812" s="29">
        <f t="shared" ca="1" si="176"/>
        <v>375</v>
      </c>
      <c r="AJ812" s="22">
        <v>45357</v>
      </c>
      <c r="AK812" s="26">
        <f t="shared" ca="1" si="143"/>
        <v>0.87840798006934473</v>
      </c>
      <c r="AL812" s="29">
        <f t="shared" ca="1" si="177"/>
        <v>236</v>
      </c>
      <c r="AN812" s="22">
        <v>45357</v>
      </c>
      <c r="AO812" s="26">
        <f t="shared" ca="1" si="144"/>
        <v>0.39815348444687715</v>
      </c>
      <c r="AP812" s="29">
        <f t="shared" ca="1" si="178"/>
        <v>138</v>
      </c>
      <c r="AR812" s="22">
        <v>45357</v>
      </c>
      <c r="AS812" s="26">
        <f t="shared" ca="1" si="145"/>
        <v>5.5806254248188525E-2</v>
      </c>
      <c r="AT812" s="29">
        <f t="shared" ca="1" si="179"/>
        <v>125</v>
      </c>
      <c r="AV812" s="22">
        <v>45357</v>
      </c>
      <c r="AW812" s="26">
        <f t="shared" ca="1" si="146"/>
        <v>0.34875021212109714</v>
      </c>
      <c r="AX812" s="29">
        <f t="shared" ca="1" si="180"/>
        <v>172</v>
      </c>
      <c r="AZ812" s="22">
        <v>45357</v>
      </c>
      <c r="BA812" s="26">
        <f t="shared" ca="1" si="147"/>
        <v>0.15925472912652161</v>
      </c>
      <c r="BB812" s="29">
        <f t="shared" ca="1" si="181"/>
        <v>133</v>
      </c>
      <c r="BC812"/>
      <c r="BD812" s="25"/>
      <c r="BF812" s="22">
        <v>45357</v>
      </c>
      <c r="BG812" s="26">
        <f t="shared" ca="1" si="148"/>
        <v>0.57626065421279238</v>
      </c>
      <c r="BH812" s="29">
        <f t="shared" ca="1" si="182"/>
        <v>168</v>
      </c>
      <c r="BJ812" s="22">
        <v>45357</v>
      </c>
      <c r="BK812" s="26">
        <f t="shared" ca="1" si="149"/>
        <v>0.23018539090325396</v>
      </c>
      <c r="BL812" s="29">
        <f t="shared" ca="1" si="183"/>
        <v>133</v>
      </c>
      <c r="BN812" s="22">
        <v>45357</v>
      </c>
      <c r="BO812" s="26">
        <f t="shared" ca="1" si="150"/>
        <v>2.6561521894191031E-2</v>
      </c>
      <c r="BP812" s="29">
        <f t="shared" ca="1" si="184"/>
        <v>64</v>
      </c>
      <c r="BR812" s="22">
        <v>45357</v>
      </c>
      <c r="BS812" s="26">
        <f t="shared" ca="1" si="151"/>
        <v>0.25353488896097531</v>
      </c>
      <c r="BT812" s="29">
        <f t="shared" ca="1" si="185"/>
        <v>143</v>
      </c>
      <c r="BV812" s="22">
        <v>45357</v>
      </c>
      <c r="BW812" s="26">
        <f t="shared" ca="1" si="152"/>
        <v>0.36539522149615178</v>
      </c>
      <c r="BX812" s="29">
        <v>0</v>
      </c>
    </row>
    <row r="813" spans="2:77" ht="12.75" x14ac:dyDescent="0.2">
      <c r="B813" s="22">
        <v>45358</v>
      </c>
      <c r="C813" s="26">
        <f t="shared" ca="1" si="135"/>
        <v>0.95978006721610709</v>
      </c>
      <c r="D813" s="29">
        <f t="shared" ca="1" si="169"/>
        <v>110</v>
      </c>
      <c r="F813" s="22"/>
      <c r="G813" s="26">
        <f t="shared" ca="1" si="136"/>
        <v>0.7776389816961875</v>
      </c>
      <c r="H813" s="29">
        <f t="shared" ca="1" si="170"/>
        <v>227</v>
      </c>
      <c r="J813" s="22">
        <v>45358</v>
      </c>
      <c r="K813" s="26">
        <f t="shared" ca="1" si="137"/>
        <v>0.77960928529969475</v>
      </c>
      <c r="L813" s="29">
        <f t="shared" ca="1" si="171"/>
        <v>158</v>
      </c>
      <c r="N813" s="22">
        <v>45358</v>
      </c>
      <c r="O813" s="26">
        <f t="shared" ca="1" si="138"/>
        <v>0.96484660360597629</v>
      </c>
      <c r="P813" s="29">
        <f t="shared" ca="1" si="172"/>
        <v>258</v>
      </c>
      <c r="R813" s="22">
        <v>45358</v>
      </c>
      <c r="S813" s="26">
        <f t="shared" ca="1" si="139"/>
        <v>0.86473488713529634</v>
      </c>
      <c r="T813" s="29">
        <f t="shared" ca="1" si="173"/>
        <v>149</v>
      </c>
      <c r="V813" s="22">
        <v>45358</v>
      </c>
      <c r="W813" s="26">
        <f t="shared" ca="1" si="140"/>
        <v>0.27283890916455455</v>
      </c>
      <c r="X813" s="29">
        <f t="shared" ca="1" si="174"/>
        <v>216</v>
      </c>
      <c r="Z813" s="22">
        <v>45358</v>
      </c>
      <c r="AA813" s="26">
        <f t="shared" ca="1" si="141"/>
        <v>0.89187808090874876</v>
      </c>
      <c r="AB813" s="29">
        <f t="shared" ca="1" si="175"/>
        <v>293</v>
      </c>
      <c r="AC813"/>
      <c r="AD813" s="25"/>
      <c r="AF813" s="22">
        <v>45358</v>
      </c>
      <c r="AG813" s="26">
        <f t="shared" ca="1" si="142"/>
        <v>0.16619809627803506</v>
      </c>
      <c r="AH813" s="29">
        <f t="shared" ca="1" si="176"/>
        <v>243</v>
      </c>
      <c r="AJ813" s="22">
        <v>45358</v>
      </c>
      <c r="AK813" s="26">
        <f t="shared" ca="1" si="143"/>
        <v>0.86641640836322709</v>
      </c>
      <c r="AL813" s="29">
        <f t="shared" ca="1" si="177"/>
        <v>234</v>
      </c>
      <c r="AN813" s="22">
        <v>45358</v>
      </c>
      <c r="AO813" s="26">
        <f t="shared" ca="1" si="144"/>
        <v>3.6926071482035194E-3</v>
      </c>
      <c r="AP813" s="29">
        <f t="shared" ca="1" si="178"/>
        <v>43</v>
      </c>
      <c r="AR813" s="22">
        <v>45358</v>
      </c>
      <c r="AS813" s="26">
        <f t="shared" ca="1" si="145"/>
        <v>0.32325598278688206</v>
      </c>
      <c r="AT813" s="29">
        <f t="shared" ca="1" si="179"/>
        <v>191</v>
      </c>
      <c r="AV813" s="22">
        <v>45358</v>
      </c>
      <c r="AW813" s="26">
        <f t="shared" ca="1" si="146"/>
        <v>0.53350439923641213</v>
      </c>
      <c r="AX813" s="29">
        <f t="shared" ca="1" si="180"/>
        <v>196</v>
      </c>
      <c r="AZ813" s="22">
        <v>45358</v>
      </c>
      <c r="BA813" s="26">
        <f t="shared" ca="1" si="147"/>
        <v>4.2183989023722002E-2</v>
      </c>
      <c r="BB813" s="29">
        <f t="shared" ca="1" si="181"/>
        <v>98</v>
      </c>
      <c r="BC813"/>
      <c r="BD813" s="25"/>
      <c r="BF813" s="22">
        <v>45358</v>
      </c>
      <c r="BG813" s="26">
        <f t="shared" ca="1" si="148"/>
        <v>0.5581452427729392</v>
      </c>
      <c r="BH813" s="29">
        <f t="shared" ca="1" si="182"/>
        <v>166</v>
      </c>
      <c r="BJ813" s="22">
        <v>45358</v>
      </c>
      <c r="BK813" s="26">
        <f t="shared" ca="1" si="149"/>
        <v>0.16118269309656541</v>
      </c>
      <c r="BL813" s="29">
        <f t="shared" ca="1" si="183"/>
        <v>122</v>
      </c>
      <c r="BN813" s="22">
        <v>45358</v>
      </c>
      <c r="BO813" s="26">
        <f t="shared" ca="1" si="150"/>
        <v>0.92143794129532908</v>
      </c>
      <c r="BP813" s="29">
        <f t="shared" ca="1" si="184"/>
        <v>181</v>
      </c>
      <c r="BR813" s="22">
        <v>45358</v>
      </c>
      <c r="BS813" s="26">
        <f t="shared" ca="1" si="151"/>
        <v>0.10484022733971288</v>
      </c>
      <c r="BT813" s="29">
        <f t="shared" ca="1" si="185"/>
        <v>116</v>
      </c>
      <c r="BV813" s="22">
        <v>45358</v>
      </c>
      <c r="BW813" s="26">
        <f t="shared" ca="1" si="152"/>
        <v>0.29360080475613726</v>
      </c>
      <c r="BX813" s="29">
        <v>0</v>
      </c>
    </row>
    <row r="814" spans="2:77" ht="12.75" x14ac:dyDescent="0.2">
      <c r="B814" s="22">
        <v>45359</v>
      </c>
      <c r="C814" s="26">
        <f t="shared" ca="1" si="135"/>
        <v>0.90520124006356728</v>
      </c>
      <c r="D814" s="29">
        <f t="shared" ca="1" si="169"/>
        <v>102</v>
      </c>
      <c r="F814" s="22"/>
      <c r="G814" s="26">
        <f t="shared" ca="1" si="136"/>
        <v>0.21763818579012162</v>
      </c>
      <c r="H814" s="29">
        <f t="shared" ca="1" si="170"/>
        <v>205</v>
      </c>
      <c r="J814" s="22">
        <v>45359</v>
      </c>
      <c r="K814" s="26">
        <f t="shared" ca="1" si="137"/>
        <v>0.85321406843017944</v>
      </c>
      <c r="L814" s="29">
        <f t="shared" ca="1" si="171"/>
        <v>161</v>
      </c>
      <c r="N814" s="22">
        <v>45359</v>
      </c>
      <c r="O814" s="26">
        <f t="shared" ca="1" si="138"/>
        <v>0.784641150624936</v>
      </c>
      <c r="P814" s="29">
        <f t="shared" ca="1" si="172"/>
        <v>242</v>
      </c>
      <c r="R814" s="22">
        <v>45359</v>
      </c>
      <c r="S814" s="26">
        <f t="shared" ca="1" si="139"/>
        <v>0.46643351740261674</v>
      </c>
      <c r="T814" s="29">
        <f t="shared" ca="1" si="173"/>
        <v>138</v>
      </c>
      <c r="V814" s="22">
        <v>45359</v>
      </c>
      <c r="W814" s="26">
        <f t="shared" ca="1" si="140"/>
        <v>0.62522844825906709</v>
      </c>
      <c r="X814" s="29">
        <f t="shared" ca="1" si="174"/>
        <v>230</v>
      </c>
      <c r="Z814" s="22">
        <v>45359</v>
      </c>
      <c r="AA814" s="26">
        <f t="shared" ca="1" si="141"/>
        <v>0.19872095712491145</v>
      </c>
      <c r="AB814" s="29">
        <f t="shared" ca="1" si="175"/>
        <v>255</v>
      </c>
      <c r="AC814"/>
      <c r="AD814" s="25"/>
      <c r="AF814" s="22">
        <v>45359</v>
      </c>
      <c r="AG814" s="26">
        <f t="shared" ca="1" si="142"/>
        <v>0.78710749382206702</v>
      </c>
      <c r="AH814" s="29">
        <f t="shared" ca="1" si="176"/>
        <v>397</v>
      </c>
      <c r="AJ814" s="22">
        <v>45359</v>
      </c>
      <c r="AK814" s="26">
        <f t="shared" ca="1" si="143"/>
        <v>0.67097669982885266</v>
      </c>
      <c r="AL814" s="29">
        <f t="shared" ca="1" si="177"/>
        <v>202</v>
      </c>
      <c r="AN814" s="22">
        <v>45359</v>
      </c>
      <c r="AO814" s="26">
        <f t="shared" ca="1" si="144"/>
        <v>0.28665259117030295</v>
      </c>
      <c r="AP814" s="29">
        <f t="shared" ca="1" si="178"/>
        <v>126</v>
      </c>
      <c r="AR814" s="22">
        <v>45359</v>
      </c>
      <c r="AS814" s="26">
        <f t="shared" ca="1" si="145"/>
        <v>0.70623593615496894</v>
      </c>
      <c r="AT814" s="29">
        <f t="shared" ca="1" si="179"/>
        <v>249</v>
      </c>
      <c r="AV814" s="22">
        <v>45359</v>
      </c>
      <c r="AW814" s="26">
        <f t="shared" ca="1" si="146"/>
        <v>0.99784448190998876</v>
      </c>
      <c r="AX814" s="29">
        <f t="shared" ca="1" si="180"/>
        <v>338</v>
      </c>
      <c r="AZ814" s="22">
        <v>45359</v>
      </c>
      <c r="BA814" s="26">
        <f t="shared" ca="1" si="147"/>
        <v>0.11426662459135539</v>
      </c>
      <c r="BB814" s="29">
        <f t="shared" ca="1" si="181"/>
        <v>123</v>
      </c>
      <c r="BC814"/>
      <c r="BD814" s="25"/>
      <c r="BF814" s="22">
        <v>45359</v>
      </c>
      <c r="BG814" s="26">
        <f t="shared" ca="1" si="148"/>
        <v>0.98643166658368719</v>
      </c>
      <c r="BH814" s="29">
        <f t="shared" ca="1" si="182"/>
        <v>254</v>
      </c>
      <c r="BJ814" s="22">
        <v>45359</v>
      </c>
      <c r="BK814" s="26">
        <f t="shared" ca="1" si="149"/>
        <v>2.5590504130652225E-2</v>
      </c>
      <c r="BL814" s="29">
        <f t="shared" ca="1" si="183"/>
        <v>79</v>
      </c>
      <c r="BN814" s="22">
        <v>45359</v>
      </c>
      <c r="BO814" s="26">
        <f t="shared" ca="1" si="150"/>
        <v>0.97884043780359586</v>
      </c>
      <c r="BP814" s="29">
        <f t="shared" ca="1" si="184"/>
        <v>202</v>
      </c>
      <c r="BR814" s="22">
        <v>45359</v>
      </c>
      <c r="BS814" s="26">
        <f t="shared" ca="1" si="151"/>
        <v>0.4454646332503841</v>
      </c>
      <c r="BT814" s="29">
        <f t="shared" ca="1" si="185"/>
        <v>168</v>
      </c>
      <c r="BV814" s="22">
        <v>45359</v>
      </c>
      <c r="BW814" s="26">
        <f t="shared" ca="1" si="152"/>
        <v>0.90378708171400923</v>
      </c>
      <c r="BX814" s="29">
        <v>0</v>
      </c>
    </row>
    <row r="815" spans="2:77" ht="12.75" x14ac:dyDescent="0.2">
      <c r="B815" s="22">
        <v>45360</v>
      </c>
      <c r="C815" s="26">
        <f t="shared" ca="1" si="135"/>
        <v>0.96495674123417197</v>
      </c>
      <c r="D815" s="29">
        <f t="shared" ca="1" si="169"/>
        <v>112</v>
      </c>
      <c r="F815" s="22"/>
      <c r="G815" s="26">
        <f t="shared" ca="1" si="136"/>
        <v>0.31582098377247081</v>
      </c>
      <c r="H815" s="29">
        <f t="shared" ca="1" si="170"/>
        <v>209</v>
      </c>
      <c r="J815" s="22">
        <v>45360</v>
      </c>
      <c r="K815" s="26">
        <f t="shared" ca="1" si="137"/>
        <v>6.1428836079392424E-2</v>
      </c>
      <c r="L815" s="29">
        <f t="shared" ca="1" si="171"/>
        <v>135</v>
      </c>
      <c r="N815" s="22">
        <v>45360</v>
      </c>
      <c r="O815" s="26">
        <f t="shared" ca="1" si="138"/>
        <v>7.2857138015762657E-2</v>
      </c>
      <c r="P815" s="29">
        <f t="shared" ca="1" si="172"/>
        <v>208</v>
      </c>
      <c r="R815" s="22">
        <v>45360</v>
      </c>
      <c r="S815" s="26">
        <f t="shared" ca="1" si="139"/>
        <v>7.1255747225306365E-2</v>
      </c>
      <c r="T815" s="29">
        <f t="shared" ca="1" si="173"/>
        <v>126</v>
      </c>
      <c r="V815" s="22">
        <v>45360</v>
      </c>
      <c r="W815" s="26">
        <f t="shared" ca="1" si="140"/>
        <v>1.501824428313181E-2</v>
      </c>
      <c r="X815" s="29">
        <f t="shared" ca="1" si="174"/>
        <v>193</v>
      </c>
      <c r="Z815" s="22">
        <v>45360</v>
      </c>
      <c r="AA815" s="26">
        <f t="shared" ca="1" si="141"/>
        <v>0.6716557443908886</v>
      </c>
      <c r="AB815" s="29">
        <f t="shared" ca="1" si="175"/>
        <v>279</v>
      </c>
      <c r="AC815"/>
      <c r="AD815" s="25"/>
      <c r="AF815" s="22">
        <v>45360</v>
      </c>
      <c r="AG815" s="26">
        <f t="shared" ca="1" si="142"/>
        <v>0.36724933215415112</v>
      </c>
      <c r="AH815" s="29">
        <f t="shared" ca="1" si="176"/>
        <v>298</v>
      </c>
      <c r="AJ815" s="22">
        <v>45360</v>
      </c>
      <c r="AK815" s="26">
        <f t="shared" ca="1" si="143"/>
        <v>7.3752004878449129E-2</v>
      </c>
      <c r="AL815" s="29">
        <f t="shared" ca="1" si="177"/>
        <v>111</v>
      </c>
      <c r="AN815" s="22">
        <v>45360</v>
      </c>
      <c r="AO815" s="26">
        <f t="shared" ca="1" si="144"/>
        <v>0.40582980596077378</v>
      </c>
      <c r="AP815" s="29">
        <f t="shared" ca="1" si="178"/>
        <v>138</v>
      </c>
      <c r="AR815" s="22">
        <v>45360</v>
      </c>
      <c r="AS815" s="26">
        <f t="shared" ca="1" si="145"/>
        <v>0.79042981685772196</v>
      </c>
      <c r="AT815" s="29">
        <f t="shared" ca="1" si="179"/>
        <v>264</v>
      </c>
      <c r="AV815" s="22">
        <v>45360</v>
      </c>
      <c r="AW815" s="26">
        <f t="shared" ca="1" si="146"/>
        <v>0.50967725789419982</v>
      </c>
      <c r="AX815" s="29">
        <f t="shared" ca="1" si="180"/>
        <v>193</v>
      </c>
      <c r="AZ815" s="22">
        <v>45360</v>
      </c>
      <c r="BA815" s="26">
        <f t="shared" ca="1" si="147"/>
        <v>0.64032265540205047</v>
      </c>
      <c r="BB815" s="29">
        <f t="shared" ca="1" si="181"/>
        <v>198</v>
      </c>
      <c r="BC815"/>
      <c r="BD815" s="25"/>
      <c r="BF815" s="22">
        <v>45360</v>
      </c>
      <c r="BG815" s="26">
        <f t="shared" ca="1" si="148"/>
        <v>0.81464968872538834</v>
      </c>
      <c r="BH815" s="29">
        <f t="shared" ca="1" si="182"/>
        <v>198</v>
      </c>
      <c r="BJ815" s="22">
        <v>45360</v>
      </c>
      <c r="BK815" s="26">
        <f t="shared" ca="1" si="149"/>
        <v>0.38610129547527172</v>
      </c>
      <c r="BL815" s="29">
        <f t="shared" ca="1" si="183"/>
        <v>152</v>
      </c>
      <c r="BN815" s="22">
        <v>45360</v>
      </c>
      <c r="BO815" s="26">
        <f t="shared" ca="1" si="150"/>
        <v>0.23555789719762432</v>
      </c>
      <c r="BP815" s="29">
        <f t="shared" ca="1" si="184"/>
        <v>106</v>
      </c>
      <c r="BR815" s="22">
        <v>45360</v>
      </c>
      <c r="BS815" s="26">
        <f t="shared" ca="1" si="151"/>
        <v>0.91900680894865661</v>
      </c>
      <c r="BT815" s="29">
        <f t="shared" ca="1" si="185"/>
        <v>239</v>
      </c>
      <c r="BV815" s="22">
        <v>45360</v>
      </c>
      <c r="BW815" s="26">
        <f t="shared" ca="1" si="152"/>
        <v>0.44439154495126054</v>
      </c>
      <c r="BX815" s="29">
        <v>0</v>
      </c>
    </row>
    <row r="816" spans="2:77" ht="12.75" x14ac:dyDescent="0.2">
      <c r="B816" s="22">
        <v>45361</v>
      </c>
      <c r="C816" s="26">
        <f t="shared" ca="1" si="135"/>
        <v>0.5069674820059592</v>
      </c>
      <c r="D816" s="29">
        <f t="shared" ca="1" si="169"/>
        <v>76</v>
      </c>
      <c r="F816" s="22"/>
      <c r="G816" s="26">
        <f t="shared" ca="1" si="136"/>
        <v>0.11376908665563823</v>
      </c>
      <c r="H816" s="29">
        <f t="shared" ca="1" si="170"/>
        <v>199</v>
      </c>
      <c r="J816" s="22">
        <v>45361</v>
      </c>
      <c r="K816" s="26">
        <f t="shared" ca="1" si="137"/>
        <v>0.80222223460738762</v>
      </c>
      <c r="L816" s="29">
        <f t="shared" ca="1" si="171"/>
        <v>159</v>
      </c>
      <c r="N816" s="22">
        <v>45361</v>
      </c>
      <c r="O816" s="26">
        <f t="shared" ca="1" si="138"/>
        <v>0.37674508133175066</v>
      </c>
      <c r="P816" s="29">
        <f t="shared" ca="1" si="172"/>
        <v>225</v>
      </c>
      <c r="R816" s="22">
        <v>45361</v>
      </c>
      <c r="S816" s="26">
        <f t="shared" ca="1" si="139"/>
        <v>0.69080496106290779</v>
      </c>
      <c r="T816" s="29">
        <f t="shared" ca="1" si="173"/>
        <v>144</v>
      </c>
      <c r="V816" s="22">
        <v>45361</v>
      </c>
      <c r="W816" s="26">
        <f t="shared" ca="1" si="140"/>
        <v>0.44333254466638916</v>
      </c>
      <c r="X816" s="29">
        <f t="shared" ca="1" si="174"/>
        <v>223</v>
      </c>
      <c r="Z816" s="22">
        <v>45361</v>
      </c>
      <c r="AA816" s="26">
        <f t="shared" ca="1" si="141"/>
        <v>0.96092200373963343</v>
      </c>
      <c r="AB816" s="29">
        <f t="shared" ca="1" si="175"/>
        <v>302</v>
      </c>
      <c r="AC816"/>
      <c r="AD816" s="25"/>
      <c r="AF816" s="22">
        <v>45361</v>
      </c>
      <c r="AG816" s="26">
        <f t="shared" ca="1" si="142"/>
        <v>0.6377909177095763</v>
      </c>
      <c r="AH816" s="29">
        <f t="shared" ca="1" si="176"/>
        <v>358</v>
      </c>
      <c r="AJ816" s="22">
        <v>45361</v>
      </c>
      <c r="AK816" s="26">
        <f t="shared" ca="1" si="143"/>
        <v>0.59283444252501127</v>
      </c>
      <c r="AL816" s="29">
        <f t="shared" ca="1" si="177"/>
        <v>192</v>
      </c>
      <c r="AN816" s="22">
        <v>45361</v>
      </c>
      <c r="AO816" s="26">
        <f t="shared" ca="1" si="144"/>
        <v>0.32784706831996457</v>
      </c>
      <c r="AP816" s="29">
        <f t="shared" ca="1" si="178"/>
        <v>130</v>
      </c>
      <c r="AR816" s="22">
        <v>45361</v>
      </c>
      <c r="AS816" s="26">
        <f t="shared" ca="1" si="145"/>
        <v>0.38497813597538699</v>
      </c>
      <c r="AT816" s="29">
        <f t="shared" ca="1" si="179"/>
        <v>200</v>
      </c>
      <c r="AV816" s="22">
        <v>45361</v>
      </c>
      <c r="AW816" s="26">
        <f t="shared" ca="1" si="146"/>
        <v>0.99741087721554567</v>
      </c>
      <c r="AX816" s="29">
        <f t="shared" ca="1" si="180"/>
        <v>335</v>
      </c>
      <c r="AZ816" s="22">
        <v>45361</v>
      </c>
      <c r="BA816" s="26">
        <f t="shared" ca="1" si="147"/>
        <v>0.67186290358281009</v>
      </c>
      <c r="BB816" s="29">
        <f t="shared" ca="1" si="181"/>
        <v>202</v>
      </c>
      <c r="BC816"/>
      <c r="BD816" s="25"/>
      <c r="BF816" s="22">
        <v>45361</v>
      </c>
      <c r="BG816" s="26">
        <f t="shared" ca="1" si="148"/>
        <v>0.10393784835970343</v>
      </c>
      <c r="BH816" s="29">
        <f t="shared" ca="1" si="182"/>
        <v>106</v>
      </c>
      <c r="BJ816" s="22">
        <v>45361</v>
      </c>
      <c r="BK816" s="26">
        <f t="shared" ca="1" si="149"/>
        <v>0.3544814203754203</v>
      </c>
      <c r="BL816" s="29">
        <f t="shared" ca="1" si="183"/>
        <v>149</v>
      </c>
      <c r="BN816" s="22">
        <v>45361</v>
      </c>
      <c r="BO816" s="26">
        <f t="shared" ca="1" si="150"/>
        <v>0.71281535641613014</v>
      </c>
      <c r="BP816" s="29">
        <f t="shared" ca="1" si="184"/>
        <v>151</v>
      </c>
      <c r="BR816" s="22">
        <v>45361</v>
      </c>
      <c r="BS816" s="26">
        <f t="shared" ca="1" si="151"/>
        <v>0.49761855801233756</v>
      </c>
      <c r="BT816" s="29">
        <f t="shared" ca="1" si="185"/>
        <v>174</v>
      </c>
      <c r="BV816" s="22">
        <v>45361</v>
      </c>
      <c r="BW816" s="26">
        <f t="shared" ca="1" si="152"/>
        <v>0.51555412761972008</v>
      </c>
      <c r="BX816" s="29">
        <v>0</v>
      </c>
    </row>
    <row r="817" spans="2:76" ht="12.75" x14ac:dyDescent="0.2">
      <c r="B817" s="22">
        <v>45362</v>
      </c>
      <c r="C817" s="26">
        <f t="shared" ca="1" si="135"/>
        <v>0.82875769806418198</v>
      </c>
      <c r="D817" s="29">
        <f t="shared" ca="1" si="169"/>
        <v>94</v>
      </c>
      <c r="F817" s="22"/>
      <c r="G817" s="26">
        <f t="shared" ca="1" si="136"/>
        <v>0.72274470020085391</v>
      </c>
      <c r="H817" s="29">
        <f t="shared" ca="1" si="170"/>
        <v>224</v>
      </c>
      <c r="J817" s="22">
        <v>45362</v>
      </c>
      <c r="K817" s="26">
        <f t="shared" ca="1" si="137"/>
        <v>0.70718814389889628</v>
      </c>
      <c r="L817" s="29">
        <f t="shared" ca="1" si="171"/>
        <v>156</v>
      </c>
      <c r="N817" s="22">
        <v>45362</v>
      </c>
      <c r="O817" s="26">
        <f t="shared" ca="1" si="138"/>
        <v>0.59137534229027555</v>
      </c>
      <c r="P817" s="29">
        <f t="shared" ca="1" si="172"/>
        <v>233</v>
      </c>
      <c r="R817" s="22">
        <v>45362</v>
      </c>
      <c r="S817" s="26">
        <f t="shared" ca="1" si="139"/>
        <v>0.52000892723849079</v>
      </c>
      <c r="T817" s="29">
        <f t="shared" ca="1" si="173"/>
        <v>140</v>
      </c>
      <c r="V817" s="22">
        <v>45362</v>
      </c>
      <c r="W817" s="26">
        <f t="shared" ca="1" si="140"/>
        <v>0.17168396032978028</v>
      </c>
      <c r="X817" s="29">
        <f t="shared" ca="1" si="174"/>
        <v>211</v>
      </c>
      <c r="Z817" s="22">
        <v>45362</v>
      </c>
      <c r="AA817" s="26">
        <f t="shared" ca="1" si="141"/>
        <v>0.53419196751342957</v>
      </c>
      <c r="AB817" s="29">
        <f t="shared" ca="1" si="175"/>
        <v>272</v>
      </c>
      <c r="AC817"/>
      <c r="AD817" s="25"/>
      <c r="AF817" s="22">
        <v>45362</v>
      </c>
      <c r="AG817" s="26">
        <f t="shared" ca="1" si="142"/>
        <v>0.41713290399527481</v>
      </c>
      <c r="AH817" s="29">
        <f t="shared" ca="1" si="176"/>
        <v>309</v>
      </c>
      <c r="AJ817" s="22">
        <v>45362</v>
      </c>
      <c r="AK817" s="26">
        <f t="shared" ca="1" si="143"/>
        <v>0.8871434468421171</v>
      </c>
      <c r="AL817" s="29">
        <f t="shared" ca="1" si="177"/>
        <v>238</v>
      </c>
      <c r="AN817" s="22">
        <v>45362</v>
      </c>
      <c r="AO817" s="26">
        <f t="shared" ca="1" si="144"/>
        <v>0.25290788922997698</v>
      </c>
      <c r="AP817" s="29">
        <f t="shared" ca="1" si="178"/>
        <v>122</v>
      </c>
      <c r="AR817" s="22">
        <v>45362</v>
      </c>
      <c r="AS817" s="26">
        <f t="shared" ca="1" si="145"/>
        <v>0.25680822855319274</v>
      </c>
      <c r="AT817" s="29">
        <f t="shared" ca="1" si="179"/>
        <v>179</v>
      </c>
      <c r="AV817" s="22">
        <v>45362</v>
      </c>
      <c r="AW817" s="26">
        <f t="shared" ca="1" si="146"/>
        <v>0.30665940804540348</v>
      </c>
      <c r="AX817" s="29">
        <f t="shared" ca="1" si="180"/>
        <v>166</v>
      </c>
      <c r="AZ817" s="22">
        <v>45362</v>
      </c>
      <c r="BA817" s="26">
        <f t="shared" ca="1" si="147"/>
        <v>0.88113295423252413</v>
      </c>
      <c r="BB817" s="29">
        <f t="shared" ca="1" si="181"/>
        <v>237</v>
      </c>
      <c r="BC817"/>
      <c r="BD817" s="25"/>
      <c r="BF817" s="22">
        <v>45362</v>
      </c>
      <c r="BG817" s="26">
        <f t="shared" ca="1" si="148"/>
        <v>0.83931766055251256</v>
      </c>
      <c r="BH817" s="29">
        <f t="shared" ca="1" si="182"/>
        <v>202</v>
      </c>
      <c r="BJ817" s="22">
        <v>45362</v>
      </c>
      <c r="BK817" s="26">
        <f t="shared" ca="1" si="149"/>
        <v>0.57275050045560905</v>
      </c>
      <c r="BL817" s="29">
        <f t="shared" ca="1" si="183"/>
        <v>173</v>
      </c>
      <c r="BN817" s="22">
        <v>45362</v>
      </c>
      <c r="BO817" s="26">
        <f t="shared" ca="1" si="150"/>
        <v>0.9543253525283959</v>
      </c>
      <c r="BP817" s="29">
        <f t="shared" ca="1" si="184"/>
        <v>190</v>
      </c>
      <c r="BR817" s="22">
        <v>45362</v>
      </c>
      <c r="BS817" s="26">
        <f t="shared" ca="1" si="151"/>
        <v>0.88369127134455128</v>
      </c>
      <c r="BT817" s="29">
        <f t="shared" ca="1" si="185"/>
        <v>229</v>
      </c>
      <c r="BV817" s="22">
        <v>45362</v>
      </c>
      <c r="BW817" s="26">
        <f t="shared" ca="1" si="152"/>
        <v>0.16990293731131867</v>
      </c>
      <c r="BX817" s="29">
        <v>0</v>
      </c>
    </row>
    <row r="818" spans="2:76" ht="12.75" x14ac:dyDescent="0.2">
      <c r="B818" s="22">
        <v>45363</v>
      </c>
      <c r="C818" s="26">
        <f t="shared" ca="1" si="135"/>
        <v>8.4747035942808413E-2</v>
      </c>
      <c r="D818" s="29">
        <f t="shared" ca="1" si="169"/>
        <v>48</v>
      </c>
      <c r="F818" s="22"/>
      <c r="G818" s="26">
        <f t="shared" ca="1" si="136"/>
        <v>0.667606799783385</v>
      </c>
      <c r="H818" s="29">
        <f t="shared" ca="1" si="170"/>
        <v>222</v>
      </c>
      <c r="J818" s="22">
        <v>45363</v>
      </c>
      <c r="K818" s="26">
        <f t="shared" ca="1" si="137"/>
        <v>0.27151431963045503</v>
      </c>
      <c r="L818" s="29">
        <f t="shared" ca="1" si="171"/>
        <v>144</v>
      </c>
      <c r="N818" s="22">
        <v>45363</v>
      </c>
      <c r="O818" s="26">
        <f t="shared" ca="1" si="138"/>
        <v>0.51981568271783141</v>
      </c>
      <c r="P818" s="29">
        <f t="shared" ca="1" si="172"/>
        <v>231</v>
      </c>
      <c r="R818" s="22">
        <v>45363</v>
      </c>
      <c r="S818" s="26">
        <f t="shared" ca="1" si="139"/>
        <v>0.25726370684720468</v>
      </c>
      <c r="T818" s="29">
        <f t="shared" ca="1" si="173"/>
        <v>133</v>
      </c>
      <c r="V818" s="22">
        <v>45363</v>
      </c>
      <c r="W818" s="26">
        <f t="shared" ca="1" si="140"/>
        <v>0.11985972728055982</v>
      </c>
      <c r="X818" s="29">
        <f t="shared" ca="1" si="174"/>
        <v>208</v>
      </c>
      <c r="Z818" s="22">
        <v>45363</v>
      </c>
      <c r="AA818" s="26">
        <f t="shared" ca="1" si="141"/>
        <v>0.46796981775994417</v>
      </c>
      <c r="AB818" s="29">
        <f t="shared" ca="1" si="175"/>
        <v>269</v>
      </c>
      <c r="AC818"/>
      <c r="AD818" s="25"/>
      <c r="AF818" s="22">
        <v>45363</v>
      </c>
      <c r="AG818" s="26">
        <f t="shared" ca="1" si="142"/>
        <v>0.52314855072668509</v>
      </c>
      <c r="AH818" s="29">
        <f t="shared" ca="1" si="176"/>
        <v>333</v>
      </c>
      <c r="AJ818" s="22">
        <v>45363</v>
      </c>
      <c r="AK818" s="26">
        <f t="shared" ca="1" si="143"/>
        <v>0.51508730655646029</v>
      </c>
      <c r="AL818" s="29">
        <f t="shared" ca="1" si="177"/>
        <v>182</v>
      </c>
      <c r="AN818" s="22">
        <v>45363</v>
      </c>
      <c r="AO818" s="26">
        <f t="shared" ca="1" si="144"/>
        <v>0.61539793416438082</v>
      </c>
      <c r="AP818" s="29">
        <f t="shared" ca="1" si="178"/>
        <v>159</v>
      </c>
      <c r="AR818" s="22">
        <v>45363</v>
      </c>
      <c r="AS818" s="26">
        <f t="shared" ca="1" si="145"/>
        <v>0.18698563028644966</v>
      </c>
      <c r="AT818" s="29">
        <f t="shared" ca="1" si="179"/>
        <v>166</v>
      </c>
      <c r="AV818" s="22">
        <v>45363</v>
      </c>
      <c r="AW818" s="26">
        <f t="shared" ca="1" si="146"/>
        <v>0.31575223770639971</v>
      </c>
      <c r="AX818" s="29">
        <f t="shared" ca="1" si="180"/>
        <v>168</v>
      </c>
      <c r="AZ818" s="22">
        <v>45363</v>
      </c>
      <c r="BA818" s="26">
        <f t="shared" ca="1" si="147"/>
        <v>0.59898054565757186</v>
      </c>
      <c r="BB818" s="29">
        <f t="shared" ca="1" si="181"/>
        <v>192</v>
      </c>
      <c r="BC818"/>
      <c r="BD818" s="25"/>
      <c r="BF818" s="22">
        <v>45363</v>
      </c>
      <c r="BG818" s="26">
        <f t="shared" ca="1" si="148"/>
        <v>0.33762287616248221</v>
      </c>
      <c r="BH818" s="29">
        <f t="shared" ca="1" si="182"/>
        <v>142</v>
      </c>
      <c r="BJ818" s="22">
        <v>45363</v>
      </c>
      <c r="BK818" s="26">
        <f t="shared" ca="1" si="149"/>
        <v>6.9270378868563465E-2</v>
      </c>
      <c r="BL818" s="29">
        <f t="shared" ca="1" si="183"/>
        <v>100</v>
      </c>
      <c r="BN818" s="22">
        <v>45363</v>
      </c>
      <c r="BO818" s="26">
        <f t="shared" ca="1" si="150"/>
        <v>0.17098818849724429</v>
      </c>
      <c r="BP818" s="29">
        <f t="shared" ca="1" si="184"/>
        <v>98</v>
      </c>
      <c r="BR818" s="22">
        <v>45363</v>
      </c>
      <c r="BS818" s="26">
        <f t="shared" ca="1" si="151"/>
        <v>0.5935719380152602</v>
      </c>
      <c r="BT818" s="29">
        <f t="shared" ca="1" si="185"/>
        <v>185</v>
      </c>
      <c r="BV818" s="22">
        <v>45363</v>
      </c>
      <c r="BW818" s="26">
        <f t="shared" ca="1" si="152"/>
        <v>3.5363933269785375E-2</v>
      </c>
      <c r="BX818" s="29">
        <v>0</v>
      </c>
    </row>
    <row r="819" spans="2:76" ht="12.75" x14ac:dyDescent="0.2">
      <c r="B819" s="22">
        <v>45364</v>
      </c>
      <c r="C819" s="26">
        <f t="shared" ca="1" si="135"/>
        <v>0.90854315932551144</v>
      </c>
      <c r="D819" s="29">
        <f t="shared" ca="1" si="169"/>
        <v>102</v>
      </c>
      <c r="F819" s="22"/>
      <c r="G819" s="26">
        <f t="shared" ca="1" si="136"/>
        <v>0.74653251628638817</v>
      </c>
      <c r="H819" s="29">
        <f t="shared" ca="1" si="170"/>
        <v>225</v>
      </c>
      <c r="J819" s="22">
        <v>45364</v>
      </c>
      <c r="K819" s="26">
        <f t="shared" ca="1" si="137"/>
        <v>0.40819936350537844</v>
      </c>
      <c r="L819" s="29">
        <f t="shared" ca="1" si="171"/>
        <v>148</v>
      </c>
      <c r="N819" s="22">
        <v>45364</v>
      </c>
      <c r="O819" s="26">
        <f t="shared" ca="1" si="138"/>
        <v>0.44320162753302783</v>
      </c>
      <c r="P819" s="29">
        <f t="shared" ca="1" si="172"/>
        <v>228</v>
      </c>
      <c r="R819" s="22">
        <v>45364</v>
      </c>
      <c r="S819" s="26">
        <f t="shared" ca="1" si="139"/>
        <v>0.19892944542322244</v>
      </c>
      <c r="T819" s="29">
        <f t="shared" ca="1" si="173"/>
        <v>131</v>
      </c>
      <c r="V819" s="22">
        <v>45364</v>
      </c>
      <c r="W819" s="26">
        <f t="shared" ca="1" si="140"/>
        <v>0.66003116517617011</v>
      </c>
      <c r="X819" s="29">
        <f t="shared" ca="1" si="174"/>
        <v>232</v>
      </c>
      <c r="Z819" s="22">
        <v>45364</v>
      </c>
      <c r="AA819" s="26">
        <f t="shared" ca="1" si="141"/>
        <v>0.91884885324119958</v>
      </c>
      <c r="AB819" s="29">
        <f t="shared" ca="1" si="175"/>
        <v>296</v>
      </c>
      <c r="AC819"/>
      <c r="AD819" s="25"/>
      <c r="AF819" s="22">
        <v>45364</v>
      </c>
      <c r="AG819" s="26">
        <f t="shared" ca="1" si="142"/>
        <v>0.47634812232835444</v>
      </c>
      <c r="AH819" s="29">
        <f t="shared" ca="1" si="176"/>
        <v>322</v>
      </c>
      <c r="AJ819" s="22">
        <v>45364</v>
      </c>
      <c r="AK819" s="26">
        <f t="shared" ca="1" si="143"/>
        <v>0.81957329217613095</v>
      </c>
      <c r="AL819" s="29">
        <f t="shared" ca="1" si="177"/>
        <v>224</v>
      </c>
      <c r="AN819" s="22">
        <v>45364</v>
      </c>
      <c r="AO819" s="26">
        <f t="shared" ca="1" si="144"/>
        <v>4.6966230312658674E-2</v>
      </c>
      <c r="AP819" s="29">
        <f t="shared" ca="1" si="178"/>
        <v>82</v>
      </c>
      <c r="AR819" s="22">
        <v>45364</v>
      </c>
      <c r="AS819" s="26">
        <f t="shared" ca="1" si="145"/>
        <v>0.92406158900274504</v>
      </c>
      <c r="AT819" s="29">
        <f t="shared" ca="1" si="179"/>
        <v>300</v>
      </c>
      <c r="AV819" s="22">
        <v>45364</v>
      </c>
      <c r="AW819" s="26">
        <f t="shared" ca="1" si="146"/>
        <v>0.17807267213930611</v>
      </c>
      <c r="AX819" s="29">
        <f t="shared" ca="1" si="180"/>
        <v>145</v>
      </c>
      <c r="AZ819" s="22">
        <v>45364</v>
      </c>
      <c r="BA819" s="26">
        <f t="shared" ca="1" si="147"/>
        <v>0.77564122560967663</v>
      </c>
      <c r="BB819" s="29">
        <f t="shared" ca="1" si="181"/>
        <v>217</v>
      </c>
      <c r="BC819"/>
      <c r="BD819" s="25"/>
      <c r="BF819" s="22">
        <v>45364</v>
      </c>
      <c r="BG819" s="26">
        <f t="shared" ca="1" si="148"/>
        <v>0.64841848870223506</v>
      </c>
      <c r="BH819" s="29">
        <f t="shared" ca="1" si="182"/>
        <v>176</v>
      </c>
      <c r="BJ819" s="22">
        <v>45364</v>
      </c>
      <c r="BK819" s="26">
        <f t="shared" ca="1" si="149"/>
        <v>0.13374277997086714</v>
      </c>
      <c r="BL819" s="29">
        <f t="shared" ca="1" si="183"/>
        <v>116</v>
      </c>
      <c r="BN819" s="22">
        <v>45364</v>
      </c>
      <c r="BO819" s="26">
        <f t="shared" ca="1" si="150"/>
        <v>0.85937139328965406</v>
      </c>
      <c r="BP819" s="29">
        <f t="shared" ca="1" si="184"/>
        <v>169</v>
      </c>
      <c r="BR819" s="22">
        <v>45364</v>
      </c>
      <c r="BS819" s="26">
        <f t="shared" ca="1" si="151"/>
        <v>0.77566275589099221</v>
      </c>
      <c r="BT819" s="29">
        <f t="shared" ca="1" si="185"/>
        <v>209</v>
      </c>
      <c r="BV819" s="22">
        <v>45364</v>
      </c>
      <c r="BW819" s="26">
        <f t="shared" ca="1" si="152"/>
        <v>0.10520363178082537</v>
      </c>
      <c r="BX819" s="29">
        <v>0</v>
      </c>
    </row>
    <row r="820" spans="2:76" ht="12.75" x14ac:dyDescent="0.2">
      <c r="B820" s="22">
        <v>45365</v>
      </c>
      <c r="C820" s="26">
        <f t="shared" ca="1" si="135"/>
        <v>0.26322113907493749</v>
      </c>
      <c r="D820" s="29">
        <f t="shared" ca="1" si="169"/>
        <v>63</v>
      </c>
      <c r="F820" s="22"/>
      <c r="G820" s="26">
        <f t="shared" ca="1" si="136"/>
        <v>0.52927431078382015</v>
      </c>
      <c r="H820" s="29">
        <f t="shared" ca="1" si="170"/>
        <v>217</v>
      </c>
      <c r="J820" s="22">
        <v>45365</v>
      </c>
      <c r="K820" s="26">
        <f t="shared" ca="1" si="137"/>
        <v>0.7497888098602955</v>
      </c>
      <c r="L820" s="29">
        <f t="shared" ca="1" si="171"/>
        <v>157</v>
      </c>
      <c r="N820" s="22">
        <v>45365</v>
      </c>
      <c r="O820" s="26">
        <f t="shared" ca="1" si="138"/>
        <v>0.50316514518368105</v>
      </c>
      <c r="P820" s="29">
        <f t="shared" ca="1" si="172"/>
        <v>230</v>
      </c>
      <c r="R820" s="22">
        <v>45365</v>
      </c>
      <c r="S820" s="26">
        <f t="shared" ca="1" si="139"/>
        <v>2.8882220374791712E-2</v>
      </c>
      <c r="T820" s="29">
        <f t="shared" ca="1" si="173"/>
        <v>122</v>
      </c>
      <c r="V820" s="22">
        <v>45365</v>
      </c>
      <c r="W820" s="26">
        <f t="shared" ca="1" si="140"/>
        <v>0.38629120887282897</v>
      </c>
      <c r="X820" s="29">
        <f t="shared" ca="1" si="174"/>
        <v>221</v>
      </c>
      <c r="Z820" s="22">
        <v>45365</v>
      </c>
      <c r="AA820" s="26">
        <f t="shared" ca="1" si="141"/>
        <v>0.9590076182982098</v>
      </c>
      <c r="AB820" s="29">
        <f t="shared" ca="1" si="175"/>
        <v>302</v>
      </c>
      <c r="AC820"/>
      <c r="AD820" s="25"/>
      <c r="AF820" s="22">
        <v>45365</v>
      </c>
      <c r="AG820" s="26">
        <f t="shared" ca="1" si="142"/>
        <v>0.25968685419351267</v>
      </c>
      <c r="AH820" s="29">
        <f t="shared" ca="1" si="176"/>
        <v>271</v>
      </c>
      <c r="AJ820" s="22">
        <v>45365</v>
      </c>
      <c r="AK820" s="26">
        <f t="shared" ca="1" si="143"/>
        <v>0.65926178958321346</v>
      </c>
      <c r="AL820" s="29">
        <f t="shared" ca="1" si="177"/>
        <v>200</v>
      </c>
      <c r="AN820" s="22">
        <v>45365</v>
      </c>
      <c r="AO820" s="26">
        <f t="shared" ca="1" si="144"/>
        <v>0.74611238688244086</v>
      </c>
      <c r="AP820" s="29">
        <f t="shared" ca="1" si="178"/>
        <v>174</v>
      </c>
      <c r="AR820" s="22">
        <v>45365</v>
      </c>
      <c r="AS820" s="26">
        <f t="shared" ca="1" si="145"/>
        <v>0.41057085503246649</v>
      </c>
      <c r="AT820" s="29">
        <f t="shared" ca="1" si="179"/>
        <v>204</v>
      </c>
      <c r="AV820" s="22">
        <v>45365</v>
      </c>
      <c r="AW820" s="26">
        <f t="shared" ca="1" si="146"/>
        <v>0.45389837505070829</v>
      </c>
      <c r="AX820" s="29">
        <f t="shared" ca="1" si="180"/>
        <v>186</v>
      </c>
      <c r="AZ820" s="22">
        <v>45365</v>
      </c>
      <c r="BA820" s="26">
        <f t="shared" ca="1" si="147"/>
        <v>0.52171597285752513</v>
      </c>
      <c r="BB820" s="29">
        <f t="shared" ca="1" si="181"/>
        <v>183</v>
      </c>
      <c r="BC820"/>
      <c r="BD820" s="25"/>
      <c r="BF820" s="22">
        <v>45365</v>
      </c>
      <c r="BG820" s="26">
        <f t="shared" ca="1" si="148"/>
        <v>0.94794614475343431</v>
      </c>
      <c r="BH820" s="29">
        <f t="shared" ca="1" si="182"/>
        <v>229</v>
      </c>
      <c r="BJ820" s="22">
        <v>45365</v>
      </c>
      <c r="BK820" s="26">
        <f t="shared" ca="1" si="149"/>
        <v>0.76302741763291382</v>
      </c>
      <c r="BL820" s="29">
        <f t="shared" ca="1" si="183"/>
        <v>196</v>
      </c>
      <c r="BN820" s="22">
        <v>45365</v>
      </c>
      <c r="BO820" s="26">
        <f t="shared" ca="1" si="150"/>
        <v>0.62748048348020047</v>
      </c>
      <c r="BP820" s="29">
        <f t="shared" ca="1" si="184"/>
        <v>143</v>
      </c>
      <c r="BR820" s="22">
        <v>45365</v>
      </c>
      <c r="BS820" s="26">
        <f t="shared" ca="1" si="151"/>
        <v>0.9314337234416501</v>
      </c>
      <c r="BT820" s="29">
        <f t="shared" ca="1" si="185"/>
        <v>243</v>
      </c>
      <c r="BV820" s="22">
        <v>45365</v>
      </c>
      <c r="BW820" s="26">
        <f t="shared" ca="1" si="152"/>
        <v>0.56036972211711755</v>
      </c>
      <c r="BX820" s="29">
        <v>0</v>
      </c>
    </row>
    <row r="821" spans="2:76" ht="12.75" x14ac:dyDescent="0.2">
      <c r="B821" s="22">
        <v>45366</v>
      </c>
      <c r="C821" s="26">
        <f t="shared" ca="1" si="135"/>
        <v>0.94080811469916403</v>
      </c>
      <c r="D821" s="29">
        <f t="shared" ca="1" si="169"/>
        <v>107</v>
      </c>
      <c r="F821" s="22"/>
      <c r="G821" s="26">
        <f t="shared" ca="1" si="136"/>
        <v>0.47064342992119812</v>
      </c>
      <c r="H821" s="29">
        <f t="shared" ca="1" si="170"/>
        <v>215</v>
      </c>
      <c r="J821" s="22">
        <v>45366</v>
      </c>
      <c r="K821" s="26">
        <f t="shared" ca="1" si="137"/>
        <v>0.65680966490418979</v>
      </c>
      <c r="L821" s="29">
        <f t="shared" ca="1" si="171"/>
        <v>155</v>
      </c>
      <c r="N821" s="22">
        <v>45366</v>
      </c>
      <c r="O821" s="26">
        <f t="shared" ca="1" si="138"/>
        <v>0.27001530102949922</v>
      </c>
      <c r="P821" s="29">
        <f t="shared" ca="1" si="172"/>
        <v>220</v>
      </c>
      <c r="R821" s="22">
        <v>45366</v>
      </c>
      <c r="S821" s="26">
        <f t="shared" ca="1" si="139"/>
        <v>0.97355203932394263</v>
      </c>
      <c r="T821" s="29">
        <f t="shared" ca="1" si="173"/>
        <v>157</v>
      </c>
      <c r="V821" s="22">
        <v>45366</v>
      </c>
      <c r="W821" s="26">
        <f t="shared" ca="1" si="140"/>
        <v>0.26447125625337153</v>
      </c>
      <c r="X821" s="29">
        <f t="shared" ca="1" si="174"/>
        <v>216</v>
      </c>
      <c r="Z821" s="22">
        <v>45366</v>
      </c>
      <c r="AA821" s="26">
        <f t="shared" ca="1" si="141"/>
        <v>0.93056275288721391</v>
      </c>
      <c r="AB821" s="29">
        <f t="shared" ca="1" si="175"/>
        <v>297</v>
      </c>
      <c r="AC821"/>
      <c r="AD821" s="25"/>
      <c r="AF821" s="22">
        <v>45366</v>
      </c>
      <c r="AG821" s="26">
        <f t="shared" ca="1" si="142"/>
        <v>0.90253000524733229</v>
      </c>
      <c r="AH821" s="29">
        <f t="shared" ca="1" si="176"/>
        <v>441</v>
      </c>
      <c r="AJ821" s="22">
        <v>45366</v>
      </c>
      <c r="AK821" s="26">
        <f t="shared" ca="1" si="143"/>
        <v>0.68040510260080977</v>
      </c>
      <c r="AL821" s="29">
        <f t="shared" ca="1" si="177"/>
        <v>203</v>
      </c>
      <c r="AN821" s="22">
        <v>45366</v>
      </c>
      <c r="AO821" s="26">
        <f t="shared" ca="1" si="144"/>
        <v>0.86545746432267723</v>
      </c>
      <c r="AP821" s="29">
        <f t="shared" ca="1" si="178"/>
        <v>191</v>
      </c>
      <c r="AR821" s="22">
        <v>45366</v>
      </c>
      <c r="AS821" s="26">
        <f t="shared" ca="1" si="145"/>
        <v>0.30855571938867565</v>
      </c>
      <c r="AT821" s="29">
        <f t="shared" ca="1" si="179"/>
        <v>188</v>
      </c>
      <c r="AV821" s="22">
        <v>45366</v>
      </c>
      <c r="AW821" s="26">
        <f t="shared" ca="1" si="146"/>
        <v>0.40012381825204435</v>
      </c>
      <c r="AX821" s="29">
        <f t="shared" ca="1" si="180"/>
        <v>179</v>
      </c>
      <c r="AZ821" s="22">
        <v>45366</v>
      </c>
      <c r="BA821" s="26">
        <f t="shared" ca="1" si="147"/>
        <v>0.84225421895734709</v>
      </c>
      <c r="BB821" s="29">
        <f t="shared" ca="1" si="181"/>
        <v>228</v>
      </c>
      <c r="BC821"/>
      <c r="BD821" s="25"/>
      <c r="BF821" s="22">
        <v>45366</v>
      </c>
      <c r="BG821" s="26">
        <f t="shared" ca="1" si="148"/>
        <v>0.86232496767482292</v>
      </c>
      <c r="BH821" s="29">
        <f t="shared" ca="1" si="182"/>
        <v>207</v>
      </c>
      <c r="BJ821" s="22">
        <v>45366</v>
      </c>
      <c r="BK821" s="26">
        <f t="shared" ca="1" si="149"/>
        <v>0.32726309097273942</v>
      </c>
      <c r="BL821" s="29">
        <f t="shared" ca="1" si="183"/>
        <v>145</v>
      </c>
      <c r="BN821" s="22">
        <v>45366</v>
      </c>
      <c r="BO821" s="26">
        <f t="shared" ca="1" si="150"/>
        <v>0.67423174596285262</v>
      </c>
      <c r="BP821" s="29">
        <f t="shared" ca="1" si="184"/>
        <v>147</v>
      </c>
      <c r="BR821" s="22">
        <v>45366</v>
      </c>
      <c r="BS821" s="26">
        <f t="shared" ca="1" si="151"/>
        <v>0.30266978239909825</v>
      </c>
      <c r="BT821" s="29">
        <f t="shared" ca="1" si="185"/>
        <v>150</v>
      </c>
      <c r="BV821" s="22">
        <v>45366</v>
      </c>
      <c r="BW821" s="26">
        <f t="shared" ca="1" si="152"/>
        <v>0.88733011767011849</v>
      </c>
      <c r="BX821" s="29">
        <v>0</v>
      </c>
    </row>
    <row r="822" spans="2:76" ht="12.75" x14ac:dyDescent="0.2">
      <c r="B822" s="22">
        <v>45367</v>
      </c>
      <c r="C822" s="26">
        <f t="shared" ca="1" si="135"/>
        <v>4.2091736679861214E-2</v>
      </c>
      <c r="D822" s="29">
        <f t="shared" ca="1" si="169"/>
        <v>41</v>
      </c>
      <c r="F822" s="22"/>
      <c r="G822" s="26">
        <f t="shared" ca="1" si="136"/>
        <v>0.87961123399074304</v>
      </c>
      <c r="H822" s="29">
        <f t="shared" ca="1" si="170"/>
        <v>233</v>
      </c>
      <c r="J822" s="22">
        <v>45367</v>
      </c>
      <c r="K822" s="26">
        <f t="shared" ca="1" si="137"/>
        <v>0.81540936210843851</v>
      </c>
      <c r="L822" s="29">
        <f t="shared" ca="1" si="171"/>
        <v>159</v>
      </c>
      <c r="N822" s="22">
        <v>45367</v>
      </c>
      <c r="O822" s="26">
        <f t="shared" ca="1" si="138"/>
        <v>0.98299857897607545</v>
      </c>
      <c r="P822" s="29">
        <f t="shared" ca="1" si="172"/>
        <v>262</v>
      </c>
      <c r="R822" s="22">
        <v>45367</v>
      </c>
      <c r="S822" s="26">
        <f t="shared" ca="1" si="139"/>
        <v>0.85466688273455371</v>
      </c>
      <c r="T822" s="29">
        <f t="shared" ca="1" si="173"/>
        <v>149</v>
      </c>
      <c r="V822" s="22">
        <v>45367</v>
      </c>
      <c r="W822" s="26">
        <f t="shared" ca="1" si="140"/>
        <v>0.4537415349016376</v>
      </c>
      <c r="X822" s="29">
        <f t="shared" ca="1" si="174"/>
        <v>224</v>
      </c>
      <c r="Z822" s="22">
        <v>45367</v>
      </c>
      <c r="AA822" s="26">
        <f t="shared" ca="1" si="141"/>
        <v>0.89722173161237895</v>
      </c>
      <c r="AB822" s="29">
        <f t="shared" ca="1" si="175"/>
        <v>293</v>
      </c>
      <c r="AC822"/>
      <c r="AD822" s="25"/>
      <c r="AF822" s="22">
        <v>45367</v>
      </c>
      <c r="AG822" s="26">
        <f t="shared" ca="1" si="142"/>
        <v>0.99890856901656422</v>
      </c>
      <c r="AH822" s="29">
        <f t="shared" ca="1" si="176"/>
        <v>595</v>
      </c>
      <c r="AJ822" s="22">
        <v>45367</v>
      </c>
      <c r="AK822" s="26">
        <f t="shared" ca="1" si="143"/>
        <v>0.90336183106470269</v>
      </c>
      <c r="AL822" s="29">
        <f t="shared" ca="1" si="177"/>
        <v>243</v>
      </c>
      <c r="AN822" s="22">
        <v>45367</v>
      </c>
      <c r="AO822" s="26">
        <f t="shared" ca="1" si="144"/>
        <v>0.91867051612338713</v>
      </c>
      <c r="AP822" s="29">
        <f t="shared" ca="1" si="178"/>
        <v>202</v>
      </c>
      <c r="AR822" s="22">
        <v>45367</v>
      </c>
      <c r="AS822" s="26">
        <f t="shared" ca="1" si="145"/>
        <v>0.11615672682036837</v>
      </c>
      <c r="AT822" s="29">
        <f t="shared" ca="1" si="179"/>
        <v>148</v>
      </c>
      <c r="AV822" s="22">
        <v>45367</v>
      </c>
      <c r="AW822" s="26">
        <f t="shared" ca="1" si="146"/>
        <v>0.88637152508591099</v>
      </c>
      <c r="AX822" s="29">
        <f t="shared" ca="1" si="180"/>
        <v>254</v>
      </c>
      <c r="AZ822" s="22">
        <v>45367</v>
      </c>
      <c r="BA822" s="26">
        <f t="shared" ca="1" si="147"/>
        <v>0.3645110342409682</v>
      </c>
      <c r="BB822" s="29">
        <f t="shared" ca="1" si="181"/>
        <v>164</v>
      </c>
      <c r="BC822"/>
      <c r="BD822" s="25"/>
      <c r="BF822" s="22">
        <v>45367</v>
      </c>
      <c r="BG822" s="26">
        <f t="shared" ca="1" si="148"/>
        <v>0.19612086910486992</v>
      </c>
      <c r="BH822" s="29">
        <f t="shared" ca="1" si="182"/>
        <v>124</v>
      </c>
      <c r="BJ822" s="22">
        <v>45367</v>
      </c>
      <c r="BK822" s="26">
        <f t="shared" ca="1" si="149"/>
        <v>0.40319231518335052</v>
      </c>
      <c r="BL822" s="29">
        <f t="shared" ca="1" si="183"/>
        <v>154</v>
      </c>
      <c r="BN822" s="22">
        <v>45367</v>
      </c>
      <c r="BO822" s="26">
        <f t="shared" ca="1" si="150"/>
        <v>0.31019770241167333</v>
      </c>
      <c r="BP822" s="29">
        <f t="shared" ca="1" si="184"/>
        <v>114</v>
      </c>
      <c r="BR822" s="22">
        <v>45367</v>
      </c>
      <c r="BS822" s="26">
        <f t="shared" ca="1" si="151"/>
        <v>0.51915516380764259</v>
      </c>
      <c r="BT822" s="29">
        <f t="shared" ca="1" si="185"/>
        <v>176</v>
      </c>
      <c r="BV822" s="22">
        <v>45367</v>
      </c>
      <c r="BW822" s="26">
        <f t="shared" ca="1" si="152"/>
        <v>1.8430179694026272E-2</v>
      </c>
      <c r="BX822" s="29">
        <v>0</v>
      </c>
    </row>
    <row r="823" spans="2:76" ht="12.75" x14ac:dyDescent="0.2">
      <c r="B823" s="22">
        <v>45368</v>
      </c>
      <c r="C823" s="26">
        <f t="shared" ca="1" si="135"/>
        <v>0.84797677081692913</v>
      </c>
      <c r="D823" s="29">
        <f t="shared" ca="1" si="169"/>
        <v>96</v>
      </c>
      <c r="F823" s="22"/>
      <c r="G823" s="26">
        <f t="shared" ca="1" si="136"/>
        <v>0.99971636031970035</v>
      </c>
      <c r="H823" s="29">
        <f t="shared" ca="1" si="170"/>
        <v>265</v>
      </c>
      <c r="J823" s="22">
        <v>45368</v>
      </c>
      <c r="K823" s="26">
        <f t="shared" ca="1" si="137"/>
        <v>0.65807999705048026</v>
      </c>
      <c r="L823" s="29">
        <f t="shared" ca="1" si="171"/>
        <v>155</v>
      </c>
      <c r="N823" s="22">
        <v>45368</v>
      </c>
      <c r="O823" s="26">
        <f t="shared" ca="1" si="138"/>
        <v>0.47717269515701288</v>
      </c>
      <c r="P823" s="29">
        <f t="shared" ca="1" si="172"/>
        <v>229</v>
      </c>
      <c r="R823" s="22">
        <v>45368</v>
      </c>
      <c r="S823" s="26">
        <f t="shared" ca="1" si="139"/>
        <v>0.30687031549459287</v>
      </c>
      <c r="T823" s="29">
        <f t="shared" ca="1" si="173"/>
        <v>135</v>
      </c>
      <c r="V823" s="22">
        <v>45368</v>
      </c>
      <c r="W823" s="26">
        <f t="shared" ca="1" si="140"/>
        <v>0.38818165908114144</v>
      </c>
      <c r="X823" s="29">
        <f t="shared" ca="1" si="174"/>
        <v>221</v>
      </c>
      <c r="Z823" s="22">
        <v>45368</v>
      </c>
      <c r="AA823" s="26">
        <f t="shared" ca="1" si="141"/>
        <v>0.78967525814867234</v>
      </c>
      <c r="AB823" s="29">
        <f t="shared" ca="1" si="175"/>
        <v>285</v>
      </c>
      <c r="AC823"/>
      <c r="AD823" s="25"/>
      <c r="AF823" s="22">
        <v>45368</v>
      </c>
      <c r="AG823" s="26">
        <f t="shared" ca="1" si="142"/>
        <v>0.78343471503861573</v>
      </c>
      <c r="AH823" s="29">
        <f t="shared" ca="1" si="176"/>
        <v>396</v>
      </c>
      <c r="AJ823" s="22">
        <v>45368</v>
      </c>
      <c r="AK823" s="26">
        <f t="shared" ca="1" si="143"/>
        <v>0.84342142760904271</v>
      </c>
      <c r="AL823" s="29">
        <f t="shared" ca="1" si="177"/>
        <v>229</v>
      </c>
      <c r="AN823" s="22">
        <v>45368</v>
      </c>
      <c r="AO823" s="26">
        <f t="shared" ca="1" si="144"/>
        <v>0.67870866980347666</v>
      </c>
      <c r="AP823" s="29">
        <f t="shared" ca="1" si="178"/>
        <v>166</v>
      </c>
      <c r="AR823" s="22">
        <v>45368</v>
      </c>
      <c r="AS823" s="26">
        <f t="shared" ca="1" si="145"/>
        <v>0.62117541988279035</v>
      </c>
      <c r="AT823" s="29">
        <f t="shared" ca="1" si="179"/>
        <v>235</v>
      </c>
      <c r="AV823" s="22">
        <v>45368</v>
      </c>
      <c r="AW823" s="26">
        <f t="shared" ca="1" si="146"/>
        <v>0.98012759951622508</v>
      </c>
      <c r="AX823" s="29">
        <f t="shared" ca="1" si="180"/>
        <v>297</v>
      </c>
      <c r="AZ823" s="22">
        <v>45368</v>
      </c>
      <c r="BA823" s="26">
        <f t="shared" ca="1" si="147"/>
        <v>0.34112912849377919</v>
      </c>
      <c r="BB823" s="29">
        <f t="shared" ca="1" si="181"/>
        <v>161</v>
      </c>
      <c r="BC823"/>
      <c r="BD823" s="25"/>
      <c r="BF823" s="22">
        <v>45368</v>
      </c>
      <c r="BG823" s="26">
        <f t="shared" ca="1" si="148"/>
        <v>0.37287876792858776</v>
      </c>
      <c r="BH823" s="29">
        <f t="shared" ca="1" si="182"/>
        <v>146</v>
      </c>
      <c r="BJ823" s="22">
        <v>45368</v>
      </c>
      <c r="BK823" s="26">
        <f t="shared" ca="1" si="149"/>
        <v>0.37312568359054032</v>
      </c>
      <c r="BL823" s="29">
        <f t="shared" ca="1" si="183"/>
        <v>151</v>
      </c>
      <c r="BN823" s="22">
        <v>45368</v>
      </c>
      <c r="BO823" s="26">
        <f t="shared" ca="1" si="150"/>
        <v>0.31118436142964379</v>
      </c>
      <c r="BP823" s="29">
        <f t="shared" ca="1" si="184"/>
        <v>114</v>
      </c>
      <c r="BR823" s="22">
        <v>45368</v>
      </c>
      <c r="BS823" s="26">
        <f t="shared" ca="1" si="151"/>
        <v>0.69464426832226189</v>
      </c>
      <c r="BT823" s="29">
        <f t="shared" ca="1" si="185"/>
        <v>198</v>
      </c>
      <c r="BV823" s="22">
        <v>45368</v>
      </c>
      <c r="BW823" s="26">
        <f t="shared" ca="1" si="152"/>
        <v>0.14169001696866523</v>
      </c>
      <c r="BX823" s="29">
        <v>0</v>
      </c>
    </row>
    <row r="824" spans="2:76" ht="12.75" x14ac:dyDescent="0.2">
      <c r="B824" s="22">
        <v>45369</v>
      </c>
      <c r="C824" s="26">
        <f t="shared" ca="1" si="135"/>
        <v>0.27290400426633976</v>
      </c>
      <c r="D824" s="29">
        <f t="shared" ca="1" si="169"/>
        <v>63</v>
      </c>
      <c r="F824" s="22"/>
      <c r="G824" s="26">
        <f t="shared" ca="1" si="136"/>
        <v>0.64980484229476199</v>
      </c>
      <c r="H824" s="29">
        <f t="shared" ca="1" si="170"/>
        <v>221</v>
      </c>
      <c r="J824" s="22">
        <v>45369</v>
      </c>
      <c r="K824" s="26">
        <f t="shared" ca="1" si="137"/>
        <v>0.31129178622804754</v>
      </c>
      <c r="L824" s="29">
        <f t="shared" ca="1" si="171"/>
        <v>146</v>
      </c>
      <c r="N824" s="22">
        <v>45369</v>
      </c>
      <c r="O824" s="26">
        <f t="shared" ca="1" si="138"/>
        <v>0.42162956967989029</v>
      </c>
      <c r="P824" s="29">
        <f t="shared" ca="1" si="172"/>
        <v>227</v>
      </c>
      <c r="R824" s="22">
        <v>45369</v>
      </c>
      <c r="S824" s="26">
        <f t="shared" ca="1" si="139"/>
        <v>0.80203262661311536</v>
      </c>
      <c r="T824" s="29">
        <f t="shared" ca="1" si="173"/>
        <v>147</v>
      </c>
      <c r="V824" s="22">
        <v>45369</v>
      </c>
      <c r="W824" s="26">
        <f t="shared" ca="1" si="140"/>
        <v>0.67637358242867629</v>
      </c>
      <c r="X824" s="29">
        <f t="shared" ca="1" si="174"/>
        <v>232</v>
      </c>
      <c r="Z824" s="22">
        <v>45369</v>
      </c>
      <c r="AA824" s="26">
        <f t="shared" ca="1" si="141"/>
        <v>8.2157407552700512E-2</v>
      </c>
      <c r="AB824" s="29">
        <f t="shared" ca="1" si="175"/>
        <v>245</v>
      </c>
      <c r="AC824"/>
      <c r="AD824" s="25"/>
      <c r="AF824" s="22">
        <v>45369</v>
      </c>
      <c r="AG824" s="26">
        <f t="shared" ca="1" si="142"/>
        <v>0.53663448105330147</v>
      </c>
      <c r="AH824" s="29">
        <f t="shared" ca="1" si="176"/>
        <v>336</v>
      </c>
      <c r="AJ824" s="22">
        <v>45369</v>
      </c>
      <c r="AK824" s="26">
        <f t="shared" ca="1" si="143"/>
        <v>0.86962787753722515</v>
      </c>
      <c r="AL824" s="29">
        <f t="shared" ca="1" si="177"/>
        <v>234</v>
      </c>
      <c r="AN824" s="22">
        <v>45369</v>
      </c>
      <c r="AO824" s="26">
        <f t="shared" ca="1" si="144"/>
        <v>0.9491485937100469</v>
      </c>
      <c r="AP824" s="29">
        <f t="shared" ca="1" si="178"/>
        <v>212</v>
      </c>
      <c r="AR824" s="22">
        <v>45369</v>
      </c>
      <c r="AS824" s="26">
        <f t="shared" ca="1" si="145"/>
        <v>0.43218915474663477</v>
      </c>
      <c r="AT824" s="29">
        <f t="shared" ca="1" si="179"/>
        <v>207</v>
      </c>
      <c r="AV824" s="22">
        <v>45369</v>
      </c>
      <c r="AW824" s="26">
        <f t="shared" ca="1" si="146"/>
        <v>0.1874966002686077</v>
      </c>
      <c r="AX824" s="29">
        <f t="shared" ca="1" si="180"/>
        <v>147</v>
      </c>
      <c r="AZ824" s="22">
        <v>45369</v>
      </c>
      <c r="BA824" s="26">
        <f t="shared" ca="1" si="147"/>
        <v>0.20659627031462025</v>
      </c>
      <c r="BB824" s="29">
        <f t="shared" ca="1" si="181"/>
        <v>141</v>
      </c>
      <c r="BC824"/>
      <c r="BD824" s="25"/>
      <c r="BF824" s="22">
        <v>45369</v>
      </c>
      <c r="BG824" s="26">
        <f t="shared" ca="1" si="148"/>
        <v>0.74904350055815361</v>
      </c>
      <c r="BH824" s="29">
        <f t="shared" ca="1" si="182"/>
        <v>189</v>
      </c>
      <c r="BJ824" s="22">
        <v>45369</v>
      </c>
      <c r="BK824" s="26">
        <f t="shared" ca="1" si="149"/>
        <v>0.28308833798467081</v>
      </c>
      <c r="BL824" s="29">
        <f t="shared" ca="1" si="183"/>
        <v>140</v>
      </c>
      <c r="BN824" s="22">
        <v>45369</v>
      </c>
      <c r="BO824" s="26">
        <f t="shared" ca="1" si="150"/>
        <v>5.3928569545949712E-2</v>
      </c>
      <c r="BP824" s="29">
        <f t="shared" ca="1" si="184"/>
        <v>75</v>
      </c>
      <c r="BR824" s="22">
        <v>45369</v>
      </c>
      <c r="BS824" s="26">
        <f t="shared" ca="1" si="151"/>
        <v>0.62333780965126229</v>
      </c>
      <c r="BT824" s="29">
        <f t="shared" ca="1" si="185"/>
        <v>189</v>
      </c>
      <c r="BV824" s="22">
        <v>45369</v>
      </c>
      <c r="BW824" s="26">
        <f t="shared" ca="1" si="152"/>
        <v>0.27368489030531995</v>
      </c>
      <c r="BX824" s="29">
        <v>0</v>
      </c>
    </row>
    <row r="825" spans="2:76" ht="12.75" x14ac:dyDescent="0.2">
      <c r="B825" s="22">
        <v>45370</v>
      </c>
      <c r="C825" s="26">
        <f t="shared" ca="1" si="135"/>
        <v>0.52987673727824225</v>
      </c>
      <c r="D825" s="29">
        <f t="shared" ca="1" si="169"/>
        <v>77</v>
      </c>
      <c r="F825" s="22"/>
      <c r="G825" s="26">
        <f t="shared" ca="1" si="136"/>
        <v>0.53913059737073521</v>
      </c>
      <c r="H825" s="29">
        <f t="shared" ca="1" si="170"/>
        <v>217</v>
      </c>
      <c r="J825" s="22">
        <v>45370</v>
      </c>
      <c r="K825" s="26">
        <f t="shared" ca="1" si="137"/>
        <v>0.18816399695356234</v>
      </c>
      <c r="L825" s="29">
        <f t="shared" ca="1" si="171"/>
        <v>142</v>
      </c>
      <c r="N825" s="22">
        <v>45370</v>
      </c>
      <c r="O825" s="26">
        <f t="shared" ca="1" si="138"/>
        <v>7.9990040645789628E-2</v>
      </c>
      <c r="P825" s="29">
        <f t="shared" ca="1" si="172"/>
        <v>208</v>
      </c>
      <c r="R825" s="22">
        <v>45370</v>
      </c>
      <c r="S825" s="26">
        <f t="shared" ca="1" si="139"/>
        <v>8.3837152823985961E-2</v>
      </c>
      <c r="T825" s="29">
        <f t="shared" ca="1" si="173"/>
        <v>126</v>
      </c>
      <c r="V825" s="22">
        <v>45370</v>
      </c>
      <c r="W825" s="26">
        <f t="shared" ca="1" si="140"/>
        <v>0.7479064226509553</v>
      </c>
      <c r="X825" s="29">
        <f t="shared" ca="1" si="174"/>
        <v>236</v>
      </c>
      <c r="Z825" s="22">
        <v>45370</v>
      </c>
      <c r="AA825" s="26">
        <f t="shared" ca="1" si="141"/>
        <v>0.93739422753086366</v>
      </c>
      <c r="AB825" s="29">
        <f t="shared" ca="1" si="175"/>
        <v>298</v>
      </c>
      <c r="AC825"/>
      <c r="AD825" s="25"/>
      <c r="AF825" s="22">
        <v>45370</v>
      </c>
      <c r="AG825" s="26">
        <f t="shared" ca="1" si="142"/>
        <v>0.88695095265172452</v>
      </c>
      <c r="AH825" s="29">
        <f t="shared" ca="1" si="176"/>
        <v>433</v>
      </c>
      <c r="AJ825" s="22">
        <v>45370</v>
      </c>
      <c r="AK825" s="26">
        <f t="shared" ca="1" si="143"/>
        <v>0.32555642597459522</v>
      </c>
      <c r="AL825" s="29">
        <f t="shared" ca="1" si="177"/>
        <v>159</v>
      </c>
      <c r="AN825" s="22">
        <v>45370</v>
      </c>
      <c r="AO825" s="26">
        <f t="shared" ca="1" si="144"/>
        <v>8.0649488146732118E-2</v>
      </c>
      <c r="AP825" s="29">
        <f t="shared" ca="1" si="178"/>
        <v>93</v>
      </c>
      <c r="AR825" s="22">
        <v>45370</v>
      </c>
      <c r="AS825" s="26">
        <f t="shared" ca="1" si="145"/>
        <v>0.42319253962780701</v>
      </c>
      <c r="AT825" s="29">
        <f t="shared" ca="1" si="179"/>
        <v>206</v>
      </c>
      <c r="AV825" s="22">
        <v>45370</v>
      </c>
      <c r="AW825" s="26">
        <f t="shared" ca="1" si="146"/>
        <v>0.36384489484656213</v>
      </c>
      <c r="AX825" s="29">
        <f t="shared" ca="1" si="180"/>
        <v>174</v>
      </c>
      <c r="AZ825" s="22">
        <v>45370</v>
      </c>
      <c r="BA825" s="26">
        <f t="shared" ca="1" si="147"/>
        <v>0.43998454217039451</v>
      </c>
      <c r="BB825" s="29">
        <f t="shared" ca="1" si="181"/>
        <v>173</v>
      </c>
      <c r="BC825"/>
      <c r="BD825" s="25"/>
      <c r="BF825" s="22">
        <v>45370</v>
      </c>
      <c r="BG825" s="26">
        <f t="shared" ca="1" si="148"/>
        <v>0.32578794020026813</v>
      </c>
      <c r="BH825" s="29">
        <f t="shared" ca="1" si="182"/>
        <v>141</v>
      </c>
      <c r="BJ825" s="22">
        <v>45370</v>
      </c>
      <c r="BK825" s="26">
        <f t="shared" ca="1" si="149"/>
        <v>2.3616384276554658E-3</v>
      </c>
      <c r="BL825" s="29">
        <f t="shared" ca="1" si="183"/>
        <v>41</v>
      </c>
      <c r="BN825" s="22">
        <v>45370</v>
      </c>
      <c r="BO825" s="26">
        <f t="shared" ca="1" si="150"/>
        <v>1.8001431429543913E-2</v>
      </c>
      <c r="BP825" s="29">
        <f t="shared" ca="1" si="184"/>
        <v>58</v>
      </c>
      <c r="BR825" s="22">
        <v>45370</v>
      </c>
      <c r="BS825" s="26">
        <f t="shared" ca="1" si="151"/>
        <v>0.95130942889736003</v>
      </c>
      <c r="BT825" s="29">
        <f t="shared" ca="1" si="185"/>
        <v>251</v>
      </c>
      <c r="BV825" s="22">
        <v>45370</v>
      </c>
      <c r="BW825" s="26">
        <f t="shared" ca="1" si="152"/>
        <v>4.5779149911494565E-2</v>
      </c>
      <c r="BX825" s="29">
        <v>0</v>
      </c>
    </row>
    <row r="826" spans="2:76" ht="12.75" x14ac:dyDescent="0.2">
      <c r="B826" s="22">
        <v>45371</v>
      </c>
      <c r="C826" s="26">
        <f t="shared" ca="1" si="135"/>
        <v>0.37981586865421912</v>
      </c>
      <c r="D826" s="29">
        <f t="shared" ca="1" si="169"/>
        <v>69</v>
      </c>
      <c r="F826" s="22"/>
      <c r="G826" s="26">
        <f t="shared" ca="1" si="136"/>
        <v>0.9583121098802494</v>
      </c>
      <c r="H826" s="29">
        <f t="shared" ca="1" si="170"/>
        <v>241</v>
      </c>
      <c r="J826" s="22">
        <v>45371</v>
      </c>
      <c r="K826" s="26">
        <f t="shared" ca="1" si="137"/>
        <v>0.61871946671898592</v>
      </c>
      <c r="L826" s="29">
        <f t="shared" ca="1" si="171"/>
        <v>154</v>
      </c>
      <c r="N826" s="22">
        <v>45371</v>
      </c>
      <c r="O826" s="26">
        <f t="shared" ca="1" si="138"/>
        <v>0.27783166878880272</v>
      </c>
      <c r="P826" s="29">
        <f t="shared" ca="1" si="172"/>
        <v>221</v>
      </c>
      <c r="R826" s="22">
        <v>45371</v>
      </c>
      <c r="S826" s="26">
        <f t="shared" ca="1" si="139"/>
        <v>0.86259763474723261</v>
      </c>
      <c r="T826" s="29">
        <f t="shared" ca="1" si="173"/>
        <v>149</v>
      </c>
      <c r="V826" s="22">
        <v>45371</v>
      </c>
      <c r="W826" s="26">
        <f t="shared" ca="1" si="140"/>
        <v>0.71485772922160851</v>
      </c>
      <c r="X826" s="29">
        <f t="shared" ca="1" si="174"/>
        <v>234</v>
      </c>
      <c r="Z826" s="22">
        <v>45371</v>
      </c>
      <c r="AA826" s="26">
        <f t="shared" ca="1" si="141"/>
        <v>0.43013184340235666</v>
      </c>
      <c r="AB826" s="29">
        <f t="shared" ca="1" si="175"/>
        <v>267</v>
      </c>
      <c r="AC826"/>
      <c r="AD826" s="25"/>
      <c r="AF826" s="22">
        <v>45371</v>
      </c>
      <c r="AG826" s="26">
        <f t="shared" ca="1" si="142"/>
        <v>0.94465740825464761</v>
      </c>
      <c r="AH826" s="29">
        <f t="shared" ca="1" si="176"/>
        <v>467</v>
      </c>
      <c r="AJ826" s="22">
        <v>45371</v>
      </c>
      <c r="AK826" s="26">
        <f t="shared" ca="1" si="143"/>
        <v>0.67080522350657745</v>
      </c>
      <c r="AL826" s="29">
        <f t="shared" ca="1" si="177"/>
        <v>202</v>
      </c>
      <c r="AN826" s="22">
        <v>45371</v>
      </c>
      <c r="AO826" s="26">
        <f t="shared" ca="1" si="144"/>
        <v>0.79939325127636107</v>
      </c>
      <c r="AP826" s="29">
        <f t="shared" ca="1" si="178"/>
        <v>181</v>
      </c>
      <c r="AR826" s="22">
        <v>45371</v>
      </c>
      <c r="AS826" s="26">
        <f t="shared" ca="1" si="145"/>
        <v>0.47677733088997842</v>
      </c>
      <c r="AT826" s="29">
        <f t="shared" ca="1" si="179"/>
        <v>214</v>
      </c>
      <c r="AV826" s="22">
        <v>45371</v>
      </c>
      <c r="AW826" s="26">
        <f t="shared" ca="1" si="146"/>
        <v>0.15789435625635251</v>
      </c>
      <c r="AX826" s="29">
        <f t="shared" ca="1" si="180"/>
        <v>141</v>
      </c>
      <c r="AZ826" s="22">
        <v>45371</v>
      </c>
      <c r="BA826" s="26">
        <f t="shared" ca="1" si="147"/>
        <v>0.76269229518568471</v>
      </c>
      <c r="BB826" s="29">
        <f t="shared" ca="1" si="181"/>
        <v>215</v>
      </c>
      <c r="BC826"/>
      <c r="BD826" s="25"/>
      <c r="BF826" s="22">
        <v>45371</v>
      </c>
      <c r="BG826" s="26">
        <f t="shared" ca="1" si="148"/>
        <v>0.46127431626156723</v>
      </c>
      <c r="BH826" s="29">
        <f t="shared" ca="1" si="182"/>
        <v>156</v>
      </c>
      <c r="BJ826" s="22">
        <v>45371</v>
      </c>
      <c r="BK826" s="26">
        <f t="shared" ca="1" si="149"/>
        <v>0.36424981858112315</v>
      </c>
      <c r="BL826" s="29">
        <f t="shared" ca="1" si="183"/>
        <v>150</v>
      </c>
      <c r="BN826" s="22">
        <v>45371</v>
      </c>
      <c r="BO826" s="26">
        <f t="shared" ca="1" si="150"/>
        <v>0.24127358010802624</v>
      </c>
      <c r="BP826" s="29">
        <f t="shared" ca="1" si="184"/>
        <v>107</v>
      </c>
      <c r="BR826" s="22">
        <v>45371</v>
      </c>
      <c r="BS826" s="26">
        <f t="shared" ca="1" si="151"/>
        <v>0.92172680922604711</v>
      </c>
      <c r="BT826" s="29">
        <f t="shared" ca="1" si="185"/>
        <v>240</v>
      </c>
      <c r="BV826" s="22">
        <v>45371</v>
      </c>
      <c r="BW826" s="26">
        <f t="shared" ca="1" si="152"/>
        <v>0.18046316177775523</v>
      </c>
      <c r="BX826" s="29">
        <v>0</v>
      </c>
    </row>
    <row r="827" spans="2:76" ht="12.75" x14ac:dyDescent="0.2">
      <c r="B827" s="22">
        <v>45372</v>
      </c>
      <c r="C827" s="26">
        <f t="shared" ca="1" si="135"/>
        <v>7.8300242633415396E-2</v>
      </c>
      <c r="D827" s="29">
        <f t="shared" ca="1" si="169"/>
        <v>47</v>
      </c>
      <c r="F827" s="22"/>
      <c r="G827" s="26">
        <f t="shared" ca="1" si="136"/>
        <v>0.75545145344202025</v>
      </c>
      <c r="H827" s="29">
        <f t="shared" ca="1" si="170"/>
        <v>226</v>
      </c>
      <c r="J827" s="22">
        <v>45372</v>
      </c>
      <c r="K827" s="26">
        <f t="shared" ca="1" si="137"/>
        <v>0.48130929930115118</v>
      </c>
      <c r="L827" s="29">
        <f t="shared" ca="1" si="171"/>
        <v>150</v>
      </c>
      <c r="N827" s="22">
        <v>45372</v>
      </c>
      <c r="O827" s="26">
        <f t="shared" ca="1" si="138"/>
        <v>0.4513503357021772</v>
      </c>
      <c r="P827" s="29">
        <f t="shared" ca="1" si="172"/>
        <v>228</v>
      </c>
      <c r="R827" s="22">
        <v>45372</v>
      </c>
      <c r="S827" s="26">
        <f t="shared" ca="1" si="139"/>
        <v>0.71142457788789482</v>
      </c>
      <c r="T827" s="29">
        <f t="shared" ca="1" si="173"/>
        <v>144</v>
      </c>
      <c r="V827" s="22">
        <v>45372</v>
      </c>
      <c r="W827" s="26">
        <f t="shared" ca="1" si="140"/>
        <v>9.4004402072396021E-2</v>
      </c>
      <c r="X827" s="29">
        <f t="shared" ca="1" si="174"/>
        <v>206</v>
      </c>
      <c r="Z827" s="22">
        <v>45372</v>
      </c>
      <c r="AA827" s="26">
        <f t="shared" ca="1" si="141"/>
        <v>0.90913674657815402</v>
      </c>
      <c r="AB827" s="29">
        <f t="shared" ca="1" si="175"/>
        <v>295</v>
      </c>
      <c r="AC827"/>
      <c r="AD827" s="25"/>
      <c r="AF827" s="22">
        <v>45372</v>
      </c>
      <c r="AG827" s="26">
        <f t="shared" ca="1" si="142"/>
        <v>0.25187713566291769</v>
      </c>
      <c r="AH827" s="29">
        <f t="shared" ca="1" si="176"/>
        <v>269</v>
      </c>
      <c r="AJ827" s="22">
        <v>45372</v>
      </c>
      <c r="AK827" s="26">
        <f t="shared" ca="1" si="143"/>
        <v>0.15247574265579666</v>
      </c>
      <c r="AL827" s="29">
        <f t="shared" ca="1" si="177"/>
        <v>131</v>
      </c>
      <c r="AN827" s="22">
        <v>45372</v>
      </c>
      <c r="AO827" s="26">
        <f t="shared" ca="1" si="144"/>
        <v>5.1077287603077837E-2</v>
      </c>
      <c r="AP827" s="29">
        <f t="shared" ca="1" si="178"/>
        <v>84</v>
      </c>
      <c r="AR827" s="22">
        <v>45372</v>
      </c>
      <c r="AS827" s="26">
        <f t="shared" ca="1" si="145"/>
        <v>0.19972999605730868</v>
      </c>
      <c r="AT827" s="29">
        <f t="shared" ca="1" si="179"/>
        <v>169</v>
      </c>
      <c r="AV827" s="22">
        <v>45372</v>
      </c>
      <c r="AW827" s="26">
        <f t="shared" ca="1" si="146"/>
        <v>0.81308302313329384</v>
      </c>
      <c r="AX827" s="29">
        <f t="shared" ca="1" si="180"/>
        <v>238</v>
      </c>
      <c r="AZ827" s="22">
        <v>45372</v>
      </c>
      <c r="BA827" s="26">
        <f t="shared" ca="1" si="147"/>
        <v>0.29372264506023793</v>
      </c>
      <c r="BB827" s="29">
        <f t="shared" ca="1" si="181"/>
        <v>154</v>
      </c>
      <c r="BC827"/>
      <c r="BD827" s="25"/>
      <c r="BF827" s="22">
        <v>45372</v>
      </c>
      <c r="BG827" s="26">
        <f t="shared" ca="1" si="148"/>
        <v>0.33831409110243071</v>
      </c>
      <c r="BH827" s="29">
        <f t="shared" ca="1" si="182"/>
        <v>142</v>
      </c>
      <c r="BJ827" s="22">
        <v>45372</v>
      </c>
      <c r="BK827" s="26">
        <f t="shared" ca="1" si="149"/>
        <v>0.69168784747237566</v>
      </c>
      <c r="BL827" s="29">
        <f t="shared" ca="1" si="183"/>
        <v>187</v>
      </c>
      <c r="BN827" s="22">
        <v>45372</v>
      </c>
      <c r="BO827" s="26">
        <f t="shared" ca="1" si="150"/>
        <v>0.56795548625103454</v>
      </c>
      <c r="BP827" s="29">
        <f t="shared" ca="1" si="184"/>
        <v>137</v>
      </c>
      <c r="BR827" s="22">
        <v>45372</v>
      </c>
      <c r="BS827" s="26">
        <f t="shared" ca="1" si="151"/>
        <v>0.24314530033324044</v>
      </c>
      <c r="BT827" s="29">
        <f t="shared" ca="1" si="185"/>
        <v>142</v>
      </c>
      <c r="BV827" s="22">
        <v>45372</v>
      </c>
      <c r="BW827" s="26">
        <f t="shared" ca="1" si="152"/>
        <v>0.7394765203087863</v>
      </c>
      <c r="BX827" s="29">
        <v>0</v>
      </c>
    </row>
    <row r="828" spans="2:76" ht="12.75" x14ac:dyDescent="0.2">
      <c r="B828" s="22">
        <v>45373</v>
      </c>
      <c r="C828" s="26">
        <f t="shared" ca="1" si="135"/>
        <v>1.8351325391664175E-2</v>
      </c>
      <c r="D828" s="29">
        <f t="shared" ca="1" si="169"/>
        <v>34</v>
      </c>
      <c r="F828" s="22"/>
      <c r="G828" s="26">
        <f t="shared" ca="1" si="136"/>
        <v>0.2752753850382762</v>
      </c>
      <c r="H828" s="29">
        <f t="shared" ca="1" si="170"/>
        <v>207</v>
      </c>
      <c r="J828" s="22">
        <v>45373</v>
      </c>
      <c r="K828" s="26">
        <f t="shared" ca="1" si="137"/>
        <v>0.52843088754629308</v>
      </c>
      <c r="L828" s="29">
        <f t="shared" ca="1" si="171"/>
        <v>151</v>
      </c>
      <c r="N828" s="22">
        <v>45373</v>
      </c>
      <c r="O828" s="26">
        <f t="shared" ca="1" si="138"/>
        <v>0.7929986843435044</v>
      </c>
      <c r="P828" s="29">
        <f t="shared" ca="1" si="172"/>
        <v>242</v>
      </c>
      <c r="R828" s="22">
        <v>45373</v>
      </c>
      <c r="S828" s="26">
        <f t="shared" ca="1" si="139"/>
        <v>0.12539419650842265</v>
      </c>
      <c r="T828" s="29">
        <f t="shared" ca="1" si="173"/>
        <v>129</v>
      </c>
      <c r="V828" s="22">
        <v>45373</v>
      </c>
      <c r="W828" s="26">
        <f t="shared" ca="1" si="140"/>
        <v>0.957928136486627</v>
      </c>
      <c r="X828" s="29">
        <f t="shared" ca="1" si="174"/>
        <v>251</v>
      </c>
      <c r="Z828" s="22">
        <v>45373</v>
      </c>
      <c r="AA828" s="26">
        <f t="shared" ca="1" si="141"/>
        <v>0.21271573151923784</v>
      </c>
      <c r="AB828" s="29">
        <f t="shared" ca="1" si="175"/>
        <v>256</v>
      </c>
      <c r="AC828"/>
      <c r="AD828" s="25"/>
      <c r="AF828" s="22">
        <v>45373</v>
      </c>
      <c r="AG828" s="26">
        <f t="shared" ca="1" si="142"/>
        <v>5.97434960583898E-3</v>
      </c>
      <c r="AH828" s="29">
        <f t="shared" ca="1" si="176"/>
        <v>108</v>
      </c>
      <c r="AJ828" s="22">
        <v>45373</v>
      </c>
      <c r="AK828" s="26">
        <f t="shared" ca="1" si="143"/>
        <v>0.20156535112700746</v>
      </c>
      <c r="AL828" s="29">
        <f t="shared" ca="1" si="177"/>
        <v>140</v>
      </c>
      <c r="AN828" s="22">
        <v>45373</v>
      </c>
      <c r="AO828" s="26">
        <f t="shared" ca="1" si="144"/>
        <v>0.53510664332348279</v>
      </c>
      <c r="AP828" s="29">
        <f t="shared" ca="1" si="178"/>
        <v>151</v>
      </c>
      <c r="AR828" s="22">
        <v>45373</v>
      </c>
      <c r="AS828" s="26">
        <f t="shared" ca="1" si="145"/>
        <v>1.0983932272380481E-2</v>
      </c>
      <c r="AT828" s="29">
        <f t="shared" ca="1" si="179"/>
        <v>85</v>
      </c>
      <c r="AV828" s="22">
        <v>45373</v>
      </c>
      <c r="AW828" s="26">
        <f t="shared" ca="1" si="146"/>
        <v>0.32116401898729818</v>
      </c>
      <c r="AX828" s="29">
        <f t="shared" ca="1" si="180"/>
        <v>168</v>
      </c>
      <c r="AZ828" s="22">
        <v>45373</v>
      </c>
      <c r="BA828" s="26">
        <f t="shared" ca="1" si="147"/>
        <v>0.6079705120835921</v>
      </c>
      <c r="BB828" s="29">
        <f t="shared" ca="1" si="181"/>
        <v>193</v>
      </c>
      <c r="BC828"/>
      <c r="BD828" s="25"/>
      <c r="BF828" s="22">
        <v>45373</v>
      </c>
      <c r="BG828" s="26">
        <f t="shared" ca="1" si="148"/>
        <v>0.46861799662841019</v>
      </c>
      <c r="BH828" s="29">
        <f t="shared" ca="1" si="182"/>
        <v>157</v>
      </c>
      <c r="BJ828" s="22">
        <v>45373</v>
      </c>
      <c r="BK828" s="26">
        <f t="shared" ca="1" si="149"/>
        <v>0.81045729972459812</v>
      </c>
      <c r="BL828" s="29">
        <f t="shared" ca="1" si="183"/>
        <v>204</v>
      </c>
      <c r="BN828" s="22">
        <v>45373</v>
      </c>
      <c r="BO828" s="26">
        <f t="shared" ca="1" si="150"/>
        <v>0.70003817633131049</v>
      </c>
      <c r="BP828" s="29">
        <f t="shared" ca="1" si="184"/>
        <v>150</v>
      </c>
      <c r="BR828" s="22">
        <v>45373</v>
      </c>
      <c r="BS828" s="26">
        <f t="shared" ca="1" si="151"/>
        <v>0.7748905203130888</v>
      </c>
      <c r="BT828" s="29">
        <f t="shared" ca="1" si="185"/>
        <v>209</v>
      </c>
      <c r="BV828" s="22">
        <v>45373</v>
      </c>
      <c r="BW828" s="26">
        <f t="shared" ca="1" si="152"/>
        <v>0.18104271594823351</v>
      </c>
      <c r="BX828" s="29">
        <v>0</v>
      </c>
    </row>
    <row r="829" spans="2:76" ht="12.75" x14ac:dyDescent="0.2">
      <c r="B829" s="22">
        <v>45374</v>
      </c>
      <c r="C829" s="26">
        <f t="shared" ca="1" si="135"/>
        <v>0.22217919636666494</v>
      </c>
      <c r="D829" s="29">
        <f t="shared" ca="1" si="169"/>
        <v>60</v>
      </c>
      <c r="F829" s="22"/>
      <c r="G829" s="26">
        <f t="shared" ca="1" si="136"/>
        <v>0.61422618174839361</v>
      </c>
      <c r="H829" s="29">
        <f t="shared" ca="1" si="170"/>
        <v>220</v>
      </c>
      <c r="J829" s="22">
        <v>45374</v>
      </c>
      <c r="K829" s="26">
        <f t="shared" ca="1" si="137"/>
        <v>0.58332219991645029</v>
      </c>
      <c r="L829" s="29">
        <f t="shared" ca="1" si="171"/>
        <v>153</v>
      </c>
      <c r="N829" s="22">
        <v>45374</v>
      </c>
      <c r="O829" s="26">
        <f t="shared" ca="1" si="138"/>
        <v>6.3648199699214092E-2</v>
      </c>
      <c r="P829" s="29">
        <f t="shared" ca="1" si="172"/>
        <v>207</v>
      </c>
      <c r="R829" s="22">
        <v>45374</v>
      </c>
      <c r="S829" s="26">
        <f t="shared" ca="1" si="139"/>
        <v>0.68507834611633467</v>
      </c>
      <c r="T829" s="29">
        <f t="shared" ca="1" si="173"/>
        <v>144</v>
      </c>
      <c r="V829" s="22">
        <v>45374</v>
      </c>
      <c r="W829" s="26">
        <f t="shared" ca="1" si="140"/>
        <v>0.53709095982863186</v>
      </c>
      <c r="X829" s="29">
        <f t="shared" ca="1" si="174"/>
        <v>227</v>
      </c>
      <c r="Z829" s="22">
        <v>45374</v>
      </c>
      <c r="AA829" s="26">
        <f t="shared" ca="1" si="141"/>
        <v>0.34255320939096634</v>
      </c>
      <c r="AB829" s="29">
        <f t="shared" ca="1" si="175"/>
        <v>263</v>
      </c>
      <c r="AC829"/>
      <c r="AD829" s="25"/>
      <c r="AF829" s="22">
        <v>45374</v>
      </c>
      <c r="AG829" s="26">
        <f t="shared" ca="1" si="142"/>
        <v>0.48774416842443746</v>
      </c>
      <c r="AH829" s="29">
        <f t="shared" ca="1" si="176"/>
        <v>325</v>
      </c>
      <c r="AJ829" s="22">
        <v>45374</v>
      </c>
      <c r="AK829" s="26">
        <f t="shared" ca="1" si="143"/>
        <v>0.6603082320688326</v>
      </c>
      <c r="AL829" s="29">
        <f t="shared" ca="1" si="177"/>
        <v>200</v>
      </c>
      <c r="AN829" s="22">
        <v>45374</v>
      </c>
      <c r="AO829" s="26">
        <f t="shared" ca="1" si="144"/>
        <v>0.32692697121864767</v>
      </c>
      <c r="AP829" s="29">
        <f t="shared" ca="1" si="178"/>
        <v>130</v>
      </c>
      <c r="AR829" s="22">
        <v>45374</v>
      </c>
      <c r="AS829" s="26">
        <f t="shared" ca="1" si="145"/>
        <v>0.38476709009454557</v>
      </c>
      <c r="AT829" s="29">
        <f t="shared" ca="1" si="179"/>
        <v>200</v>
      </c>
      <c r="AV829" s="22">
        <v>45374</v>
      </c>
      <c r="AW829" s="26">
        <f t="shared" ca="1" si="146"/>
        <v>8.2004421297835473E-3</v>
      </c>
      <c r="AX829" s="29">
        <f t="shared" ca="1" si="180"/>
        <v>70</v>
      </c>
      <c r="AZ829" s="22">
        <v>45374</v>
      </c>
      <c r="BA829" s="26">
        <f t="shared" ca="1" si="147"/>
        <v>0.95722346551566395</v>
      </c>
      <c r="BB829" s="29">
        <f t="shared" ca="1" si="181"/>
        <v>263</v>
      </c>
      <c r="BC829"/>
      <c r="BD829" s="25"/>
      <c r="BF829" s="22">
        <v>45374</v>
      </c>
      <c r="BG829" s="26">
        <f t="shared" ca="1" si="148"/>
        <v>0.94883734951653809</v>
      </c>
      <c r="BH829" s="29">
        <f t="shared" ca="1" si="182"/>
        <v>230</v>
      </c>
      <c r="BJ829" s="22">
        <v>45374</v>
      </c>
      <c r="BK829" s="26">
        <f t="shared" ca="1" si="149"/>
        <v>0.84558403816502192</v>
      </c>
      <c r="BL829" s="29">
        <f t="shared" ca="1" si="183"/>
        <v>210</v>
      </c>
      <c r="BN829" s="22">
        <v>45374</v>
      </c>
      <c r="BO829" s="26">
        <f t="shared" ca="1" si="150"/>
        <v>0.88416451263751716</v>
      </c>
      <c r="BP829" s="29">
        <f t="shared" ca="1" si="184"/>
        <v>173</v>
      </c>
      <c r="BR829" s="22">
        <v>45374</v>
      </c>
      <c r="BS829" s="26">
        <f t="shared" ca="1" si="151"/>
        <v>2.9869560395987538E-3</v>
      </c>
      <c r="BT829" s="29">
        <f t="shared" ca="1" si="185"/>
        <v>47</v>
      </c>
      <c r="BV829" s="22">
        <v>45374</v>
      </c>
      <c r="BW829" s="26">
        <f t="shared" ca="1" si="152"/>
        <v>0.33838896879520253</v>
      </c>
      <c r="BX829" s="29">
        <v>0</v>
      </c>
    </row>
    <row r="830" spans="2:76" ht="12.75" x14ac:dyDescent="0.2">
      <c r="B830" s="22">
        <v>45375</v>
      </c>
      <c r="C830" s="26">
        <f t="shared" ca="1" si="135"/>
        <v>0.37014823352015724</v>
      </c>
      <c r="D830" s="29">
        <f t="shared" ca="1" si="169"/>
        <v>69</v>
      </c>
      <c r="F830" s="22"/>
      <c r="G830" s="26">
        <f t="shared" ca="1" si="136"/>
        <v>0.71087052049793598</v>
      </c>
      <c r="H830" s="29">
        <f t="shared" ca="1" si="170"/>
        <v>224</v>
      </c>
      <c r="J830" s="22">
        <v>45375</v>
      </c>
      <c r="K830" s="26">
        <f t="shared" ca="1" si="137"/>
        <v>0.3027913801348836</v>
      </c>
      <c r="L830" s="29">
        <f t="shared" ca="1" si="171"/>
        <v>145</v>
      </c>
      <c r="N830" s="22">
        <v>45375</v>
      </c>
      <c r="O830" s="26">
        <f t="shared" ca="1" si="138"/>
        <v>0.68140795677283916</v>
      </c>
      <c r="P830" s="29">
        <f t="shared" ca="1" si="172"/>
        <v>237</v>
      </c>
      <c r="R830" s="22">
        <v>45375</v>
      </c>
      <c r="S830" s="26">
        <f t="shared" ca="1" si="139"/>
        <v>5.321560336864728E-2</v>
      </c>
      <c r="T830" s="29">
        <f t="shared" ca="1" si="173"/>
        <v>124</v>
      </c>
      <c r="V830" s="22">
        <v>45375</v>
      </c>
      <c r="W830" s="26">
        <f t="shared" ca="1" si="140"/>
        <v>0.62917668067979748</v>
      </c>
      <c r="X830" s="29">
        <f t="shared" ca="1" si="174"/>
        <v>230</v>
      </c>
      <c r="Z830" s="22">
        <v>45375</v>
      </c>
      <c r="AA830" s="26">
        <f t="shared" ca="1" si="141"/>
        <v>0.47189199440569363</v>
      </c>
      <c r="AB830" s="29">
        <f t="shared" ca="1" si="175"/>
        <v>269</v>
      </c>
      <c r="AC830"/>
      <c r="AD830" s="25"/>
      <c r="AF830" s="22">
        <v>45375</v>
      </c>
      <c r="AG830" s="26">
        <f t="shared" ca="1" si="142"/>
        <v>0.9966363730039558</v>
      </c>
      <c r="AH830" s="29">
        <f t="shared" ca="1" si="176"/>
        <v>564</v>
      </c>
      <c r="AJ830" s="22">
        <v>45375</v>
      </c>
      <c r="AK830" s="26">
        <f t="shared" ca="1" si="143"/>
        <v>4.2799497510179196E-2</v>
      </c>
      <c r="AL830" s="29">
        <f t="shared" ca="1" si="177"/>
        <v>98</v>
      </c>
      <c r="AN830" s="22">
        <v>45375</v>
      </c>
      <c r="AO830" s="26">
        <f t="shared" ca="1" si="144"/>
        <v>0.30329641124016038</v>
      </c>
      <c r="AP830" s="29">
        <f t="shared" ca="1" si="178"/>
        <v>127</v>
      </c>
      <c r="AR830" s="22">
        <v>45375</v>
      </c>
      <c r="AS830" s="26">
        <f t="shared" ca="1" si="145"/>
        <v>0.68772601937453914</v>
      </c>
      <c r="AT830" s="29">
        <f t="shared" ca="1" si="179"/>
        <v>246</v>
      </c>
      <c r="AV830" s="22">
        <v>45375</v>
      </c>
      <c r="AW830" s="26">
        <f t="shared" ca="1" si="146"/>
        <v>0.46529399373417124</v>
      </c>
      <c r="AX830" s="29">
        <f t="shared" ca="1" si="180"/>
        <v>188</v>
      </c>
      <c r="AZ830" s="22">
        <v>45375</v>
      </c>
      <c r="BA830" s="26">
        <f t="shared" ca="1" si="147"/>
        <v>0.47206158937107734</v>
      </c>
      <c r="BB830" s="29">
        <f t="shared" ca="1" si="181"/>
        <v>177</v>
      </c>
      <c r="BC830"/>
      <c r="BD830" s="25"/>
      <c r="BF830" s="22">
        <v>45375</v>
      </c>
      <c r="BG830" s="26">
        <f t="shared" ca="1" si="148"/>
        <v>0.15276727650518096</v>
      </c>
      <c r="BH830" s="29">
        <f t="shared" ca="1" si="182"/>
        <v>116</v>
      </c>
      <c r="BJ830" s="22">
        <v>45375</v>
      </c>
      <c r="BK830" s="26">
        <f t="shared" ca="1" si="149"/>
        <v>0.67695928039326803</v>
      </c>
      <c r="BL830" s="29">
        <f t="shared" ca="1" si="183"/>
        <v>185</v>
      </c>
      <c r="BN830" s="22">
        <v>45375</v>
      </c>
      <c r="BO830" s="26">
        <f t="shared" ca="1" si="150"/>
        <v>0.95802631728554799</v>
      </c>
      <c r="BP830" s="29">
        <f t="shared" ca="1" si="184"/>
        <v>192</v>
      </c>
      <c r="BR830" s="22">
        <v>45375</v>
      </c>
      <c r="BS830" s="26">
        <f t="shared" ca="1" si="151"/>
        <v>0.50026037082266683</v>
      </c>
      <c r="BT830" s="29">
        <f t="shared" ca="1" si="185"/>
        <v>174</v>
      </c>
      <c r="BV830" s="22">
        <v>45375</v>
      </c>
      <c r="BW830" s="26">
        <f t="shared" ca="1" si="152"/>
        <v>0.75209170294909189</v>
      </c>
      <c r="BX830" s="29">
        <v>0</v>
      </c>
    </row>
    <row r="831" spans="2:76" ht="12.75" x14ac:dyDescent="0.2">
      <c r="B831" s="22">
        <v>45376</v>
      </c>
      <c r="C831" s="26">
        <f t="shared" ca="1" si="135"/>
        <v>0.43114898418543957</v>
      </c>
      <c r="D831" s="29">
        <f t="shared" ca="1" si="169"/>
        <v>72</v>
      </c>
      <c r="F831" s="22"/>
      <c r="G831" s="26">
        <f t="shared" ca="1" si="136"/>
        <v>0.61608885769967847</v>
      </c>
      <c r="H831" s="29">
        <f t="shared" ca="1" si="170"/>
        <v>220</v>
      </c>
      <c r="J831" s="22">
        <v>45376</v>
      </c>
      <c r="K831" s="26">
        <f t="shared" ca="1" si="137"/>
        <v>0.90544599919888558</v>
      </c>
      <c r="L831" s="29">
        <f t="shared" ca="1" si="171"/>
        <v>164</v>
      </c>
      <c r="N831" s="22">
        <v>45376</v>
      </c>
      <c r="O831" s="26">
        <f t="shared" ca="1" si="138"/>
        <v>0.54878206789538331</v>
      </c>
      <c r="P831" s="29">
        <f t="shared" ca="1" si="172"/>
        <v>232</v>
      </c>
      <c r="R831" s="22">
        <v>45376</v>
      </c>
      <c r="S831" s="26">
        <f t="shared" ca="1" si="139"/>
        <v>0.75657640577529417</v>
      </c>
      <c r="T831" s="29">
        <f t="shared" ca="1" si="173"/>
        <v>146</v>
      </c>
      <c r="V831" s="22">
        <v>45376</v>
      </c>
      <c r="W831" s="26">
        <f t="shared" ca="1" si="140"/>
        <v>0.44055923015190579</v>
      </c>
      <c r="X831" s="29">
        <f t="shared" ca="1" si="174"/>
        <v>223</v>
      </c>
      <c r="Z831" s="22">
        <v>45376</v>
      </c>
      <c r="AA831" s="26">
        <f t="shared" ca="1" si="141"/>
        <v>0.62019380423294268</v>
      </c>
      <c r="AB831" s="29">
        <f t="shared" ca="1" si="175"/>
        <v>276</v>
      </c>
      <c r="AC831"/>
      <c r="AD831" s="25"/>
      <c r="AF831" s="22">
        <v>45376</v>
      </c>
      <c r="AG831" s="26">
        <f t="shared" ca="1" si="142"/>
        <v>0.90795127672487363</v>
      </c>
      <c r="AH831" s="29">
        <f t="shared" ca="1" si="176"/>
        <v>443</v>
      </c>
      <c r="AJ831" s="22">
        <v>45376</v>
      </c>
      <c r="AK831" s="26">
        <f t="shared" ca="1" si="143"/>
        <v>0.92174677152453899</v>
      </c>
      <c r="AL831" s="29">
        <f t="shared" ca="1" si="177"/>
        <v>248</v>
      </c>
      <c r="AN831" s="22">
        <v>45376</v>
      </c>
      <c r="AO831" s="26">
        <f t="shared" ca="1" si="144"/>
        <v>0.21122474099920674</v>
      </c>
      <c r="AP831" s="29">
        <f t="shared" ca="1" si="178"/>
        <v>116</v>
      </c>
      <c r="AR831" s="22">
        <v>45376</v>
      </c>
      <c r="AS831" s="26">
        <f t="shared" ca="1" si="145"/>
        <v>0.12864416959903124</v>
      </c>
      <c r="AT831" s="29">
        <f t="shared" ca="1" si="179"/>
        <v>152</v>
      </c>
      <c r="AV831" s="22">
        <v>45376</v>
      </c>
      <c r="AW831" s="26">
        <f t="shared" ca="1" si="146"/>
        <v>0.56399283023475921</v>
      </c>
      <c r="AX831" s="29">
        <f t="shared" ca="1" si="180"/>
        <v>200</v>
      </c>
      <c r="AZ831" s="22">
        <v>45376</v>
      </c>
      <c r="BA831" s="26">
        <f t="shared" ca="1" si="147"/>
        <v>0.26422261845508166</v>
      </c>
      <c r="BB831" s="29">
        <f t="shared" ca="1" si="181"/>
        <v>150</v>
      </c>
      <c r="BC831"/>
      <c r="BD831" s="25"/>
      <c r="BF831" s="22">
        <v>45376</v>
      </c>
      <c r="BG831" s="26">
        <f t="shared" ca="1" si="148"/>
        <v>0.49590307095346098</v>
      </c>
      <c r="BH831" s="29">
        <f t="shared" ca="1" si="182"/>
        <v>160</v>
      </c>
      <c r="BJ831" s="22">
        <v>45376</v>
      </c>
      <c r="BK831" s="26">
        <f t="shared" ca="1" si="149"/>
        <v>0.70148157025051372</v>
      </c>
      <c r="BL831" s="29">
        <f t="shared" ca="1" si="183"/>
        <v>188</v>
      </c>
      <c r="BN831" s="22">
        <v>45376</v>
      </c>
      <c r="BO831" s="26">
        <f t="shared" ca="1" si="150"/>
        <v>0.15719555058424362</v>
      </c>
      <c r="BP831" s="29">
        <f t="shared" ca="1" si="184"/>
        <v>96</v>
      </c>
      <c r="BR831" s="22">
        <v>45376</v>
      </c>
      <c r="BS831" s="26">
        <f t="shared" ca="1" si="151"/>
        <v>0.73899522178832289</v>
      </c>
      <c r="BT831" s="29">
        <f t="shared" ca="1" si="185"/>
        <v>204</v>
      </c>
      <c r="BV831" s="22">
        <v>45376</v>
      </c>
      <c r="BW831" s="26">
        <f t="shared" ca="1" si="152"/>
        <v>3.3879830207667383E-2</v>
      </c>
      <c r="BX831" s="29">
        <v>0</v>
      </c>
    </row>
    <row r="832" spans="2:76" ht="12.75" x14ac:dyDescent="0.2">
      <c r="B832" s="22">
        <v>45377</v>
      </c>
      <c r="C832" s="26">
        <f t="shared" ca="1" si="135"/>
        <v>9.4279818098195189E-2</v>
      </c>
      <c r="D832" s="29">
        <f t="shared" ca="1" si="169"/>
        <v>49</v>
      </c>
      <c r="F832" s="22"/>
      <c r="G832" s="26">
        <f t="shared" ca="1" si="136"/>
        <v>0.36054607649410775</v>
      </c>
      <c r="H832" s="29">
        <f t="shared" ca="1" si="170"/>
        <v>211</v>
      </c>
      <c r="J832" s="22">
        <v>45377</v>
      </c>
      <c r="K832" s="26">
        <f t="shared" ca="1" si="137"/>
        <v>0.55468031409684149</v>
      </c>
      <c r="L832" s="29">
        <f t="shared" ca="1" si="171"/>
        <v>152</v>
      </c>
      <c r="N832" s="22">
        <v>45377</v>
      </c>
      <c r="O832" s="26">
        <f t="shared" ca="1" si="138"/>
        <v>0.60603995541847144</v>
      </c>
      <c r="P832" s="29">
        <f t="shared" ca="1" si="172"/>
        <v>234</v>
      </c>
      <c r="R832" s="22">
        <v>45377</v>
      </c>
      <c r="S832" s="26">
        <f t="shared" ca="1" si="139"/>
        <v>0.35923521679159232</v>
      </c>
      <c r="T832" s="29">
        <f t="shared" ca="1" si="173"/>
        <v>136</v>
      </c>
      <c r="V832" s="22">
        <v>45377</v>
      </c>
      <c r="W832" s="26">
        <f t="shared" ca="1" si="140"/>
        <v>0.59419918747877154</v>
      </c>
      <c r="X832" s="29">
        <f t="shared" ca="1" si="174"/>
        <v>229</v>
      </c>
      <c r="Z832" s="22">
        <v>45377</v>
      </c>
      <c r="AA832" s="26">
        <f t="shared" ca="1" si="141"/>
        <v>0.43652515711040041</v>
      </c>
      <c r="AB832" s="29">
        <f t="shared" ca="1" si="175"/>
        <v>268</v>
      </c>
      <c r="AC832"/>
      <c r="AD832" s="25"/>
      <c r="AF832" s="22">
        <v>45377</v>
      </c>
      <c r="AG832" s="26">
        <f t="shared" ca="1" si="142"/>
        <v>0.90608342490689675</v>
      </c>
      <c r="AH832" s="29">
        <f t="shared" ca="1" si="176"/>
        <v>442</v>
      </c>
      <c r="AJ832" s="22">
        <v>45377</v>
      </c>
      <c r="AK832" s="26">
        <f t="shared" ca="1" si="143"/>
        <v>0.75717237793244818</v>
      </c>
      <c r="AL832" s="29">
        <f t="shared" ca="1" si="177"/>
        <v>214</v>
      </c>
      <c r="AN832" s="22">
        <v>45377</v>
      </c>
      <c r="AO832" s="26">
        <f t="shared" ca="1" si="144"/>
        <v>0.76920475996540372</v>
      </c>
      <c r="AP832" s="29">
        <f t="shared" ca="1" si="178"/>
        <v>177</v>
      </c>
      <c r="AR832" s="22">
        <v>45377</v>
      </c>
      <c r="AS832" s="26">
        <f t="shared" ca="1" si="145"/>
        <v>3.9230480635189413E-2</v>
      </c>
      <c r="AT832" s="29">
        <f t="shared" ca="1" si="179"/>
        <v>116</v>
      </c>
      <c r="AV832" s="22">
        <v>45377</v>
      </c>
      <c r="AW832" s="26">
        <f t="shared" ca="1" si="146"/>
        <v>0.24415434700545302</v>
      </c>
      <c r="AX832" s="29">
        <f t="shared" ca="1" si="180"/>
        <v>157</v>
      </c>
      <c r="AZ832" s="22">
        <v>45377</v>
      </c>
      <c r="BA832" s="26">
        <f t="shared" ca="1" si="147"/>
        <v>0.29208340143408851</v>
      </c>
      <c r="BB832" s="29">
        <f t="shared" ca="1" si="181"/>
        <v>154</v>
      </c>
      <c r="BC832"/>
      <c r="BD832" s="25"/>
      <c r="BF832" s="22">
        <v>45377</v>
      </c>
      <c r="BG832" s="26">
        <f t="shared" ca="1" si="148"/>
        <v>0.48255112708405223</v>
      </c>
      <c r="BH832" s="29">
        <f t="shared" ca="1" si="182"/>
        <v>158</v>
      </c>
      <c r="BJ832" s="22">
        <v>45377</v>
      </c>
      <c r="BK832" s="26">
        <f t="shared" ca="1" si="149"/>
        <v>7.7195699940316942E-2</v>
      </c>
      <c r="BL832" s="29">
        <f t="shared" ca="1" si="183"/>
        <v>103</v>
      </c>
      <c r="BN832" s="22">
        <v>45377</v>
      </c>
      <c r="BO832" s="26">
        <f t="shared" ca="1" si="150"/>
        <v>0.98399414081663172</v>
      </c>
      <c r="BP832" s="29">
        <f t="shared" ca="1" si="184"/>
        <v>206</v>
      </c>
      <c r="BR832" s="22">
        <v>45377</v>
      </c>
      <c r="BS832" s="26">
        <f t="shared" ca="1" si="151"/>
        <v>0.66084437746174174</v>
      </c>
      <c r="BT832" s="29">
        <f t="shared" ca="1" si="185"/>
        <v>193</v>
      </c>
      <c r="BV832" s="22">
        <v>45377</v>
      </c>
      <c r="BW832" s="26">
        <f t="shared" ca="1" si="152"/>
        <v>0.32813135338627519</v>
      </c>
      <c r="BX832" s="29">
        <v>0</v>
      </c>
    </row>
    <row r="833" spans="2:77" ht="12.75" x14ac:dyDescent="0.2">
      <c r="B833" s="22">
        <v>45378</v>
      </c>
      <c r="C833" s="26">
        <f t="shared" ca="1" si="135"/>
        <v>0.85219780425276448</v>
      </c>
      <c r="D833" s="29">
        <f t="shared" ca="1" si="169"/>
        <v>96</v>
      </c>
      <c r="F833" s="22"/>
      <c r="G833" s="26">
        <f t="shared" ca="1" si="136"/>
        <v>0.21400095232243077</v>
      </c>
      <c r="H833" s="29">
        <f t="shared" ca="1" si="170"/>
        <v>205</v>
      </c>
      <c r="J833" s="22">
        <v>45378</v>
      </c>
      <c r="K833" s="26">
        <f t="shared" ca="1" si="137"/>
        <v>9.9109758709510221E-3</v>
      </c>
      <c r="L833" s="29">
        <f t="shared" ca="1" si="171"/>
        <v>127</v>
      </c>
      <c r="N833" s="22">
        <v>45378</v>
      </c>
      <c r="O833" s="26">
        <f t="shared" ca="1" si="138"/>
        <v>0.16726978186730235</v>
      </c>
      <c r="P833" s="29">
        <f t="shared" ca="1" si="172"/>
        <v>215</v>
      </c>
      <c r="R833" s="22">
        <v>45378</v>
      </c>
      <c r="S833" s="26">
        <f t="shared" ca="1" si="139"/>
        <v>0.58367028043175873</v>
      </c>
      <c r="T833" s="29">
        <f t="shared" ca="1" si="173"/>
        <v>141</v>
      </c>
      <c r="V833" s="22">
        <v>45378</v>
      </c>
      <c r="W833" s="26">
        <f t="shared" ca="1" si="140"/>
        <v>0.43322946037265775</v>
      </c>
      <c r="X833" s="29">
        <f t="shared" ca="1" si="174"/>
        <v>223</v>
      </c>
      <c r="Z833" s="22">
        <v>45378</v>
      </c>
      <c r="AA833" s="26">
        <f t="shared" ca="1" si="141"/>
        <v>0.79018488653289121</v>
      </c>
      <c r="AB833" s="29">
        <f t="shared" ca="1" si="175"/>
        <v>285</v>
      </c>
      <c r="AC833"/>
      <c r="AD833" s="25"/>
      <c r="AF833" s="22">
        <v>45378</v>
      </c>
      <c r="AG833" s="26">
        <f t="shared" ca="1" si="142"/>
        <v>0.22330888397792914</v>
      </c>
      <c r="AH833" s="29">
        <f t="shared" ca="1" si="176"/>
        <v>261</v>
      </c>
      <c r="AJ833" s="22">
        <v>45378</v>
      </c>
      <c r="AK833" s="26">
        <f t="shared" ca="1" si="143"/>
        <v>0.65665242276358726</v>
      </c>
      <c r="AL833" s="29">
        <f t="shared" ca="1" si="177"/>
        <v>200</v>
      </c>
      <c r="AN833" s="22">
        <v>45378</v>
      </c>
      <c r="AO833" s="26">
        <f t="shared" ca="1" si="144"/>
        <v>0.49377234435072281</v>
      </c>
      <c r="AP833" s="29">
        <f t="shared" ca="1" si="178"/>
        <v>147</v>
      </c>
      <c r="AR833" s="22">
        <v>45378</v>
      </c>
      <c r="AS833" s="26">
        <f t="shared" ca="1" si="145"/>
        <v>0.98469341985886316</v>
      </c>
      <c r="AT833" s="29">
        <f t="shared" ca="1" si="179"/>
        <v>342</v>
      </c>
      <c r="AV833" s="22">
        <v>45378</v>
      </c>
      <c r="AW833" s="26">
        <f t="shared" ca="1" si="146"/>
        <v>0.28528246375681199</v>
      </c>
      <c r="AX833" s="29">
        <f t="shared" ca="1" si="180"/>
        <v>163</v>
      </c>
      <c r="AZ833" s="22">
        <v>45378</v>
      </c>
      <c r="BA833" s="26">
        <f t="shared" ca="1" si="147"/>
        <v>0.51999908332564093</v>
      </c>
      <c r="BB833" s="29">
        <f t="shared" ca="1" si="181"/>
        <v>183</v>
      </c>
      <c r="BC833"/>
      <c r="BD833" s="25"/>
      <c r="BF833" s="22">
        <v>45378</v>
      </c>
      <c r="BG833" s="26">
        <f t="shared" ca="1" si="148"/>
        <v>0.68601191946242546</v>
      </c>
      <c r="BH833" s="29">
        <f t="shared" ca="1" si="182"/>
        <v>181</v>
      </c>
      <c r="BJ833" s="22">
        <v>45378</v>
      </c>
      <c r="BK833" s="26">
        <f t="shared" ca="1" si="149"/>
        <v>0.73558583995890348</v>
      </c>
      <c r="BL833" s="29">
        <f t="shared" ca="1" si="183"/>
        <v>193</v>
      </c>
      <c r="BN833" s="22">
        <v>45378</v>
      </c>
      <c r="BO833" s="26">
        <f t="shared" ca="1" si="150"/>
        <v>7.9536119280126161E-2</v>
      </c>
      <c r="BP833" s="29">
        <f t="shared" ca="1" si="184"/>
        <v>82</v>
      </c>
      <c r="BR833" s="22">
        <v>45378</v>
      </c>
      <c r="BS833" s="26">
        <f t="shared" ca="1" si="151"/>
        <v>0.144740332453416</v>
      </c>
      <c r="BT833" s="29">
        <f t="shared" ca="1" si="185"/>
        <v>125</v>
      </c>
      <c r="BV833" s="22">
        <v>45378</v>
      </c>
      <c r="BW833" s="26">
        <f t="shared" ca="1" si="152"/>
        <v>0.8082884480925081</v>
      </c>
      <c r="BX833" s="29">
        <v>0</v>
      </c>
    </row>
    <row r="834" spans="2:77" ht="12.75" x14ac:dyDescent="0.2">
      <c r="B834" s="22">
        <v>45379</v>
      </c>
      <c r="C834" s="26">
        <f t="shared" ca="1" si="135"/>
        <v>8.4068178031496354E-2</v>
      </c>
      <c r="D834" s="29">
        <f t="shared" ca="1" si="169"/>
        <v>48</v>
      </c>
      <c r="F834" s="22"/>
      <c r="G834" s="26">
        <f t="shared" ca="1" si="136"/>
        <v>2.5313894554068628E-2</v>
      </c>
      <c r="H834" s="29">
        <f t="shared" ca="1" si="170"/>
        <v>188</v>
      </c>
      <c r="J834" s="22">
        <v>45379</v>
      </c>
      <c r="K834" s="26">
        <f t="shared" ca="1" si="137"/>
        <v>0.83412983135466578</v>
      </c>
      <c r="L834" s="29">
        <f t="shared" ca="1" si="171"/>
        <v>160</v>
      </c>
      <c r="N834" s="22">
        <v>45379</v>
      </c>
      <c r="O834" s="26">
        <f t="shared" ca="1" si="138"/>
        <v>0.50314786812910106</v>
      </c>
      <c r="P834" s="29">
        <f t="shared" ca="1" si="172"/>
        <v>230</v>
      </c>
      <c r="R834" s="22">
        <v>45379</v>
      </c>
      <c r="S834" s="26">
        <f t="shared" ca="1" si="139"/>
        <v>0.97268773268028219</v>
      </c>
      <c r="T834" s="29">
        <f t="shared" ca="1" si="173"/>
        <v>157</v>
      </c>
      <c r="V834" s="22">
        <v>45379</v>
      </c>
      <c r="W834" s="26">
        <f t="shared" ca="1" si="140"/>
        <v>0.82357724550128131</v>
      </c>
      <c r="X834" s="29">
        <f t="shared" ca="1" si="174"/>
        <v>239</v>
      </c>
      <c r="Z834" s="22">
        <v>45379</v>
      </c>
      <c r="AA834" s="26">
        <f t="shared" ca="1" si="141"/>
        <v>0.85143756545765703</v>
      </c>
      <c r="AB834" s="29">
        <f t="shared" ca="1" si="175"/>
        <v>289</v>
      </c>
      <c r="AC834"/>
      <c r="AD834" s="25"/>
      <c r="AF834" s="22">
        <v>45379</v>
      </c>
      <c r="AG834" s="26">
        <f t="shared" ca="1" si="142"/>
        <v>7.2589770850811419E-2</v>
      </c>
      <c r="AH834" s="29">
        <f t="shared" ca="1" si="176"/>
        <v>200</v>
      </c>
      <c r="AJ834" s="22">
        <v>45379</v>
      </c>
      <c r="AK834" s="26">
        <f t="shared" ca="1" si="143"/>
        <v>0.92978775966606997</v>
      </c>
      <c r="AL834" s="29">
        <f t="shared" ca="1" si="177"/>
        <v>251</v>
      </c>
      <c r="AN834" s="22">
        <v>45379</v>
      </c>
      <c r="AO834" s="26">
        <f t="shared" ca="1" si="144"/>
        <v>0.13611276084088164</v>
      </c>
      <c r="AP834" s="29">
        <f t="shared" ca="1" si="178"/>
        <v>105</v>
      </c>
      <c r="AR834" s="22">
        <v>45379</v>
      </c>
      <c r="AS834" s="26">
        <f t="shared" ca="1" si="145"/>
        <v>0.38250024993588561</v>
      </c>
      <c r="AT834" s="29">
        <f t="shared" ca="1" si="179"/>
        <v>200</v>
      </c>
      <c r="AV834" s="22">
        <v>45379</v>
      </c>
      <c r="AW834" s="26">
        <f t="shared" ca="1" si="146"/>
        <v>0.50770666862001868</v>
      </c>
      <c r="AX834" s="29">
        <f t="shared" ca="1" si="180"/>
        <v>193</v>
      </c>
      <c r="AZ834" s="22">
        <v>45379</v>
      </c>
      <c r="BA834" s="26">
        <f t="shared" ca="1" si="147"/>
        <v>0.90963659750058889</v>
      </c>
      <c r="BB834" s="29">
        <f t="shared" ca="1" si="181"/>
        <v>245</v>
      </c>
      <c r="BC834"/>
      <c r="BD834" s="25"/>
      <c r="BF834" s="22">
        <v>45379</v>
      </c>
      <c r="BG834" s="26">
        <f t="shared" ca="1" si="148"/>
        <v>0.91857474367261394</v>
      </c>
      <c r="BH834" s="29">
        <f t="shared" ca="1" si="182"/>
        <v>219</v>
      </c>
      <c r="BJ834" s="22">
        <v>45379</v>
      </c>
      <c r="BK834" s="26">
        <f t="shared" ca="1" si="149"/>
        <v>0.79407844831286911</v>
      </c>
      <c r="BL834" s="29">
        <f t="shared" ca="1" si="183"/>
        <v>201</v>
      </c>
      <c r="BN834" s="22">
        <v>45379</v>
      </c>
      <c r="BO834" s="26">
        <f t="shared" ca="1" si="150"/>
        <v>0.23244992409165599</v>
      </c>
      <c r="BP834" s="29">
        <f t="shared" ca="1" si="184"/>
        <v>106</v>
      </c>
      <c r="BR834" s="22">
        <v>45379</v>
      </c>
      <c r="BS834" s="26">
        <f t="shared" ca="1" si="151"/>
        <v>0.22817254399544118</v>
      </c>
      <c r="BT834" s="29">
        <f t="shared" ca="1" si="185"/>
        <v>140</v>
      </c>
      <c r="BV834" s="22">
        <v>45379</v>
      </c>
      <c r="BW834" s="26">
        <f t="shared" ca="1" si="152"/>
        <v>0.96249538693900005</v>
      </c>
      <c r="BX834" s="29">
        <v>0</v>
      </c>
    </row>
    <row r="835" spans="2:77" ht="12.75" x14ac:dyDescent="0.2">
      <c r="B835" s="22">
        <v>45380</v>
      </c>
      <c r="C835" s="26">
        <f t="shared" ca="1" si="135"/>
        <v>0.40474914866731271</v>
      </c>
      <c r="D835" s="29">
        <f t="shared" ca="1" si="169"/>
        <v>71</v>
      </c>
      <c r="F835" s="22"/>
      <c r="G835" s="26">
        <f t="shared" ca="1" si="136"/>
        <v>0.10576625201187961</v>
      </c>
      <c r="H835" s="29">
        <f t="shared" ca="1" si="170"/>
        <v>198</v>
      </c>
      <c r="J835" s="22">
        <v>45380</v>
      </c>
      <c r="K835" s="26">
        <f t="shared" ca="1" si="137"/>
        <v>0.52074595305348292</v>
      </c>
      <c r="L835" s="29">
        <f t="shared" ca="1" si="171"/>
        <v>151</v>
      </c>
      <c r="N835" s="22">
        <v>45380</v>
      </c>
      <c r="O835" s="26">
        <f t="shared" ca="1" si="138"/>
        <v>0.98787372065066537</v>
      </c>
      <c r="P835" s="29">
        <f t="shared" ca="1" si="172"/>
        <v>264</v>
      </c>
      <c r="R835" s="22">
        <v>45380</v>
      </c>
      <c r="S835" s="26">
        <f t="shared" ca="1" si="139"/>
        <v>0.29732435086903619</v>
      </c>
      <c r="T835" s="29">
        <f t="shared" ca="1" si="173"/>
        <v>134</v>
      </c>
      <c r="V835" s="22">
        <v>45380</v>
      </c>
      <c r="W835" s="26">
        <f t="shared" ca="1" si="140"/>
        <v>0.58985646913092582</v>
      </c>
      <c r="X835" s="29">
        <f t="shared" ca="1" si="174"/>
        <v>229</v>
      </c>
      <c r="Z835" s="22">
        <v>45380</v>
      </c>
      <c r="AA835" s="26">
        <f t="shared" ca="1" si="141"/>
        <v>0.72856445506361167</v>
      </c>
      <c r="AB835" s="29">
        <f t="shared" ca="1" si="175"/>
        <v>281</v>
      </c>
      <c r="AC835"/>
      <c r="AD835" s="25"/>
      <c r="AF835" s="22">
        <v>45380</v>
      </c>
      <c r="AG835" s="26">
        <f t="shared" ca="1" si="142"/>
        <v>0.66904817026681351</v>
      </c>
      <c r="AH835" s="29">
        <f t="shared" ca="1" si="176"/>
        <v>366</v>
      </c>
      <c r="AJ835" s="22">
        <v>45380</v>
      </c>
      <c r="AK835" s="26">
        <f t="shared" ca="1" si="143"/>
        <v>0.14012911838443354</v>
      </c>
      <c r="AL835" s="29">
        <f t="shared" ca="1" si="177"/>
        <v>129</v>
      </c>
      <c r="AN835" s="22">
        <v>45380</v>
      </c>
      <c r="AO835" s="26">
        <f t="shared" ca="1" si="144"/>
        <v>0.23482277108853533</v>
      </c>
      <c r="AP835" s="29">
        <f t="shared" ca="1" si="178"/>
        <v>119</v>
      </c>
      <c r="AR835" s="22">
        <v>45380</v>
      </c>
      <c r="AS835" s="26">
        <f t="shared" ca="1" si="145"/>
        <v>0.52494385247815556</v>
      </c>
      <c r="AT835" s="29">
        <f t="shared" ca="1" si="179"/>
        <v>221</v>
      </c>
      <c r="AV835" s="22">
        <v>45380</v>
      </c>
      <c r="AW835" s="26">
        <f t="shared" ca="1" si="146"/>
        <v>0.50812038355687494</v>
      </c>
      <c r="AX835" s="29">
        <f t="shared" ca="1" si="180"/>
        <v>193</v>
      </c>
      <c r="AZ835" s="22">
        <v>45380</v>
      </c>
      <c r="BA835" s="26">
        <f t="shared" ca="1" si="147"/>
        <v>0.55369739640216209</v>
      </c>
      <c r="BB835" s="29">
        <f t="shared" ca="1" si="181"/>
        <v>187</v>
      </c>
      <c r="BC835"/>
      <c r="BD835" s="25"/>
      <c r="BF835" s="22">
        <v>45380</v>
      </c>
      <c r="BG835" s="26">
        <f t="shared" ca="1" si="148"/>
        <v>0.25030695675761827</v>
      </c>
      <c r="BH835" s="29">
        <f t="shared" ca="1" si="182"/>
        <v>131</v>
      </c>
      <c r="BJ835" s="22">
        <v>45380</v>
      </c>
      <c r="BK835" s="26">
        <f t="shared" ca="1" si="149"/>
        <v>0.74069451809991382</v>
      </c>
      <c r="BL835" s="29">
        <f t="shared" ca="1" si="183"/>
        <v>193</v>
      </c>
      <c r="BN835" s="22">
        <v>45380</v>
      </c>
      <c r="BO835" s="26">
        <f t="shared" ca="1" si="150"/>
        <v>0.51157367576087653</v>
      </c>
      <c r="BP835" s="29">
        <f t="shared" ca="1" si="184"/>
        <v>132</v>
      </c>
      <c r="BR835" s="22">
        <v>45380</v>
      </c>
      <c r="BS835" s="26">
        <f t="shared" ca="1" si="151"/>
        <v>0.85256943636187266</v>
      </c>
      <c r="BT835" s="29">
        <f t="shared" ca="1" si="185"/>
        <v>223</v>
      </c>
      <c r="BV835" s="22">
        <v>45380</v>
      </c>
      <c r="BW835" s="26">
        <f t="shared" ca="1" si="152"/>
        <v>0.53701156353520407</v>
      </c>
      <c r="BX835" s="29">
        <v>0</v>
      </c>
    </row>
    <row r="836" spans="2:77" ht="12.75" x14ac:dyDescent="0.2">
      <c r="B836" s="22">
        <v>45381</v>
      </c>
      <c r="C836" s="26">
        <f t="shared" ca="1" si="135"/>
        <v>0.17641867059765037</v>
      </c>
      <c r="D836" s="29">
        <f t="shared" ca="1" si="169"/>
        <v>57</v>
      </c>
      <c r="F836" s="22"/>
      <c r="G836" s="26">
        <f t="shared" ca="1" si="136"/>
        <v>0.92844161346227105</v>
      </c>
      <c r="H836" s="29">
        <f t="shared" ca="1" si="170"/>
        <v>237</v>
      </c>
      <c r="J836" s="22">
        <v>45381</v>
      </c>
      <c r="K836" s="26">
        <f t="shared" ca="1" si="137"/>
        <v>6.2294814727366865E-2</v>
      </c>
      <c r="L836" s="29">
        <f t="shared" ca="1" si="171"/>
        <v>135</v>
      </c>
      <c r="N836" s="22">
        <v>45381</v>
      </c>
      <c r="O836" s="26">
        <f t="shared" ca="1" si="138"/>
        <v>0.2692146918454863</v>
      </c>
      <c r="P836" s="29">
        <f t="shared" ca="1" si="172"/>
        <v>220</v>
      </c>
      <c r="R836" s="22">
        <v>45381</v>
      </c>
      <c r="S836" s="26">
        <f t="shared" ca="1" si="139"/>
        <v>0.73216525552027822</v>
      </c>
      <c r="T836" s="29">
        <f t="shared" ca="1" si="173"/>
        <v>145</v>
      </c>
      <c r="V836" s="22">
        <v>45381</v>
      </c>
      <c r="W836" s="26">
        <f t="shared" ca="1" si="140"/>
        <v>0.71102016010557878</v>
      </c>
      <c r="X836" s="29">
        <f t="shared" ca="1" si="174"/>
        <v>234</v>
      </c>
      <c r="Z836" s="22">
        <v>45381</v>
      </c>
      <c r="AA836" s="26">
        <f t="shared" ca="1" si="141"/>
        <v>4.5642737309870007E-3</v>
      </c>
      <c r="AB836" s="29">
        <f t="shared" ca="1" si="175"/>
        <v>224</v>
      </c>
      <c r="AC836"/>
      <c r="AD836" s="25"/>
      <c r="AF836" s="22">
        <v>45381</v>
      </c>
      <c r="AG836" s="26">
        <f t="shared" ca="1" si="142"/>
        <v>0.63251388326065983</v>
      </c>
      <c r="AH836" s="29">
        <f t="shared" ca="1" si="176"/>
        <v>357</v>
      </c>
      <c r="AJ836" s="22">
        <v>45381</v>
      </c>
      <c r="AK836" s="26">
        <f t="shared" ca="1" si="143"/>
        <v>0.55761929130035415</v>
      </c>
      <c r="AL836" s="29">
        <f t="shared" ca="1" si="177"/>
        <v>187</v>
      </c>
      <c r="AN836" s="22">
        <v>45381</v>
      </c>
      <c r="AO836" s="26">
        <f t="shared" ca="1" si="144"/>
        <v>0.26447246813235659</v>
      </c>
      <c r="AP836" s="29">
        <f t="shared" ca="1" si="178"/>
        <v>123</v>
      </c>
      <c r="AR836" s="22">
        <v>45381</v>
      </c>
      <c r="AS836" s="26">
        <f t="shared" ca="1" si="145"/>
        <v>0.33559902520908957</v>
      </c>
      <c r="AT836" s="29">
        <f t="shared" ca="1" si="179"/>
        <v>193</v>
      </c>
      <c r="AV836" s="22">
        <v>45381</v>
      </c>
      <c r="AW836" s="26">
        <f t="shared" ca="1" si="146"/>
        <v>0.96742675877671547</v>
      </c>
      <c r="AX836" s="29">
        <f t="shared" ca="1" si="180"/>
        <v>286</v>
      </c>
      <c r="AZ836" s="22">
        <v>45381</v>
      </c>
      <c r="BA836" s="26">
        <f t="shared" ca="1" si="147"/>
        <v>0.12803376451976778</v>
      </c>
      <c r="BB836" s="29">
        <f t="shared" ca="1" si="181"/>
        <v>126</v>
      </c>
      <c r="BC836"/>
      <c r="BD836" s="25"/>
      <c r="BF836" s="22">
        <v>45381</v>
      </c>
      <c r="BG836" s="26">
        <f t="shared" ca="1" si="148"/>
        <v>0.14635818542067458</v>
      </c>
      <c r="BH836" s="29">
        <f t="shared" ca="1" si="182"/>
        <v>115</v>
      </c>
      <c r="BJ836" s="22">
        <v>45381</v>
      </c>
      <c r="BK836" s="26">
        <f t="shared" ca="1" si="149"/>
        <v>0.61618848502946211</v>
      </c>
      <c r="BL836" s="29">
        <f t="shared" ca="1" si="183"/>
        <v>178</v>
      </c>
      <c r="BN836" s="22">
        <v>45381</v>
      </c>
      <c r="BO836" s="26">
        <f t="shared" ca="1" si="150"/>
        <v>0.77803701369386424</v>
      </c>
      <c r="BP836" s="29">
        <f t="shared" ca="1" si="184"/>
        <v>158</v>
      </c>
      <c r="BR836" s="22">
        <v>45381</v>
      </c>
      <c r="BS836" s="26">
        <f t="shared" ca="1" si="151"/>
        <v>0.75474647301182729</v>
      </c>
      <c r="BT836" s="29">
        <f t="shared" ca="1" si="185"/>
        <v>206</v>
      </c>
      <c r="BV836" s="22">
        <v>45381</v>
      </c>
      <c r="BW836" s="26">
        <f t="shared" ca="1" si="152"/>
        <v>0.28968192462616671</v>
      </c>
      <c r="BX836" s="29">
        <v>0</v>
      </c>
    </row>
    <row r="837" spans="2:77" ht="12.75" x14ac:dyDescent="0.2">
      <c r="B837" s="22">
        <v>45382</v>
      </c>
      <c r="C837" s="26">
        <f t="shared" ca="1" si="135"/>
        <v>0.19581568154853202</v>
      </c>
      <c r="D837" s="29">
        <f t="shared" ca="1" si="169"/>
        <v>58</v>
      </c>
      <c r="E837">
        <v>2212</v>
      </c>
      <c r="F837" s="22"/>
      <c r="G837" s="26">
        <f t="shared" ca="1" si="136"/>
        <v>0.66451406860434747</v>
      </c>
      <c r="H837" s="29">
        <f t="shared" ca="1" si="170"/>
        <v>222</v>
      </c>
      <c r="I837">
        <v>2371</v>
      </c>
      <c r="J837" s="22">
        <v>45382</v>
      </c>
      <c r="K837" s="26">
        <f t="shared" ca="1" si="137"/>
        <v>0.89758783556934862</v>
      </c>
      <c r="L837" s="29">
        <f t="shared" ca="1" si="171"/>
        <v>163</v>
      </c>
      <c r="M837">
        <v>4585</v>
      </c>
      <c r="N837" s="22">
        <v>45382</v>
      </c>
      <c r="O837" s="26">
        <f t="shared" ca="1" si="138"/>
        <v>0.58701311826251312</v>
      </c>
      <c r="P837" s="29">
        <f t="shared" ca="1" si="172"/>
        <v>233</v>
      </c>
      <c r="Q837">
        <v>7170</v>
      </c>
      <c r="R837" s="22">
        <v>45382</v>
      </c>
      <c r="S837" s="26">
        <f t="shared" ca="1" si="139"/>
        <v>0.22455437990212435</v>
      </c>
      <c r="T837" s="29">
        <f t="shared" ca="1" si="173"/>
        <v>132</v>
      </c>
      <c r="U837">
        <v>4337</v>
      </c>
      <c r="V837" s="22">
        <v>45382</v>
      </c>
      <c r="W837" s="26">
        <f t="shared" ca="1" si="140"/>
        <v>7.6287419933325773E-2</v>
      </c>
      <c r="X837" s="29">
        <f t="shared" ca="1" si="174"/>
        <v>204</v>
      </c>
      <c r="Y837">
        <v>6977</v>
      </c>
      <c r="Z837" s="22">
        <v>45382</v>
      </c>
      <c r="AA837" s="26">
        <f t="shared" ca="1" si="141"/>
        <v>0.28156828227051212</v>
      </c>
      <c r="AB837" s="29">
        <f t="shared" ca="1" si="175"/>
        <v>260</v>
      </c>
      <c r="AC837">
        <v>8418</v>
      </c>
      <c r="AD837" s="25"/>
      <c r="AF837" s="22">
        <v>45382</v>
      </c>
      <c r="AG837" s="26">
        <f t="shared" ca="1" si="142"/>
        <v>0.73838371904578859</v>
      </c>
      <c r="AH837" s="29">
        <f t="shared" ca="1" si="176"/>
        <v>383</v>
      </c>
      <c r="AI837">
        <v>9657</v>
      </c>
      <c r="AJ837" s="22">
        <v>45382</v>
      </c>
      <c r="AK837" s="26">
        <f t="shared" ca="1" si="143"/>
        <v>0.73430744077926247</v>
      </c>
      <c r="AL837" s="29">
        <f t="shared" ca="1" si="177"/>
        <v>210</v>
      </c>
      <c r="AM837">
        <v>5846</v>
      </c>
      <c r="AN837" s="22">
        <v>45382</v>
      </c>
      <c r="AO837" s="26">
        <f t="shared" ca="1" si="144"/>
        <v>0.67056248804762575</v>
      </c>
      <c r="AP837" s="29">
        <f t="shared" ca="1" si="178"/>
        <v>165</v>
      </c>
      <c r="AQ837">
        <v>4678</v>
      </c>
      <c r="AR837" s="22">
        <v>45382</v>
      </c>
      <c r="AS837" s="26">
        <f t="shared" ca="1" si="145"/>
        <v>0.60977677249479956</v>
      </c>
      <c r="AT837" s="29">
        <f t="shared" ca="1" si="179"/>
        <v>233</v>
      </c>
      <c r="AU837">
        <v>6720</v>
      </c>
      <c r="AV837" s="22">
        <v>45382</v>
      </c>
      <c r="AW837" s="26">
        <f t="shared" ca="1" si="146"/>
        <v>0.2923792057761857</v>
      </c>
      <c r="AX837" s="29">
        <f t="shared" ca="1" si="180"/>
        <v>164</v>
      </c>
      <c r="AY837">
        <v>5338</v>
      </c>
      <c r="AZ837" s="22">
        <v>45382</v>
      </c>
      <c r="BA837" s="26">
        <f t="shared" ca="1" si="147"/>
        <v>0.72140278345736708</v>
      </c>
      <c r="BB837" s="29">
        <f t="shared" ca="1" si="181"/>
        <v>209</v>
      </c>
      <c r="BC837">
        <v>5855</v>
      </c>
      <c r="BD837" s="25"/>
      <c r="BF837" s="22">
        <v>45382</v>
      </c>
      <c r="BG837" s="26">
        <f t="shared" ca="1" si="148"/>
        <v>0.62592030127747111</v>
      </c>
      <c r="BH837" s="29">
        <f t="shared" ca="1" si="182"/>
        <v>174</v>
      </c>
      <c r="BI837">
        <v>5212</v>
      </c>
      <c r="BJ837" s="22">
        <v>45382</v>
      </c>
      <c r="BK837" s="26">
        <f t="shared" ca="1" si="149"/>
        <v>3.9837709620036965E-2</v>
      </c>
      <c r="BL837" s="29">
        <f t="shared" ca="1" si="183"/>
        <v>88</v>
      </c>
      <c r="BM837">
        <v>5086</v>
      </c>
      <c r="BN837" s="22">
        <v>45382</v>
      </c>
      <c r="BO837" s="26">
        <f t="shared" ca="1" si="150"/>
        <v>5.9582501230000973E-2</v>
      </c>
      <c r="BP837" s="29">
        <f t="shared" ca="1" si="184"/>
        <v>77</v>
      </c>
      <c r="BQ837">
        <v>4314</v>
      </c>
      <c r="BR837" s="22">
        <v>45382</v>
      </c>
      <c r="BS837" s="26">
        <f t="shared" ca="1" si="151"/>
        <v>4.3600334214870196E-2</v>
      </c>
      <c r="BT837" s="29">
        <f t="shared" ca="1" si="185"/>
        <v>95</v>
      </c>
      <c r="BU837">
        <v>5345</v>
      </c>
      <c r="BV837" s="22">
        <v>45382</v>
      </c>
      <c r="BW837" s="26">
        <f t="shared" ca="1" si="152"/>
        <v>0.87636045458424328</v>
      </c>
      <c r="BX837" s="29">
        <v>0</v>
      </c>
      <c r="BY837">
        <v>0</v>
      </c>
    </row>
    <row r="838" spans="2:77" ht="12.75" x14ac:dyDescent="0.2">
      <c r="B838" s="22">
        <v>45383</v>
      </c>
      <c r="C838" s="26">
        <f t="shared" ca="1" si="135"/>
        <v>0.52508785743906727</v>
      </c>
      <c r="D838" s="29">
        <f ca="1">ROUNDUP(_xlfn.NORM.INV(C837,C$10,C$12),0)</f>
        <v>58</v>
      </c>
      <c r="F838" s="22"/>
      <c r="G838" s="26">
        <f t="shared" ca="1" si="136"/>
        <v>0.32697799359189017</v>
      </c>
      <c r="H838" s="29">
        <f ca="1">ROUNDUP(_xlfn.NORM.INV(G837,G$10,G$12),0)</f>
        <v>222</v>
      </c>
      <c r="J838" s="22">
        <v>45383</v>
      </c>
      <c r="K838" s="26">
        <f t="shared" ca="1" si="137"/>
        <v>0.4876448344960107</v>
      </c>
      <c r="L838" s="29">
        <f ca="1">ROUNDUP(_xlfn.NORM.INV(K837,K$10,K$12),0)</f>
        <v>163</v>
      </c>
      <c r="N838" s="22">
        <v>45383</v>
      </c>
      <c r="O838" s="26">
        <f t="shared" ca="1" si="138"/>
        <v>0.99648352909446902</v>
      </c>
      <c r="P838" s="29">
        <f ca="1">ROUNDUP(_xlfn.NORM.INV(O837,O$10,O$12),0)</f>
        <v>233</v>
      </c>
      <c r="R838" s="22">
        <v>45383</v>
      </c>
      <c r="S838" s="26">
        <f t="shared" ca="1" si="139"/>
        <v>0.76992051471973966</v>
      </c>
      <c r="T838" s="29">
        <f ca="1">ROUNDUP(_xlfn.NORM.INV(S837,S$10,S$12),0)</f>
        <v>132</v>
      </c>
      <c r="V838" s="22">
        <v>45383</v>
      </c>
      <c r="W838" s="26">
        <f t="shared" ca="1" si="140"/>
        <v>0.19560386610933023</v>
      </c>
      <c r="X838" s="29">
        <f ca="1">ROUNDUP(_xlfn.NORM.INV(W837,W$10,W$12),0)</f>
        <v>204</v>
      </c>
      <c r="Z838" s="22">
        <v>45383</v>
      </c>
      <c r="AA838" s="26">
        <f t="shared" ca="1" si="141"/>
        <v>0.72999369471462505</v>
      </c>
      <c r="AB838" s="29">
        <f ca="1">ROUNDUP(_xlfn.NORM.INV(AA837,AA$10,AA$12),0)</f>
        <v>260</v>
      </c>
      <c r="AC838"/>
      <c r="AD838" s="25"/>
      <c r="AF838" s="22">
        <v>45383</v>
      </c>
      <c r="AG838" s="26">
        <f t="shared" ca="1" si="142"/>
        <v>0.12601040288102738</v>
      </c>
      <c r="AH838" s="29">
        <f ca="1">ROUNDUP(_xlfn.NORM.INV(AG837,AG$10,AG$12),0)</f>
        <v>383</v>
      </c>
      <c r="AJ838" s="22">
        <v>45383</v>
      </c>
      <c r="AK838" s="26">
        <f t="shared" ca="1" si="143"/>
        <v>0.64455661228139749</v>
      </c>
      <c r="AL838" s="29">
        <f ca="1">ROUNDUP(_xlfn.NORM.INV(AK837,AK$10,AK$12),0)</f>
        <v>210</v>
      </c>
      <c r="AN838" s="22">
        <v>45383</v>
      </c>
      <c r="AO838" s="26">
        <f t="shared" ca="1" si="144"/>
        <v>0.67112758662422034</v>
      </c>
      <c r="AP838" s="29">
        <f ca="1">ROUNDUP(_xlfn.NORM.INV(AO837,AO$10,AO$12),0)</f>
        <v>165</v>
      </c>
      <c r="AR838" s="22">
        <v>45383</v>
      </c>
      <c r="AS838" s="26">
        <f t="shared" ca="1" si="145"/>
        <v>0.23867415109670986</v>
      </c>
      <c r="AT838" s="29">
        <f ca="1">ROUNDUP(_xlfn.NORM.INV(AS837,AS$10,AS$12),0)</f>
        <v>233</v>
      </c>
      <c r="AV838" s="22">
        <v>45383</v>
      </c>
      <c r="AW838" s="26">
        <f t="shared" ca="1" si="146"/>
        <v>4.4801005267776417E-2</v>
      </c>
      <c r="AX838" s="29">
        <f ca="1">ROUNDUP(_xlfn.NORM.INV(AW837,AW$10,AW$12),0)</f>
        <v>164</v>
      </c>
      <c r="AZ838" s="22">
        <v>45383</v>
      </c>
      <c r="BA838" s="26">
        <f t="shared" ca="1" si="147"/>
        <v>0.83283237818962619</v>
      </c>
      <c r="BB838" s="29">
        <f ca="1">ROUNDUP(_xlfn.NORM.INV(BA837,BA$10,BA$12),0)</f>
        <v>209</v>
      </c>
      <c r="BC838"/>
      <c r="BD838" s="25"/>
      <c r="BF838" s="22">
        <v>45383</v>
      </c>
      <c r="BG838" s="26">
        <f t="shared" ca="1" si="148"/>
        <v>0.65116860194657955</v>
      </c>
      <c r="BH838" s="29">
        <f ca="1">ROUNDUP(_xlfn.NORM.INV(BG837,BG$10,BG$12),0)</f>
        <v>174</v>
      </c>
      <c r="BJ838" s="22">
        <v>45383</v>
      </c>
      <c r="BK838" s="26">
        <f t="shared" ca="1" si="149"/>
        <v>0.69592652283310308</v>
      </c>
      <c r="BL838" s="29">
        <f ca="1">ROUNDUP(_xlfn.NORM.INV(BK837,BK$10,BK$12),0)</f>
        <v>88</v>
      </c>
      <c r="BN838" s="22">
        <v>45383</v>
      </c>
      <c r="BO838" s="26">
        <f t="shared" ca="1" si="150"/>
        <v>0.61018516992429594</v>
      </c>
      <c r="BP838" s="29">
        <f ca="1">ROUNDUP(_xlfn.NORM.INV(BO837,BO$10,BO$12),0)</f>
        <v>77</v>
      </c>
      <c r="BR838" s="22">
        <v>45383</v>
      </c>
      <c r="BS838" s="26">
        <f t="shared" ca="1" si="151"/>
        <v>0.644716568317522</v>
      </c>
      <c r="BT838" s="29">
        <f ca="1">ROUNDUP(_xlfn.NORM.INV(BS837,BS$10,BS$12),0)</f>
        <v>95</v>
      </c>
      <c r="BV838" s="22">
        <v>45383</v>
      </c>
      <c r="BW838" s="26">
        <f t="shared" ca="1" si="152"/>
        <v>0.85747543486075828</v>
      </c>
      <c r="BX838" s="29">
        <v>0</v>
      </c>
    </row>
    <row r="839" spans="2:77" ht="12.75" x14ac:dyDescent="0.2">
      <c r="B839" s="22">
        <v>45384</v>
      </c>
      <c r="C839" s="26">
        <f t="shared" ca="1" si="135"/>
        <v>0.78624136923129828</v>
      </c>
      <c r="D839" s="29">
        <f t="shared" ca="1" si="169"/>
        <v>91</v>
      </c>
      <c r="F839" s="22"/>
      <c r="G839" s="26">
        <f t="shared" ca="1" si="136"/>
        <v>0.42186217687178462</v>
      </c>
      <c r="H839" s="29">
        <f t="shared" ca="1" si="170"/>
        <v>213</v>
      </c>
      <c r="J839" s="22">
        <v>45384</v>
      </c>
      <c r="K839" s="26">
        <f t="shared" ca="1" si="137"/>
        <v>0.61519316421635484</v>
      </c>
      <c r="L839" s="29">
        <f t="shared" ca="1" si="171"/>
        <v>153</v>
      </c>
      <c r="N839" s="22">
        <v>45384</v>
      </c>
      <c r="O839" s="26">
        <f t="shared" ca="1" si="138"/>
        <v>0.53737417537890342</v>
      </c>
      <c r="P839" s="29">
        <f t="shared" ca="1" si="172"/>
        <v>231</v>
      </c>
      <c r="R839" s="22">
        <v>45384</v>
      </c>
      <c r="S839" s="26">
        <f t="shared" ca="1" si="139"/>
        <v>0.61668153759974942</v>
      </c>
      <c r="T839" s="29">
        <f t="shared" ca="1" si="173"/>
        <v>142</v>
      </c>
      <c r="V839" s="22">
        <v>45384</v>
      </c>
      <c r="W839" s="26">
        <f t="shared" ca="1" si="140"/>
        <v>0.9735891639336216</v>
      </c>
      <c r="X839" s="29">
        <f t="shared" ca="1" si="174"/>
        <v>255</v>
      </c>
      <c r="Z839" s="22">
        <v>45384</v>
      </c>
      <c r="AA839" s="26">
        <f t="shared" ca="1" si="141"/>
        <v>0.42201501934012386</v>
      </c>
      <c r="AB839" s="29">
        <f t="shared" ca="1" si="175"/>
        <v>267</v>
      </c>
      <c r="AC839"/>
      <c r="AD839" s="25"/>
      <c r="AF839" s="22">
        <v>45384</v>
      </c>
      <c r="AG839" s="26">
        <f t="shared" ca="1" si="142"/>
        <v>0.19464834020601707</v>
      </c>
      <c r="AH839" s="29">
        <f t="shared" ca="1" si="176"/>
        <v>252</v>
      </c>
      <c r="AJ839" s="22">
        <v>45384</v>
      </c>
      <c r="AK839" s="26">
        <f t="shared" ca="1" si="143"/>
        <v>0.88116576850851713</v>
      </c>
      <c r="AL839" s="29">
        <f t="shared" ca="1" si="177"/>
        <v>237</v>
      </c>
      <c r="AN839" s="22">
        <v>45384</v>
      </c>
      <c r="AO839" s="26">
        <f t="shared" ca="1" si="144"/>
        <v>8.7457349696403952E-2</v>
      </c>
      <c r="AP839" s="29">
        <f t="shared" ca="1" si="178"/>
        <v>94</v>
      </c>
      <c r="AR839" s="22">
        <v>45384</v>
      </c>
      <c r="AS839" s="26">
        <f t="shared" ca="1" si="145"/>
        <v>0.3006770814737898</v>
      </c>
      <c r="AT839" s="29">
        <f t="shared" ca="1" si="179"/>
        <v>187</v>
      </c>
      <c r="AV839" s="22">
        <v>45384</v>
      </c>
      <c r="AW839" s="26">
        <f t="shared" ca="1" si="146"/>
        <v>0.59265857770659969</v>
      </c>
      <c r="AX839" s="29">
        <f t="shared" ca="1" si="180"/>
        <v>204</v>
      </c>
      <c r="AZ839" s="22">
        <v>45384</v>
      </c>
      <c r="BA839" s="26">
        <f t="shared" ca="1" si="147"/>
        <v>0.92436890934837557</v>
      </c>
      <c r="BB839" s="29">
        <f t="shared" ca="1" si="181"/>
        <v>249</v>
      </c>
      <c r="BC839"/>
      <c r="BD839" s="25"/>
      <c r="BF839" s="22">
        <v>45384</v>
      </c>
      <c r="BG839" s="26">
        <f t="shared" ca="1" si="148"/>
        <v>0.44474490522568189</v>
      </c>
      <c r="BH839" s="29">
        <f t="shared" ca="1" si="182"/>
        <v>154</v>
      </c>
      <c r="BJ839" s="22">
        <v>45384</v>
      </c>
      <c r="BK839" s="26">
        <f t="shared" ca="1" si="149"/>
        <v>0.68157622289401354</v>
      </c>
      <c r="BL839" s="29">
        <f t="shared" ca="1" si="183"/>
        <v>186</v>
      </c>
      <c r="BN839" s="22">
        <v>45384</v>
      </c>
      <c r="BO839" s="26">
        <f t="shared" ca="1" si="150"/>
        <v>9.5965363914131352E-2</v>
      </c>
      <c r="BP839" s="29">
        <f t="shared" ca="1" si="184"/>
        <v>86</v>
      </c>
      <c r="BR839" s="22">
        <v>45384</v>
      </c>
      <c r="BS839" s="26">
        <f t="shared" ca="1" si="151"/>
        <v>0.12870641918675485</v>
      </c>
      <c r="BT839" s="29">
        <f t="shared" ca="1" si="185"/>
        <v>122</v>
      </c>
      <c r="BV839" s="22">
        <v>45384</v>
      </c>
      <c r="BW839" s="26">
        <f t="shared" ca="1" si="152"/>
        <v>0.98823794361785133</v>
      </c>
      <c r="BX839" s="29">
        <f t="shared" ref="BX839:BX845" ca="1" si="186">ROUNDUP(_xlfn.NORM.INV(BW839,BW$10,BW$12),0)</f>
        <v>295</v>
      </c>
    </row>
    <row r="840" spans="2:77" ht="12.75" x14ac:dyDescent="0.2">
      <c r="B840" s="22">
        <v>45385</v>
      </c>
      <c r="C840" s="26">
        <f t="shared" ca="1" si="135"/>
        <v>0.34172323967682683</v>
      </c>
      <c r="D840" s="29">
        <f t="shared" ca="1" si="169"/>
        <v>67</v>
      </c>
      <c r="F840" s="22"/>
      <c r="G840" s="26">
        <f t="shared" ca="1" si="136"/>
        <v>0.64430215815374303</v>
      </c>
      <c r="H840" s="29">
        <f t="shared" ca="1" si="170"/>
        <v>221</v>
      </c>
      <c r="J840" s="22">
        <v>45385</v>
      </c>
      <c r="K840" s="26">
        <f t="shared" ca="1" si="137"/>
        <v>0.20694519546821699</v>
      </c>
      <c r="L840" s="29">
        <f t="shared" ca="1" si="171"/>
        <v>142</v>
      </c>
      <c r="N840" s="22">
        <v>45385</v>
      </c>
      <c r="O840" s="26">
        <f t="shared" ca="1" si="138"/>
        <v>0.29818846608312854</v>
      </c>
      <c r="P840" s="29">
        <f t="shared" ca="1" si="172"/>
        <v>222</v>
      </c>
      <c r="R840" s="22">
        <v>45385</v>
      </c>
      <c r="S840" s="26">
        <f t="shared" ca="1" si="139"/>
        <v>0.80984503217711801</v>
      </c>
      <c r="T840" s="29">
        <f t="shared" ca="1" si="173"/>
        <v>147</v>
      </c>
      <c r="V840" s="22">
        <v>45385</v>
      </c>
      <c r="W840" s="26">
        <f t="shared" ca="1" si="140"/>
        <v>0.46857924997519951</v>
      </c>
      <c r="X840" s="29">
        <f t="shared" ca="1" si="174"/>
        <v>224</v>
      </c>
      <c r="Z840" s="22">
        <v>45385</v>
      </c>
      <c r="AA840" s="26">
        <f t="shared" ca="1" si="141"/>
        <v>0.98284344696533466</v>
      </c>
      <c r="AB840" s="29">
        <f t="shared" ca="1" si="175"/>
        <v>309</v>
      </c>
      <c r="AC840"/>
      <c r="AD840" s="25"/>
      <c r="AF840" s="22">
        <v>45385</v>
      </c>
      <c r="AG840" s="26">
        <f t="shared" ca="1" si="142"/>
        <v>0.97496192661513559</v>
      </c>
      <c r="AH840" s="29">
        <f t="shared" ca="1" si="176"/>
        <v>498</v>
      </c>
      <c r="AJ840" s="22">
        <v>45385</v>
      </c>
      <c r="AK840" s="26">
        <f t="shared" ca="1" si="143"/>
        <v>0.61656118906369639</v>
      </c>
      <c r="AL840" s="29">
        <f t="shared" ca="1" si="177"/>
        <v>195</v>
      </c>
      <c r="AN840" s="22">
        <v>45385</v>
      </c>
      <c r="AO840" s="26">
        <f t="shared" ca="1" si="144"/>
        <v>0.23692697279757058</v>
      </c>
      <c r="AP840" s="29">
        <f t="shared" ca="1" si="178"/>
        <v>120</v>
      </c>
      <c r="AR840" s="22">
        <v>45385</v>
      </c>
      <c r="AS840" s="26">
        <f t="shared" ca="1" si="145"/>
        <v>0.35911151472373071</v>
      </c>
      <c r="AT840" s="29">
        <f t="shared" ca="1" si="179"/>
        <v>196</v>
      </c>
      <c r="AV840" s="22">
        <v>45385</v>
      </c>
      <c r="AW840" s="26">
        <f t="shared" ca="1" si="146"/>
        <v>6.2988981922489584E-2</v>
      </c>
      <c r="AX840" s="29">
        <f t="shared" ca="1" si="180"/>
        <v>114</v>
      </c>
      <c r="AZ840" s="22">
        <v>45385</v>
      </c>
      <c r="BA840" s="26">
        <f t="shared" ca="1" si="147"/>
        <v>0.29134568144685924</v>
      </c>
      <c r="BB840" s="29">
        <f t="shared" ca="1" si="181"/>
        <v>154</v>
      </c>
      <c r="BC840"/>
      <c r="BD840" s="25"/>
      <c r="BF840" s="22">
        <v>45385</v>
      </c>
      <c r="BG840" s="26">
        <f t="shared" ca="1" si="148"/>
        <v>6.5682222626745057E-2</v>
      </c>
      <c r="BH840" s="29">
        <f t="shared" ca="1" si="182"/>
        <v>96</v>
      </c>
      <c r="BJ840" s="22">
        <v>45385</v>
      </c>
      <c r="BK840" s="26">
        <f t="shared" ca="1" si="149"/>
        <v>0.99385274107191868</v>
      </c>
      <c r="BL840" s="29">
        <f t="shared" ca="1" si="183"/>
        <v>275</v>
      </c>
      <c r="BN840" s="22">
        <v>45385</v>
      </c>
      <c r="BO840" s="26">
        <f t="shared" ca="1" si="150"/>
        <v>0.8497965586580607</v>
      </c>
      <c r="BP840" s="29">
        <f t="shared" ca="1" si="184"/>
        <v>168</v>
      </c>
      <c r="BR840" s="22">
        <v>45385</v>
      </c>
      <c r="BS840" s="26">
        <f t="shared" ca="1" si="151"/>
        <v>0.30551118560374335</v>
      </c>
      <c r="BT840" s="29">
        <f t="shared" ca="1" si="185"/>
        <v>151</v>
      </c>
      <c r="BV840" s="22">
        <v>45385</v>
      </c>
      <c r="BW840" s="26">
        <f t="shared" ca="1" si="152"/>
        <v>0.46994703891958478</v>
      </c>
      <c r="BX840" s="29">
        <f t="shared" ca="1" si="186"/>
        <v>180</v>
      </c>
    </row>
    <row r="841" spans="2:77" ht="12.75" x14ac:dyDescent="0.2">
      <c r="B841" s="22">
        <v>45386</v>
      </c>
      <c r="C841" s="26">
        <f t="shared" ca="1" si="135"/>
        <v>0.90551042154843553</v>
      </c>
      <c r="D841" s="29">
        <f t="shared" ca="1" si="169"/>
        <v>102</v>
      </c>
      <c r="F841" s="22"/>
      <c r="G841" s="26">
        <f t="shared" ca="1" si="136"/>
        <v>0.57589484923216738</v>
      </c>
      <c r="H841" s="29">
        <f t="shared" ca="1" si="170"/>
        <v>219</v>
      </c>
      <c r="J841" s="22">
        <v>45386</v>
      </c>
      <c r="K841" s="26">
        <f t="shared" ca="1" si="137"/>
        <v>0.58054323815060815</v>
      </c>
      <c r="L841" s="29">
        <f t="shared" ca="1" si="171"/>
        <v>153</v>
      </c>
      <c r="N841" s="22">
        <v>45386</v>
      </c>
      <c r="O841" s="26">
        <f t="shared" ca="1" si="138"/>
        <v>0.48649596708340703</v>
      </c>
      <c r="P841" s="29">
        <f t="shared" ca="1" si="172"/>
        <v>229</v>
      </c>
      <c r="R841" s="22">
        <v>45386</v>
      </c>
      <c r="S841" s="26">
        <f t="shared" ca="1" si="139"/>
        <v>0.27737083025775056</v>
      </c>
      <c r="T841" s="29">
        <f t="shared" ca="1" si="173"/>
        <v>134</v>
      </c>
      <c r="V841" s="22">
        <v>45386</v>
      </c>
      <c r="W841" s="26">
        <f t="shared" ca="1" si="140"/>
        <v>0.17572034877072695</v>
      </c>
      <c r="X841" s="29">
        <f t="shared" ca="1" si="174"/>
        <v>212</v>
      </c>
      <c r="Z841" s="22">
        <v>45386</v>
      </c>
      <c r="AA841" s="26">
        <f t="shared" ca="1" si="141"/>
        <v>0.3893529987768467</v>
      </c>
      <c r="AB841" s="29">
        <f t="shared" ca="1" si="175"/>
        <v>265</v>
      </c>
      <c r="AC841"/>
      <c r="AD841" s="25"/>
      <c r="AF841" s="22">
        <v>45386</v>
      </c>
      <c r="AG841" s="26">
        <f t="shared" ca="1" si="142"/>
        <v>0.31411203890446637</v>
      </c>
      <c r="AH841" s="29">
        <f t="shared" ca="1" si="176"/>
        <v>285</v>
      </c>
      <c r="AJ841" s="22">
        <v>45386</v>
      </c>
      <c r="AK841" s="26">
        <f t="shared" ca="1" si="143"/>
        <v>0.90457762440172873</v>
      </c>
      <c r="AL841" s="29">
        <f t="shared" ca="1" si="177"/>
        <v>243</v>
      </c>
      <c r="AN841" s="22">
        <v>45386</v>
      </c>
      <c r="AO841" s="26">
        <f t="shared" ca="1" si="144"/>
        <v>0.20134551499362308</v>
      </c>
      <c r="AP841" s="29">
        <f t="shared" ca="1" si="178"/>
        <v>115</v>
      </c>
      <c r="AR841" s="22">
        <v>45386</v>
      </c>
      <c r="AS841" s="26">
        <f t="shared" ca="1" si="145"/>
        <v>0.2890539852159234</v>
      </c>
      <c r="AT841" s="29">
        <f t="shared" ca="1" si="179"/>
        <v>185</v>
      </c>
      <c r="AV841" s="22">
        <v>45386</v>
      </c>
      <c r="AW841" s="26">
        <f t="shared" ca="1" si="146"/>
        <v>0.74975258387742749</v>
      </c>
      <c r="AX841" s="29">
        <f t="shared" ca="1" si="180"/>
        <v>227</v>
      </c>
      <c r="AZ841" s="22">
        <v>45386</v>
      </c>
      <c r="BA841" s="26">
        <f t="shared" ca="1" si="147"/>
        <v>5.2086060491435271E-2</v>
      </c>
      <c r="BB841" s="29">
        <f t="shared" ca="1" si="181"/>
        <v>102</v>
      </c>
      <c r="BC841"/>
      <c r="BD841" s="25"/>
      <c r="BF841" s="22">
        <v>45386</v>
      </c>
      <c r="BG841" s="26">
        <f t="shared" ca="1" si="148"/>
        <v>0.23996987309465279</v>
      </c>
      <c r="BH841" s="29">
        <f t="shared" ca="1" si="182"/>
        <v>130</v>
      </c>
      <c r="BJ841" s="22">
        <v>45386</v>
      </c>
      <c r="BK841" s="26">
        <f t="shared" ca="1" si="149"/>
        <v>0.74259612515241147</v>
      </c>
      <c r="BL841" s="29">
        <f t="shared" ca="1" si="183"/>
        <v>194</v>
      </c>
      <c r="BN841" s="22">
        <v>45386</v>
      </c>
      <c r="BO841" s="26">
        <f t="shared" ca="1" si="150"/>
        <v>0.15207801509157848</v>
      </c>
      <c r="BP841" s="29">
        <f t="shared" ca="1" si="184"/>
        <v>96</v>
      </c>
      <c r="BR841" s="22">
        <v>45386</v>
      </c>
      <c r="BS841" s="26">
        <f t="shared" ca="1" si="151"/>
        <v>0.45551706066345587</v>
      </c>
      <c r="BT841" s="29">
        <f t="shared" ca="1" si="185"/>
        <v>169</v>
      </c>
      <c r="BV841" s="22">
        <v>45386</v>
      </c>
      <c r="BW841" s="26">
        <f t="shared" ca="1" si="152"/>
        <v>0.92125711798730925</v>
      </c>
      <c r="BX841" s="29">
        <f t="shared" ca="1" si="186"/>
        <v>253</v>
      </c>
    </row>
    <row r="842" spans="2:77" ht="12.75" x14ac:dyDescent="0.2">
      <c r="B842" s="22">
        <v>45387</v>
      </c>
      <c r="C842" s="26">
        <f t="shared" ca="1" si="135"/>
        <v>0.91491093909589638</v>
      </c>
      <c r="D842" s="29">
        <f t="shared" ca="1" si="169"/>
        <v>103</v>
      </c>
      <c r="F842" s="22"/>
      <c r="G842" s="26">
        <f t="shared" ca="1" si="136"/>
        <v>0.30899442648662312</v>
      </c>
      <c r="H842" s="29">
        <f t="shared" ca="1" si="170"/>
        <v>209</v>
      </c>
      <c r="J842" s="22">
        <v>45387</v>
      </c>
      <c r="K842" s="26">
        <f t="shared" ca="1" si="137"/>
        <v>9.0007945946533052E-3</v>
      </c>
      <c r="L842" s="29">
        <f t="shared" ca="1" si="171"/>
        <v>127</v>
      </c>
      <c r="N842" s="22">
        <v>45387</v>
      </c>
      <c r="O842" s="26">
        <f t="shared" ca="1" si="138"/>
        <v>0.8938955048611178</v>
      </c>
      <c r="P842" s="29">
        <f t="shared" ca="1" si="172"/>
        <v>249</v>
      </c>
      <c r="R842" s="22">
        <v>45387</v>
      </c>
      <c r="S842" s="26">
        <f t="shared" ca="1" si="139"/>
        <v>0.45224828596283728</v>
      </c>
      <c r="T842" s="29">
        <f t="shared" ca="1" si="173"/>
        <v>138</v>
      </c>
      <c r="V842" s="22">
        <v>45387</v>
      </c>
      <c r="W842" s="26">
        <f t="shared" ca="1" si="140"/>
        <v>0.27059667867195347</v>
      </c>
      <c r="X842" s="29">
        <f t="shared" ca="1" si="174"/>
        <v>216</v>
      </c>
      <c r="Z842" s="22">
        <v>45387</v>
      </c>
      <c r="AA842" s="26">
        <f t="shared" ca="1" si="141"/>
        <v>0.28432239314043195</v>
      </c>
      <c r="AB842" s="29">
        <f t="shared" ca="1" si="175"/>
        <v>260</v>
      </c>
      <c r="AC842"/>
      <c r="AD842" s="25"/>
      <c r="AF842" s="22">
        <v>45387</v>
      </c>
      <c r="AG842" s="26">
        <f t="shared" ca="1" si="142"/>
        <v>0.12563781742835844</v>
      </c>
      <c r="AH842" s="29">
        <f t="shared" ca="1" si="176"/>
        <v>227</v>
      </c>
      <c r="AJ842" s="22">
        <v>45387</v>
      </c>
      <c r="AK842" s="26">
        <f t="shared" ca="1" si="143"/>
        <v>0.36708499025116637</v>
      </c>
      <c r="AL842" s="29">
        <f t="shared" ca="1" si="177"/>
        <v>164</v>
      </c>
      <c r="AN842" s="22">
        <v>45387</v>
      </c>
      <c r="AO842" s="26">
        <f t="shared" ca="1" si="144"/>
        <v>0.56452199264201763</v>
      </c>
      <c r="AP842" s="29">
        <f t="shared" ca="1" si="178"/>
        <v>154</v>
      </c>
      <c r="AR842" s="22">
        <v>45387</v>
      </c>
      <c r="AS842" s="26">
        <f t="shared" ca="1" si="145"/>
        <v>0.6559153918006988</v>
      </c>
      <c r="AT842" s="29">
        <f t="shared" ca="1" si="179"/>
        <v>240</v>
      </c>
      <c r="AV842" s="22">
        <v>45387</v>
      </c>
      <c r="AW842" s="26">
        <f t="shared" ca="1" si="146"/>
        <v>0.52034328984970646</v>
      </c>
      <c r="AX842" s="29">
        <f t="shared" ca="1" si="180"/>
        <v>195</v>
      </c>
      <c r="AZ842" s="22">
        <v>45387</v>
      </c>
      <c r="BA842" s="26">
        <f t="shared" ca="1" si="147"/>
        <v>0.47743925782876218</v>
      </c>
      <c r="BB842" s="29">
        <f t="shared" ca="1" si="181"/>
        <v>178</v>
      </c>
      <c r="BC842"/>
      <c r="BD842" s="25"/>
      <c r="BF842" s="22">
        <v>45387</v>
      </c>
      <c r="BG842" s="26">
        <f t="shared" ca="1" si="148"/>
        <v>0.79581161684544677</v>
      </c>
      <c r="BH842" s="29">
        <f t="shared" ca="1" si="182"/>
        <v>195</v>
      </c>
      <c r="BJ842" s="22">
        <v>45387</v>
      </c>
      <c r="BK842" s="26">
        <f t="shared" ca="1" si="149"/>
        <v>0.8572498052583496</v>
      </c>
      <c r="BL842" s="29">
        <f t="shared" ca="1" si="183"/>
        <v>212</v>
      </c>
      <c r="BN842" s="22">
        <v>45387</v>
      </c>
      <c r="BO842" s="26">
        <f t="shared" ca="1" si="150"/>
        <v>0.6171305529365132</v>
      </c>
      <c r="BP842" s="29">
        <f t="shared" ca="1" si="184"/>
        <v>142</v>
      </c>
      <c r="BR842" s="22">
        <v>45387</v>
      </c>
      <c r="BS842" s="26">
        <f t="shared" ca="1" si="151"/>
        <v>0.11373226091014232</v>
      </c>
      <c r="BT842" s="29">
        <f t="shared" ca="1" si="185"/>
        <v>118</v>
      </c>
      <c r="BV842" s="22">
        <v>45387</v>
      </c>
      <c r="BW842" s="26">
        <f t="shared" ca="1" si="152"/>
        <v>0.54319989730482687</v>
      </c>
      <c r="BX842" s="29">
        <f t="shared" ca="1" si="186"/>
        <v>189</v>
      </c>
    </row>
    <row r="843" spans="2:77" ht="12.75" x14ac:dyDescent="0.2">
      <c r="B843" s="22">
        <v>45388</v>
      </c>
      <c r="C843" s="26">
        <f t="shared" ca="1" si="135"/>
        <v>0.47420366272197034</v>
      </c>
      <c r="D843" s="29">
        <f t="shared" ca="1" si="169"/>
        <v>74</v>
      </c>
      <c r="F843" s="22"/>
      <c r="G843" s="26">
        <f t="shared" ca="1" si="136"/>
        <v>9.3927772033196577E-3</v>
      </c>
      <c r="H843" s="29">
        <f t="shared" ca="1" si="170"/>
        <v>182</v>
      </c>
      <c r="J843" s="22">
        <v>45388</v>
      </c>
      <c r="K843" s="26">
        <f t="shared" ca="1" si="137"/>
        <v>0.35736360663619893</v>
      </c>
      <c r="L843" s="29">
        <f t="shared" ca="1" si="171"/>
        <v>147</v>
      </c>
      <c r="N843" s="22">
        <v>45388</v>
      </c>
      <c r="O843" s="26">
        <f t="shared" ca="1" si="138"/>
        <v>0.17617542618418436</v>
      </c>
      <c r="P843" s="29">
        <f t="shared" ca="1" si="172"/>
        <v>216</v>
      </c>
      <c r="R843" s="22">
        <v>45388</v>
      </c>
      <c r="S843" s="26">
        <f t="shared" ca="1" si="139"/>
        <v>0.28594687595118695</v>
      </c>
      <c r="T843" s="29">
        <f t="shared" ca="1" si="173"/>
        <v>134</v>
      </c>
      <c r="V843" s="22">
        <v>45388</v>
      </c>
      <c r="W843" s="26">
        <f t="shared" ca="1" si="140"/>
        <v>0.58999684253815288</v>
      </c>
      <c r="X843" s="29">
        <f t="shared" ca="1" si="174"/>
        <v>229</v>
      </c>
      <c r="Z843" s="22">
        <v>45388</v>
      </c>
      <c r="AA843" s="26">
        <f t="shared" ca="1" si="141"/>
        <v>0.20169652247908298</v>
      </c>
      <c r="AB843" s="29">
        <f t="shared" ca="1" si="175"/>
        <v>255</v>
      </c>
      <c r="AC843"/>
      <c r="AD843" s="25"/>
      <c r="AF843" s="22">
        <v>45388</v>
      </c>
      <c r="AG843" s="26">
        <f t="shared" ca="1" si="142"/>
        <v>0.10149114768159317</v>
      </c>
      <c r="AH843" s="29">
        <f t="shared" ca="1" si="176"/>
        <v>216</v>
      </c>
      <c r="AJ843" s="22">
        <v>45388</v>
      </c>
      <c r="AK843" s="26">
        <f t="shared" ca="1" si="143"/>
        <v>0.98994097141340109</v>
      </c>
      <c r="AL843" s="29">
        <f t="shared" ca="1" si="177"/>
        <v>292</v>
      </c>
      <c r="AN843" s="22">
        <v>45388</v>
      </c>
      <c r="AO843" s="26">
        <f t="shared" ca="1" si="144"/>
        <v>2.3696831771628957E-2</v>
      </c>
      <c r="AP843" s="29">
        <f t="shared" ca="1" si="178"/>
        <v>70</v>
      </c>
      <c r="AR843" s="22">
        <v>45388</v>
      </c>
      <c r="AS843" s="26">
        <f t="shared" ca="1" si="145"/>
        <v>0.10292536998673196</v>
      </c>
      <c r="AT843" s="29">
        <f t="shared" ca="1" si="179"/>
        <v>144</v>
      </c>
      <c r="AV843" s="22">
        <v>45388</v>
      </c>
      <c r="AW843" s="26">
        <f t="shared" ca="1" si="146"/>
        <v>8.1796535023584305E-2</v>
      </c>
      <c r="AX843" s="29">
        <f t="shared" ca="1" si="180"/>
        <v>121</v>
      </c>
      <c r="AZ843" s="22">
        <v>45388</v>
      </c>
      <c r="BA843" s="26">
        <f t="shared" ca="1" si="147"/>
        <v>0.90724746614384388</v>
      </c>
      <c r="BB843" s="29">
        <f t="shared" ca="1" si="181"/>
        <v>244</v>
      </c>
      <c r="BC843"/>
      <c r="BD843" s="25"/>
      <c r="BF843" s="22">
        <v>45388</v>
      </c>
      <c r="BG843" s="26">
        <f t="shared" ca="1" si="148"/>
        <v>0.13129285239801625</v>
      </c>
      <c r="BH843" s="29">
        <f t="shared" ca="1" si="182"/>
        <v>112</v>
      </c>
      <c r="BJ843" s="22">
        <v>45388</v>
      </c>
      <c r="BK843" s="26">
        <f t="shared" ca="1" si="149"/>
        <v>0.17509810550300431</v>
      </c>
      <c r="BL843" s="29">
        <f t="shared" ca="1" si="183"/>
        <v>124</v>
      </c>
      <c r="BN843" s="22">
        <v>45388</v>
      </c>
      <c r="BO843" s="26">
        <f t="shared" ca="1" si="150"/>
        <v>0.64626211471641593</v>
      </c>
      <c r="BP843" s="29">
        <f t="shared" ca="1" si="184"/>
        <v>145</v>
      </c>
      <c r="BR843" s="22">
        <v>45388</v>
      </c>
      <c r="BS843" s="26">
        <f t="shared" ca="1" si="151"/>
        <v>0.33198023573992363</v>
      </c>
      <c r="BT843" s="29">
        <f t="shared" ca="1" si="185"/>
        <v>154</v>
      </c>
      <c r="BV843" s="22">
        <v>45388</v>
      </c>
      <c r="BW843" s="26">
        <f t="shared" ca="1" si="152"/>
        <v>6.0809276700723447E-2</v>
      </c>
      <c r="BX843" s="29">
        <f t="shared" ca="1" si="186"/>
        <v>108</v>
      </c>
    </row>
    <row r="844" spans="2:77" ht="12.75" x14ac:dyDescent="0.2">
      <c r="B844" s="22">
        <v>45389</v>
      </c>
      <c r="C844" s="26">
        <f t="shared" ca="1" si="135"/>
        <v>0.63537446694183042</v>
      </c>
      <c r="D844" s="29">
        <f t="shared" ca="1" si="169"/>
        <v>82</v>
      </c>
      <c r="F844" s="22"/>
      <c r="G844" s="26">
        <f t="shared" ca="1" si="136"/>
        <v>0.5598853678459218</v>
      </c>
      <c r="H844" s="29">
        <f t="shared" ca="1" si="170"/>
        <v>218</v>
      </c>
      <c r="J844" s="22">
        <v>45389</v>
      </c>
      <c r="K844" s="26">
        <f t="shared" ca="1" si="137"/>
        <v>0.80082553021836922</v>
      </c>
      <c r="L844" s="29">
        <f t="shared" ca="1" si="171"/>
        <v>159</v>
      </c>
      <c r="N844" s="22">
        <v>45389</v>
      </c>
      <c r="O844" s="26">
        <f t="shared" ca="1" si="138"/>
        <v>0.37231602074437087</v>
      </c>
      <c r="P844" s="29">
        <f t="shared" ca="1" si="172"/>
        <v>225</v>
      </c>
      <c r="R844" s="22">
        <v>45389</v>
      </c>
      <c r="S844" s="26">
        <f t="shared" ca="1" si="139"/>
        <v>8.394222493317316E-2</v>
      </c>
      <c r="T844" s="29">
        <f t="shared" ca="1" si="173"/>
        <v>126</v>
      </c>
      <c r="V844" s="22">
        <v>45389</v>
      </c>
      <c r="W844" s="26">
        <f t="shared" ca="1" si="140"/>
        <v>0.48197037625993477</v>
      </c>
      <c r="X844" s="29">
        <f t="shared" ca="1" si="174"/>
        <v>225</v>
      </c>
      <c r="Z844" s="22">
        <v>45389</v>
      </c>
      <c r="AA844" s="26">
        <f t="shared" ca="1" si="141"/>
        <v>0.76282558669377132</v>
      </c>
      <c r="AB844" s="29">
        <f t="shared" ca="1" si="175"/>
        <v>283</v>
      </c>
      <c r="AC844"/>
      <c r="AD844" s="25"/>
      <c r="AF844" s="22">
        <v>45389</v>
      </c>
      <c r="AG844" s="26">
        <f t="shared" ca="1" si="142"/>
        <v>4.6532317692314806E-2</v>
      </c>
      <c r="AH844" s="29">
        <f t="shared" ca="1" si="176"/>
        <v>181</v>
      </c>
      <c r="AJ844" s="22">
        <v>45389</v>
      </c>
      <c r="AK844" s="26">
        <f t="shared" ca="1" si="143"/>
        <v>0.42305598833690061</v>
      </c>
      <c r="AL844" s="29">
        <f t="shared" ca="1" si="177"/>
        <v>171</v>
      </c>
      <c r="AN844" s="22">
        <v>45389</v>
      </c>
      <c r="AO844" s="26">
        <f t="shared" ca="1" si="144"/>
        <v>0.72393609211171028</v>
      </c>
      <c r="AP844" s="29">
        <f t="shared" ca="1" si="178"/>
        <v>171</v>
      </c>
      <c r="AR844" s="22">
        <v>45389</v>
      </c>
      <c r="AS844" s="26">
        <f t="shared" ca="1" si="145"/>
        <v>0.53786570053077143</v>
      </c>
      <c r="AT844" s="29">
        <f t="shared" ca="1" si="179"/>
        <v>223</v>
      </c>
      <c r="AV844" s="22">
        <v>45389</v>
      </c>
      <c r="AW844" s="26">
        <f t="shared" ca="1" si="146"/>
        <v>0.26437864857837423</v>
      </c>
      <c r="AX844" s="29">
        <f t="shared" ca="1" si="180"/>
        <v>160</v>
      </c>
      <c r="AZ844" s="22">
        <v>45389</v>
      </c>
      <c r="BA844" s="26">
        <f t="shared" ca="1" si="147"/>
        <v>0.9470020731751817</v>
      </c>
      <c r="BB844" s="29">
        <f t="shared" ca="1" si="181"/>
        <v>258</v>
      </c>
      <c r="BC844"/>
      <c r="BD844" s="25"/>
      <c r="BF844" s="22">
        <v>45389</v>
      </c>
      <c r="BG844" s="26">
        <f t="shared" ca="1" si="148"/>
        <v>9.395526269765242E-2</v>
      </c>
      <c r="BH844" s="29">
        <f t="shared" ca="1" si="182"/>
        <v>104</v>
      </c>
      <c r="BJ844" s="22">
        <v>45389</v>
      </c>
      <c r="BK844" s="26">
        <f t="shared" ca="1" si="149"/>
        <v>2.378119408281576E-2</v>
      </c>
      <c r="BL844" s="29">
        <f t="shared" ca="1" si="183"/>
        <v>78</v>
      </c>
      <c r="BN844" s="22">
        <v>45389</v>
      </c>
      <c r="BO844" s="26">
        <f t="shared" ca="1" si="150"/>
        <v>0.67666025238986105</v>
      </c>
      <c r="BP844" s="29">
        <f t="shared" ca="1" si="184"/>
        <v>147</v>
      </c>
      <c r="BR844" s="22">
        <v>45389</v>
      </c>
      <c r="BS844" s="26">
        <f t="shared" ca="1" si="151"/>
        <v>0.78616719770452848</v>
      </c>
      <c r="BT844" s="29">
        <f t="shared" ca="1" si="185"/>
        <v>211</v>
      </c>
      <c r="BV844" s="22">
        <v>45389</v>
      </c>
      <c r="BW844" s="26">
        <f t="shared" ca="1" si="152"/>
        <v>9.7318159665031656E-2</v>
      </c>
      <c r="BX844" s="29">
        <f t="shared" ca="1" si="186"/>
        <v>121</v>
      </c>
    </row>
    <row r="845" spans="2:77" ht="12.75" x14ac:dyDescent="0.2">
      <c r="B845" s="22">
        <v>45390</v>
      </c>
      <c r="C845" s="26">
        <f t="shared" ca="1" si="135"/>
        <v>0.44925516748115513</v>
      </c>
      <c r="D845" s="29">
        <f t="shared" ca="1" si="169"/>
        <v>73</v>
      </c>
      <c r="F845" s="22"/>
      <c r="G845" s="26">
        <f t="shared" ca="1" si="136"/>
        <v>0.33508803046202218</v>
      </c>
      <c r="H845" s="29">
        <f t="shared" ca="1" si="170"/>
        <v>210</v>
      </c>
      <c r="J845" s="22">
        <v>45390</v>
      </c>
      <c r="K845" s="26">
        <f t="shared" ca="1" si="137"/>
        <v>0.6644263184129916</v>
      </c>
      <c r="L845" s="29">
        <f t="shared" ca="1" si="171"/>
        <v>155</v>
      </c>
      <c r="N845" s="22">
        <v>45390</v>
      </c>
      <c r="O845" s="26">
        <f t="shared" ca="1" si="138"/>
        <v>0.37490692843160156</v>
      </c>
      <c r="P845" s="29">
        <f t="shared" ca="1" si="172"/>
        <v>225</v>
      </c>
      <c r="R845" s="22">
        <v>45390</v>
      </c>
      <c r="S845" s="26">
        <f t="shared" ca="1" si="139"/>
        <v>4.3999811852172721E-2</v>
      </c>
      <c r="T845" s="29">
        <f t="shared" ca="1" si="173"/>
        <v>123</v>
      </c>
      <c r="V845" s="22">
        <v>45390</v>
      </c>
      <c r="W845" s="26">
        <f t="shared" ca="1" si="140"/>
        <v>0.740418202290969</v>
      </c>
      <c r="X845" s="29">
        <f t="shared" ca="1" si="174"/>
        <v>235</v>
      </c>
      <c r="Z845" s="22">
        <v>45390</v>
      </c>
      <c r="AA845" s="26">
        <f t="shared" ca="1" si="141"/>
        <v>0.57958255752215815</v>
      </c>
      <c r="AB845" s="29">
        <f t="shared" ca="1" si="175"/>
        <v>274</v>
      </c>
      <c r="AC845"/>
      <c r="AD845" s="25"/>
      <c r="AF845" s="22">
        <v>45390</v>
      </c>
      <c r="AG845" s="26">
        <f t="shared" ca="1" si="142"/>
        <v>0.3063372735054698</v>
      </c>
      <c r="AH845" s="29">
        <f t="shared" ca="1" si="176"/>
        <v>283</v>
      </c>
      <c r="AJ845" s="22">
        <v>45390</v>
      </c>
      <c r="AK845" s="26">
        <f t="shared" ca="1" si="143"/>
        <v>0.26441615208525882</v>
      </c>
      <c r="AL845" s="29">
        <f t="shared" ca="1" si="177"/>
        <v>150</v>
      </c>
      <c r="AN845" s="22">
        <v>45390</v>
      </c>
      <c r="AO845" s="26">
        <f t="shared" ca="1" si="144"/>
        <v>0.34158317904124391</v>
      </c>
      <c r="AP845" s="29">
        <f t="shared" ca="1" si="178"/>
        <v>132</v>
      </c>
      <c r="AR845" s="22">
        <v>45390</v>
      </c>
      <c r="AS845" s="26">
        <f t="shared" ca="1" si="145"/>
        <v>0.19014589556118111</v>
      </c>
      <c r="AT845" s="29">
        <f t="shared" ca="1" si="179"/>
        <v>167</v>
      </c>
      <c r="AV845" s="22">
        <v>45390</v>
      </c>
      <c r="AW845" s="26">
        <f t="shared" ca="1" si="146"/>
        <v>8.4529818267237933E-2</v>
      </c>
      <c r="AX845" s="29">
        <f t="shared" ca="1" si="180"/>
        <v>122</v>
      </c>
      <c r="AZ845" s="22">
        <v>45390</v>
      </c>
      <c r="BA845" s="26">
        <f t="shared" ca="1" si="147"/>
        <v>0.63457443031555039</v>
      </c>
      <c r="BB845" s="29">
        <f t="shared" ca="1" si="181"/>
        <v>197</v>
      </c>
      <c r="BC845"/>
      <c r="BD845" s="25"/>
      <c r="BF845" s="22">
        <v>45390</v>
      </c>
      <c r="BG845" s="26">
        <f t="shared" ca="1" si="148"/>
        <v>0.5106796317329686</v>
      </c>
      <c r="BH845" s="29">
        <f t="shared" ca="1" si="182"/>
        <v>161</v>
      </c>
      <c r="BJ845" s="22">
        <v>45390</v>
      </c>
      <c r="BK845" s="26">
        <f t="shared" ca="1" si="149"/>
        <v>0.52234831550229155</v>
      </c>
      <c r="BL845" s="29">
        <f t="shared" ca="1" si="183"/>
        <v>168</v>
      </c>
      <c r="BN845" s="22">
        <v>45390</v>
      </c>
      <c r="BO845" s="26">
        <f t="shared" ca="1" si="150"/>
        <v>0.60145588237885772</v>
      </c>
      <c r="BP845" s="29">
        <f t="shared" ca="1" si="184"/>
        <v>140</v>
      </c>
      <c r="BR845" s="22">
        <v>45390</v>
      </c>
      <c r="BS845" s="26">
        <f t="shared" ca="1" si="151"/>
        <v>0.3046458227607397</v>
      </c>
      <c r="BT845" s="29">
        <f t="shared" ca="1" si="185"/>
        <v>150</v>
      </c>
      <c r="BV845" s="22">
        <v>45390</v>
      </c>
      <c r="BW845" s="26">
        <f t="shared" ca="1" si="152"/>
        <v>0.68851460271764175</v>
      </c>
      <c r="BX845" s="29">
        <f t="shared" ca="1" si="186"/>
        <v>208</v>
      </c>
    </row>
    <row r="846" spans="2:77" ht="12.75" x14ac:dyDescent="0.2">
      <c r="B846" s="22">
        <v>45391</v>
      </c>
      <c r="C846" s="26">
        <f t="shared" ca="1" si="135"/>
        <v>0.92536278954335016</v>
      </c>
      <c r="D846" s="29">
        <v>0</v>
      </c>
      <c r="F846" s="22"/>
      <c r="G846" s="26">
        <f t="shared" ca="1" si="136"/>
        <v>0.63860310243204554</v>
      </c>
      <c r="H846" s="29">
        <v>0</v>
      </c>
      <c r="J846" s="22">
        <v>45391</v>
      </c>
      <c r="K846" s="26">
        <f t="shared" ca="1" si="137"/>
        <v>0.47173585776825189</v>
      </c>
      <c r="L846" s="29">
        <v>0</v>
      </c>
      <c r="N846" s="22">
        <v>45391</v>
      </c>
      <c r="O846" s="26">
        <f t="shared" ca="1" si="138"/>
        <v>0.77509980097890818</v>
      </c>
      <c r="P846" s="29">
        <v>0</v>
      </c>
      <c r="R846" s="22">
        <v>45391</v>
      </c>
      <c r="S846" s="26">
        <f t="shared" ca="1" si="139"/>
        <v>0.46584905158577339</v>
      </c>
      <c r="T846" s="29">
        <v>0</v>
      </c>
      <c r="V846" s="22">
        <v>45391</v>
      </c>
      <c r="W846" s="26">
        <f t="shared" ca="1" si="140"/>
        <v>0.22794286432561095</v>
      </c>
      <c r="X846" s="29">
        <v>0</v>
      </c>
      <c r="Z846" s="22">
        <v>45391</v>
      </c>
      <c r="AA846" s="26">
        <f t="shared" ca="1" si="141"/>
        <v>0.56704705972144576</v>
      </c>
      <c r="AB846" s="29">
        <v>0</v>
      </c>
      <c r="AC846"/>
      <c r="AD846" s="25"/>
      <c r="AF846" s="22">
        <v>45391</v>
      </c>
      <c r="AG846" s="26">
        <f t="shared" ca="1" si="142"/>
        <v>0.55504693342091738</v>
      </c>
      <c r="AH846" s="29">
        <v>0</v>
      </c>
      <c r="AJ846" s="22">
        <v>45391</v>
      </c>
      <c r="AK846" s="26">
        <f t="shared" ca="1" si="143"/>
        <v>0.64266889655693582</v>
      </c>
      <c r="AL846" s="29">
        <v>0</v>
      </c>
      <c r="AN846" s="22">
        <v>45391</v>
      </c>
      <c r="AO846" s="26">
        <f t="shared" ca="1" si="144"/>
        <v>0.7357538810046812</v>
      </c>
      <c r="AP846" s="29">
        <v>0</v>
      </c>
      <c r="AR846" s="22">
        <v>45391</v>
      </c>
      <c r="AS846" s="26">
        <f t="shared" ca="1" si="145"/>
        <v>0.98280936296394561</v>
      </c>
      <c r="AT846" s="29">
        <v>0</v>
      </c>
      <c r="AV846" s="22">
        <v>45391</v>
      </c>
      <c r="AW846" s="26">
        <f t="shared" ca="1" si="146"/>
        <v>0.58939862250263242</v>
      </c>
      <c r="AX846" s="29">
        <v>0</v>
      </c>
      <c r="AZ846" s="22">
        <v>45391</v>
      </c>
      <c r="BA846" s="26">
        <f t="shared" ca="1" si="147"/>
        <v>0.12947231295404615</v>
      </c>
      <c r="BB846" s="29">
        <v>0</v>
      </c>
      <c r="BC846"/>
      <c r="BD846" s="25"/>
      <c r="BF846" s="22">
        <v>45391</v>
      </c>
      <c r="BG846" s="26">
        <f t="shared" ca="1" si="148"/>
        <v>0.14382147643669752</v>
      </c>
      <c r="BH846" s="29">
        <v>0</v>
      </c>
      <c r="BJ846" s="22">
        <v>45391</v>
      </c>
      <c r="BK846" s="26">
        <f t="shared" ca="1" si="149"/>
        <v>0.19130551716320432</v>
      </c>
      <c r="BL846" s="29">
        <v>0</v>
      </c>
      <c r="BN846" s="22">
        <v>45391</v>
      </c>
      <c r="BO846" s="26">
        <f t="shared" ca="1" si="150"/>
        <v>0.11855185127778434</v>
      </c>
      <c r="BP846" s="29">
        <v>0</v>
      </c>
      <c r="BR846" s="22">
        <v>45391</v>
      </c>
      <c r="BS846" s="26">
        <f t="shared" ca="1" si="151"/>
        <v>0.43134728686492674</v>
      </c>
      <c r="BT846" s="29">
        <v>0</v>
      </c>
      <c r="BV846" s="22">
        <v>45391</v>
      </c>
      <c r="BW846" s="26">
        <f t="shared" ca="1" si="152"/>
        <v>6.7827989971893876E-2</v>
      </c>
      <c r="BX846" s="29">
        <v>0</v>
      </c>
    </row>
    <row r="847" spans="2:77" ht="12.75" x14ac:dyDescent="0.2">
      <c r="B847" s="22">
        <v>45392</v>
      </c>
      <c r="C847" s="26">
        <f t="shared" ca="1" si="135"/>
        <v>0.41948035170418918</v>
      </c>
      <c r="D847" s="29">
        <v>0</v>
      </c>
      <c r="F847" s="22"/>
      <c r="G847" s="26">
        <f t="shared" ca="1" si="136"/>
        <v>0.71565588952799941</v>
      </c>
      <c r="H847" s="29">
        <v>0</v>
      </c>
      <c r="J847" s="22">
        <v>45392</v>
      </c>
      <c r="K847" s="26">
        <f t="shared" ca="1" si="137"/>
        <v>0.2230037553673182</v>
      </c>
      <c r="L847" s="29">
        <v>0</v>
      </c>
      <c r="N847" s="22">
        <v>45392</v>
      </c>
      <c r="O847" s="26">
        <f t="shared" ca="1" si="138"/>
        <v>0.59683690811481538</v>
      </c>
      <c r="P847" s="29">
        <v>0</v>
      </c>
      <c r="R847" s="22">
        <v>45392</v>
      </c>
      <c r="S847" s="26">
        <f t="shared" ca="1" si="139"/>
        <v>0.32577868974882462</v>
      </c>
      <c r="T847" s="29">
        <v>0</v>
      </c>
      <c r="V847" s="22">
        <v>45392</v>
      </c>
      <c r="W847" s="26">
        <f t="shared" ca="1" si="140"/>
        <v>0.14918954871813328</v>
      </c>
      <c r="X847" s="29">
        <v>0</v>
      </c>
      <c r="Z847" s="22">
        <v>45392</v>
      </c>
      <c r="AA847" s="26">
        <f t="shared" ca="1" si="141"/>
        <v>0.80378414631097073</v>
      </c>
      <c r="AB847" s="29">
        <v>0</v>
      </c>
      <c r="AC847"/>
      <c r="AD847" s="25"/>
      <c r="AF847" s="22">
        <v>45392</v>
      </c>
      <c r="AG847" s="26">
        <f t="shared" ca="1" si="142"/>
        <v>1.1341128468121631E-2</v>
      </c>
      <c r="AH847" s="29">
        <v>0</v>
      </c>
      <c r="AJ847" s="22">
        <v>45392</v>
      </c>
      <c r="AK847" s="26">
        <f t="shared" ca="1" si="143"/>
        <v>0.16455995091018283</v>
      </c>
      <c r="AL847" s="29">
        <v>0</v>
      </c>
      <c r="AN847" s="22">
        <v>45392</v>
      </c>
      <c r="AO847" s="26">
        <f t="shared" ca="1" si="144"/>
        <v>0.25080153633512492</v>
      </c>
      <c r="AP847" s="29">
        <v>0</v>
      </c>
      <c r="AR847" s="22">
        <v>45392</v>
      </c>
      <c r="AS847" s="26">
        <f t="shared" ca="1" si="145"/>
        <v>0.3920479974211839</v>
      </c>
      <c r="AT847" s="29">
        <v>0</v>
      </c>
      <c r="AV847" s="22">
        <v>45392</v>
      </c>
      <c r="AW847" s="26">
        <f t="shared" ca="1" si="146"/>
        <v>0.70796292437125918</v>
      </c>
      <c r="AX847" s="29">
        <v>0</v>
      </c>
      <c r="AZ847" s="22">
        <v>45392</v>
      </c>
      <c r="BA847" s="26">
        <f t="shared" ca="1" si="147"/>
        <v>0.91446078117519569</v>
      </c>
      <c r="BB847" s="29">
        <v>0</v>
      </c>
      <c r="BC847"/>
      <c r="BD847" s="25"/>
      <c r="BF847" s="22">
        <v>45392</v>
      </c>
      <c r="BG847" s="26">
        <f t="shared" ca="1" si="148"/>
        <v>0.85838984838692323</v>
      </c>
      <c r="BH847" s="29">
        <v>0</v>
      </c>
      <c r="BJ847" s="22">
        <v>45392</v>
      </c>
      <c r="BK847" s="26">
        <f t="shared" ca="1" si="149"/>
        <v>0.59876118026516001</v>
      </c>
      <c r="BL847" s="29">
        <v>0</v>
      </c>
      <c r="BN847" s="22">
        <v>45392</v>
      </c>
      <c r="BO847" s="26">
        <f t="shared" ca="1" si="150"/>
        <v>0.51270311988477568</v>
      </c>
      <c r="BP847" s="29">
        <v>0</v>
      </c>
      <c r="BR847" s="22">
        <v>45392</v>
      </c>
      <c r="BS847" s="26">
        <f t="shared" ca="1" si="151"/>
        <v>0.66316227791509608</v>
      </c>
      <c r="BT847" s="29">
        <v>0</v>
      </c>
      <c r="BV847" s="22">
        <v>45392</v>
      </c>
      <c r="BW847" s="26">
        <f t="shared" ca="1" si="152"/>
        <v>6.7282076758076959E-2</v>
      </c>
      <c r="BX847" s="29">
        <v>0</v>
      </c>
    </row>
    <row r="848" spans="2:77" ht="12.75" x14ac:dyDescent="0.2">
      <c r="B848" s="22">
        <v>45393</v>
      </c>
      <c r="C848" s="26">
        <f t="shared" ca="1" si="135"/>
        <v>0.82699690130954706</v>
      </c>
      <c r="D848" s="29">
        <v>0</v>
      </c>
      <c r="F848" s="22"/>
      <c r="G848" s="26">
        <f t="shared" ca="1" si="136"/>
        <v>3.096706090148249E-2</v>
      </c>
      <c r="H848" s="29">
        <v>0</v>
      </c>
      <c r="J848" s="22">
        <v>45393</v>
      </c>
      <c r="K848" s="26">
        <f t="shared" ca="1" si="137"/>
        <v>0.1995648006997095</v>
      </c>
      <c r="L848" s="29">
        <v>0</v>
      </c>
      <c r="N848" s="22">
        <v>45393</v>
      </c>
      <c r="O848" s="26">
        <f t="shared" ca="1" si="138"/>
        <v>0.92826118982719885</v>
      </c>
      <c r="P848" s="29">
        <v>0</v>
      </c>
      <c r="R848" s="22">
        <v>45393</v>
      </c>
      <c r="S848" s="26">
        <f t="shared" ca="1" si="139"/>
        <v>0.44852710784665339</v>
      </c>
      <c r="T848" s="29">
        <v>0</v>
      </c>
      <c r="V848" s="22">
        <v>45393</v>
      </c>
      <c r="W848" s="26">
        <f t="shared" ca="1" si="140"/>
        <v>0.86633846271841775</v>
      </c>
      <c r="X848" s="29">
        <v>0</v>
      </c>
      <c r="Z848" s="22">
        <v>45393</v>
      </c>
      <c r="AA848" s="26">
        <f t="shared" ca="1" si="141"/>
        <v>0.30069070229368022</v>
      </c>
      <c r="AB848" s="29">
        <v>0</v>
      </c>
      <c r="AC848"/>
      <c r="AD848" s="25"/>
      <c r="AF848" s="22">
        <v>45393</v>
      </c>
      <c r="AG848" s="26">
        <f t="shared" ca="1" si="142"/>
        <v>0.65075759452168813</v>
      </c>
      <c r="AH848" s="29">
        <v>0</v>
      </c>
      <c r="AJ848" s="22">
        <v>45393</v>
      </c>
      <c r="AK848" s="26">
        <f t="shared" ca="1" si="143"/>
        <v>0.29913549602443246</v>
      </c>
      <c r="AL848" s="29">
        <v>0</v>
      </c>
      <c r="AN848" s="22">
        <v>45393</v>
      </c>
      <c r="AO848" s="26">
        <f t="shared" ca="1" si="144"/>
        <v>0.65310321436628893</v>
      </c>
      <c r="AP848" s="29">
        <v>0</v>
      </c>
      <c r="AR848" s="22">
        <v>45393</v>
      </c>
      <c r="AS848" s="26">
        <f t="shared" ca="1" si="145"/>
        <v>0.23711558568224655</v>
      </c>
      <c r="AT848" s="29">
        <v>0</v>
      </c>
      <c r="AV848" s="22">
        <v>45393</v>
      </c>
      <c r="AW848" s="26">
        <f t="shared" ca="1" si="146"/>
        <v>0.63483019097348781</v>
      </c>
      <c r="AX848" s="29">
        <v>0</v>
      </c>
      <c r="AZ848" s="22">
        <v>45393</v>
      </c>
      <c r="BA848" s="26">
        <f t="shared" ca="1" si="147"/>
        <v>0.15488255816895802</v>
      </c>
      <c r="BB848" s="29">
        <v>0</v>
      </c>
      <c r="BC848"/>
      <c r="BD848" s="25"/>
      <c r="BF848" s="22">
        <v>45393</v>
      </c>
      <c r="BG848" s="26">
        <f t="shared" ca="1" si="148"/>
        <v>0.67661659823337716</v>
      </c>
      <c r="BH848" s="29">
        <v>0</v>
      </c>
      <c r="BJ848" s="22">
        <v>45393</v>
      </c>
      <c r="BK848" s="26">
        <f t="shared" ca="1" si="149"/>
        <v>0.99232961116603746</v>
      </c>
      <c r="BL848" s="29">
        <v>0</v>
      </c>
      <c r="BN848" s="22">
        <v>45393</v>
      </c>
      <c r="BO848" s="26">
        <f t="shared" ca="1" si="150"/>
        <v>0.65986651202131308</v>
      </c>
      <c r="BP848" s="29">
        <v>0</v>
      </c>
      <c r="BR848" s="22">
        <v>45393</v>
      </c>
      <c r="BS848" s="26">
        <f t="shared" ca="1" si="151"/>
        <v>0.76362809141251842</v>
      </c>
      <c r="BT848" s="29">
        <v>0</v>
      </c>
      <c r="BV848" s="22">
        <v>45393</v>
      </c>
      <c r="BW848" s="26">
        <f t="shared" ca="1" si="152"/>
        <v>0.14530289261922735</v>
      </c>
      <c r="BX848" s="29">
        <v>0</v>
      </c>
    </row>
    <row r="849" spans="2:76" ht="12.75" x14ac:dyDescent="0.2">
      <c r="B849" s="22">
        <v>45394</v>
      </c>
      <c r="C849" s="26">
        <f t="shared" ca="1" si="135"/>
        <v>7.748784681342813E-2</v>
      </c>
      <c r="D849" s="29">
        <v>0</v>
      </c>
      <c r="F849" s="22"/>
      <c r="G849" s="26">
        <f t="shared" ca="1" si="136"/>
        <v>0.83504809688345605</v>
      </c>
      <c r="H849" s="29">
        <v>0</v>
      </c>
      <c r="J849" s="22">
        <v>45394</v>
      </c>
      <c r="K849" s="26">
        <f t="shared" ca="1" si="137"/>
        <v>0.83248993964954288</v>
      </c>
      <c r="L849" s="29">
        <v>0</v>
      </c>
      <c r="N849" s="22">
        <v>45394</v>
      </c>
      <c r="O849" s="26">
        <f t="shared" ca="1" si="138"/>
        <v>0.31038470856241207</v>
      </c>
      <c r="P849" s="29">
        <v>0</v>
      </c>
      <c r="R849" s="22">
        <v>45394</v>
      </c>
      <c r="S849" s="26">
        <f t="shared" ca="1" si="139"/>
        <v>0.23030318098608304</v>
      </c>
      <c r="T849" s="29">
        <v>0</v>
      </c>
      <c r="V849" s="22">
        <v>45394</v>
      </c>
      <c r="W849" s="26">
        <f t="shared" ca="1" si="140"/>
        <v>0.84803220690040049</v>
      </c>
      <c r="X849" s="29">
        <v>0</v>
      </c>
      <c r="Z849" s="22">
        <v>45394</v>
      </c>
      <c r="AA849" s="26">
        <f t="shared" ca="1" si="141"/>
        <v>0.54142073664449319</v>
      </c>
      <c r="AB849" s="29">
        <v>0</v>
      </c>
      <c r="AC849"/>
      <c r="AD849" s="25"/>
      <c r="AF849" s="22">
        <v>45394</v>
      </c>
      <c r="AG849" s="26">
        <f t="shared" ca="1" si="142"/>
        <v>0.96103786474177333</v>
      </c>
      <c r="AH849" s="29">
        <v>0</v>
      </c>
      <c r="AJ849" s="22">
        <v>45394</v>
      </c>
      <c r="AK849" s="26">
        <f t="shared" ca="1" si="143"/>
        <v>0.2383522487013312</v>
      </c>
      <c r="AL849" s="29">
        <v>0</v>
      </c>
      <c r="AN849" s="22">
        <v>45394</v>
      </c>
      <c r="AO849" s="26">
        <f t="shared" ca="1" si="144"/>
        <v>0.59517795363158643</v>
      </c>
      <c r="AP849" s="29">
        <v>0</v>
      </c>
      <c r="AR849" s="22">
        <v>45394</v>
      </c>
      <c r="AS849" s="26">
        <f t="shared" ca="1" si="145"/>
        <v>0.64526728261161503</v>
      </c>
      <c r="AT849" s="29">
        <v>0</v>
      </c>
      <c r="AV849" s="22">
        <v>45394</v>
      </c>
      <c r="AW849" s="26">
        <f t="shared" ca="1" si="146"/>
        <v>0.15819490857933549</v>
      </c>
      <c r="AX849" s="29">
        <v>0</v>
      </c>
      <c r="AZ849" s="22">
        <v>45394</v>
      </c>
      <c r="BA849" s="26">
        <f t="shared" ca="1" si="147"/>
        <v>5.8393034130180932E-2</v>
      </c>
      <c r="BB849" s="29">
        <v>0</v>
      </c>
      <c r="BC849"/>
      <c r="BD849" s="25"/>
      <c r="BF849" s="22">
        <v>45394</v>
      </c>
      <c r="BG849" s="26">
        <f t="shared" ca="1" si="148"/>
        <v>8.5433341449812406E-2</v>
      </c>
      <c r="BH849" s="29">
        <v>0</v>
      </c>
      <c r="BJ849" s="22">
        <v>45394</v>
      </c>
      <c r="BK849" s="26">
        <f t="shared" ca="1" si="149"/>
        <v>0.78700447780320093</v>
      </c>
      <c r="BL849" s="29">
        <v>0</v>
      </c>
      <c r="BN849" s="22">
        <v>45394</v>
      </c>
      <c r="BO849" s="26">
        <f t="shared" ca="1" si="150"/>
        <v>0.20916507596788536</v>
      </c>
      <c r="BP849" s="29">
        <v>0</v>
      </c>
      <c r="BR849" s="22">
        <v>45394</v>
      </c>
      <c r="BS849" s="26">
        <f t="shared" ca="1" si="151"/>
        <v>0.40003235902195933</v>
      </c>
      <c r="BT849" s="29">
        <v>0</v>
      </c>
      <c r="BV849" s="22">
        <v>45394</v>
      </c>
      <c r="BW849" s="26">
        <f t="shared" ca="1" si="152"/>
        <v>0.11993339667473679</v>
      </c>
      <c r="BX849" s="29">
        <v>0</v>
      </c>
    </row>
    <row r="850" spans="2:76" ht="12.75" x14ac:dyDescent="0.2">
      <c r="B850" s="22">
        <v>45395</v>
      </c>
      <c r="C850" s="26">
        <f t="shared" ca="1" si="135"/>
        <v>0.32721304742999291</v>
      </c>
      <c r="D850" s="29">
        <v>0</v>
      </c>
      <c r="F850" s="22"/>
      <c r="G850" s="26">
        <f t="shared" ca="1" si="136"/>
        <v>0.31378551571582158</v>
      </c>
      <c r="H850" s="29">
        <v>0</v>
      </c>
      <c r="J850" s="22">
        <v>45395</v>
      </c>
      <c r="K850" s="26">
        <f t="shared" ca="1" si="137"/>
        <v>0.3667167449021056</v>
      </c>
      <c r="L850" s="29">
        <v>0</v>
      </c>
      <c r="N850" s="22">
        <v>45395</v>
      </c>
      <c r="O850" s="26">
        <f t="shared" ca="1" si="138"/>
        <v>3.5944733649954097E-2</v>
      </c>
      <c r="P850" s="29">
        <v>0</v>
      </c>
      <c r="R850" s="22">
        <v>45395</v>
      </c>
      <c r="S850" s="26">
        <f t="shared" ca="1" si="139"/>
        <v>0.86214444318282824</v>
      </c>
      <c r="T850" s="29">
        <v>0</v>
      </c>
      <c r="V850" s="22">
        <v>45395</v>
      </c>
      <c r="W850" s="26">
        <f t="shared" ca="1" si="140"/>
        <v>0.79288867704965704</v>
      </c>
      <c r="X850" s="29">
        <v>0</v>
      </c>
      <c r="Z850" s="22">
        <v>45395</v>
      </c>
      <c r="AA850" s="26">
        <f t="shared" ca="1" si="141"/>
        <v>0.44358855511109108</v>
      </c>
      <c r="AB850" s="29">
        <v>0</v>
      </c>
      <c r="AC850"/>
      <c r="AD850" s="25"/>
      <c r="AF850" s="22">
        <v>45395</v>
      </c>
      <c r="AG850" s="26">
        <f t="shared" ca="1" si="142"/>
        <v>0.38402963417294633</v>
      </c>
      <c r="AH850" s="29">
        <v>0</v>
      </c>
      <c r="AJ850" s="22">
        <v>45395</v>
      </c>
      <c r="AK850" s="26">
        <f t="shared" ca="1" si="143"/>
        <v>0.21649630405435316</v>
      </c>
      <c r="AL850" s="29">
        <v>0</v>
      </c>
      <c r="AN850" s="22">
        <v>45395</v>
      </c>
      <c r="AO850" s="26">
        <f t="shared" ca="1" si="144"/>
        <v>0.98258402085021523</v>
      </c>
      <c r="AP850" s="29">
        <v>0</v>
      </c>
      <c r="AR850" s="22">
        <v>45395</v>
      </c>
      <c r="AS850" s="26">
        <f t="shared" ca="1" si="145"/>
        <v>0.40305811313281903</v>
      </c>
      <c r="AT850" s="29">
        <v>0</v>
      </c>
      <c r="AV850" s="22">
        <v>45395</v>
      </c>
      <c r="AW850" s="26">
        <f t="shared" ca="1" si="146"/>
        <v>0.43920986902896464</v>
      </c>
      <c r="AX850" s="29">
        <v>0</v>
      </c>
      <c r="AZ850" s="22">
        <v>45395</v>
      </c>
      <c r="BA850" s="26">
        <f t="shared" ca="1" si="147"/>
        <v>0.65945216900413617</v>
      </c>
      <c r="BB850" s="29">
        <v>0</v>
      </c>
      <c r="BC850"/>
      <c r="BD850" s="25"/>
      <c r="BF850" s="22">
        <v>45395</v>
      </c>
      <c r="BG850" s="26">
        <f t="shared" ca="1" si="148"/>
        <v>0.28028957166016244</v>
      </c>
      <c r="BH850" s="29">
        <v>0</v>
      </c>
      <c r="BJ850" s="22">
        <v>45395</v>
      </c>
      <c r="BK850" s="26">
        <f t="shared" ca="1" si="149"/>
        <v>0.16379449555357706</v>
      </c>
      <c r="BL850" s="29">
        <v>0</v>
      </c>
      <c r="BN850" s="22">
        <v>45395</v>
      </c>
      <c r="BO850" s="26">
        <f t="shared" ca="1" si="150"/>
        <v>0.32983257610962213</v>
      </c>
      <c r="BP850" s="29">
        <v>0</v>
      </c>
      <c r="BR850" s="22">
        <v>45395</v>
      </c>
      <c r="BS850" s="26">
        <f t="shared" ca="1" si="151"/>
        <v>0.94377001497463464</v>
      </c>
      <c r="BT850" s="29">
        <v>0</v>
      </c>
      <c r="BV850" s="22">
        <v>45395</v>
      </c>
      <c r="BW850" s="26">
        <f t="shared" ca="1" si="152"/>
        <v>0.84064787215175996</v>
      </c>
      <c r="BX850" s="29">
        <v>0</v>
      </c>
    </row>
    <row r="851" spans="2:76" ht="12.75" x14ac:dyDescent="0.2">
      <c r="B851" s="22">
        <v>45396</v>
      </c>
      <c r="C851" s="26">
        <f t="shared" ca="1" si="135"/>
        <v>0.35887340181071392</v>
      </c>
      <c r="D851" s="29">
        <v>0</v>
      </c>
      <c r="F851" s="22"/>
      <c r="G851" s="26">
        <f t="shared" ca="1" si="136"/>
        <v>0.45818946072936928</v>
      </c>
      <c r="H851" s="29">
        <v>0</v>
      </c>
      <c r="J851" s="22">
        <v>45396</v>
      </c>
      <c r="K851" s="26">
        <f t="shared" ca="1" si="137"/>
        <v>0.43713967247939722</v>
      </c>
      <c r="L851" s="29">
        <v>0</v>
      </c>
      <c r="N851" s="22">
        <v>45396</v>
      </c>
      <c r="O851" s="26">
        <f t="shared" ca="1" si="138"/>
        <v>0.98526140693463793</v>
      </c>
      <c r="P851" s="29">
        <v>0</v>
      </c>
      <c r="R851" s="22">
        <v>45396</v>
      </c>
      <c r="S851" s="26">
        <f t="shared" ca="1" si="139"/>
        <v>0.47474433283475204</v>
      </c>
      <c r="T851" s="29">
        <v>0</v>
      </c>
      <c r="V851" s="22">
        <v>45396</v>
      </c>
      <c r="W851" s="26">
        <f t="shared" ca="1" si="140"/>
        <v>0.41509876161888726</v>
      </c>
      <c r="X851" s="29">
        <v>0</v>
      </c>
      <c r="Z851" s="22">
        <v>45396</v>
      </c>
      <c r="AA851" s="26">
        <f t="shared" ca="1" si="141"/>
        <v>0.78197219875360136</v>
      </c>
      <c r="AB851" s="29">
        <v>0</v>
      </c>
      <c r="AC851"/>
      <c r="AD851" s="25"/>
      <c r="AF851" s="22">
        <v>45396</v>
      </c>
      <c r="AG851" s="26">
        <f t="shared" ca="1" si="142"/>
        <v>0.83623535742793864</v>
      </c>
      <c r="AH851" s="29">
        <v>0</v>
      </c>
      <c r="AJ851" s="22">
        <v>45396</v>
      </c>
      <c r="AK851" s="26">
        <f t="shared" ca="1" si="143"/>
        <v>0.46827064161338094</v>
      </c>
      <c r="AL851" s="29">
        <v>0</v>
      </c>
      <c r="AN851" s="22">
        <v>45396</v>
      </c>
      <c r="AO851" s="26">
        <f t="shared" ca="1" si="144"/>
        <v>0.79838523676420925</v>
      </c>
      <c r="AP851" s="29">
        <v>0</v>
      </c>
      <c r="AR851" s="22">
        <v>45396</v>
      </c>
      <c r="AS851" s="26">
        <f t="shared" ca="1" si="145"/>
        <v>6.8159566629835133E-2</v>
      </c>
      <c r="AT851" s="29">
        <v>0</v>
      </c>
      <c r="AV851" s="22">
        <v>45396</v>
      </c>
      <c r="AW851" s="26">
        <f t="shared" ca="1" si="146"/>
        <v>0.35145256997075158</v>
      </c>
      <c r="AX851" s="29">
        <v>0</v>
      </c>
      <c r="AZ851" s="22">
        <v>45396</v>
      </c>
      <c r="BA851" s="26">
        <f t="shared" ca="1" si="147"/>
        <v>0.91378706457497949</v>
      </c>
      <c r="BB851" s="29">
        <v>0</v>
      </c>
      <c r="BC851"/>
      <c r="BD851" s="25"/>
      <c r="BF851" s="22">
        <v>45396</v>
      </c>
      <c r="BG851" s="26">
        <f t="shared" ca="1" si="148"/>
        <v>0.37639274160760428</v>
      </c>
      <c r="BH851" s="29">
        <v>0</v>
      </c>
      <c r="BJ851" s="22">
        <v>45396</v>
      </c>
      <c r="BK851" s="26">
        <f t="shared" ca="1" si="149"/>
        <v>0.87798410537465821</v>
      </c>
      <c r="BL851" s="29">
        <v>0</v>
      </c>
      <c r="BN851" s="22">
        <v>45396</v>
      </c>
      <c r="BO851" s="26">
        <f t="shared" ca="1" si="150"/>
        <v>0.44724600849950225</v>
      </c>
      <c r="BP851" s="29">
        <v>0</v>
      </c>
      <c r="BR851" s="22">
        <v>45396</v>
      </c>
      <c r="BS851" s="26">
        <f t="shared" ca="1" si="151"/>
        <v>0.73412315131535411</v>
      </c>
      <c r="BT851" s="29">
        <v>0</v>
      </c>
      <c r="BV851" s="22">
        <v>45396</v>
      </c>
      <c r="BW851" s="26">
        <f t="shared" ca="1" si="152"/>
        <v>0.13219990920484082</v>
      </c>
      <c r="BX851" s="29">
        <v>0</v>
      </c>
    </row>
    <row r="852" spans="2:76" ht="12.75" x14ac:dyDescent="0.2">
      <c r="B852" s="22">
        <v>45397</v>
      </c>
      <c r="C852" s="26">
        <f t="shared" ca="1" si="135"/>
        <v>0.70967857990745631</v>
      </c>
      <c r="D852" s="29">
        <v>0</v>
      </c>
      <c r="F852" s="22"/>
      <c r="G852" s="26">
        <f t="shared" ca="1" si="136"/>
        <v>0.6676403625331061</v>
      </c>
      <c r="H852" s="29">
        <v>0</v>
      </c>
      <c r="J852" s="22">
        <v>45397</v>
      </c>
      <c r="K852" s="26">
        <f t="shared" ca="1" si="137"/>
        <v>0.58999918671410723</v>
      </c>
      <c r="L852" s="29">
        <v>0</v>
      </c>
      <c r="N852" s="22">
        <v>45397</v>
      </c>
      <c r="O852" s="26">
        <f t="shared" ca="1" si="138"/>
        <v>3.6122141582259903E-3</v>
      </c>
      <c r="P852" s="29">
        <v>0</v>
      </c>
      <c r="R852" s="22">
        <v>45397</v>
      </c>
      <c r="S852" s="26">
        <f t="shared" ca="1" si="139"/>
        <v>0.50240925696872152</v>
      </c>
      <c r="T852" s="29">
        <v>0</v>
      </c>
      <c r="V852" s="22">
        <v>45397</v>
      </c>
      <c r="W852" s="26">
        <f t="shared" ca="1" si="140"/>
        <v>0.26719682831402669</v>
      </c>
      <c r="X852" s="29">
        <v>0</v>
      </c>
      <c r="Z852" s="22">
        <v>45397</v>
      </c>
      <c r="AA852" s="26">
        <f t="shared" ca="1" si="141"/>
        <v>3.9229002410654967E-2</v>
      </c>
      <c r="AB852" s="29">
        <v>0</v>
      </c>
      <c r="AC852"/>
      <c r="AD852" s="25"/>
      <c r="AF852" s="22">
        <v>45397</v>
      </c>
      <c r="AG852" s="26">
        <f t="shared" ca="1" si="142"/>
        <v>0.58743756573265027</v>
      </c>
      <c r="AH852" s="29">
        <v>0</v>
      </c>
      <c r="AJ852" s="22">
        <v>45397</v>
      </c>
      <c r="AK852" s="26">
        <f t="shared" ca="1" si="143"/>
        <v>0.67245176542430574</v>
      </c>
      <c r="AL852" s="29">
        <v>0</v>
      </c>
      <c r="AN852" s="22">
        <v>45397</v>
      </c>
      <c r="AO852" s="26">
        <f t="shared" ca="1" si="144"/>
        <v>0.26647434542602377</v>
      </c>
      <c r="AP852" s="29">
        <v>0</v>
      </c>
      <c r="AR852" s="22">
        <v>45397</v>
      </c>
      <c r="AS852" s="26">
        <f t="shared" ca="1" si="145"/>
        <v>0.59818237871646629</v>
      </c>
      <c r="AT852" s="29">
        <v>0</v>
      </c>
      <c r="AV852" s="22">
        <v>45397</v>
      </c>
      <c r="AW852" s="26">
        <f t="shared" ca="1" si="146"/>
        <v>0.60827694146681044</v>
      </c>
      <c r="AX852" s="29">
        <v>0</v>
      </c>
      <c r="AZ852" s="22">
        <v>45397</v>
      </c>
      <c r="BA852" s="26">
        <f t="shared" ca="1" si="147"/>
        <v>0.8319668377706374</v>
      </c>
      <c r="BB852" s="29">
        <v>0</v>
      </c>
      <c r="BC852"/>
      <c r="BD852" s="25"/>
      <c r="BF852" s="22">
        <v>45397</v>
      </c>
      <c r="BG852" s="26">
        <f t="shared" ca="1" si="148"/>
        <v>9.1400541834525062E-2</v>
      </c>
      <c r="BH852" s="29">
        <v>0</v>
      </c>
      <c r="BJ852" s="22">
        <v>45397</v>
      </c>
      <c r="BK852" s="26">
        <f t="shared" ca="1" si="149"/>
        <v>0.68458112484962463</v>
      </c>
      <c r="BL852" s="29">
        <v>0</v>
      </c>
      <c r="BN852" s="22">
        <v>45397</v>
      </c>
      <c r="BO852" s="26">
        <f t="shared" ca="1" si="150"/>
        <v>0.93596177341784392</v>
      </c>
      <c r="BP852" s="29">
        <v>0</v>
      </c>
      <c r="BR852" s="22">
        <v>45397</v>
      </c>
      <c r="BS852" s="26">
        <f t="shared" ca="1" si="151"/>
        <v>0.88339340751629436</v>
      </c>
      <c r="BT852" s="29">
        <v>0</v>
      </c>
      <c r="BV852" s="22">
        <v>45397</v>
      </c>
      <c r="BW852" s="26">
        <f t="shared" ca="1" si="152"/>
        <v>0.86121946369294278</v>
      </c>
      <c r="BX852" s="29">
        <v>0</v>
      </c>
    </row>
    <row r="853" spans="2:76" ht="12.75" x14ac:dyDescent="0.2">
      <c r="B853" s="22">
        <v>45398</v>
      </c>
      <c r="C853" s="26">
        <f t="shared" ca="1" si="135"/>
        <v>0.3961715087189186</v>
      </c>
      <c r="D853" s="29">
        <v>0</v>
      </c>
      <c r="F853" s="22"/>
      <c r="G853" s="26">
        <f t="shared" ca="1" si="136"/>
        <v>0.17539318421844108</v>
      </c>
      <c r="H853" s="29">
        <v>0</v>
      </c>
      <c r="J853" s="22">
        <v>45398</v>
      </c>
      <c r="K853" s="26">
        <f t="shared" ca="1" si="137"/>
        <v>0.70354477267081128</v>
      </c>
      <c r="L853" s="29">
        <v>0</v>
      </c>
      <c r="N853" s="22">
        <v>45398</v>
      </c>
      <c r="O853" s="26">
        <f t="shared" ca="1" si="138"/>
        <v>0.9490865209899233</v>
      </c>
      <c r="P853" s="29">
        <v>0</v>
      </c>
      <c r="R853" s="22">
        <v>45398</v>
      </c>
      <c r="S853" s="26">
        <f t="shared" ca="1" si="139"/>
        <v>0.97783844935318343</v>
      </c>
      <c r="T853" s="29">
        <v>0</v>
      </c>
      <c r="V853" s="22">
        <v>45398</v>
      </c>
      <c r="W853" s="26">
        <f t="shared" ca="1" si="140"/>
        <v>0.66126624200620443</v>
      </c>
      <c r="X853" s="29">
        <v>0</v>
      </c>
      <c r="Z853" s="22">
        <v>45398</v>
      </c>
      <c r="AA853" s="26">
        <f t="shared" ca="1" si="141"/>
        <v>0.68797255613355257</v>
      </c>
      <c r="AB853" s="29">
        <v>0</v>
      </c>
      <c r="AC853"/>
      <c r="AD853" s="25"/>
      <c r="AF853" s="22">
        <v>45398</v>
      </c>
      <c r="AG853" s="26">
        <f t="shared" ca="1" si="142"/>
        <v>0.60078504544564615</v>
      </c>
      <c r="AH853" s="29">
        <v>0</v>
      </c>
      <c r="AJ853" s="22">
        <v>45398</v>
      </c>
      <c r="AK853" s="26">
        <f t="shared" ca="1" si="143"/>
        <v>0.7051656012440487</v>
      </c>
      <c r="AL853" s="29">
        <v>0</v>
      </c>
      <c r="AN853" s="22">
        <v>45398</v>
      </c>
      <c r="AO853" s="26">
        <f t="shared" ca="1" si="144"/>
        <v>0.86452510459747511</v>
      </c>
      <c r="AP853" s="29">
        <v>0</v>
      </c>
      <c r="AR853" s="22">
        <v>45398</v>
      </c>
      <c r="AS853" s="26">
        <f t="shared" ca="1" si="145"/>
        <v>0.81566463170261894</v>
      </c>
      <c r="AT853" s="29">
        <v>0</v>
      </c>
      <c r="AV853" s="22">
        <v>45398</v>
      </c>
      <c r="AW853" s="26">
        <f t="shared" ca="1" si="146"/>
        <v>0.9317862511173709</v>
      </c>
      <c r="AX853" s="29">
        <v>0</v>
      </c>
      <c r="AZ853" s="22">
        <v>45398</v>
      </c>
      <c r="BA853" s="26">
        <f t="shared" ca="1" si="147"/>
        <v>0.18814858389401967</v>
      </c>
      <c r="BB853" s="29">
        <v>0</v>
      </c>
      <c r="BC853"/>
      <c r="BD853" s="25"/>
      <c r="BF853" s="22">
        <v>45398</v>
      </c>
      <c r="BG853" s="26">
        <f t="shared" ca="1" si="148"/>
        <v>0.30902475549144759</v>
      </c>
      <c r="BH853" s="29">
        <v>0</v>
      </c>
      <c r="BJ853" s="22">
        <v>45398</v>
      </c>
      <c r="BK853" s="26">
        <f t="shared" ca="1" si="149"/>
        <v>0.31796160426776909</v>
      </c>
      <c r="BL853" s="29">
        <v>0</v>
      </c>
      <c r="BN853" s="22">
        <v>45398</v>
      </c>
      <c r="BO853" s="26">
        <f t="shared" ca="1" si="150"/>
        <v>0.89547178372349012</v>
      </c>
      <c r="BP853" s="29">
        <v>0</v>
      </c>
      <c r="BR853" s="22">
        <v>45398</v>
      </c>
      <c r="BS853" s="26">
        <f t="shared" ca="1" si="151"/>
        <v>0.51038860207007464</v>
      </c>
      <c r="BT853" s="29">
        <v>0</v>
      </c>
      <c r="BV853" s="22">
        <v>45398</v>
      </c>
      <c r="BW853" s="26">
        <f t="shared" ca="1" si="152"/>
        <v>4.976691048491122E-2</v>
      </c>
      <c r="BX853" s="29">
        <v>0</v>
      </c>
    </row>
    <row r="854" spans="2:76" ht="12.75" x14ac:dyDescent="0.2">
      <c r="B854" s="22">
        <v>45399</v>
      </c>
      <c r="C854" s="26">
        <f t="shared" ca="1" si="135"/>
        <v>0.23128270415974894</v>
      </c>
      <c r="D854" s="29">
        <v>0</v>
      </c>
      <c r="F854" s="22"/>
      <c r="G854" s="26">
        <f t="shared" ca="1" si="136"/>
        <v>0.90699384018871554</v>
      </c>
      <c r="H854" s="29">
        <v>0</v>
      </c>
      <c r="J854" s="22">
        <v>45399</v>
      </c>
      <c r="K854" s="26">
        <f t="shared" ca="1" si="137"/>
        <v>0.40583728993879153</v>
      </c>
      <c r="L854" s="29">
        <v>0</v>
      </c>
      <c r="N854" s="22">
        <v>45399</v>
      </c>
      <c r="O854" s="26">
        <f t="shared" ca="1" si="138"/>
        <v>0.37970850458091565</v>
      </c>
      <c r="P854" s="29">
        <v>0</v>
      </c>
      <c r="R854" s="22">
        <v>45399</v>
      </c>
      <c r="S854" s="26">
        <f t="shared" ca="1" si="139"/>
        <v>0.21688839921166547</v>
      </c>
      <c r="T854" s="29">
        <v>0</v>
      </c>
      <c r="V854" s="22">
        <v>45399</v>
      </c>
      <c r="W854" s="26">
        <f t="shared" ca="1" si="140"/>
        <v>0.505946039300321</v>
      </c>
      <c r="X854" s="29">
        <v>0</v>
      </c>
      <c r="Z854" s="22">
        <v>45399</v>
      </c>
      <c r="AA854" s="26">
        <f t="shared" ca="1" si="141"/>
        <v>0.55088773949842451</v>
      </c>
      <c r="AB854" s="29">
        <v>0</v>
      </c>
      <c r="AC854"/>
      <c r="AD854" s="25"/>
      <c r="AF854" s="22">
        <v>45399</v>
      </c>
      <c r="AG854" s="26">
        <f t="shared" ca="1" si="142"/>
        <v>0.85712461018675479</v>
      </c>
      <c r="AH854" s="29">
        <v>0</v>
      </c>
      <c r="AJ854" s="22">
        <v>45399</v>
      </c>
      <c r="AK854" s="26">
        <f t="shared" ca="1" si="143"/>
        <v>0.48447889679857359</v>
      </c>
      <c r="AL854" s="29">
        <v>0</v>
      </c>
      <c r="AN854" s="22">
        <v>45399</v>
      </c>
      <c r="AO854" s="26">
        <f t="shared" ca="1" si="144"/>
        <v>0.36645453933458672</v>
      </c>
      <c r="AP854" s="29">
        <v>0</v>
      </c>
      <c r="AR854" s="22">
        <v>45399</v>
      </c>
      <c r="AS854" s="26">
        <f t="shared" ca="1" si="145"/>
        <v>0.75955604880974248</v>
      </c>
      <c r="AT854" s="29">
        <v>0</v>
      </c>
      <c r="AV854" s="22">
        <v>45399</v>
      </c>
      <c r="AW854" s="26">
        <f t="shared" ca="1" si="146"/>
        <v>0.44386468688405822</v>
      </c>
      <c r="AX854" s="29">
        <v>0</v>
      </c>
      <c r="AZ854" s="22">
        <v>45399</v>
      </c>
      <c r="BA854" s="26">
        <f t="shared" ca="1" si="147"/>
        <v>0.69308199234513557</v>
      </c>
      <c r="BB854" s="29">
        <v>0</v>
      </c>
      <c r="BC854"/>
      <c r="BD854" s="25"/>
      <c r="BF854" s="22">
        <v>45399</v>
      </c>
      <c r="BG854" s="26">
        <f t="shared" ca="1" si="148"/>
        <v>0.48797680635902152</v>
      </c>
      <c r="BH854" s="29">
        <v>0</v>
      </c>
      <c r="BJ854" s="22">
        <v>45399</v>
      </c>
      <c r="BK854" s="26">
        <f t="shared" ca="1" si="149"/>
        <v>0.59902236883814552</v>
      </c>
      <c r="BL854" s="29">
        <v>0</v>
      </c>
      <c r="BN854" s="22">
        <v>45399</v>
      </c>
      <c r="BO854" s="26">
        <f t="shared" ca="1" si="150"/>
        <v>0.35364864812674623</v>
      </c>
      <c r="BP854" s="29">
        <v>0</v>
      </c>
      <c r="BR854" s="22">
        <v>45399</v>
      </c>
      <c r="BS854" s="26">
        <f t="shared" ca="1" si="151"/>
        <v>0.28948251483003584</v>
      </c>
      <c r="BT854" s="29">
        <v>0</v>
      </c>
      <c r="BV854" s="22">
        <v>45399</v>
      </c>
      <c r="BW854" s="26">
        <f t="shared" ca="1" si="152"/>
        <v>0.26970989294938463</v>
      </c>
      <c r="BX854" s="29">
        <v>0</v>
      </c>
    </row>
    <row r="855" spans="2:76" ht="12.75" x14ac:dyDescent="0.2">
      <c r="B855" s="22">
        <v>45400</v>
      </c>
      <c r="C855" s="26">
        <f t="shared" ca="1" si="135"/>
        <v>0.41515279431626906</v>
      </c>
      <c r="D855" s="29">
        <f t="shared" ref="D855:D913" ca="1" si="187">ROUNDUP(_xlfn.NORM.INV(C855,C$10,C$12),0)</f>
        <v>71</v>
      </c>
      <c r="F855" s="22"/>
      <c r="G855" s="26">
        <f t="shared" ca="1" si="136"/>
        <v>5.9978589325375253E-2</v>
      </c>
      <c r="H855" s="29">
        <f t="shared" ref="H855:H918" ca="1" si="188">ROUNDUP(_xlfn.NORM.INV(G855,G$10,G$12),0)</f>
        <v>194</v>
      </c>
      <c r="J855" s="22">
        <v>45400</v>
      </c>
      <c r="K855" s="26">
        <f t="shared" ca="1" si="137"/>
        <v>0.73978587675494123</v>
      </c>
      <c r="L855" s="29">
        <f t="shared" ref="L855:L918" ca="1" si="189">ROUNDUP(_xlfn.NORM.INV(K855,K$10,K$12),0)</f>
        <v>157</v>
      </c>
      <c r="N855" s="22">
        <v>45400</v>
      </c>
      <c r="O855" s="26">
        <f t="shared" ca="1" si="138"/>
        <v>0.80835650701246109</v>
      </c>
      <c r="P855" s="29">
        <f t="shared" ref="P855:P918" ca="1" si="190">ROUNDUP(_xlfn.NORM.INV(O855,O$10,O$12),0)</f>
        <v>243</v>
      </c>
      <c r="R855" s="22">
        <v>45400</v>
      </c>
      <c r="S855" s="26">
        <f t="shared" ca="1" si="139"/>
        <v>0.42963110369333024</v>
      </c>
      <c r="T855" s="29">
        <f t="shared" ref="T855:T918" ca="1" si="191">ROUNDUP(_xlfn.NORM.INV(S855,S$10,S$12),0)</f>
        <v>138</v>
      </c>
      <c r="V855" s="22">
        <v>45400</v>
      </c>
      <c r="W855" s="26">
        <f t="shared" ca="1" si="140"/>
        <v>0.54573560139790944</v>
      </c>
      <c r="X855" s="29">
        <f t="shared" ref="X855:X918" ca="1" si="192">ROUNDUP(_xlfn.NORM.INV(W855,W$10,W$12),0)</f>
        <v>227</v>
      </c>
      <c r="Z855" s="22">
        <v>45400</v>
      </c>
      <c r="AA855" s="26">
        <f t="shared" ca="1" si="141"/>
        <v>0.84706959987236019</v>
      </c>
      <c r="AB855" s="29">
        <f t="shared" ref="AB855:AB918" ca="1" si="193">ROUNDUP(_xlfn.NORM.INV(AA855,AA$10,AA$12),0)</f>
        <v>289</v>
      </c>
      <c r="AC855"/>
      <c r="AD855" s="25"/>
      <c r="AF855" s="22">
        <v>45400</v>
      </c>
      <c r="AG855" s="26">
        <f t="shared" ca="1" si="142"/>
        <v>0.13945345789618036</v>
      </c>
      <c r="AH855" s="29">
        <f t="shared" ref="AH855:AH918" ca="1" si="194">ROUNDUP(_xlfn.NORM.INV(AG855,AG$10,AG$12),0)</f>
        <v>233</v>
      </c>
      <c r="AJ855" s="22">
        <v>45400</v>
      </c>
      <c r="AK855" s="26">
        <f t="shared" ca="1" si="143"/>
        <v>0.19554565300668492</v>
      </c>
      <c r="AL855" s="29">
        <f t="shared" ref="AL855:AL918" ca="1" si="195">ROUNDUP(_xlfn.NORM.INV(AK855,AK$10,AK$12),0)</f>
        <v>139</v>
      </c>
      <c r="AN855" s="22">
        <v>45400</v>
      </c>
      <c r="AO855" s="26">
        <f t="shared" ca="1" si="144"/>
        <v>0.40397352714218404</v>
      </c>
      <c r="AP855" s="29">
        <f t="shared" ref="AP855:AP918" ca="1" si="196">ROUNDUP(_xlfn.NORM.INV(AO855,AO$10,AO$12),0)</f>
        <v>138</v>
      </c>
      <c r="AR855" s="22">
        <v>45400</v>
      </c>
      <c r="AS855" s="26">
        <f t="shared" ca="1" si="145"/>
        <v>0.64424428634796582</v>
      </c>
      <c r="AT855" s="29">
        <f t="shared" ref="AT855:AT918" ca="1" si="197">ROUNDUP(_xlfn.NORM.INV(AS855,AS$10,AS$12),0)</f>
        <v>239</v>
      </c>
      <c r="AV855" s="22">
        <v>45400</v>
      </c>
      <c r="AW855" s="26">
        <f t="shared" ca="1" si="146"/>
        <v>0.45218071572061769</v>
      </c>
      <c r="AX855" s="29">
        <f t="shared" ref="AX855:AX918" ca="1" si="198">ROUNDUP(_xlfn.NORM.INV(AW855,AW$10,AW$12),0)</f>
        <v>186</v>
      </c>
      <c r="AZ855" s="22">
        <v>45400</v>
      </c>
      <c r="BA855" s="26">
        <f t="shared" ca="1" si="147"/>
        <v>0.73792139992548922</v>
      </c>
      <c r="BB855" s="29">
        <f t="shared" ref="BB855:BB918" ca="1" si="199">ROUNDUP(_xlfn.NORM.INV(BA855,BA$10,BA$12),0)</f>
        <v>211</v>
      </c>
      <c r="BC855"/>
      <c r="BD855" s="25"/>
      <c r="BF855" s="22">
        <v>45400</v>
      </c>
      <c r="BG855" s="26">
        <f t="shared" ca="1" si="148"/>
        <v>0.79411614832050748</v>
      </c>
      <c r="BH855" s="29">
        <f t="shared" ref="BH855:BH918" ca="1" si="200">ROUNDUP(_xlfn.NORM.INV(BG855,BG$10,BG$12),0)</f>
        <v>195</v>
      </c>
      <c r="BJ855" s="22">
        <v>45400</v>
      </c>
      <c r="BK855" s="26">
        <f t="shared" ca="1" si="149"/>
        <v>0.33859032346552098</v>
      </c>
      <c r="BL855" s="29">
        <f t="shared" ref="BL855:BL918" ca="1" si="201">ROUNDUP(_xlfn.NORM.INV(BK855,BK$10,BK$12),0)</f>
        <v>147</v>
      </c>
      <c r="BN855" s="22">
        <v>45400</v>
      </c>
      <c r="BO855" s="26">
        <f t="shared" ca="1" si="150"/>
        <v>0.60880666432067343</v>
      </c>
      <c r="BP855" s="29">
        <f t="shared" ref="BP855:BP918" ca="1" si="202">ROUNDUP(_xlfn.NORM.INV(BO855,BO$10,BO$12),0)</f>
        <v>141</v>
      </c>
      <c r="BR855" s="22">
        <v>45400</v>
      </c>
      <c r="BS855" s="26">
        <f t="shared" ca="1" si="151"/>
        <v>0.8840554581836525</v>
      </c>
      <c r="BT855" s="29">
        <f t="shared" ref="BT855:BT918" ca="1" si="203">ROUNDUP(_xlfn.NORM.INV(BS855,BS$10,BS$12),0)</f>
        <v>229</v>
      </c>
      <c r="BV855" s="22">
        <v>45400</v>
      </c>
      <c r="BW855" s="26">
        <f t="shared" ca="1" si="152"/>
        <v>0.15749596863520965</v>
      </c>
      <c r="BX855" s="29">
        <f t="shared" ref="BX855:BX918" ca="1" si="204">ROUNDUP(_xlfn.NORM.INV(BW855,BW$10,BW$12),0)</f>
        <v>135</v>
      </c>
    </row>
    <row r="856" spans="2:76" ht="12.75" x14ac:dyDescent="0.2">
      <c r="B856" s="22">
        <v>45401</v>
      </c>
      <c r="C856" s="26">
        <f t="shared" ca="1" si="135"/>
        <v>0.44000289286736904</v>
      </c>
      <c r="D856" s="29">
        <f t="shared" ca="1" si="187"/>
        <v>72</v>
      </c>
      <c r="F856" s="22"/>
      <c r="G856" s="26">
        <f t="shared" ca="1" si="136"/>
        <v>0.13711468156579021</v>
      </c>
      <c r="H856" s="29">
        <f t="shared" ca="1" si="188"/>
        <v>200</v>
      </c>
      <c r="J856" s="22">
        <v>45401</v>
      </c>
      <c r="K856" s="26">
        <f t="shared" ca="1" si="137"/>
        <v>0.45100812514618438</v>
      </c>
      <c r="L856" s="29">
        <f t="shared" ca="1" si="189"/>
        <v>149</v>
      </c>
      <c r="N856" s="22">
        <v>45401</v>
      </c>
      <c r="O856" s="26">
        <f t="shared" ca="1" si="138"/>
        <v>0.14703484263266864</v>
      </c>
      <c r="P856" s="29">
        <f t="shared" ca="1" si="190"/>
        <v>214</v>
      </c>
      <c r="R856" s="22">
        <v>45401</v>
      </c>
      <c r="S856" s="26">
        <f t="shared" ca="1" si="139"/>
        <v>0.78155582711308624</v>
      </c>
      <c r="T856" s="29">
        <f t="shared" ca="1" si="191"/>
        <v>146</v>
      </c>
      <c r="V856" s="22">
        <v>45401</v>
      </c>
      <c r="W856" s="26">
        <f t="shared" ca="1" si="140"/>
        <v>0.59485161745579862</v>
      </c>
      <c r="X856" s="29">
        <f t="shared" ca="1" si="192"/>
        <v>229</v>
      </c>
      <c r="Z856" s="22">
        <v>45401</v>
      </c>
      <c r="AA856" s="26">
        <f t="shared" ca="1" si="141"/>
        <v>0.39862451673140509</v>
      </c>
      <c r="AB856" s="29">
        <f t="shared" ca="1" si="193"/>
        <v>266</v>
      </c>
      <c r="AC856"/>
      <c r="AD856" s="25"/>
      <c r="AF856" s="22">
        <v>45401</v>
      </c>
      <c r="AG856" s="26">
        <f t="shared" ca="1" si="142"/>
        <v>0.70440038243361347</v>
      </c>
      <c r="AH856" s="29">
        <f t="shared" ca="1" si="194"/>
        <v>374</v>
      </c>
      <c r="AJ856" s="22">
        <v>45401</v>
      </c>
      <c r="AK856" s="26">
        <f t="shared" ca="1" si="143"/>
        <v>0.19046184438781899</v>
      </c>
      <c r="AL856" s="29">
        <f t="shared" ca="1" si="195"/>
        <v>138</v>
      </c>
      <c r="AN856" s="22">
        <v>45401</v>
      </c>
      <c r="AO856" s="26">
        <f t="shared" ca="1" si="144"/>
        <v>0.77761218564620682</v>
      </c>
      <c r="AP856" s="29">
        <f t="shared" ca="1" si="196"/>
        <v>178</v>
      </c>
      <c r="AR856" s="22">
        <v>45401</v>
      </c>
      <c r="AS856" s="26">
        <f t="shared" ca="1" si="145"/>
        <v>5.1322133458533981E-2</v>
      </c>
      <c r="AT856" s="29">
        <f t="shared" ca="1" si="197"/>
        <v>123</v>
      </c>
      <c r="AV856" s="22">
        <v>45401</v>
      </c>
      <c r="AW856" s="26">
        <f t="shared" ca="1" si="146"/>
        <v>0.88709385456681855</v>
      </c>
      <c r="AX856" s="29">
        <f t="shared" ca="1" si="198"/>
        <v>254</v>
      </c>
      <c r="AZ856" s="22">
        <v>45401</v>
      </c>
      <c r="BA856" s="26">
        <f t="shared" ca="1" si="147"/>
        <v>0.29560532139098139</v>
      </c>
      <c r="BB856" s="29">
        <f t="shared" ca="1" si="199"/>
        <v>155</v>
      </c>
      <c r="BC856"/>
      <c r="BD856" s="25"/>
      <c r="BF856" s="22">
        <v>45401</v>
      </c>
      <c r="BG856" s="26">
        <f t="shared" ca="1" si="148"/>
        <v>0.19154239554848806</v>
      </c>
      <c r="BH856" s="29">
        <f t="shared" ca="1" si="200"/>
        <v>123</v>
      </c>
      <c r="BJ856" s="22">
        <v>45401</v>
      </c>
      <c r="BK856" s="26">
        <f t="shared" ca="1" si="149"/>
        <v>0.36488205420661834</v>
      </c>
      <c r="BL856" s="29">
        <f t="shared" ca="1" si="201"/>
        <v>150</v>
      </c>
      <c r="BN856" s="22">
        <v>45401</v>
      </c>
      <c r="BO856" s="26">
        <f t="shared" ca="1" si="150"/>
        <v>0.11307132355533389</v>
      </c>
      <c r="BP856" s="29">
        <f t="shared" ca="1" si="202"/>
        <v>89</v>
      </c>
      <c r="BR856" s="22">
        <v>45401</v>
      </c>
      <c r="BS856" s="26">
        <f t="shared" ca="1" si="151"/>
        <v>0.30554189810058041</v>
      </c>
      <c r="BT856" s="29">
        <f t="shared" ca="1" si="203"/>
        <v>151</v>
      </c>
      <c r="BV856" s="22">
        <v>45401</v>
      </c>
      <c r="BW856" s="26">
        <f t="shared" ca="1" si="152"/>
        <v>3.3417094868111286E-2</v>
      </c>
      <c r="BX856" s="29">
        <f t="shared" ca="1" si="204"/>
        <v>94</v>
      </c>
    </row>
    <row r="857" spans="2:76" ht="12.75" x14ac:dyDescent="0.2">
      <c r="B857" s="22">
        <v>45402</v>
      </c>
      <c r="C857" s="26">
        <f t="shared" ca="1" si="135"/>
        <v>0.86615365420181301</v>
      </c>
      <c r="D857" s="29">
        <f t="shared" ca="1" si="187"/>
        <v>98</v>
      </c>
      <c r="F857" s="22"/>
      <c r="G857" s="26">
        <f t="shared" ca="1" si="136"/>
        <v>0.59865612313943717</v>
      </c>
      <c r="H857" s="29">
        <f t="shared" ca="1" si="188"/>
        <v>219</v>
      </c>
      <c r="J857" s="22">
        <v>45402</v>
      </c>
      <c r="K857" s="26">
        <f t="shared" ca="1" si="137"/>
        <v>0.1201539942176032</v>
      </c>
      <c r="L857" s="29">
        <f t="shared" ca="1" si="189"/>
        <v>139</v>
      </c>
      <c r="N857" s="22">
        <v>45402</v>
      </c>
      <c r="O857" s="26">
        <f t="shared" ca="1" si="138"/>
        <v>0.13227792278135064</v>
      </c>
      <c r="P857" s="29">
        <f t="shared" ca="1" si="190"/>
        <v>213</v>
      </c>
      <c r="R857" s="22">
        <v>45402</v>
      </c>
      <c r="S857" s="26">
        <f t="shared" ca="1" si="139"/>
        <v>0.16498749229303511</v>
      </c>
      <c r="T857" s="29">
        <f t="shared" ca="1" si="191"/>
        <v>130</v>
      </c>
      <c r="V857" s="22">
        <v>45402</v>
      </c>
      <c r="W857" s="26">
        <f t="shared" ca="1" si="140"/>
        <v>0.91906480029779358</v>
      </c>
      <c r="X857" s="29">
        <f t="shared" ca="1" si="192"/>
        <v>246</v>
      </c>
      <c r="Z857" s="22">
        <v>45402</v>
      </c>
      <c r="AA857" s="26">
        <f t="shared" ca="1" si="141"/>
        <v>0.11932520883953779</v>
      </c>
      <c r="AB857" s="29">
        <f t="shared" ca="1" si="193"/>
        <v>249</v>
      </c>
      <c r="AC857"/>
      <c r="AD857" s="25"/>
      <c r="AF857" s="22">
        <v>45402</v>
      </c>
      <c r="AG857" s="26">
        <f t="shared" ca="1" si="142"/>
        <v>0.54230163645865359</v>
      </c>
      <c r="AH857" s="29">
        <f t="shared" ca="1" si="194"/>
        <v>337</v>
      </c>
      <c r="AJ857" s="22">
        <v>45402</v>
      </c>
      <c r="AK857" s="26">
        <f t="shared" ca="1" si="143"/>
        <v>4.5266516314390604E-3</v>
      </c>
      <c r="AL857" s="29">
        <f t="shared" ca="1" si="195"/>
        <v>55</v>
      </c>
      <c r="AN857" s="22">
        <v>45402</v>
      </c>
      <c r="AO857" s="26">
        <f t="shared" ca="1" si="144"/>
        <v>0.44406495285629577</v>
      </c>
      <c r="AP857" s="29">
        <f t="shared" ca="1" si="196"/>
        <v>142</v>
      </c>
      <c r="AR857" s="22">
        <v>45402</v>
      </c>
      <c r="AS857" s="26">
        <f t="shared" ca="1" si="145"/>
        <v>0.55419154199938059</v>
      </c>
      <c r="AT857" s="29">
        <f t="shared" ca="1" si="197"/>
        <v>225</v>
      </c>
      <c r="AV857" s="22">
        <v>45402</v>
      </c>
      <c r="AW857" s="26">
        <f t="shared" ca="1" si="146"/>
        <v>0.74954810037845987</v>
      </c>
      <c r="AX857" s="29">
        <f t="shared" ca="1" si="198"/>
        <v>227</v>
      </c>
      <c r="AZ857" s="22">
        <v>45402</v>
      </c>
      <c r="BA857" s="26">
        <f t="shared" ca="1" si="147"/>
        <v>0.96560478357290547</v>
      </c>
      <c r="BB857" s="29">
        <f t="shared" ca="1" si="199"/>
        <v>268</v>
      </c>
      <c r="BC857"/>
      <c r="BD857" s="25"/>
      <c r="BF857" s="22">
        <v>45402</v>
      </c>
      <c r="BG857" s="26">
        <f t="shared" ca="1" si="148"/>
        <v>0.91004769205900582</v>
      </c>
      <c r="BH857" s="29">
        <f t="shared" ca="1" si="200"/>
        <v>217</v>
      </c>
      <c r="BJ857" s="22">
        <v>45402</v>
      </c>
      <c r="BK857" s="26">
        <f t="shared" ca="1" si="149"/>
        <v>0.62733425379828878</v>
      </c>
      <c r="BL857" s="29">
        <f t="shared" ca="1" si="201"/>
        <v>179</v>
      </c>
      <c r="BN857" s="22">
        <v>45402</v>
      </c>
      <c r="BO857" s="26">
        <f t="shared" ca="1" si="150"/>
        <v>0.52081626815630233</v>
      </c>
      <c r="BP857" s="29">
        <f t="shared" ca="1" si="202"/>
        <v>133</v>
      </c>
      <c r="BR857" s="22">
        <v>45402</v>
      </c>
      <c r="BS857" s="26">
        <f t="shared" ca="1" si="151"/>
        <v>0.27399233050760641</v>
      </c>
      <c r="BT857" s="29">
        <f t="shared" ca="1" si="203"/>
        <v>146</v>
      </c>
      <c r="BV857" s="22">
        <v>45402</v>
      </c>
      <c r="BW857" s="26">
        <f t="shared" ca="1" si="152"/>
        <v>0.7185579959990549</v>
      </c>
      <c r="BX857" s="29">
        <f t="shared" ca="1" si="204"/>
        <v>212</v>
      </c>
    </row>
    <row r="858" spans="2:76" ht="12.75" x14ac:dyDescent="0.2">
      <c r="B858" s="22">
        <v>45403</v>
      </c>
      <c r="C858" s="26">
        <f t="shared" ca="1" si="135"/>
        <v>0.67642716504443989</v>
      </c>
      <c r="D858" s="29">
        <f t="shared" ca="1" si="187"/>
        <v>85</v>
      </c>
      <c r="F858" s="22"/>
      <c r="G858" s="26">
        <f t="shared" ca="1" si="136"/>
        <v>0.21403785801710018</v>
      </c>
      <c r="H858" s="29">
        <f t="shared" ca="1" si="188"/>
        <v>205</v>
      </c>
      <c r="J858" s="22">
        <v>45403</v>
      </c>
      <c r="K858" s="26">
        <f t="shared" ca="1" si="137"/>
        <v>0.619872469686926</v>
      </c>
      <c r="L858" s="29">
        <f t="shared" ca="1" si="189"/>
        <v>154</v>
      </c>
      <c r="N858" s="22">
        <v>45403</v>
      </c>
      <c r="O858" s="26">
        <f t="shared" ca="1" si="138"/>
        <v>0.41819946223252269</v>
      </c>
      <c r="P858" s="29">
        <f t="shared" ca="1" si="190"/>
        <v>227</v>
      </c>
      <c r="R858" s="22">
        <v>45403</v>
      </c>
      <c r="S858" s="26">
        <f t="shared" ca="1" si="139"/>
        <v>0.85227014703145842</v>
      </c>
      <c r="T858" s="29">
        <f t="shared" ca="1" si="191"/>
        <v>149</v>
      </c>
      <c r="V858" s="22">
        <v>45403</v>
      </c>
      <c r="W858" s="26">
        <f t="shared" ca="1" si="140"/>
        <v>0.30265493578123792</v>
      </c>
      <c r="X858" s="29">
        <f t="shared" ca="1" si="192"/>
        <v>218</v>
      </c>
      <c r="Z858" s="22">
        <v>45403</v>
      </c>
      <c r="AA858" s="26">
        <f t="shared" ca="1" si="141"/>
        <v>0.44251253637800392</v>
      </c>
      <c r="AB858" s="29">
        <f t="shared" ca="1" si="193"/>
        <v>268</v>
      </c>
      <c r="AC858"/>
      <c r="AD858" s="25"/>
      <c r="AF858" s="22">
        <v>45403</v>
      </c>
      <c r="AG858" s="26">
        <f t="shared" ca="1" si="142"/>
        <v>0.88065574082687637</v>
      </c>
      <c r="AH858" s="29">
        <f t="shared" ca="1" si="194"/>
        <v>430</v>
      </c>
      <c r="AJ858" s="22">
        <v>45403</v>
      </c>
      <c r="AK858" s="26">
        <f t="shared" ca="1" si="143"/>
        <v>8.9534304002412912E-2</v>
      </c>
      <c r="AL858" s="29">
        <f t="shared" ca="1" si="195"/>
        <v>116</v>
      </c>
      <c r="AN858" s="22">
        <v>45403</v>
      </c>
      <c r="AO858" s="26">
        <f t="shared" ca="1" si="144"/>
        <v>0.83460814957197049</v>
      </c>
      <c r="AP858" s="29">
        <f t="shared" ca="1" si="196"/>
        <v>186</v>
      </c>
      <c r="AR858" s="22">
        <v>45403</v>
      </c>
      <c r="AS858" s="26">
        <f t="shared" ca="1" si="145"/>
        <v>0.6082158340494388</v>
      </c>
      <c r="AT858" s="29">
        <f t="shared" ca="1" si="197"/>
        <v>233</v>
      </c>
      <c r="AV858" s="22">
        <v>45403</v>
      </c>
      <c r="AW858" s="26">
        <f t="shared" ca="1" si="146"/>
        <v>0.25595186199074416</v>
      </c>
      <c r="AX858" s="29">
        <f t="shared" ca="1" si="198"/>
        <v>159</v>
      </c>
      <c r="AZ858" s="22">
        <v>45403</v>
      </c>
      <c r="BA858" s="26">
        <f t="shared" ca="1" si="147"/>
        <v>0.79661883145992007</v>
      </c>
      <c r="BB858" s="29">
        <f t="shared" ca="1" si="199"/>
        <v>220</v>
      </c>
      <c r="BC858"/>
      <c r="BD858" s="25"/>
      <c r="BF858" s="22">
        <v>45403</v>
      </c>
      <c r="BG858" s="26">
        <f t="shared" ca="1" si="148"/>
        <v>0.25101368412397729</v>
      </c>
      <c r="BH858" s="29">
        <f t="shared" ca="1" si="200"/>
        <v>132</v>
      </c>
      <c r="BJ858" s="22">
        <v>45403</v>
      </c>
      <c r="BK858" s="26">
        <f t="shared" ca="1" si="149"/>
        <v>0.90434946616780643</v>
      </c>
      <c r="BL858" s="29">
        <f t="shared" ca="1" si="201"/>
        <v>222</v>
      </c>
      <c r="BN858" s="22">
        <v>45403</v>
      </c>
      <c r="BO858" s="26">
        <f t="shared" ca="1" si="150"/>
        <v>0.78153701009057996</v>
      </c>
      <c r="BP858" s="29">
        <f t="shared" ca="1" si="202"/>
        <v>159</v>
      </c>
      <c r="BR858" s="22">
        <v>45403</v>
      </c>
      <c r="BS858" s="26">
        <f t="shared" ca="1" si="151"/>
        <v>4.6879992721415742E-2</v>
      </c>
      <c r="BT858" s="29">
        <f t="shared" ca="1" si="203"/>
        <v>96</v>
      </c>
      <c r="BV858" s="22">
        <v>45403</v>
      </c>
      <c r="BW858" s="26">
        <f t="shared" ca="1" si="152"/>
        <v>0.3414153173375889</v>
      </c>
      <c r="BX858" s="29">
        <f t="shared" ca="1" si="204"/>
        <v>164</v>
      </c>
    </row>
    <row r="859" spans="2:76" ht="12.75" x14ac:dyDescent="0.2">
      <c r="B859" s="22">
        <v>45404</v>
      </c>
      <c r="C859" s="26">
        <f t="shared" ca="1" si="135"/>
        <v>0.77501296091410943</v>
      </c>
      <c r="D859" s="29">
        <f t="shared" ca="1" si="187"/>
        <v>91</v>
      </c>
      <c r="F859" s="22"/>
      <c r="G859" s="26">
        <f t="shared" ca="1" si="136"/>
        <v>0.3399824033797082</v>
      </c>
      <c r="H859" s="29">
        <f t="shared" ca="1" si="188"/>
        <v>210</v>
      </c>
      <c r="J859" s="22">
        <v>45404</v>
      </c>
      <c r="K859" s="26">
        <f t="shared" ca="1" si="137"/>
        <v>0.59636729928683074</v>
      </c>
      <c r="L859" s="29">
        <f t="shared" ca="1" si="189"/>
        <v>153</v>
      </c>
      <c r="N859" s="22">
        <v>45404</v>
      </c>
      <c r="O859" s="26">
        <f t="shared" ca="1" si="138"/>
        <v>0.50651637491523904</v>
      </c>
      <c r="P859" s="29">
        <f t="shared" ca="1" si="190"/>
        <v>230</v>
      </c>
      <c r="R859" s="22">
        <v>45404</v>
      </c>
      <c r="S859" s="26">
        <f t="shared" ca="1" si="139"/>
        <v>0.57500187550543169</v>
      </c>
      <c r="T859" s="29">
        <f t="shared" ca="1" si="191"/>
        <v>141</v>
      </c>
      <c r="V859" s="22">
        <v>45404</v>
      </c>
      <c r="W859" s="26">
        <f t="shared" ca="1" si="140"/>
        <v>0.59233412751574888</v>
      </c>
      <c r="X859" s="29">
        <f t="shared" ca="1" si="192"/>
        <v>229</v>
      </c>
      <c r="Z859" s="22">
        <v>45404</v>
      </c>
      <c r="AA859" s="26">
        <f t="shared" ca="1" si="141"/>
        <v>0.19744129502220964</v>
      </c>
      <c r="AB859" s="29">
        <f t="shared" ca="1" si="193"/>
        <v>255</v>
      </c>
      <c r="AC859"/>
      <c r="AD859" s="25"/>
      <c r="AF859" s="22">
        <v>45404</v>
      </c>
      <c r="AG859" s="26">
        <f t="shared" ca="1" si="142"/>
        <v>0.61102076107272041</v>
      </c>
      <c r="AH859" s="29">
        <f t="shared" ca="1" si="194"/>
        <v>352</v>
      </c>
      <c r="AJ859" s="22">
        <v>45404</v>
      </c>
      <c r="AK859" s="26">
        <f t="shared" ca="1" si="143"/>
        <v>2.1924460827864478E-2</v>
      </c>
      <c r="AL859" s="29">
        <f t="shared" ca="1" si="195"/>
        <v>84</v>
      </c>
      <c r="AN859" s="22">
        <v>45404</v>
      </c>
      <c r="AO859" s="26">
        <f t="shared" ca="1" si="144"/>
        <v>0.34565275695516262</v>
      </c>
      <c r="AP859" s="29">
        <f t="shared" ca="1" si="196"/>
        <v>132</v>
      </c>
      <c r="AR859" s="22">
        <v>45404</v>
      </c>
      <c r="AS859" s="26">
        <f t="shared" ca="1" si="145"/>
        <v>0.36734081704442845</v>
      </c>
      <c r="AT859" s="29">
        <f t="shared" ca="1" si="197"/>
        <v>198</v>
      </c>
      <c r="AV859" s="22">
        <v>45404</v>
      </c>
      <c r="AW859" s="26">
        <f t="shared" ca="1" si="146"/>
        <v>0.9892859919932685</v>
      </c>
      <c r="AX859" s="29">
        <f t="shared" ca="1" si="198"/>
        <v>310</v>
      </c>
      <c r="AZ859" s="22">
        <v>45404</v>
      </c>
      <c r="BA859" s="26">
        <f t="shared" ca="1" si="147"/>
        <v>0.66680553733900239</v>
      </c>
      <c r="BB859" s="29">
        <f t="shared" ca="1" si="199"/>
        <v>201</v>
      </c>
      <c r="BC859"/>
      <c r="BD859" s="25"/>
      <c r="BF859" s="22">
        <v>45404</v>
      </c>
      <c r="BG859" s="26">
        <f t="shared" ca="1" si="148"/>
        <v>0.17976300227109498</v>
      </c>
      <c r="BH859" s="29">
        <f t="shared" ca="1" si="200"/>
        <v>121</v>
      </c>
      <c r="BJ859" s="22">
        <v>45404</v>
      </c>
      <c r="BK859" s="26">
        <f t="shared" ca="1" si="149"/>
        <v>0.49135047425298239</v>
      </c>
      <c r="BL859" s="29">
        <f t="shared" ca="1" si="201"/>
        <v>164</v>
      </c>
      <c r="BN859" s="22">
        <v>45404</v>
      </c>
      <c r="BO859" s="26">
        <f t="shared" ca="1" si="150"/>
        <v>0.14169898130565428</v>
      </c>
      <c r="BP859" s="29">
        <f t="shared" ca="1" si="202"/>
        <v>94</v>
      </c>
      <c r="BR859" s="22">
        <v>45404</v>
      </c>
      <c r="BS859" s="26">
        <f t="shared" ca="1" si="151"/>
        <v>2.1344581787426931E-3</v>
      </c>
      <c r="BT859" s="29">
        <f t="shared" ca="1" si="203"/>
        <v>42</v>
      </c>
      <c r="BV859" s="22">
        <v>45404</v>
      </c>
      <c r="BW859" s="26">
        <f t="shared" ca="1" si="152"/>
        <v>0.60193557678803566</v>
      </c>
      <c r="BX859" s="29">
        <f t="shared" ca="1" si="204"/>
        <v>197</v>
      </c>
    </row>
    <row r="860" spans="2:76" ht="12.75" x14ac:dyDescent="0.2">
      <c r="B860" s="22">
        <v>45405</v>
      </c>
      <c r="C860" s="26">
        <f t="shared" ca="1" si="135"/>
        <v>0.21426736964027349</v>
      </c>
      <c r="D860" s="29">
        <f t="shared" ca="1" si="187"/>
        <v>60</v>
      </c>
      <c r="F860" s="22"/>
      <c r="G860" s="26">
        <f t="shared" ca="1" si="136"/>
        <v>0.2767543782655032</v>
      </c>
      <c r="H860" s="29">
        <f t="shared" ca="1" si="188"/>
        <v>207</v>
      </c>
      <c r="J860" s="22">
        <v>45405</v>
      </c>
      <c r="K860" s="26">
        <f t="shared" ca="1" si="137"/>
        <v>0.42864839470791138</v>
      </c>
      <c r="L860" s="29">
        <f t="shared" ca="1" si="189"/>
        <v>149</v>
      </c>
      <c r="N860" s="22">
        <v>45405</v>
      </c>
      <c r="O860" s="26">
        <f t="shared" ca="1" si="138"/>
        <v>0.14071668021765493</v>
      </c>
      <c r="P860" s="29">
        <f t="shared" ca="1" si="190"/>
        <v>213</v>
      </c>
      <c r="R860" s="22">
        <v>45405</v>
      </c>
      <c r="S860" s="26">
        <f t="shared" ca="1" si="139"/>
        <v>0.2397637988479645</v>
      </c>
      <c r="T860" s="29">
        <f t="shared" ca="1" si="191"/>
        <v>133</v>
      </c>
      <c r="V860" s="22">
        <v>45405</v>
      </c>
      <c r="W860" s="26">
        <f t="shared" ca="1" si="140"/>
        <v>0.73817359961173157</v>
      </c>
      <c r="X860" s="29">
        <f t="shared" ca="1" si="192"/>
        <v>235</v>
      </c>
      <c r="Z860" s="22">
        <v>45405</v>
      </c>
      <c r="AA860" s="26">
        <f t="shared" ca="1" si="141"/>
        <v>0.18543622480952693</v>
      </c>
      <c r="AB860" s="29">
        <f t="shared" ca="1" si="193"/>
        <v>254</v>
      </c>
      <c r="AC860"/>
      <c r="AD860" s="25"/>
      <c r="AF860" s="22">
        <v>45405</v>
      </c>
      <c r="AG860" s="26">
        <f t="shared" ca="1" si="142"/>
        <v>0.36835046547122274</v>
      </c>
      <c r="AH860" s="29">
        <f t="shared" ca="1" si="194"/>
        <v>298</v>
      </c>
      <c r="AJ860" s="22">
        <v>45405</v>
      </c>
      <c r="AK860" s="26">
        <f t="shared" ca="1" si="143"/>
        <v>0.95025587559661939</v>
      </c>
      <c r="AL860" s="29">
        <f t="shared" ca="1" si="195"/>
        <v>259</v>
      </c>
      <c r="AN860" s="22">
        <v>45405</v>
      </c>
      <c r="AO860" s="26">
        <f t="shared" ca="1" si="144"/>
        <v>0.23766915037062908</v>
      </c>
      <c r="AP860" s="29">
        <f t="shared" ca="1" si="196"/>
        <v>120</v>
      </c>
      <c r="AR860" s="22">
        <v>45405</v>
      </c>
      <c r="AS860" s="26">
        <f t="shared" ca="1" si="145"/>
        <v>0.57844114104626776</v>
      </c>
      <c r="AT860" s="29">
        <f t="shared" ca="1" si="197"/>
        <v>229</v>
      </c>
      <c r="AV860" s="22">
        <v>45405</v>
      </c>
      <c r="AW860" s="26">
        <f t="shared" ca="1" si="146"/>
        <v>0.91282410722566487</v>
      </c>
      <c r="AX860" s="29">
        <f t="shared" ca="1" si="198"/>
        <v>262</v>
      </c>
      <c r="AZ860" s="22">
        <v>45405</v>
      </c>
      <c r="BA860" s="26">
        <f t="shared" ca="1" si="147"/>
        <v>0.53262929814359816</v>
      </c>
      <c r="BB860" s="29">
        <f t="shared" ca="1" si="199"/>
        <v>184</v>
      </c>
      <c r="BC860"/>
      <c r="BD860" s="25"/>
      <c r="BF860" s="22">
        <v>45405</v>
      </c>
      <c r="BG860" s="26">
        <f t="shared" ca="1" si="148"/>
        <v>0.25668242037443645</v>
      </c>
      <c r="BH860" s="29">
        <f t="shared" ca="1" si="200"/>
        <v>132</v>
      </c>
      <c r="BJ860" s="22">
        <v>45405</v>
      </c>
      <c r="BK860" s="26">
        <f t="shared" ca="1" si="149"/>
        <v>0.64874726969272212</v>
      </c>
      <c r="BL860" s="29">
        <f t="shared" ca="1" si="201"/>
        <v>182</v>
      </c>
      <c r="BN860" s="22">
        <v>45405</v>
      </c>
      <c r="BO860" s="26">
        <f t="shared" ca="1" si="150"/>
        <v>0.40829060857272093</v>
      </c>
      <c r="BP860" s="29">
        <f t="shared" ca="1" si="202"/>
        <v>123</v>
      </c>
      <c r="BR860" s="22">
        <v>45405</v>
      </c>
      <c r="BS860" s="26">
        <f t="shared" ca="1" si="151"/>
        <v>0.73675821427925225</v>
      </c>
      <c r="BT860" s="29">
        <f t="shared" ca="1" si="203"/>
        <v>203</v>
      </c>
      <c r="BV860" s="22">
        <v>45405</v>
      </c>
      <c r="BW860" s="26">
        <f t="shared" ca="1" si="152"/>
        <v>0.59242281137751718</v>
      </c>
      <c r="BX860" s="29">
        <f t="shared" ca="1" si="204"/>
        <v>195</v>
      </c>
    </row>
    <row r="861" spans="2:76" ht="12.75" x14ac:dyDescent="0.2">
      <c r="B861" s="22">
        <v>45406</v>
      </c>
      <c r="C861" s="26">
        <f t="shared" ref="C861:C979" ca="1" si="205">RAND()</f>
        <v>0.43123559176689241</v>
      </c>
      <c r="D861" s="29">
        <f t="shared" ca="1" si="187"/>
        <v>72</v>
      </c>
      <c r="F861" s="22"/>
      <c r="G861" s="26">
        <f t="shared" ca="1" si="136"/>
        <v>0.80842208548215744</v>
      </c>
      <c r="H861" s="29">
        <f t="shared" ca="1" si="188"/>
        <v>228</v>
      </c>
      <c r="J861" s="22">
        <v>45406</v>
      </c>
      <c r="K861" s="26">
        <f t="shared" ca="1" si="137"/>
        <v>0.23170190689699588</v>
      </c>
      <c r="L861" s="29">
        <f t="shared" ca="1" si="189"/>
        <v>143</v>
      </c>
      <c r="N861" s="22">
        <v>45406</v>
      </c>
      <c r="O861" s="26">
        <f t="shared" ca="1" si="138"/>
        <v>0.54427701991680344</v>
      </c>
      <c r="P861" s="29">
        <f t="shared" ca="1" si="190"/>
        <v>232</v>
      </c>
      <c r="R861" s="22">
        <v>45406</v>
      </c>
      <c r="S861" s="26">
        <f t="shared" ca="1" si="139"/>
        <v>0.1963937541141324</v>
      </c>
      <c r="T861" s="29">
        <f t="shared" ca="1" si="191"/>
        <v>131</v>
      </c>
      <c r="V861" s="22">
        <v>45406</v>
      </c>
      <c r="W861" s="26">
        <f t="shared" ca="1" si="140"/>
        <v>0.11944123661952943</v>
      </c>
      <c r="X861" s="29">
        <f t="shared" ca="1" si="192"/>
        <v>208</v>
      </c>
      <c r="Z861" s="22">
        <v>45406</v>
      </c>
      <c r="AA861" s="26">
        <f t="shared" ca="1" si="141"/>
        <v>0.45511899620984164</v>
      </c>
      <c r="AB861" s="29">
        <f t="shared" ca="1" si="193"/>
        <v>268</v>
      </c>
      <c r="AC861"/>
      <c r="AD861" s="25"/>
      <c r="AF861" s="22">
        <v>45406</v>
      </c>
      <c r="AG861" s="26">
        <f t="shared" ca="1" si="142"/>
        <v>0.20018091198652233</v>
      </c>
      <c r="AH861" s="29">
        <f t="shared" ca="1" si="194"/>
        <v>254</v>
      </c>
      <c r="AJ861" s="22">
        <v>45406</v>
      </c>
      <c r="AK861" s="26">
        <f t="shared" ca="1" si="143"/>
        <v>0.6631829581395462</v>
      </c>
      <c r="AL861" s="29">
        <f t="shared" ca="1" si="195"/>
        <v>201</v>
      </c>
      <c r="AN861" s="22">
        <v>45406</v>
      </c>
      <c r="AO861" s="26">
        <f t="shared" ca="1" si="144"/>
        <v>0.83959341202193893</v>
      </c>
      <c r="AP861" s="29">
        <f t="shared" ca="1" si="196"/>
        <v>187</v>
      </c>
      <c r="AR861" s="22">
        <v>45406</v>
      </c>
      <c r="AS861" s="26">
        <f t="shared" ca="1" si="145"/>
        <v>0.9787357510907484</v>
      </c>
      <c r="AT861" s="29">
        <f t="shared" ca="1" si="197"/>
        <v>334</v>
      </c>
      <c r="AV861" s="22">
        <v>45406</v>
      </c>
      <c r="AW861" s="26">
        <f t="shared" ca="1" si="146"/>
        <v>0.35808529839611813</v>
      </c>
      <c r="AX861" s="29">
        <f t="shared" ca="1" si="198"/>
        <v>174</v>
      </c>
      <c r="AZ861" s="22">
        <v>45406</v>
      </c>
      <c r="BA861" s="26">
        <f t="shared" ca="1" si="147"/>
        <v>0.24817493158932713</v>
      </c>
      <c r="BB861" s="29">
        <f t="shared" ca="1" si="199"/>
        <v>148</v>
      </c>
      <c r="BC861"/>
      <c r="BD861" s="25"/>
      <c r="BF861" s="22">
        <v>45406</v>
      </c>
      <c r="BG861" s="26">
        <f t="shared" ca="1" si="148"/>
        <v>0.93044219315814347</v>
      </c>
      <c r="BH861" s="29">
        <f t="shared" ca="1" si="200"/>
        <v>223</v>
      </c>
      <c r="BJ861" s="22">
        <v>45406</v>
      </c>
      <c r="BK861" s="26">
        <f t="shared" ca="1" si="149"/>
        <v>6.4029462382193092E-2</v>
      </c>
      <c r="BL861" s="29">
        <f t="shared" ca="1" si="201"/>
        <v>98</v>
      </c>
      <c r="BN861" s="22">
        <v>45406</v>
      </c>
      <c r="BO861" s="26">
        <f t="shared" ca="1" si="150"/>
        <v>0.588332451801587</v>
      </c>
      <c r="BP861" s="29">
        <f t="shared" ca="1" si="202"/>
        <v>139</v>
      </c>
      <c r="BR861" s="22">
        <v>45406</v>
      </c>
      <c r="BS861" s="26">
        <f t="shared" ca="1" si="151"/>
        <v>0.31550301689115634</v>
      </c>
      <c r="BT861" s="29">
        <f t="shared" ca="1" si="203"/>
        <v>152</v>
      </c>
      <c r="BV861" s="22">
        <v>45406</v>
      </c>
      <c r="BW861" s="26">
        <f t="shared" ca="1" si="152"/>
        <v>0.48303619225657479</v>
      </c>
      <c r="BX861" s="29">
        <f t="shared" ca="1" si="204"/>
        <v>182</v>
      </c>
    </row>
    <row r="862" spans="2:76" ht="12.75" x14ac:dyDescent="0.2">
      <c r="B862" s="22">
        <v>45407</v>
      </c>
      <c r="C862" s="26">
        <f t="shared" ca="1" si="205"/>
        <v>0.15533157492862359</v>
      </c>
      <c r="D862" s="29">
        <f t="shared" ca="1" si="187"/>
        <v>55</v>
      </c>
      <c r="F862" s="22"/>
      <c r="G862" s="26">
        <f t="shared" ca="1" si="136"/>
        <v>0.68720349352859023</v>
      </c>
      <c r="H862" s="29">
        <f t="shared" ca="1" si="188"/>
        <v>223</v>
      </c>
      <c r="J862" s="22">
        <v>45407</v>
      </c>
      <c r="K862" s="26">
        <f t="shared" ca="1" si="137"/>
        <v>0.85912148304916003</v>
      </c>
      <c r="L862" s="29">
        <f t="shared" ca="1" si="189"/>
        <v>161</v>
      </c>
      <c r="N862" s="22">
        <v>45407</v>
      </c>
      <c r="O862" s="26">
        <f t="shared" ca="1" si="138"/>
        <v>0.22537538805087642</v>
      </c>
      <c r="P862" s="29">
        <f t="shared" ca="1" si="190"/>
        <v>218</v>
      </c>
      <c r="R862" s="22">
        <v>45407</v>
      </c>
      <c r="S862" s="26">
        <f t="shared" ca="1" si="139"/>
        <v>0.59941776941047742</v>
      </c>
      <c r="T862" s="29">
        <f t="shared" ca="1" si="191"/>
        <v>142</v>
      </c>
      <c r="V862" s="22">
        <v>45407</v>
      </c>
      <c r="W862" s="26">
        <f t="shared" ca="1" si="140"/>
        <v>0.48192815151880164</v>
      </c>
      <c r="X862" s="29">
        <f t="shared" ca="1" si="192"/>
        <v>225</v>
      </c>
      <c r="Z862" s="22">
        <v>45407</v>
      </c>
      <c r="AA862" s="26">
        <f t="shared" ca="1" si="141"/>
        <v>0.47332647907675029</v>
      </c>
      <c r="AB862" s="29">
        <f t="shared" ca="1" si="193"/>
        <v>269</v>
      </c>
      <c r="AC862"/>
      <c r="AD862" s="25"/>
      <c r="AF862" s="22">
        <v>45407</v>
      </c>
      <c r="AG862" s="26">
        <f t="shared" ca="1" si="142"/>
        <v>0.33457586218379542</v>
      </c>
      <c r="AH862" s="29">
        <f t="shared" ca="1" si="194"/>
        <v>290</v>
      </c>
      <c r="AJ862" s="22">
        <v>45407</v>
      </c>
      <c r="AK862" s="26">
        <f t="shared" ca="1" si="143"/>
        <v>0.86316534167619374</v>
      </c>
      <c r="AL862" s="29">
        <f t="shared" ca="1" si="195"/>
        <v>233</v>
      </c>
      <c r="AN862" s="22">
        <v>45407</v>
      </c>
      <c r="AO862" s="26">
        <f t="shared" ca="1" si="144"/>
        <v>0.96034565483750201</v>
      </c>
      <c r="AP862" s="29">
        <f t="shared" ca="1" si="196"/>
        <v>217</v>
      </c>
      <c r="AR862" s="22">
        <v>45407</v>
      </c>
      <c r="AS862" s="26">
        <f t="shared" ca="1" si="145"/>
        <v>0.78751009829796736</v>
      </c>
      <c r="AT862" s="29">
        <f t="shared" ca="1" si="197"/>
        <v>263</v>
      </c>
      <c r="AV862" s="22">
        <v>45407</v>
      </c>
      <c r="AW862" s="26">
        <f t="shared" ca="1" si="146"/>
        <v>0.940476325570059</v>
      </c>
      <c r="AX862" s="29">
        <f t="shared" ca="1" si="198"/>
        <v>272</v>
      </c>
      <c r="AZ862" s="22">
        <v>45407</v>
      </c>
      <c r="BA862" s="26">
        <f t="shared" ca="1" si="147"/>
        <v>0.53430279289966887</v>
      </c>
      <c r="BB862" s="29">
        <f t="shared" ca="1" si="199"/>
        <v>184</v>
      </c>
      <c r="BC862"/>
      <c r="BD862" s="25"/>
      <c r="BF862" s="22">
        <v>45407</v>
      </c>
      <c r="BG862" s="26">
        <f t="shared" ca="1" si="148"/>
        <v>4.2133118736501385E-2</v>
      </c>
      <c r="BH862" s="29">
        <f t="shared" ca="1" si="200"/>
        <v>87</v>
      </c>
      <c r="BJ862" s="22">
        <v>45407</v>
      </c>
      <c r="BK862" s="26">
        <f t="shared" ca="1" si="149"/>
        <v>0.90265284588184025</v>
      </c>
      <c r="BL862" s="29">
        <f t="shared" ca="1" si="201"/>
        <v>222</v>
      </c>
      <c r="BN862" s="22">
        <v>45407</v>
      </c>
      <c r="BO862" s="26">
        <f t="shared" ca="1" si="150"/>
        <v>0.91962187707004062</v>
      </c>
      <c r="BP862" s="29">
        <f t="shared" ca="1" si="202"/>
        <v>180</v>
      </c>
      <c r="BR862" s="22">
        <v>45407</v>
      </c>
      <c r="BS862" s="26">
        <f t="shared" ca="1" si="151"/>
        <v>0.67862316782909138</v>
      </c>
      <c r="BT862" s="29">
        <f t="shared" ca="1" si="203"/>
        <v>196</v>
      </c>
      <c r="BV862" s="22">
        <v>45407</v>
      </c>
      <c r="BW862" s="26">
        <f t="shared" ca="1" si="152"/>
        <v>0.24683385195755858</v>
      </c>
      <c r="BX862" s="29">
        <f t="shared" ca="1" si="204"/>
        <v>150</v>
      </c>
    </row>
    <row r="863" spans="2:76" ht="12.75" x14ac:dyDescent="0.2">
      <c r="B863" s="22">
        <v>45408</v>
      </c>
      <c r="C863" s="26">
        <f t="shared" ca="1" si="205"/>
        <v>0.86696425490011919</v>
      </c>
      <c r="D863" s="29">
        <f t="shared" ca="1" si="187"/>
        <v>98</v>
      </c>
      <c r="F863" s="22"/>
      <c r="G863" s="26">
        <f t="shared" ca="1" si="136"/>
        <v>0.69236723796582689</v>
      </c>
      <c r="H863" s="29">
        <f t="shared" ca="1" si="188"/>
        <v>223</v>
      </c>
      <c r="J863" s="22">
        <v>45408</v>
      </c>
      <c r="K863" s="26">
        <f t="shared" ca="1" si="137"/>
        <v>0.87936479948236379</v>
      </c>
      <c r="L863" s="29">
        <f t="shared" ca="1" si="189"/>
        <v>162</v>
      </c>
      <c r="N863" s="22">
        <v>45408</v>
      </c>
      <c r="O863" s="26">
        <f t="shared" ca="1" si="138"/>
        <v>0.24738099919742762</v>
      </c>
      <c r="P863" s="29">
        <f t="shared" ca="1" si="190"/>
        <v>219</v>
      </c>
      <c r="R863" s="22">
        <v>45408</v>
      </c>
      <c r="S863" s="26">
        <f t="shared" ca="1" si="139"/>
        <v>0.87446211726835221</v>
      </c>
      <c r="T863" s="29">
        <f t="shared" ca="1" si="191"/>
        <v>150</v>
      </c>
      <c r="V863" s="22">
        <v>45408</v>
      </c>
      <c r="W863" s="26">
        <f t="shared" ca="1" si="140"/>
        <v>0.56846867306635485</v>
      </c>
      <c r="X863" s="29">
        <f t="shared" ca="1" si="192"/>
        <v>228</v>
      </c>
      <c r="Z863" s="22">
        <v>45408</v>
      </c>
      <c r="AA863" s="26">
        <f t="shared" ca="1" si="141"/>
        <v>0.52448387354446779</v>
      </c>
      <c r="AB863" s="29">
        <f t="shared" ca="1" si="193"/>
        <v>272</v>
      </c>
      <c r="AC863"/>
      <c r="AD863" s="25"/>
      <c r="AF863" s="22">
        <v>45408</v>
      </c>
      <c r="AG863" s="26">
        <f t="shared" ca="1" si="142"/>
        <v>0.38082248198644908</v>
      </c>
      <c r="AH863" s="29">
        <f t="shared" ca="1" si="194"/>
        <v>301</v>
      </c>
      <c r="AJ863" s="22">
        <v>45408</v>
      </c>
      <c r="AK863" s="26">
        <f t="shared" ca="1" si="143"/>
        <v>0.74371087468053687</v>
      </c>
      <c r="AL863" s="29">
        <f t="shared" ca="1" si="195"/>
        <v>212</v>
      </c>
      <c r="AN863" s="22">
        <v>45408</v>
      </c>
      <c r="AO863" s="26">
        <f t="shared" ca="1" si="144"/>
        <v>0.56256752746084493</v>
      </c>
      <c r="AP863" s="29">
        <f t="shared" ca="1" si="196"/>
        <v>154</v>
      </c>
      <c r="AR863" s="22">
        <v>45408</v>
      </c>
      <c r="AS863" s="26">
        <f t="shared" ca="1" si="145"/>
        <v>0.36355100705181442</v>
      </c>
      <c r="AT863" s="29">
        <f t="shared" ca="1" si="197"/>
        <v>197</v>
      </c>
      <c r="AV863" s="22">
        <v>45408</v>
      </c>
      <c r="AW863" s="26">
        <f t="shared" ca="1" si="146"/>
        <v>6.5433090013168327E-3</v>
      </c>
      <c r="AX863" s="29">
        <f t="shared" ca="1" si="198"/>
        <v>65</v>
      </c>
      <c r="AZ863" s="22">
        <v>45408</v>
      </c>
      <c r="BA863" s="26">
        <f t="shared" ca="1" si="147"/>
        <v>0.49726307779621648</v>
      </c>
      <c r="BB863" s="29">
        <f t="shared" ca="1" si="199"/>
        <v>180</v>
      </c>
      <c r="BC863"/>
      <c r="BD863" s="25"/>
      <c r="BF863" s="22">
        <v>45408</v>
      </c>
      <c r="BG863" s="26">
        <f t="shared" ca="1" si="148"/>
        <v>0.30254766032229463</v>
      </c>
      <c r="BH863" s="29">
        <f t="shared" ca="1" si="200"/>
        <v>138</v>
      </c>
      <c r="BJ863" s="22">
        <v>45408</v>
      </c>
      <c r="BK863" s="26">
        <f t="shared" ca="1" si="149"/>
        <v>8.229609893428913E-3</v>
      </c>
      <c r="BL863" s="29">
        <f t="shared" ca="1" si="201"/>
        <v>60</v>
      </c>
      <c r="BN863" s="22">
        <v>45408</v>
      </c>
      <c r="BO863" s="26">
        <f t="shared" ca="1" si="150"/>
        <v>0.44278257926715414</v>
      </c>
      <c r="BP863" s="29">
        <f t="shared" ca="1" si="202"/>
        <v>126</v>
      </c>
      <c r="BR863" s="22">
        <v>45408</v>
      </c>
      <c r="BS863" s="26">
        <f t="shared" ca="1" si="151"/>
        <v>0.24441236630257746</v>
      </c>
      <c r="BT863" s="29">
        <f t="shared" ca="1" si="203"/>
        <v>142</v>
      </c>
      <c r="BV863" s="22">
        <v>45408</v>
      </c>
      <c r="BW863" s="26">
        <f t="shared" ca="1" si="152"/>
        <v>0.68097452429170735</v>
      </c>
      <c r="BX863" s="29">
        <f t="shared" ca="1" si="204"/>
        <v>207</v>
      </c>
    </row>
    <row r="864" spans="2:76" ht="12.75" x14ac:dyDescent="0.2">
      <c r="B864" s="22">
        <v>45409</v>
      </c>
      <c r="C864" s="26">
        <f t="shared" ca="1" si="205"/>
        <v>1.6949425049555322E-2</v>
      </c>
      <c r="D864" s="29">
        <f t="shared" ca="1" si="187"/>
        <v>33</v>
      </c>
      <c r="F864" s="22"/>
      <c r="G864" s="26">
        <f t="shared" ca="1" si="136"/>
        <v>0.31789142832554285</v>
      </c>
      <c r="H864" s="29">
        <f t="shared" ca="1" si="188"/>
        <v>209</v>
      </c>
      <c r="J864" s="22">
        <v>45409</v>
      </c>
      <c r="K864" s="26">
        <f t="shared" ca="1" si="137"/>
        <v>0.23794616636735155</v>
      </c>
      <c r="L864" s="29">
        <f t="shared" ca="1" si="189"/>
        <v>143</v>
      </c>
      <c r="N864" s="22">
        <v>45409</v>
      </c>
      <c r="O864" s="26">
        <f t="shared" ca="1" si="138"/>
        <v>0.99976680439626464</v>
      </c>
      <c r="P864" s="29">
        <f t="shared" ca="1" si="190"/>
        <v>283</v>
      </c>
      <c r="R864" s="22">
        <v>45409</v>
      </c>
      <c r="S864" s="26">
        <f t="shared" ca="1" si="139"/>
        <v>0.59359840765567395</v>
      </c>
      <c r="T864" s="29">
        <f t="shared" ca="1" si="191"/>
        <v>141</v>
      </c>
      <c r="V864" s="22">
        <v>45409</v>
      </c>
      <c r="W864" s="26">
        <f t="shared" ca="1" si="140"/>
        <v>0.47730103061118756</v>
      </c>
      <c r="X864" s="29">
        <f t="shared" ca="1" si="192"/>
        <v>225</v>
      </c>
      <c r="Z864" s="22">
        <v>45409</v>
      </c>
      <c r="AA864" s="26">
        <f t="shared" ca="1" si="141"/>
        <v>0.51120345006149948</v>
      </c>
      <c r="AB864" s="29">
        <f t="shared" ca="1" si="193"/>
        <v>271</v>
      </c>
      <c r="AC864"/>
      <c r="AD864" s="25"/>
      <c r="AF864" s="22">
        <v>45409</v>
      </c>
      <c r="AG864" s="26">
        <f t="shared" ca="1" si="142"/>
        <v>0.45356204979751924</v>
      </c>
      <c r="AH864" s="29">
        <f t="shared" ca="1" si="194"/>
        <v>317</v>
      </c>
      <c r="AJ864" s="22">
        <v>45409</v>
      </c>
      <c r="AK864" s="26">
        <f t="shared" ca="1" si="143"/>
        <v>0.60216419218123163</v>
      </c>
      <c r="AL864" s="29">
        <f t="shared" ca="1" si="195"/>
        <v>193</v>
      </c>
      <c r="AN864" s="22">
        <v>45409</v>
      </c>
      <c r="AO864" s="26">
        <f t="shared" ca="1" si="144"/>
        <v>0.82990784271043616</v>
      </c>
      <c r="AP864" s="29">
        <f t="shared" ca="1" si="196"/>
        <v>185</v>
      </c>
      <c r="AR864" s="22">
        <v>45409</v>
      </c>
      <c r="AS864" s="26">
        <f t="shared" ca="1" si="145"/>
        <v>0.98919935396816683</v>
      </c>
      <c r="AT864" s="29">
        <f t="shared" ca="1" si="197"/>
        <v>350</v>
      </c>
      <c r="AV864" s="22">
        <v>45409</v>
      </c>
      <c r="AW864" s="26">
        <f t="shared" ca="1" si="146"/>
        <v>0.20106504952573856</v>
      </c>
      <c r="AX864" s="29">
        <f t="shared" ca="1" si="198"/>
        <v>149</v>
      </c>
      <c r="AZ864" s="22">
        <v>45409</v>
      </c>
      <c r="BA864" s="26">
        <f t="shared" ca="1" si="147"/>
        <v>0.70966978441997719</v>
      </c>
      <c r="BB864" s="29">
        <f t="shared" ca="1" si="199"/>
        <v>207</v>
      </c>
      <c r="BC864"/>
      <c r="BD864" s="25"/>
      <c r="BF864" s="22">
        <v>45409</v>
      </c>
      <c r="BG864" s="26">
        <f t="shared" ca="1" si="148"/>
        <v>0.74834848397881248</v>
      </c>
      <c r="BH864" s="29">
        <f t="shared" ca="1" si="200"/>
        <v>189</v>
      </c>
      <c r="BJ864" s="22">
        <v>45409</v>
      </c>
      <c r="BK864" s="26">
        <f t="shared" ca="1" si="149"/>
        <v>0.2382650597123559</v>
      </c>
      <c r="BL864" s="29">
        <f t="shared" ca="1" si="201"/>
        <v>134</v>
      </c>
      <c r="BN864" s="22">
        <v>45409</v>
      </c>
      <c r="BO864" s="26">
        <f t="shared" ca="1" si="150"/>
        <v>7.9864393682903212E-2</v>
      </c>
      <c r="BP864" s="29">
        <f t="shared" ca="1" si="202"/>
        <v>82</v>
      </c>
      <c r="BR864" s="22">
        <v>45409</v>
      </c>
      <c r="BS864" s="26">
        <f t="shared" ca="1" si="151"/>
        <v>7.8883789772591695E-2</v>
      </c>
      <c r="BT864" s="29">
        <f t="shared" ca="1" si="203"/>
        <v>109</v>
      </c>
      <c r="BV864" s="22">
        <v>45409</v>
      </c>
      <c r="BW864" s="26">
        <f t="shared" ca="1" si="152"/>
        <v>0.87056791029169067</v>
      </c>
      <c r="BX864" s="29">
        <f t="shared" ca="1" si="204"/>
        <v>239</v>
      </c>
    </row>
    <row r="865" spans="2:77" ht="12.75" x14ac:dyDescent="0.2">
      <c r="B865" s="22">
        <v>45410</v>
      </c>
      <c r="C865" s="26">
        <f t="shared" ca="1" si="205"/>
        <v>0.56097646270541812</v>
      </c>
      <c r="D865" s="29">
        <f t="shared" ca="1" si="187"/>
        <v>79</v>
      </c>
      <c r="F865" s="22"/>
      <c r="G865" s="26">
        <f t="shared" ca="1" si="136"/>
        <v>0.92026140090704944</v>
      </c>
      <c r="H865" s="29">
        <f t="shared" ca="1" si="188"/>
        <v>236</v>
      </c>
      <c r="J865" s="22">
        <v>45410</v>
      </c>
      <c r="K865" s="26">
        <f t="shared" ca="1" si="137"/>
        <v>0.20416195614126331</v>
      </c>
      <c r="L865" s="29">
        <f t="shared" ca="1" si="189"/>
        <v>142</v>
      </c>
      <c r="N865" s="22">
        <v>45410</v>
      </c>
      <c r="O865" s="26">
        <f t="shared" ca="1" si="138"/>
        <v>0.31897413123161411</v>
      </c>
      <c r="P865" s="29">
        <f t="shared" ca="1" si="190"/>
        <v>223</v>
      </c>
      <c r="R865" s="22">
        <v>45410</v>
      </c>
      <c r="S865" s="26">
        <f t="shared" ca="1" si="139"/>
        <v>0.64369802138354504</v>
      </c>
      <c r="T865" s="29">
        <f t="shared" ca="1" si="191"/>
        <v>143</v>
      </c>
      <c r="V865" s="22">
        <v>45410</v>
      </c>
      <c r="W865" s="26">
        <f t="shared" ca="1" si="140"/>
        <v>0.32929669056643907</v>
      </c>
      <c r="X865" s="29">
        <f t="shared" ca="1" si="192"/>
        <v>219</v>
      </c>
      <c r="Z865" s="22">
        <v>45410</v>
      </c>
      <c r="AA865" s="26">
        <f t="shared" ca="1" si="141"/>
        <v>0.73844479265980489</v>
      </c>
      <c r="AB865" s="29">
        <f t="shared" ca="1" si="193"/>
        <v>282</v>
      </c>
      <c r="AC865"/>
      <c r="AD865" s="25"/>
      <c r="AF865" s="22">
        <v>45410</v>
      </c>
      <c r="AG865" s="26">
        <f t="shared" ca="1" si="142"/>
        <v>4.2558973524147059E-2</v>
      </c>
      <c r="AH865" s="29">
        <f t="shared" ca="1" si="194"/>
        <v>177</v>
      </c>
      <c r="AJ865" s="22">
        <v>45410</v>
      </c>
      <c r="AK865" s="26">
        <f t="shared" ca="1" si="143"/>
        <v>0.66565410729896313</v>
      </c>
      <c r="AL865" s="29">
        <f t="shared" ca="1" si="195"/>
        <v>201</v>
      </c>
      <c r="AN865" s="22">
        <v>45410</v>
      </c>
      <c r="AO865" s="26">
        <f t="shared" ca="1" si="144"/>
        <v>0.16373253068674853</v>
      </c>
      <c r="AP865" s="29">
        <f t="shared" ca="1" si="196"/>
        <v>109</v>
      </c>
      <c r="AR865" s="22">
        <v>45410</v>
      </c>
      <c r="AS865" s="26">
        <f t="shared" ca="1" si="145"/>
        <v>0.48740246184398595</v>
      </c>
      <c r="AT865" s="29">
        <f t="shared" ca="1" si="197"/>
        <v>215</v>
      </c>
      <c r="AV865" s="22">
        <v>45410</v>
      </c>
      <c r="AW865" s="26">
        <f t="shared" ca="1" si="146"/>
        <v>0.99567101253595891</v>
      </c>
      <c r="AX865" s="29">
        <f t="shared" ca="1" si="198"/>
        <v>326</v>
      </c>
      <c r="AZ865" s="22">
        <v>45410</v>
      </c>
      <c r="BA865" s="26">
        <f t="shared" ca="1" si="147"/>
        <v>0.92541404715036757</v>
      </c>
      <c r="BB865" s="29">
        <f t="shared" ca="1" si="199"/>
        <v>250</v>
      </c>
      <c r="BC865"/>
      <c r="BD865" s="25"/>
      <c r="BF865" s="22">
        <v>45410</v>
      </c>
      <c r="BG865" s="26">
        <f t="shared" ca="1" si="148"/>
        <v>0.78374394730291497</v>
      </c>
      <c r="BH865" s="29">
        <f t="shared" ca="1" si="200"/>
        <v>194</v>
      </c>
      <c r="BJ865" s="22">
        <v>45410</v>
      </c>
      <c r="BK865" s="26">
        <f t="shared" ca="1" si="149"/>
        <v>0.87764226989009131</v>
      </c>
      <c r="BL865" s="29">
        <f t="shared" ca="1" si="201"/>
        <v>216</v>
      </c>
      <c r="BN865" s="22">
        <v>45410</v>
      </c>
      <c r="BO865" s="26">
        <f t="shared" ca="1" si="150"/>
        <v>0.77178862126740799</v>
      </c>
      <c r="BP865" s="29">
        <f t="shared" ca="1" si="202"/>
        <v>157</v>
      </c>
      <c r="BR865" s="22">
        <v>45410</v>
      </c>
      <c r="BS865" s="26">
        <f t="shared" ca="1" si="151"/>
        <v>0.45860734091200961</v>
      </c>
      <c r="BT865" s="29">
        <f t="shared" ca="1" si="203"/>
        <v>169</v>
      </c>
      <c r="BV865" s="22">
        <v>45410</v>
      </c>
      <c r="BW865" s="26">
        <f t="shared" ca="1" si="152"/>
        <v>0.53173720456111839</v>
      </c>
      <c r="BX865" s="29">
        <f t="shared" ca="1" si="204"/>
        <v>188</v>
      </c>
    </row>
    <row r="866" spans="2:77" ht="12.75" x14ac:dyDescent="0.2">
      <c r="B866" s="22">
        <v>45411</v>
      </c>
      <c r="C866" s="26">
        <f t="shared" ca="1" si="205"/>
        <v>0.73063307963600599</v>
      </c>
      <c r="D866" s="29">
        <f t="shared" ca="1" si="187"/>
        <v>88</v>
      </c>
      <c r="F866" s="22"/>
      <c r="G866" s="26">
        <f t="shared" ca="1" si="136"/>
        <v>0.22401217561168119</v>
      </c>
      <c r="H866" s="29">
        <f t="shared" ca="1" si="188"/>
        <v>205</v>
      </c>
      <c r="J866" s="22">
        <v>45411</v>
      </c>
      <c r="K866" s="26">
        <f t="shared" ca="1" si="137"/>
        <v>0.40911271441970576</v>
      </c>
      <c r="L866" s="29">
        <f t="shared" ca="1" si="189"/>
        <v>148</v>
      </c>
      <c r="N866" s="22">
        <v>45411</v>
      </c>
      <c r="O866" s="26">
        <f t="shared" ca="1" si="138"/>
        <v>0.4286644831033749</v>
      </c>
      <c r="P866" s="29">
        <f t="shared" ca="1" si="190"/>
        <v>227</v>
      </c>
      <c r="R866" s="22">
        <v>45411</v>
      </c>
      <c r="S866" s="26">
        <f t="shared" ca="1" si="139"/>
        <v>9.0343204729857907E-2</v>
      </c>
      <c r="T866" s="29">
        <f t="shared" ca="1" si="191"/>
        <v>127</v>
      </c>
      <c r="V866" s="22">
        <v>45411</v>
      </c>
      <c r="W866" s="26">
        <f t="shared" ca="1" si="140"/>
        <v>0.97378028967212182</v>
      </c>
      <c r="X866" s="29">
        <f t="shared" ca="1" si="192"/>
        <v>255</v>
      </c>
      <c r="Z866" s="22">
        <v>45411</v>
      </c>
      <c r="AA866" s="26">
        <f t="shared" ca="1" si="141"/>
        <v>0.98315007794763898</v>
      </c>
      <c r="AB866" s="29">
        <f t="shared" ca="1" si="193"/>
        <v>309</v>
      </c>
      <c r="AC866"/>
      <c r="AD866" s="25"/>
      <c r="AF866" s="22">
        <v>45411</v>
      </c>
      <c r="AG866" s="26">
        <f t="shared" ca="1" si="142"/>
        <v>0.9575780805847337</v>
      </c>
      <c r="AH866" s="29">
        <f t="shared" ca="1" si="194"/>
        <v>478</v>
      </c>
      <c r="AJ866" s="22">
        <v>45411</v>
      </c>
      <c r="AK866" s="26">
        <f t="shared" ca="1" si="143"/>
        <v>0.92556682278078928</v>
      </c>
      <c r="AL866" s="29">
        <f t="shared" ca="1" si="195"/>
        <v>250</v>
      </c>
      <c r="AN866" s="22">
        <v>45411</v>
      </c>
      <c r="AO866" s="26">
        <f t="shared" ca="1" si="144"/>
        <v>0.64851387388976756</v>
      </c>
      <c r="AP866" s="29">
        <f t="shared" ca="1" si="196"/>
        <v>163</v>
      </c>
      <c r="AR866" s="22">
        <v>45411</v>
      </c>
      <c r="AS866" s="26">
        <f t="shared" ca="1" si="145"/>
        <v>0.11227562972941874</v>
      </c>
      <c r="AT866" s="29">
        <f t="shared" ca="1" si="197"/>
        <v>147</v>
      </c>
      <c r="AV866" s="22">
        <v>45411</v>
      </c>
      <c r="AW866" s="26">
        <f t="shared" ca="1" si="146"/>
        <v>0.20610981029412223</v>
      </c>
      <c r="AX866" s="29">
        <f t="shared" ca="1" si="198"/>
        <v>150</v>
      </c>
      <c r="AZ866" s="22">
        <v>45411</v>
      </c>
      <c r="BA866" s="26">
        <f t="shared" ca="1" si="147"/>
        <v>0.95684594321702787</v>
      </c>
      <c r="BB866" s="29">
        <f t="shared" ca="1" si="199"/>
        <v>263</v>
      </c>
      <c r="BC866"/>
      <c r="BD866" s="25"/>
      <c r="BF866" s="22">
        <v>45411</v>
      </c>
      <c r="BG866" s="26">
        <f t="shared" ca="1" si="148"/>
        <v>0.43934140851776493</v>
      </c>
      <c r="BH866" s="29">
        <f t="shared" ca="1" si="200"/>
        <v>154</v>
      </c>
      <c r="BJ866" s="22">
        <v>45411</v>
      </c>
      <c r="BK866" s="26">
        <f t="shared" ca="1" si="149"/>
        <v>0.44311055349032369</v>
      </c>
      <c r="BL866" s="29">
        <f t="shared" ca="1" si="201"/>
        <v>159</v>
      </c>
      <c r="BN866" s="22">
        <v>45411</v>
      </c>
      <c r="BO866" s="26">
        <f t="shared" ca="1" si="150"/>
        <v>0.41474752115891012</v>
      </c>
      <c r="BP866" s="29">
        <f t="shared" ca="1" si="202"/>
        <v>124</v>
      </c>
      <c r="BR866" s="22">
        <v>45411</v>
      </c>
      <c r="BS866" s="26">
        <f t="shared" ca="1" si="151"/>
        <v>0.75359989867466981</v>
      </c>
      <c r="BT866" s="29">
        <f t="shared" ca="1" si="203"/>
        <v>206</v>
      </c>
      <c r="BV866" s="22">
        <v>45411</v>
      </c>
      <c r="BW866" s="26">
        <f t="shared" ca="1" si="152"/>
        <v>0.79155891947543411</v>
      </c>
      <c r="BX866" s="29">
        <f t="shared" ca="1" si="204"/>
        <v>224</v>
      </c>
    </row>
    <row r="867" spans="2:77" ht="12.75" x14ac:dyDescent="0.2">
      <c r="B867" s="22">
        <v>45412</v>
      </c>
      <c r="C867" s="26">
        <f t="shared" ca="1" si="205"/>
        <v>9.3704966658114675E-3</v>
      </c>
      <c r="D867" s="29">
        <f t="shared" ca="1" si="187"/>
        <v>28</v>
      </c>
      <c r="E867">
        <v>1597</v>
      </c>
      <c r="F867" s="22"/>
      <c r="G867" s="26">
        <f t="shared" ca="1" si="136"/>
        <v>0.22807184729658991</v>
      </c>
      <c r="H867" s="29">
        <f t="shared" ca="1" si="188"/>
        <v>205</v>
      </c>
      <c r="I867">
        <v>1538</v>
      </c>
      <c r="J867" s="22">
        <v>45412</v>
      </c>
      <c r="K867" s="26">
        <f t="shared" ca="1" si="137"/>
        <v>0.95515152817044746</v>
      </c>
      <c r="L867" s="29">
        <f t="shared" ca="1" si="189"/>
        <v>167</v>
      </c>
      <c r="M867">
        <v>3201</v>
      </c>
      <c r="N867" s="22">
        <v>45412</v>
      </c>
      <c r="O867" s="26">
        <f t="shared" ca="1" si="138"/>
        <v>0.5724519038092285</v>
      </c>
      <c r="P867" s="29">
        <f t="shared" ca="1" si="190"/>
        <v>233</v>
      </c>
      <c r="Q867">
        <v>4879</v>
      </c>
      <c r="R867" s="22">
        <v>45412</v>
      </c>
      <c r="S867" s="26">
        <f t="shared" ca="1" si="139"/>
        <v>0.97667926686821593</v>
      </c>
      <c r="T867" s="29">
        <f t="shared" ca="1" si="191"/>
        <v>158</v>
      </c>
      <c r="U867">
        <v>2952</v>
      </c>
      <c r="V867" s="22">
        <v>45412</v>
      </c>
      <c r="W867" s="26">
        <f t="shared" ca="1" si="140"/>
        <v>0.63387564238709626</v>
      </c>
      <c r="X867" s="29">
        <f t="shared" ca="1" si="192"/>
        <v>231</v>
      </c>
      <c r="Y867">
        <v>4641</v>
      </c>
      <c r="Z867" s="22">
        <v>45412</v>
      </c>
      <c r="AA867" s="26">
        <f t="shared" ca="1" si="141"/>
        <v>0.3591045857109485</v>
      </c>
      <c r="AB867" s="29">
        <f t="shared" ca="1" si="193"/>
        <v>264</v>
      </c>
      <c r="AC867">
        <v>5654</v>
      </c>
      <c r="AD867" s="25"/>
      <c r="AF867" s="22">
        <v>45412</v>
      </c>
      <c r="AG867" s="26">
        <f t="shared" ca="1" si="142"/>
        <v>0.42150231453472908</v>
      </c>
      <c r="AH867" s="29">
        <f t="shared" ca="1" si="194"/>
        <v>310</v>
      </c>
      <c r="AI867">
        <v>6903</v>
      </c>
      <c r="AJ867" s="22">
        <v>45412</v>
      </c>
      <c r="AK867" s="26">
        <f t="shared" ca="1" si="143"/>
        <v>0.58960908322028327</v>
      </c>
      <c r="AL867" s="29">
        <f t="shared" ca="1" si="195"/>
        <v>191</v>
      </c>
      <c r="AM867">
        <v>3813</v>
      </c>
      <c r="AN867" s="22">
        <v>45412</v>
      </c>
      <c r="AO867" s="26">
        <f t="shared" ca="1" si="144"/>
        <v>0.61808256156052144</v>
      </c>
      <c r="AP867" s="29">
        <f t="shared" ca="1" si="196"/>
        <v>159</v>
      </c>
      <c r="AQ867">
        <v>3060</v>
      </c>
      <c r="AR867" s="22">
        <v>45412</v>
      </c>
      <c r="AS867" s="26">
        <f t="shared" ca="1" si="145"/>
        <v>0.55055411278133215</v>
      </c>
      <c r="AT867" s="29">
        <f t="shared" ca="1" si="197"/>
        <v>225</v>
      </c>
      <c r="AU867">
        <v>4383</v>
      </c>
      <c r="AV867" s="22">
        <v>45412</v>
      </c>
      <c r="AW867" s="26">
        <f t="shared" ca="1" si="146"/>
        <v>0.11451218778051475</v>
      </c>
      <c r="AX867" s="29">
        <f t="shared" ca="1" si="198"/>
        <v>131</v>
      </c>
      <c r="AY867">
        <v>3864</v>
      </c>
      <c r="AZ867" s="22">
        <v>45412</v>
      </c>
      <c r="BA867" s="26">
        <f t="shared" ca="1" si="147"/>
        <v>0.82404336495407515</v>
      </c>
      <c r="BB867" s="29">
        <f t="shared" ca="1" si="199"/>
        <v>225</v>
      </c>
      <c r="BC867">
        <v>3872</v>
      </c>
      <c r="BD867" s="25"/>
      <c r="BF867" s="22">
        <v>45412</v>
      </c>
      <c r="BG867" s="26">
        <f t="shared" ca="1" si="148"/>
        <v>0.18431949129074665</v>
      </c>
      <c r="BH867" s="29">
        <f t="shared" ca="1" si="200"/>
        <v>122</v>
      </c>
      <c r="BI867">
        <v>3429</v>
      </c>
      <c r="BJ867" s="22">
        <v>45412</v>
      </c>
      <c r="BK867" s="26">
        <f t="shared" ca="1" si="149"/>
        <v>0.95540980597303216</v>
      </c>
      <c r="BL867" s="29">
        <f t="shared" ca="1" si="201"/>
        <v>240</v>
      </c>
      <c r="BM867">
        <v>3339</v>
      </c>
      <c r="BN867" s="22">
        <v>45412</v>
      </c>
      <c r="BO867" s="26">
        <f t="shared" ca="1" si="150"/>
        <v>7.2668348593754262E-2</v>
      </c>
      <c r="BP867" s="29">
        <f t="shared" ca="1" si="202"/>
        <v>81</v>
      </c>
      <c r="BQ867">
        <v>2989</v>
      </c>
      <c r="BR867" s="22">
        <v>45412</v>
      </c>
      <c r="BS867" s="26">
        <f t="shared" ca="1" si="151"/>
        <v>0.891638419072184</v>
      </c>
      <c r="BT867" s="29">
        <f t="shared" ca="1" si="203"/>
        <v>231</v>
      </c>
      <c r="BU867">
        <v>3503</v>
      </c>
      <c r="BV867" s="22">
        <v>45412</v>
      </c>
      <c r="BW867" s="26">
        <f t="shared" ca="1" si="152"/>
        <v>0.19205071609009905</v>
      </c>
      <c r="BX867" s="29">
        <f t="shared" ca="1" si="204"/>
        <v>141</v>
      </c>
      <c r="BY867">
        <v>3714</v>
      </c>
    </row>
    <row r="868" spans="2:77" ht="12.75" x14ac:dyDescent="0.2">
      <c r="B868" s="22">
        <v>45413</v>
      </c>
      <c r="C868" s="26">
        <f t="shared" ca="1" si="205"/>
        <v>0.59741074566319441</v>
      </c>
      <c r="D868" s="29">
        <f ca="1">ROUNDUP(_xlfn.NORM.INV(C867,C$10,C$12),0)</f>
        <v>28</v>
      </c>
      <c r="F868" s="22"/>
      <c r="G868" s="26">
        <f t="shared" ca="1" si="136"/>
        <v>0.37162388995546558</v>
      </c>
      <c r="H868" s="29">
        <f ca="1">ROUNDUP(_xlfn.NORM.INV(G867,G$10,G$12),0)</f>
        <v>205</v>
      </c>
      <c r="I868">
        <v>0</v>
      </c>
      <c r="J868" s="22">
        <v>45413</v>
      </c>
      <c r="K868" s="26">
        <f t="shared" ca="1" si="137"/>
        <v>0.91526914337674203</v>
      </c>
      <c r="L868" s="29">
        <f ca="1">ROUNDUP(_xlfn.NORM.INV(K867,K$10,K$12),0)</f>
        <v>167</v>
      </c>
      <c r="N868" s="22">
        <v>45413</v>
      </c>
      <c r="O868" s="26">
        <f t="shared" ca="1" si="138"/>
        <v>0.77942601906358167</v>
      </c>
      <c r="P868" s="29">
        <f ca="1">ROUNDUP(_xlfn.NORM.INV(O867,O$10,O$12),0)</f>
        <v>233</v>
      </c>
      <c r="R868" s="22">
        <v>45413</v>
      </c>
      <c r="S868" s="26">
        <f t="shared" ca="1" si="139"/>
        <v>0.73813762189590304</v>
      </c>
      <c r="T868" s="29">
        <f ca="1">ROUNDUP(_xlfn.NORM.INV(S867,S$10,S$12),0)</f>
        <v>158</v>
      </c>
      <c r="V868" s="22">
        <v>45413</v>
      </c>
      <c r="W868" s="26">
        <f t="shared" ca="1" si="140"/>
        <v>0.20375841289028973</v>
      </c>
      <c r="X868" s="29">
        <f ca="1">ROUNDUP(_xlfn.NORM.INV(W867,W$10,W$12),0)</f>
        <v>231</v>
      </c>
      <c r="Z868" s="22">
        <v>45413</v>
      </c>
      <c r="AA868" s="26">
        <f t="shared" ca="1" si="141"/>
        <v>0.88477925972427396</v>
      </c>
      <c r="AB868" s="29">
        <f ca="1">ROUNDUP(_xlfn.NORM.INV(AA867,AA$10,AA$12),0)</f>
        <v>264</v>
      </c>
      <c r="AC868"/>
      <c r="AD868" s="25"/>
      <c r="AF868" s="22">
        <v>45413</v>
      </c>
      <c r="AG868" s="26">
        <f t="shared" ca="1" si="142"/>
        <v>0.17511664855758202</v>
      </c>
      <c r="AH868" s="29">
        <f ca="1">ROUNDUP(_xlfn.NORM.INV(AG867,AG$10,AG$12),0)</f>
        <v>310</v>
      </c>
      <c r="AJ868" s="22">
        <v>45413</v>
      </c>
      <c r="AK868" s="26">
        <f t="shared" ca="1" si="143"/>
        <v>0.48746290850678009</v>
      </c>
      <c r="AL868" s="29">
        <f ca="1">ROUNDUP(_xlfn.NORM.INV(AK867,AK$10,AK$12),0)</f>
        <v>191</v>
      </c>
      <c r="AN868" s="22">
        <v>45413</v>
      </c>
      <c r="AO868" s="26">
        <f t="shared" ca="1" si="144"/>
        <v>0.61406203333163512</v>
      </c>
      <c r="AP868" s="29">
        <f ca="1">ROUNDUP(_xlfn.NORM.INV(AO867,AO$10,AO$12),0)</f>
        <v>159</v>
      </c>
      <c r="AR868" s="22">
        <v>45413</v>
      </c>
      <c r="AS868" s="26">
        <f t="shared" ca="1" si="145"/>
        <v>0.41428549102776013</v>
      </c>
      <c r="AT868" s="29">
        <f ca="1">ROUNDUP(_xlfn.NORM.INV(AS867,AS$10,AS$12),0)</f>
        <v>225</v>
      </c>
      <c r="AV868" s="22">
        <v>45413</v>
      </c>
      <c r="AW868" s="26">
        <f t="shared" ca="1" si="146"/>
        <v>0.30369302998667891</v>
      </c>
      <c r="AX868" s="29">
        <f ca="1">ROUNDUP(_xlfn.NORM.INV(AW867,AW$10,AW$12),0)</f>
        <v>131</v>
      </c>
      <c r="AZ868" s="22">
        <v>45413</v>
      </c>
      <c r="BA868" s="26">
        <f t="shared" ca="1" si="147"/>
        <v>1.7125124198149932E-2</v>
      </c>
      <c r="BB868" s="29">
        <f ca="1">ROUNDUP(_xlfn.NORM.INV(BA867,BA$10,BA$12),0)</f>
        <v>225</v>
      </c>
      <c r="BC868"/>
      <c r="BD868" s="25"/>
      <c r="BF868" s="22">
        <v>45413</v>
      </c>
      <c r="BG868" s="26">
        <f t="shared" ca="1" si="148"/>
        <v>3.2468380651892503E-2</v>
      </c>
      <c r="BH868" s="29">
        <f ca="1">ROUNDUP(_xlfn.NORM.INV(BG867,BG$10,BG$12),0)</f>
        <v>122</v>
      </c>
      <c r="BJ868" s="22">
        <v>45413</v>
      </c>
      <c r="BK868" s="26">
        <f t="shared" ca="1" si="149"/>
        <v>0.26410281666068014</v>
      </c>
      <c r="BL868" s="29">
        <f ca="1">ROUNDUP(_xlfn.NORM.INV(BK867,BK$10,BK$12),0)</f>
        <v>240</v>
      </c>
      <c r="BN868" s="22">
        <v>45413</v>
      </c>
      <c r="BO868" s="26">
        <f t="shared" ca="1" si="150"/>
        <v>9.9524595246123337E-2</v>
      </c>
      <c r="BP868" s="29">
        <f ca="1">ROUNDUP(_xlfn.NORM.INV(BO867,BO$10,BO$12),0)</f>
        <v>81</v>
      </c>
      <c r="BR868" s="22">
        <v>45413</v>
      </c>
      <c r="BS868" s="26">
        <f t="shared" ca="1" si="151"/>
        <v>0.3621330573223418</v>
      </c>
      <c r="BT868" s="29">
        <f ca="1">ROUNDUP(_xlfn.NORM.INV(BS867,BS$10,BS$12),0)</f>
        <v>231</v>
      </c>
      <c r="BV868" s="22">
        <v>45413</v>
      </c>
      <c r="BW868" s="26">
        <f t="shared" ca="1" si="152"/>
        <v>8.3473373193499678E-2</v>
      </c>
      <c r="BX868" s="29">
        <f ca="1">ROUNDUP(_xlfn.NORM.INV(BW867,BW$10,BW$12),0)</f>
        <v>141</v>
      </c>
    </row>
    <row r="869" spans="2:77" ht="12.75" x14ac:dyDescent="0.2">
      <c r="B869" s="22">
        <v>45414</v>
      </c>
      <c r="C869" s="26">
        <f t="shared" ca="1" si="205"/>
        <v>0.65535329077699567</v>
      </c>
      <c r="D869" s="29">
        <f t="shared" ca="1" si="187"/>
        <v>83</v>
      </c>
      <c r="F869" s="22"/>
      <c r="G869" s="26">
        <f t="shared" ca="1" si="136"/>
        <v>0.59411184396033057</v>
      </c>
      <c r="H869" s="29">
        <f t="shared" ca="1" si="188"/>
        <v>219</v>
      </c>
      <c r="J869" s="22">
        <v>45414</v>
      </c>
      <c r="K869" s="26">
        <f t="shared" ca="1" si="137"/>
        <v>0.23457687676094952</v>
      </c>
      <c r="L869" s="29">
        <f t="shared" ca="1" si="189"/>
        <v>143</v>
      </c>
      <c r="N869" s="22">
        <v>45414</v>
      </c>
      <c r="O869" s="26">
        <f t="shared" ca="1" si="138"/>
        <v>0.92829708791354049</v>
      </c>
      <c r="P869" s="29">
        <f t="shared" ca="1" si="190"/>
        <v>252</v>
      </c>
      <c r="R869" s="22">
        <v>45414</v>
      </c>
      <c r="S869" s="26">
        <f t="shared" ca="1" si="139"/>
        <v>0.3523476990688249</v>
      </c>
      <c r="T869" s="29">
        <f t="shared" ca="1" si="191"/>
        <v>136</v>
      </c>
      <c r="V869" s="22">
        <v>45414</v>
      </c>
      <c r="W869" s="26">
        <f t="shared" ca="1" si="140"/>
        <v>0.4564184403891276</v>
      </c>
      <c r="X869" s="29">
        <f t="shared" ca="1" si="192"/>
        <v>224</v>
      </c>
      <c r="Z869" s="22">
        <v>45414</v>
      </c>
      <c r="AA869" s="26">
        <f t="shared" ca="1" si="141"/>
        <v>0.30942815181306638</v>
      </c>
      <c r="AB869" s="29">
        <f t="shared" ca="1" si="193"/>
        <v>262</v>
      </c>
      <c r="AC869"/>
      <c r="AD869" s="25"/>
      <c r="AF869" s="22">
        <v>45414</v>
      </c>
      <c r="AG869" s="26">
        <f t="shared" ca="1" si="142"/>
        <v>0.75985350882577896</v>
      </c>
      <c r="AH869" s="29">
        <f t="shared" ca="1" si="194"/>
        <v>389</v>
      </c>
      <c r="AJ869" s="22">
        <v>45414</v>
      </c>
      <c r="AK869" s="26">
        <f t="shared" ca="1" si="143"/>
        <v>9.9380234160577618E-3</v>
      </c>
      <c r="AL869" s="29">
        <f t="shared" ca="1" si="195"/>
        <v>69</v>
      </c>
      <c r="AN869" s="22">
        <v>45414</v>
      </c>
      <c r="AO869" s="26">
        <f t="shared" ca="1" si="144"/>
        <v>0.65799618176541008</v>
      </c>
      <c r="AP869" s="29">
        <f t="shared" ca="1" si="196"/>
        <v>164</v>
      </c>
      <c r="AR869" s="22">
        <v>45414</v>
      </c>
      <c r="AS869" s="26">
        <f t="shared" ca="1" si="145"/>
        <v>1.96832354188613E-2</v>
      </c>
      <c r="AT869" s="29">
        <f t="shared" ca="1" si="197"/>
        <v>98</v>
      </c>
      <c r="AV869" s="22">
        <v>45414</v>
      </c>
      <c r="AW869" s="26">
        <f t="shared" ca="1" si="146"/>
        <v>0.15617087492764237</v>
      </c>
      <c r="AX869" s="29">
        <f t="shared" ca="1" si="198"/>
        <v>141</v>
      </c>
      <c r="AZ869" s="22">
        <v>45414</v>
      </c>
      <c r="BA869" s="26">
        <f t="shared" ca="1" si="147"/>
        <v>0.77176608471038322</v>
      </c>
      <c r="BB869" s="29">
        <f t="shared" ca="1" si="199"/>
        <v>216</v>
      </c>
      <c r="BC869"/>
      <c r="BD869" s="25"/>
      <c r="BF869" s="22">
        <v>45414</v>
      </c>
      <c r="BG869" s="26">
        <f t="shared" ca="1" si="148"/>
        <v>0.68990465356364994</v>
      </c>
      <c r="BH869" s="29">
        <f t="shared" ca="1" si="200"/>
        <v>181</v>
      </c>
      <c r="BJ869" s="22">
        <v>45414</v>
      </c>
      <c r="BK869" s="26">
        <f t="shared" ca="1" si="149"/>
        <v>0.47904684220888327</v>
      </c>
      <c r="BL869" s="29">
        <f t="shared" ca="1" si="201"/>
        <v>163</v>
      </c>
      <c r="BN869" s="22">
        <v>45414</v>
      </c>
      <c r="BO869" s="26">
        <f t="shared" ca="1" si="150"/>
        <v>0.20596381957043863</v>
      </c>
      <c r="BP869" s="29">
        <f t="shared" ca="1" si="202"/>
        <v>103</v>
      </c>
      <c r="BR869" s="22">
        <v>45414</v>
      </c>
      <c r="BS869" s="26">
        <f t="shared" ca="1" si="151"/>
        <v>0.41689013185233681</v>
      </c>
      <c r="BT869" s="29">
        <f t="shared" ca="1" si="203"/>
        <v>164</v>
      </c>
      <c r="BV869" s="22">
        <v>45414</v>
      </c>
      <c r="BW869" s="26">
        <f t="shared" ca="1" si="152"/>
        <v>0.12426641066845523</v>
      </c>
      <c r="BX869" s="29">
        <f t="shared" ca="1" si="204"/>
        <v>128</v>
      </c>
    </row>
    <row r="870" spans="2:77" ht="12.75" x14ac:dyDescent="0.2">
      <c r="B870" s="22">
        <v>45415</v>
      </c>
      <c r="C870" s="26">
        <f t="shared" ca="1" si="205"/>
        <v>0.23937464356215155</v>
      </c>
      <c r="D870" s="29">
        <f t="shared" ca="1" si="187"/>
        <v>61</v>
      </c>
      <c r="F870" s="22"/>
      <c r="G870" s="26">
        <f t="shared" ca="1" si="136"/>
        <v>0.16334122200987711</v>
      </c>
      <c r="H870" s="29">
        <f t="shared" ca="1" si="188"/>
        <v>202</v>
      </c>
      <c r="J870" s="22">
        <v>45415</v>
      </c>
      <c r="K870" s="26">
        <f t="shared" ca="1" si="137"/>
        <v>0.80495646340750548</v>
      </c>
      <c r="L870" s="29">
        <f t="shared" ca="1" si="189"/>
        <v>159</v>
      </c>
      <c r="N870" s="22">
        <v>45415</v>
      </c>
      <c r="O870" s="26">
        <f t="shared" ca="1" si="138"/>
        <v>0.80187214604218393</v>
      </c>
      <c r="P870" s="29">
        <f t="shared" ca="1" si="190"/>
        <v>243</v>
      </c>
      <c r="R870" s="22">
        <v>45415</v>
      </c>
      <c r="S870" s="26">
        <f t="shared" ca="1" si="139"/>
        <v>0.12809513031140629</v>
      </c>
      <c r="T870" s="29">
        <f t="shared" ca="1" si="191"/>
        <v>129</v>
      </c>
      <c r="V870" s="22">
        <v>45415</v>
      </c>
      <c r="W870" s="26">
        <f t="shared" ca="1" si="140"/>
        <v>0.72805518770307565</v>
      </c>
      <c r="X870" s="29">
        <f t="shared" ca="1" si="192"/>
        <v>235</v>
      </c>
      <c r="Z870" s="22">
        <v>45415</v>
      </c>
      <c r="AA870" s="26">
        <f t="shared" ca="1" si="141"/>
        <v>0.68141806913421021</v>
      </c>
      <c r="AB870" s="29">
        <f t="shared" ca="1" si="193"/>
        <v>279</v>
      </c>
      <c r="AC870"/>
      <c r="AD870" s="25"/>
      <c r="AF870" s="22">
        <v>45415</v>
      </c>
      <c r="AG870" s="26">
        <f t="shared" ca="1" si="142"/>
        <v>0.93404219716759807</v>
      </c>
      <c r="AH870" s="29">
        <f t="shared" ca="1" si="194"/>
        <v>459</v>
      </c>
      <c r="AJ870" s="22">
        <v>45415</v>
      </c>
      <c r="AK870" s="26">
        <f t="shared" ca="1" si="143"/>
        <v>0.18053088455619981</v>
      </c>
      <c r="AL870" s="29">
        <f t="shared" ca="1" si="195"/>
        <v>137</v>
      </c>
      <c r="AN870" s="22">
        <v>45415</v>
      </c>
      <c r="AO870" s="26">
        <f t="shared" ca="1" si="144"/>
        <v>0.88886532028675924</v>
      </c>
      <c r="AP870" s="29">
        <f t="shared" ca="1" si="196"/>
        <v>196</v>
      </c>
      <c r="AR870" s="22">
        <v>45415</v>
      </c>
      <c r="AS870" s="26">
        <f t="shared" ca="1" si="145"/>
        <v>0.10415319846098192</v>
      </c>
      <c r="AT870" s="29">
        <f t="shared" ca="1" si="197"/>
        <v>145</v>
      </c>
      <c r="AV870" s="22">
        <v>45415</v>
      </c>
      <c r="AW870" s="26">
        <f t="shared" ca="1" si="146"/>
        <v>0.70981220633161268</v>
      </c>
      <c r="AX870" s="29">
        <f t="shared" ca="1" si="198"/>
        <v>220</v>
      </c>
      <c r="AZ870" s="22">
        <v>45415</v>
      </c>
      <c r="BA870" s="26">
        <f t="shared" ca="1" si="147"/>
        <v>0.99882340110551948</v>
      </c>
      <c r="BB870" s="29">
        <f t="shared" ca="1" si="199"/>
        <v>326</v>
      </c>
      <c r="BC870"/>
      <c r="BD870" s="25"/>
      <c r="BF870" s="22">
        <v>45415</v>
      </c>
      <c r="BG870" s="26">
        <f t="shared" ca="1" si="148"/>
        <v>0.22879996902238164</v>
      </c>
      <c r="BH870" s="29">
        <f t="shared" ca="1" si="200"/>
        <v>128</v>
      </c>
      <c r="BJ870" s="22">
        <v>45415</v>
      </c>
      <c r="BK870" s="26">
        <f t="shared" ca="1" si="149"/>
        <v>0.58500390936845836</v>
      </c>
      <c r="BL870" s="29">
        <f t="shared" ca="1" si="201"/>
        <v>174</v>
      </c>
      <c r="BN870" s="22">
        <v>45415</v>
      </c>
      <c r="BO870" s="26">
        <f t="shared" ca="1" si="150"/>
        <v>0.4182157070821525</v>
      </c>
      <c r="BP870" s="29">
        <f t="shared" ca="1" si="202"/>
        <v>124</v>
      </c>
      <c r="BR870" s="22">
        <v>45415</v>
      </c>
      <c r="BS870" s="26">
        <f t="shared" ca="1" si="151"/>
        <v>0.52625332547819981</v>
      </c>
      <c r="BT870" s="29">
        <f t="shared" ca="1" si="203"/>
        <v>177</v>
      </c>
      <c r="BV870" s="22">
        <v>45415</v>
      </c>
      <c r="BW870" s="26">
        <f t="shared" ca="1" si="152"/>
        <v>0.34285571665239356</v>
      </c>
      <c r="BX870" s="29">
        <f t="shared" ca="1" si="204"/>
        <v>164</v>
      </c>
    </row>
    <row r="871" spans="2:77" ht="12.75" x14ac:dyDescent="0.2">
      <c r="B871" s="22">
        <v>45416</v>
      </c>
      <c r="C871" s="26">
        <f t="shared" ca="1" si="205"/>
        <v>0.89757807173886905</v>
      </c>
      <c r="D871" s="29">
        <f t="shared" ca="1" si="187"/>
        <v>101</v>
      </c>
      <c r="F871" s="22"/>
      <c r="G871" s="26">
        <f t="shared" ca="1" si="136"/>
        <v>0.81841472906154422</v>
      </c>
      <c r="H871" s="29">
        <f t="shared" ca="1" si="188"/>
        <v>229</v>
      </c>
      <c r="J871" s="22">
        <v>45416</v>
      </c>
      <c r="K871" s="26">
        <f t="shared" ca="1" si="137"/>
        <v>0.63018314099130612</v>
      </c>
      <c r="L871" s="29">
        <f t="shared" ca="1" si="189"/>
        <v>154</v>
      </c>
      <c r="N871" s="22">
        <v>45416</v>
      </c>
      <c r="O871" s="26">
        <f t="shared" ca="1" si="138"/>
        <v>0.48003019712819051</v>
      </c>
      <c r="P871" s="29">
        <f t="shared" ca="1" si="190"/>
        <v>229</v>
      </c>
      <c r="R871" s="22">
        <v>45416</v>
      </c>
      <c r="S871" s="26">
        <f t="shared" ca="1" si="139"/>
        <v>0.15401996129306539</v>
      </c>
      <c r="T871" s="29">
        <f t="shared" ca="1" si="191"/>
        <v>130</v>
      </c>
      <c r="V871" s="22">
        <v>45416</v>
      </c>
      <c r="W871" s="26">
        <f t="shared" ca="1" si="140"/>
        <v>0.96918538981432056</v>
      </c>
      <c r="X871" s="29">
        <f t="shared" ca="1" si="192"/>
        <v>254</v>
      </c>
      <c r="Z871" s="22">
        <v>45416</v>
      </c>
      <c r="AA871" s="26">
        <f t="shared" ca="1" si="141"/>
        <v>0.90187627302284201</v>
      </c>
      <c r="AB871" s="29">
        <f t="shared" ca="1" si="193"/>
        <v>294</v>
      </c>
      <c r="AC871"/>
      <c r="AD871" s="25"/>
      <c r="AF871" s="22">
        <v>45416</v>
      </c>
      <c r="AG871" s="26">
        <f t="shared" ca="1" si="142"/>
        <v>0.26177480802916897</v>
      </c>
      <c r="AH871" s="29">
        <f t="shared" ca="1" si="194"/>
        <v>272</v>
      </c>
      <c r="AJ871" s="22">
        <v>45416</v>
      </c>
      <c r="AK871" s="26">
        <f t="shared" ca="1" si="143"/>
        <v>0.43542319357174608</v>
      </c>
      <c r="AL871" s="29">
        <f t="shared" ca="1" si="195"/>
        <v>173</v>
      </c>
      <c r="AN871" s="22">
        <v>45416</v>
      </c>
      <c r="AO871" s="26">
        <f t="shared" ca="1" si="144"/>
        <v>0.86784307331336075</v>
      </c>
      <c r="AP871" s="29">
        <f t="shared" ca="1" si="196"/>
        <v>191</v>
      </c>
      <c r="AR871" s="22">
        <v>45416</v>
      </c>
      <c r="AS871" s="26">
        <f t="shared" ca="1" si="145"/>
        <v>0.75207071337873632</v>
      </c>
      <c r="AT871" s="29">
        <f t="shared" ca="1" si="197"/>
        <v>257</v>
      </c>
      <c r="AV871" s="22">
        <v>45416</v>
      </c>
      <c r="AW871" s="26">
        <f t="shared" ca="1" si="146"/>
        <v>0.86519950107982591</v>
      </c>
      <c r="AX871" s="29">
        <f t="shared" ca="1" si="198"/>
        <v>249</v>
      </c>
      <c r="AZ871" s="22">
        <v>45416</v>
      </c>
      <c r="BA871" s="26">
        <f t="shared" ca="1" si="147"/>
        <v>0.75516141711435658</v>
      </c>
      <c r="BB871" s="29">
        <f t="shared" ca="1" si="199"/>
        <v>213</v>
      </c>
      <c r="BC871"/>
      <c r="BD871" s="25"/>
      <c r="BF871" s="22">
        <v>45416</v>
      </c>
      <c r="BG871" s="26">
        <f t="shared" ca="1" si="148"/>
        <v>7.6314413928296965E-2</v>
      </c>
      <c r="BH871" s="29">
        <f t="shared" ca="1" si="200"/>
        <v>99</v>
      </c>
      <c r="BJ871" s="22">
        <v>45416</v>
      </c>
      <c r="BK871" s="26">
        <f t="shared" ca="1" si="149"/>
        <v>0.39051323019561457</v>
      </c>
      <c r="BL871" s="29">
        <f t="shared" ca="1" si="201"/>
        <v>153</v>
      </c>
      <c r="BN871" s="22">
        <v>45416</v>
      </c>
      <c r="BO871" s="26">
        <f t="shared" ca="1" si="150"/>
        <v>0.20810879527608672</v>
      </c>
      <c r="BP871" s="29">
        <f t="shared" ca="1" si="202"/>
        <v>103</v>
      </c>
      <c r="BR871" s="22">
        <v>45416</v>
      </c>
      <c r="BS871" s="26">
        <f t="shared" ca="1" si="151"/>
        <v>0.10047528522259941</v>
      </c>
      <c r="BT871" s="29">
        <f t="shared" ca="1" si="203"/>
        <v>115</v>
      </c>
      <c r="BV871" s="22">
        <v>45416</v>
      </c>
      <c r="BW871" s="26">
        <f t="shared" ca="1" si="152"/>
        <v>0.92810594696623494</v>
      </c>
      <c r="BX871" s="29">
        <f t="shared" ca="1" si="204"/>
        <v>255</v>
      </c>
    </row>
    <row r="872" spans="2:77" ht="12.75" x14ac:dyDescent="0.2">
      <c r="B872" s="22">
        <v>45417</v>
      </c>
      <c r="C872" s="26">
        <f t="shared" ca="1" si="205"/>
        <v>0.63767811759892357</v>
      </c>
      <c r="D872" s="29">
        <f t="shared" ca="1" si="187"/>
        <v>83</v>
      </c>
      <c r="F872" s="22"/>
      <c r="G872" s="26">
        <f t="shared" ca="1" si="136"/>
        <v>0.30397785583853953</v>
      </c>
      <c r="H872" s="29">
        <f t="shared" ca="1" si="188"/>
        <v>209</v>
      </c>
      <c r="J872" s="22">
        <v>45417</v>
      </c>
      <c r="K872" s="26">
        <f t="shared" ca="1" si="137"/>
        <v>0.15184817934969108</v>
      </c>
      <c r="L872" s="29">
        <f t="shared" ca="1" si="189"/>
        <v>140</v>
      </c>
      <c r="N872" s="22">
        <v>45417</v>
      </c>
      <c r="O872" s="26">
        <f t="shared" ca="1" si="138"/>
        <v>0.88857411401098263</v>
      </c>
      <c r="P872" s="29">
        <f t="shared" ca="1" si="190"/>
        <v>248</v>
      </c>
      <c r="R872" s="22">
        <v>45417</v>
      </c>
      <c r="S872" s="26">
        <f t="shared" ca="1" si="139"/>
        <v>0.41812993826093836</v>
      </c>
      <c r="T872" s="29">
        <f t="shared" ca="1" si="191"/>
        <v>137</v>
      </c>
      <c r="V872" s="22">
        <v>45417</v>
      </c>
      <c r="W872" s="26">
        <f t="shared" ca="1" si="140"/>
        <v>4.0148103863004936E-2</v>
      </c>
      <c r="X872" s="29">
        <f t="shared" ca="1" si="192"/>
        <v>199</v>
      </c>
      <c r="Z872" s="22">
        <v>45417</v>
      </c>
      <c r="AA872" s="26">
        <f t="shared" ca="1" si="141"/>
        <v>0.45208327134657678</v>
      </c>
      <c r="AB872" s="29">
        <f t="shared" ca="1" si="193"/>
        <v>268</v>
      </c>
      <c r="AC872"/>
      <c r="AD872" s="25"/>
      <c r="AF872" s="22">
        <v>45417</v>
      </c>
      <c r="AG872" s="26">
        <f t="shared" ca="1" si="142"/>
        <v>0.5234391562033951</v>
      </c>
      <c r="AH872" s="29">
        <f t="shared" ca="1" si="194"/>
        <v>333</v>
      </c>
      <c r="AJ872" s="22">
        <v>45417</v>
      </c>
      <c r="AK872" s="26">
        <f t="shared" ca="1" si="143"/>
        <v>0.34583929831529481</v>
      </c>
      <c r="AL872" s="29">
        <f t="shared" ca="1" si="195"/>
        <v>161</v>
      </c>
      <c r="AN872" s="22">
        <v>45417</v>
      </c>
      <c r="AO872" s="26">
        <f t="shared" ca="1" si="144"/>
        <v>0.16408785217139277</v>
      </c>
      <c r="AP872" s="29">
        <f t="shared" ca="1" si="196"/>
        <v>109</v>
      </c>
      <c r="AR872" s="22">
        <v>45417</v>
      </c>
      <c r="AS872" s="26">
        <f t="shared" ca="1" si="145"/>
        <v>0.2893711832106548</v>
      </c>
      <c r="AT872" s="29">
        <f t="shared" ca="1" si="197"/>
        <v>185</v>
      </c>
      <c r="AV872" s="22">
        <v>45417</v>
      </c>
      <c r="AW872" s="26">
        <f t="shared" ca="1" si="146"/>
        <v>0.3523283107087859</v>
      </c>
      <c r="AX872" s="29">
        <f t="shared" ca="1" si="198"/>
        <v>173</v>
      </c>
      <c r="AZ872" s="22">
        <v>45417</v>
      </c>
      <c r="BA872" s="26">
        <f t="shared" ca="1" si="147"/>
        <v>0.69298928442055396</v>
      </c>
      <c r="BB872" s="29">
        <f t="shared" ca="1" si="199"/>
        <v>205</v>
      </c>
      <c r="BC872"/>
      <c r="BD872" s="25"/>
      <c r="BF872" s="22">
        <v>45417</v>
      </c>
      <c r="BG872" s="26">
        <f t="shared" ca="1" si="148"/>
        <v>0.33848170946644229</v>
      </c>
      <c r="BH872" s="29">
        <f t="shared" ca="1" si="200"/>
        <v>142</v>
      </c>
      <c r="BJ872" s="22">
        <v>45417</v>
      </c>
      <c r="BK872" s="26">
        <f t="shared" ca="1" si="149"/>
        <v>0.65181148234044228</v>
      </c>
      <c r="BL872" s="29">
        <f t="shared" ca="1" si="201"/>
        <v>182</v>
      </c>
      <c r="BN872" s="22">
        <v>45417</v>
      </c>
      <c r="BO872" s="26">
        <f t="shared" ca="1" si="150"/>
        <v>0.10916044511360956</v>
      </c>
      <c r="BP872" s="29">
        <f t="shared" ca="1" si="202"/>
        <v>88</v>
      </c>
      <c r="BR872" s="22">
        <v>45417</v>
      </c>
      <c r="BS872" s="26">
        <f t="shared" ca="1" si="151"/>
        <v>0.68940407405572979</v>
      </c>
      <c r="BT872" s="29">
        <f t="shared" ca="1" si="203"/>
        <v>197</v>
      </c>
      <c r="BV872" s="22">
        <v>45417</v>
      </c>
      <c r="BW872" s="26">
        <f t="shared" ca="1" si="152"/>
        <v>0.22787916975626477</v>
      </c>
      <c r="BX872" s="29">
        <f t="shared" ca="1" si="204"/>
        <v>147</v>
      </c>
    </row>
    <row r="873" spans="2:77" ht="12.75" x14ac:dyDescent="0.2">
      <c r="B873" s="22">
        <v>45418</v>
      </c>
      <c r="C873" s="26">
        <f t="shared" ca="1" si="205"/>
        <v>0.87081080167373759</v>
      </c>
      <c r="D873" s="29">
        <f t="shared" ca="1" si="187"/>
        <v>98</v>
      </c>
      <c r="F873" s="22"/>
      <c r="G873" s="26">
        <f t="shared" ca="1" si="136"/>
        <v>0.94774576971800262</v>
      </c>
      <c r="H873" s="29">
        <f t="shared" ca="1" si="188"/>
        <v>239</v>
      </c>
      <c r="J873" s="22">
        <v>45418</v>
      </c>
      <c r="K873" s="26">
        <f t="shared" ca="1" si="137"/>
        <v>0.88038882906298799</v>
      </c>
      <c r="L873" s="29">
        <f t="shared" ca="1" si="189"/>
        <v>162</v>
      </c>
      <c r="N873" s="22">
        <v>45418</v>
      </c>
      <c r="O873" s="26">
        <f t="shared" ca="1" si="138"/>
        <v>0.57371045990264746</v>
      </c>
      <c r="P873" s="29">
        <f t="shared" ca="1" si="190"/>
        <v>233</v>
      </c>
      <c r="R873" s="22">
        <v>45418</v>
      </c>
      <c r="S873" s="26">
        <f t="shared" ca="1" si="139"/>
        <v>0.59331925582539369</v>
      </c>
      <c r="T873" s="29">
        <f t="shared" ca="1" si="191"/>
        <v>141</v>
      </c>
      <c r="V873" s="22">
        <v>45418</v>
      </c>
      <c r="W873" s="26">
        <f t="shared" ca="1" si="140"/>
        <v>0.88115461401374351</v>
      </c>
      <c r="X873" s="29">
        <f t="shared" ca="1" si="192"/>
        <v>243</v>
      </c>
      <c r="Z873" s="22">
        <v>45418</v>
      </c>
      <c r="AA873" s="26">
        <f t="shared" ca="1" si="141"/>
        <v>0.34511177489194211</v>
      </c>
      <c r="AB873" s="29">
        <f t="shared" ca="1" si="193"/>
        <v>263</v>
      </c>
      <c r="AC873"/>
      <c r="AD873" s="25"/>
      <c r="AF873" s="22">
        <v>45418</v>
      </c>
      <c r="AG873" s="26">
        <f t="shared" ca="1" si="142"/>
        <v>0.89403623217621619</v>
      </c>
      <c r="AH873" s="29">
        <f t="shared" ca="1" si="194"/>
        <v>436</v>
      </c>
      <c r="AJ873" s="22">
        <v>45418</v>
      </c>
      <c r="AK873" s="26">
        <f t="shared" ca="1" si="143"/>
        <v>0.92869682273133036</v>
      </c>
      <c r="AL873" s="29">
        <f t="shared" ca="1" si="195"/>
        <v>251</v>
      </c>
      <c r="AN873" s="22">
        <v>45418</v>
      </c>
      <c r="AO873" s="26">
        <f t="shared" ca="1" si="144"/>
        <v>0.39243040128628737</v>
      </c>
      <c r="AP873" s="29">
        <f t="shared" ca="1" si="196"/>
        <v>137</v>
      </c>
      <c r="AR873" s="22">
        <v>45418</v>
      </c>
      <c r="AS873" s="26">
        <f t="shared" ca="1" si="145"/>
        <v>0.84108851057183642</v>
      </c>
      <c r="AT873" s="29">
        <f t="shared" ca="1" si="197"/>
        <v>275</v>
      </c>
      <c r="AV873" s="22">
        <v>45418</v>
      </c>
      <c r="AW873" s="26">
        <f t="shared" ca="1" si="146"/>
        <v>9.5032732878726267E-2</v>
      </c>
      <c r="AX873" s="29">
        <f t="shared" ca="1" si="198"/>
        <v>125</v>
      </c>
      <c r="AZ873" s="22">
        <v>45418</v>
      </c>
      <c r="BA873" s="26">
        <f t="shared" ca="1" si="147"/>
        <v>0.62287876262838138</v>
      </c>
      <c r="BB873" s="29">
        <f t="shared" ca="1" si="199"/>
        <v>195</v>
      </c>
      <c r="BC873"/>
      <c r="BD873" s="25"/>
      <c r="BF873" s="22">
        <v>45418</v>
      </c>
      <c r="BG873" s="26">
        <f t="shared" ca="1" si="148"/>
        <v>0.9249524548280238</v>
      </c>
      <c r="BH873" s="29">
        <f t="shared" ca="1" si="200"/>
        <v>221</v>
      </c>
      <c r="BJ873" s="22">
        <v>45418</v>
      </c>
      <c r="BK873" s="26">
        <f t="shared" ca="1" si="149"/>
        <v>0.95130090042550586</v>
      </c>
      <c r="BL873" s="29">
        <f t="shared" ca="1" si="201"/>
        <v>238</v>
      </c>
      <c r="BN873" s="22">
        <v>45418</v>
      </c>
      <c r="BO873" s="26">
        <f t="shared" ca="1" si="150"/>
        <v>0.46791556832729031</v>
      </c>
      <c r="BP873" s="29">
        <f t="shared" ca="1" si="202"/>
        <v>129</v>
      </c>
      <c r="BR873" s="22">
        <v>45418</v>
      </c>
      <c r="BS873" s="26">
        <f t="shared" ca="1" si="151"/>
        <v>0.9480420585051611</v>
      </c>
      <c r="BT873" s="29">
        <f t="shared" ca="1" si="203"/>
        <v>249</v>
      </c>
      <c r="BV873" s="22">
        <v>45418</v>
      </c>
      <c r="BW873" s="26">
        <f t="shared" ca="1" si="152"/>
        <v>0.7745500041242751</v>
      </c>
      <c r="BX873" s="29">
        <f t="shared" ca="1" si="204"/>
        <v>221</v>
      </c>
    </row>
    <row r="874" spans="2:77" ht="12.75" x14ac:dyDescent="0.2">
      <c r="B874" s="22">
        <v>45419</v>
      </c>
      <c r="C874" s="26">
        <f t="shared" ca="1" si="205"/>
        <v>0.22112821367814695</v>
      </c>
      <c r="D874" s="29">
        <f t="shared" ca="1" si="187"/>
        <v>60</v>
      </c>
      <c r="F874" s="22"/>
      <c r="G874" s="26">
        <f t="shared" ca="1" si="136"/>
        <v>0.21797741066010434</v>
      </c>
      <c r="H874" s="29">
        <f t="shared" ca="1" si="188"/>
        <v>205</v>
      </c>
      <c r="J874" s="22">
        <v>45419</v>
      </c>
      <c r="K874" s="26">
        <f t="shared" ca="1" si="137"/>
        <v>7.2668440376989274E-2</v>
      </c>
      <c r="L874" s="29">
        <f t="shared" ca="1" si="189"/>
        <v>136</v>
      </c>
      <c r="N874" s="22">
        <v>45419</v>
      </c>
      <c r="O874" s="26">
        <f t="shared" ca="1" si="138"/>
        <v>0.6877371272239009</v>
      </c>
      <c r="P874" s="29">
        <f t="shared" ca="1" si="190"/>
        <v>237</v>
      </c>
      <c r="R874" s="22">
        <v>45419</v>
      </c>
      <c r="S874" s="26">
        <f t="shared" ca="1" si="139"/>
        <v>0.64151428515132536</v>
      </c>
      <c r="T874" s="29">
        <f t="shared" ca="1" si="191"/>
        <v>143</v>
      </c>
      <c r="V874" s="22">
        <v>45419</v>
      </c>
      <c r="W874" s="26">
        <f t="shared" ca="1" si="140"/>
        <v>0.62246316435151849</v>
      </c>
      <c r="X874" s="29">
        <f t="shared" ca="1" si="192"/>
        <v>230</v>
      </c>
      <c r="Z874" s="22">
        <v>45419</v>
      </c>
      <c r="AA874" s="26">
        <f t="shared" ca="1" si="141"/>
        <v>0.86751095459608951</v>
      </c>
      <c r="AB874" s="29">
        <f t="shared" ca="1" si="193"/>
        <v>291</v>
      </c>
      <c r="AC874"/>
      <c r="AD874" s="25"/>
      <c r="AF874" s="22">
        <v>45419</v>
      </c>
      <c r="AG874" s="26">
        <f t="shared" ca="1" si="142"/>
        <v>3.8073951509566606E-2</v>
      </c>
      <c r="AH874" s="29">
        <f t="shared" ca="1" si="194"/>
        <v>173</v>
      </c>
      <c r="AJ874" s="22">
        <v>45419</v>
      </c>
      <c r="AK874" s="26">
        <f t="shared" ca="1" si="143"/>
        <v>0.82595893144430765</v>
      </c>
      <c r="AL874" s="29">
        <f t="shared" ca="1" si="195"/>
        <v>225</v>
      </c>
      <c r="AN874" s="22">
        <v>45419</v>
      </c>
      <c r="AO874" s="26">
        <f t="shared" ca="1" si="144"/>
        <v>0.70967702532892796</v>
      </c>
      <c r="AP874" s="29">
        <f t="shared" ca="1" si="196"/>
        <v>169</v>
      </c>
      <c r="AR874" s="22">
        <v>45419</v>
      </c>
      <c r="AS874" s="26">
        <f t="shared" ca="1" si="145"/>
        <v>0.91496466167399471</v>
      </c>
      <c r="AT874" s="29">
        <f t="shared" ca="1" si="197"/>
        <v>297</v>
      </c>
      <c r="AV874" s="22">
        <v>45419</v>
      </c>
      <c r="AW874" s="26">
        <f t="shared" ca="1" si="146"/>
        <v>0.16173946508555648</v>
      </c>
      <c r="AX874" s="29">
        <f t="shared" ca="1" si="198"/>
        <v>142</v>
      </c>
      <c r="AZ874" s="22">
        <v>45419</v>
      </c>
      <c r="BA874" s="26">
        <f t="shared" ca="1" si="147"/>
        <v>0.20185416460931171</v>
      </c>
      <c r="BB874" s="29">
        <f t="shared" ca="1" si="199"/>
        <v>140</v>
      </c>
      <c r="BC874"/>
      <c r="BD874" s="25"/>
      <c r="BF874" s="22">
        <v>45419</v>
      </c>
      <c r="BG874" s="26">
        <f t="shared" ca="1" si="148"/>
        <v>0.11262812052954563</v>
      </c>
      <c r="BH874" s="29">
        <f t="shared" ca="1" si="200"/>
        <v>108</v>
      </c>
      <c r="BJ874" s="22">
        <v>45419</v>
      </c>
      <c r="BK874" s="26">
        <f t="shared" ca="1" si="149"/>
        <v>0.60172646013208353</v>
      </c>
      <c r="BL874" s="29">
        <f t="shared" ca="1" si="201"/>
        <v>176</v>
      </c>
      <c r="BN874" s="22">
        <v>45419</v>
      </c>
      <c r="BO874" s="26">
        <f t="shared" ca="1" si="150"/>
        <v>0.40056358357435717</v>
      </c>
      <c r="BP874" s="29">
        <f t="shared" ca="1" si="202"/>
        <v>123</v>
      </c>
      <c r="BR874" s="22">
        <v>45419</v>
      </c>
      <c r="BS874" s="26">
        <f t="shared" ca="1" si="151"/>
        <v>0.77271304837206423</v>
      </c>
      <c r="BT874" s="29">
        <f t="shared" ca="1" si="203"/>
        <v>209</v>
      </c>
      <c r="BV874" s="22">
        <v>45419</v>
      </c>
      <c r="BW874" s="26">
        <f t="shared" ca="1" si="152"/>
        <v>0.92188865524128272</v>
      </c>
      <c r="BX874" s="29">
        <f t="shared" ca="1" si="204"/>
        <v>253</v>
      </c>
    </row>
    <row r="875" spans="2:77" ht="12.75" x14ac:dyDescent="0.2">
      <c r="B875" s="22">
        <v>45420</v>
      </c>
      <c r="C875" s="26">
        <f t="shared" ca="1" si="205"/>
        <v>0.15109700478002175</v>
      </c>
      <c r="D875" s="29">
        <f t="shared" ca="1" si="187"/>
        <v>55</v>
      </c>
      <c r="F875" s="22"/>
      <c r="G875" s="26">
        <f t="shared" ref="G875:G993" ca="1" si="206">RAND()</f>
        <v>0.58420845494897766</v>
      </c>
      <c r="H875" s="29">
        <f t="shared" ca="1" si="188"/>
        <v>219</v>
      </c>
      <c r="J875" s="22">
        <v>45420</v>
      </c>
      <c r="K875" s="26">
        <f t="shared" ref="K875:K993" ca="1" si="207">RAND()</f>
        <v>0.80769040728399011</v>
      </c>
      <c r="L875" s="29">
        <f t="shared" ca="1" si="189"/>
        <v>159</v>
      </c>
      <c r="N875" s="22">
        <v>45420</v>
      </c>
      <c r="O875" s="26">
        <f t="shared" ref="O875:O993" ca="1" si="208">RAND()</f>
        <v>0.602162179939702</v>
      </c>
      <c r="P875" s="29">
        <f t="shared" ca="1" si="190"/>
        <v>234</v>
      </c>
      <c r="R875" s="22">
        <v>45420</v>
      </c>
      <c r="S875" s="26">
        <f t="shared" ref="S875:S993" ca="1" si="209">RAND()</f>
        <v>0.35337788277044169</v>
      </c>
      <c r="T875" s="29">
        <f t="shared" ca="1" si="191"/>
        <v>136</v>
      </c>
      <c r="V875" s="22">
        <v>45420</v>
      </c>
      <c r="W875" s="26">
        <f t="shared" ref="W875:W993" ca="1" si="210">RAND()</f>
        <v>0.51952781951789218</v>
      </c>
      <c r="X875" s="29">
        <f t="shared" ca="1" si="192"/>
        <v>226</v>
      </c>
      <c r="Z875" s="22">
        <v>45420</v>
      </c>
      <c r="AA875" s="26">
        <f t="shared" ref="AA875:AA993" ca="1" si="211">RAND()</f>
        <v>0.41135268178418316</v>
      </c>
      <c r="AB875" s="29">
        <f t="shared" ca="1" si="193"/>
        <v>266</v>
      </c>
      <c r="AC875"/>
      <c r="AD875" s="25"/>
      <c r="AF875" s="22">
        <v>45420</v>
      </c>
      <c r="AG875" s="26">
        <f t="shared" ref="AG875:AG993" ca="1" si="212">RAND()</f>
        <v>0.12961338902446173</v>
      </c>
      <c r="AH875" s="29">
        <f t="shared" ca="1" si="194"/>
        <v>229</v>
      </c>
      <c r="AJ875" s="22">
        <v>45420</v>
      </c>
      <c r="AK875" s="26">
        <f t="shared" ref="AK875:AK993" ca="1" si="213">RAND()</f>
        <v>0.34396784163223715</v>
      </c>
      <c r="AL875" s="29">
        <f t="shared" ca="1" si="195"/>
        <v>161</v>
      </c>
      <c r="AN875" s="22">
        <v>45420</v>
      </c>
      <c r="AO875" s="26">
        <f t="shared" ref="AO875:AO993" ca="1" si="214">RAND()</f>
        <v>0.20536921570943301</v>
      </c>
      <c r="AP875" s="29">
        <f t="shared" ca="1" si="196"/>
        <v>115</v>
      </c>
      <c r="AR875" s="22">
        <v>45420</v>
      </c>
      <c r="AS875" s="26">
        <f t="shared" ref="AS875:AS993" ca="1" si="215">RAND()</f>
        <v>0.52566589316940782</v>
      </c>
      <c r="AT875" s="29">
        <f t="shared" ca="1" si="197"/>
        <v>221</v>
      </c>
      <c r="AV875" s="22">
        <v>45420</v>
      </c>
      <c r="AW875" s="26">
        <f t="shared" ref="AW875:AW993" ca="1" si="216">RAND()</f>
        <v>0.45321494926087391</v>
      </c>
      <c r="AX875" s="29">
        <f t="shared" ca="1" si="198"/>
        <v>186</v>
      </c>
      <c r="AZ875" s="22">
        <v>45420</v>
      </c>
      <c r="BA875" s="26">
        <f t="shared" ref="BA875:BA993" ca="1" si="217">RAND()</f>
        <v>0.6491537894185383</v>
      </c>
      <c r="BB875" s="29">
        <f t="shared" ca="1" si="199"/>
        <v>199</v>
      </c>
      <c r="BC875"/>
      <c r="BD875" s="25"/>
      <c r="BF875" s="22">
        <v>45420</v>
      </c>
      <c r="BG875" s="26">
        <f t="shared" ref="BG875:BG993" ca="1" si="218">RAND()</f>
        <v>0.36231708254061357</v>
      </c>
      <c r="BH875" s="29">
        <f t="shared" ca="1" si="200"/>
        <v>145</v>
      </c>
      <c r="BJ875" s="22">
        <v>45420</v>
      </c>
      <c r="BK875" s="26">
        <f t="shared" ref="BK875:BK993" ca="1" si="219">RAND()</f>
        <v>0.37958899916577238</v>
      </c>
      <c r="BL875" s="29">
        <f t="shared" ca="1" si="201"/>
        <v>152</v>
      </c>
      <c r="BN875" s="22">
        <v>45420</v>
      </c>
      <c r="BO875" s="26">
        <f t="shared" ref="BO875:BO993" ca="1" si="220">RAND()</f>
        <v>0.68163693406733439</v>
      </c>
      <c r="BP875" s="29">
        <f t="shared" ca="1" si="202"/>
        <v>148</v>
      </c>
      <c r="BR875" s="22">
        <v>45420</v>
      </c>
      <c r="BS875" s="26">
        <f t="shared" ref="BS875:BS993" ca="1" si="221">RAND()</f>
        <v>0.23917525208244894</v>
      </c>
      <c r="BT875" s="29">
        <f t="shared" ca="1" si="203"/>
        <v>141</v>
      </c>
      <c r="BV875" s="22">
        <v>45420</v>
      </c>
      <c r="BW875" s="26">
        <f t="shared" ref="BW875:BW993" ca="1" si="222">RAND()</f>
        <v>8.7763289365738517E-2</v>
      </c>
      <c r="BX875" s="29">
        <f t="shared" ca="1" si="204"/>
        <v>118</v>
      </c>
    </row>
    <row r="876" spans="2:77" ht="12.75" x14ac:dyDescent="0.2">
      <c r="B876" s="22">
        <v>45421</v>
      </c>
      <c r="C876" s="26">
        <f t="shared" ca="1" si="205"/>
        <v>0.61187310241093151</v>
      </c>
      <c r="D876" s="29">
        <f t="shared" ca="1" si="187"/>
        <v>81</v>
      </c>
      <c r="F876" s="22"/>
      <c r="G876" s="26">
        <f t="shared" ca="1" si="206"/>
        <v>0.55943703059063421</v>
      </c>
      <c r="H876" s="29">
        <f t="shared" ca="1" si="188"/>
        <v>218</v>
      </c>
      <c r="J876" s="22">
        <v>45421</v>
      </c>
      <c r="K876" s="26">
        <f t="shared" ca="1" si="207"/>
        <v>0.83978971130185243</v>
      </c>
      <c r="L876" s="29">
        <f t="shared" ca="1" si="189"/>
        <v>160</v>
      </c>
      <c r="N876" s="22">
        <v>45421</v>
      </c>
      <c r="O876" s="26">
        <f t="shared" ca="1" si="208"/>
        <v>2.81392817070375E-2</v>
      </c>
      <c r="P876" s="29">
        <f t="shared" ca="1" si="190"/>
        <v>201</v>
      </c>
      <c r="R876" s="22">
        <v>45421</v>
      </c>
      <c r="S876" s="26">
        <f t="shared" ca="1" si="209"/>
        <v>0.11639239671573032</v>
      </c>
      <c r="T876" s="29">
        <f t="shared" ca="1" si="191"/>
        <v>128</v>
      </c>
      <c r="V876" s="22">
        <v>45421</v>
      </c>
      <c r="W876" s="26">
        <f t="shared" ca="1" si="210"/>
        <v>0.83010602057383176</v>
      </c>
      <c r="X876" s="29">
        <f t="shared" ca="1" si="192"/>
        <v>240</v>
      </c>
      <c r="Z876" s="22">
        <v>45421</v>
      </c>
      <c r="AA876" s="26">
        <f t="shared" ca="1" si="211"/>
        <v>0.61804271810751954</v>
      </c>
      <c r="AB876" s="29">
        <f t="shared" ca="1" si="193"/>
        <v>276</v>
      </c>
      <c r="AC876"/>
      <c r="AD876" s="25"/>
      <c r="AF876" s="22">
        <v>45421</v>
      </c>
      <c r="AG876" s="26">
        <f t="shared" ca="1" si="212"/>
        <v>0.24702265383286615</v>
      </c>
      <c r="AH876" s="29">
        <f t="shared" ca="1" si="194"/>
        <v>268</v>
      </c>
      <c r="AJ876" s="22">
        <v>45421</v>
      </c>
      <c r="AK876" s="26">
        <f t="shared" ca="1" si="213"/>
        <v>0.50966227194658353</v>
      </c>
      <c r="AL876" s="29">
        <f t="shared" ca="1" si="195"/>
        <v>182</v>
      </c>
      <c r="AN876" s="22">
        <v>45421</v>
      </c>
      <c r="AO876" s="26">
        <f t="shared" ca="1" si="214"/>
        <v>9.2369004614468286E-2</v>
      </c>
      <c r="AP876" s="29">
        <f t="shared" ca="1" si="196"/>
        <v>96</v>
      </c>
      <c r="AR876" s="22">
        <v>45421</v>
      </c>
      <c r="AS876" s="26">
        <f t="shared" ca="1" si="215"/>
        <v>0.50773593777494408</v>
      </c>
      <c r="AT876" s="29">
        <f t="shared" ca="1" si="197"/>
        <v>218</v>
      </c>
      <c r="AV876" s="22">
        <v>45421</v>
      </c>
      <c r="AW876" s="26">
        <f t="shared" ca="1" si="216"/>
        <v>0.90231860311826673</v>
      </c>
      <c r="AX876" s="29">
        <f t="shared" ca="1" si="198"/>
        <v>258</v>
      </c>
      <c r="AZ876" s="22">
        <v>45421</v>
      </c>
      <c r="BA876" s="26">
        <f t="shared" ca="1" si="217"/>
        <v>0.41509639240879848</v>
      </c>
      <c r="BB876" s="29">
        <f t="shared" ca="1" si="199"/>
        <v>170</v>
      </c>
      <c r="BC876"/>
      <c r="BD876" s="25"/>
      <c r="BF876" s="22">
        <v>45421</v>
      </c>
      <c r="BG876" s="26">
        <f t="shared" ca="1" si="218"/>
        <v>0.45942683698440934</v>
      </c>
      <c r="BH876" s="29">
        <f t="shared" ca="1" si="200"/>
        <v>156</v>
      </c>
      <c r="BJ876" s="22">
        <v>45421</v>
      </c>
      <c r="BK876" s="26">
        <f t="shared" ca="1" si="219"/>
        <v>0.87379633740336693</v>
      </c>
      <c r="BL876" s="29">
        <f t="shared" ca="1" si="201"/>
        <v>215</v>
      </c>
      <c r="BN876" s="22">
        <v>45421</v>
      </c>
      <c r="BO876" s="26">
        <f t="shared" ca="1" si="220"/>
        <v>3.5604522940558492E-2</v>
      </c>
      <c r="BP876" s="29">
        <f t="shared" ca="1" si="202"/>
        <v>68</v>
      </c>
      <c r="BR876" s="22">
        <v>45421</v>
      </c>
      <c r="BS876" s="26">
        <f t="shared" ca="1" si="221"/>
        <v>0.33624211932180414</v>
      </c>
      <c r="BT876" s="29">
        <f t="shared" ca="1" si="203"/>
        <v>154</v>
      </c>
      <c r="BV876" s="22">
        <v>45421</v>
      </c>
      <c r="BW876" s="26">
        <f t="shared" ca="1" si="222"/>
        <v>0.9466143453575927</v>
      </c>
      <c r="BX876" s="29">
        <f t="shared" ca="1" si="204"/>
        <v>263</v>
      </c>
    </row>
    <row r="877" spans="2:77" ht="12.75" x14ac:dyDescent="0.2">
      <c r="B877" s="22">
        <v>45422</v>
      </c>
      <c r="C877" s="26">
        <f t="shared" ca="1" si="205"/>
        <v>0.29543485742642683</v>
      </c>
      <c r="D877" s="29">
        <f t="shared" ca="1" si="187"/>
        <v>65</v>
      </c>
      <c r="F877" s="22"/>
      <c r="G877" s="26">
        <f t="shared" ca="1" si="206"/>
        <v>0.45028149255006644</v>
      </c>
      <c r="H877" s="29">
        <f t="shared" ca="1" si="188"/>
        <v>214</v>
      </c>
      <c r="J877" s="22">
        <v>45422</v>
      </c>
      <c r="K877" s="26">
        <f t="shared" ca="1" si="207"/>
        <v>0.79976130799718514</v>
      </c>
      <c r="L877" s="29">
        <f t="shared" ca="1" si="189"/>
        <v>159</v>
      </c>
      <c r="N877" s="22">
        <v>45422</v>
      </c>
      <c r="O877" s="26">
        <f t="shared" ca="1" si="208"/>
        <v>0.22667098243127137</v>
      </c>
      <c r="P877" s="29">
        <f t="shared" ca="1" si="190"/>
        <v>218</v>
      </c>
      <c r="R877" s="22">
        <v>45422</v>
      </c>
      <c r="S877" s="26">
        <f t="shared" ca="1" si="209"/>
        <v>0.66897883911212663</v>
      </c>
      <c r="T877" s="29">
        <f t="shared" ca="1" si="191"/>
        <v>143</v>
      </c>
      <c r="V877" s="22">
        <v>45422</v>
      </c>
      <c r="W877" s="26">
        <f t="shared" ca="1" si="210"/>
        <v>0.28541848357786981</v>
      </c>
      <c r="X877" s="29">
        <f t="shared" ca="1" si="192"/>
        <v>217</v>
      </c>
      <c r="Z877" s="22">
        <v>45422</v>
      </c>
      <c r="AA877" s="26">
        <f t="shared" ca="1" si="211"/>
        <v>0.30179787256739143</v>
      </c>
      <c r="AB877" s="29">
        <f t="shared" ca="1" si="193"/>
        <v>261</v>
      </c>
      <c r="AC877"/>
      <c r="AD877" s="25"/>
      <c r="AF877" s="22">
        <v>45422</v>
      </c>
      <c r="AG877" s="26">
        <f t="shared" ca="1" si="212"/>
        <v>5.7299815587712022E-2</v>
      </c>
      <c r="AH877" s="29">
        <f t="shared" ca="1" si="194"/>
        <v>190</v>
      </c>
      <c r="AJ877" s="22">
        <v>45422</v>
      </c>
      <c r="AK877" s="26">
        <f t="shared" ca="1" si="213"/>
        <v>0.9480377577301593</v>
      </c>
      <c r="AL877" s="29">
        <f t="shared" ca="1" si="195"/>
        <v>258</v>
      </c>
      <c r="AN877" s="22">
        <v>45422</v>
      </c>
      <c r="AO877" s="26">
        <f t="shared" ca="1" si="214"/>
        <v>0.65197292141929564</v>
      </c>
      <c r="AP877" s="29">
        <f t="shared" ca="1" si="196"/>
        <v>163</v>
      </c>
      <c r="AR877" s="22">
        <v>45422</v>
      </c>
      <c r="AS877" s="26">
        <f t="shared" ca="1" si="215"/>
        <v>0.15421856671304812</v>
      </c>
      <c r="AT877" s="29">
        <f t="shared" ca="1" si="197"/>
        <v>158</v>
      </c>
      <c r="AV877" s="22">
        <v>45422</v>
      </c>
      <c r="AW877" s="26">
        <f t="shared" ca="1" si="216"/>
        <v>0.10970450626081818</v>
      </c>
      <c r="AX877" s="29">
        <f t="shared" ca="1" si="198"/>
        <v>129</v>
      </c>
      <c r="AZ877" s="22">
        <v>45422</v>
      </c>
      <c r="BA877" s="26">
        <f t="shared" ca="1" si="217"/>
        <v>0.28041374776323713</v>
      </c>
      <c r="BB877" s="29">
        <f t="shared" ca="1" si="199"/>
        <v>152</v>
      </c>
      <c r="BC877"/>
      <c r="BD877" s="25"/>
      <c r="BF877" s="22">
        <v>45422</v>
      </c>
      <c r="BG877" s="26">
        <f t="shared" ca="1" si="218"/>
        <v>0.10638697109400463</v>
      </c>
      <c r="BH877" s="29">
        <f t="shared" ca="1" si="200"/>
        <v>107</v>
      </c>
      <c r="BJ877" s="22">
        <v>45422</v>
      </c>
      <c r="BK877" s="26">
        <f t="shared" ca="1" si="219"/>
        <v>0.47089410548170618</v>
      </c>
      <c r="BL877" s="29">
        <f t="shared" ca="1" si="201"/>
        <v>162</v>
      </c>
      <c r="BN877" s="22">
        <v>45422</v>
      </c>
      <c r="BO877" s="26">
        <f t="shared" ca="1" si="220"/>
        <v>0.44379068595187554</v>
      </c>
      <c r="BP877" s="29">
        <f t="shared" ca="1" si="202"/>
        <v>127</v>
      </c>
      <c r="BR877" s="22">
        <v>45422</v>
      </c>
      <c r="BS877" s="26">
        <f t="shared" ca="1" si="221"/>
        <v>0.30195714428462372</v>
      </c>
      <c r="BT877" s="29">
        <f t="shared" ca="1" si="203"/>
        <v>150</v>
      </c>
      <c r="BV877" s="22">
        <v>45422</v>
      </c>
      <c r="BW877" s="26">
        <f t="shared" ca="1" si="222"/>
        <v>0.27697154753561182</v>
      </c>
      <c r="BX877" s="29">
        <f t="shared" ca="1" si="204"/>
        <v>155</v>
      </c>
    </row>
    <row r="878" spans="2:77" ht="12.75" x14ac:dyDescent="0.2">
      <c r="B878" s="22">
        <v>45423</v>
      </c>
      <c r="C878" s="26">
        <f t="shared" ca="1" si="205"/>
        <v>0.96363251823168972</v>
      </c>
      <c r="D878" s="29">
        <f t="shared" ca="1" si="187"/>
        <v>111</v>
      </c>
      <c r="F878" s="22"/>
      <c r="G878" s="26">
        <f t="shared" ca="1" si="206"/>
        <v>0.46699722529427967</v>
      </c>
      <c r="H878" s="29">
        <f t="shared" ca="1" si="188"/>
        <v>215</v>
      </c>
      <c r="J878" s="22">
        <v>45423</v>
      </c>
      <c r="K878" s="26">
        <f t="shared" ca="1" si="207"/>
        <v>0.23574750990559745</v>
      </c>
      <c r="L878" s="29">
        <f t="shared" ca="1" si="189"/>
        <v>143</v>
      </c>
      <c r="N878" s="22">
        <v>45423</v>
      </c>
      <c r="O878" s="26">
        <f t="shared" ca="1" si="208"/>
        <v>0.82927391750540969</v>
      </c>
      <c r="P878" s="29">
        <f t="shared" ca="1" si="190"/>
        <v>244</v>
      </c>
      <c r="R878" s="22">
        <v>45423</v>
      </c>
      <c r="S878" s="26">
        <f t="shared" ca="1" si="209"/>
        <v>0.56520127747736426</v>
      </c>
      <c r="T878" s="29">
        <f t="shared" ca="1" si="191"/>
        <v>141</v>
      </c>
      <c r="V878" s="22">
        <v>45423</v>
      </c>
      <c r="W878" s="26">
        <f t="shared" ca="1" si="210"/>
        <v>0.15565704424492144</v>
      </c>
      <c r="X878" s="29">
        <f t="shared" ca="1" si="192"/>
        <v>210</v>
      </c>
      <c r="Z878" s="22">
        <v>45423</v>
      </c>
      <c r="AA878" s="26">
        <f t="shared" ca="1" si="211"/>
        <v>0.51871397045096657</v>
      </c>
      <c r="AB878" s="29">
        <f t="shared" ca="1" si="193"/>
        <v>271</v>
      </c>
      <c r="AC878"/>
      <c r="AD878" s="25"/>
      <c r="AF878" s="22">
        <v>45423</v>
      </c>
      <c r="AG878" s="26">
        <f t="shared" ca="1" si="212"/>
        <v>0.66405213453193246</v>
      </c>
      <c r="AH878" s="29">
        <f t="shared" ca="1" si="194"/>
        <v>364</v>
      </c>
      <c r="AJ878" s="22">
        <v>45423</v>
      </c>
      <c r="AK878" s="26">
        <f t="shared" ca="1" si="213"/>
        <v>0.8855894250388191</v>
      </c>
      <c r="AL878" s="29">
        <f t="shared" ca="1" si="195"/>
        <v>238</v>
      </c>
      <c r="AN878" s="22">
        <v>45423</v>
      </c>
      <c r="AO878" s="26">
        <f t="shared" ca="1" si="214"/>
        <v>0.88144136725514521</v>
      </c>
      <c r="AP878" s="29">
        <f t="shared" ca="1" si="196"/>
        <v>194</v>
      </c>
      <c r="AR878" s="22">
        <v>45423</v>
      </c>
      <c r="AS878" s="26">
        <f t="shared" ca="1" si="215"/>
        <v>0.94856338475421342</v>
      </c>
      <c r="AT878" s="29">
        <f t="shared" ca="1" si="197"/>
        <v>312</v>
      </c>
      <c r="AV878" s="22">
        <v>45423</v>
      </c>
      <c r="AW878" s="26">
        <f t="shared" ca="1" si="216"/>
        <v>0.76255825173594116</v>
      </c>
      <c r="AX878" s="29">
        <f t="shared" ca="1" si="198"/>
        <v>229</v>
      </c>
      <c r="AZ878" s="22">
        <v>45423</v>
      </c>
      <c r="BA878" s="26">
        <f t="shared" ca="1" si="217"/>
        <v>0.8195222228286636</v>
      </c>
      <c r="BB878" s="29">
        <f t="shared" ca="1" si="199"/>
        <v>224</v>
      </c>
      <c r="BC878"/>
      <c r="BD878" s="25"/>
      <c r="BF878" s="22">
        <v>45423</v>
      </c>
      <c r="BG878" s="26">
        <f t="shared" ca="1" si="218"/>
        <v>0.41153686626394226</v>
      </c>
      <c r="BH878" s="29">
        <f t="shared" ca="1" si="200"/>
        <v>151</v>
      </c>
      <c r="BJ878" s="22">
        <v>45423</v>
      </c>
      <c r="BK878" s="26">
        <f t="shared" ca="1" si="219"/>
        <v>0.78601628667566503</v>
      </c>
      <c r="BL878" s="29">
        <f t="shared" ca="1" si="201"/>
        <v>200</v>
      </c>
      <c r="BN878" s="22">
        <v>45423</v>
      </c>
      <c r="BO878" s="26">
        <f t="shared" ca="1" si="220"/>
        <v>0.56144952314849994</v>
      </c>
      <c r="BP878" s="29">
        <f t="shared" ca="1" si="202"/>
        <v>137</v>
      </c>
      <c r="BR878" s="22">
        <v>45423</v>
      </c>
      <c r="BS878" s="26">
        <f t="shared" ca="1" si="221"/>
        <v>0.66364816534804627</v>
      </c>
      <c r="BT878" s="29">
        <f t="shared" ca="1" si="203"/>
        <v>194</v>
      </c>
      <c r="BV878" s="22">
        <v>45423</v>
      </c>
      <c r="BW878" s="26">
        <f t="shared" ca="1" si="222"/>
        <v>0.330826798890968</v>
      </c>
      <c r="BX878" s="29">
        <f t="shared" ca="1" si="204"/>
        <v>163</v>
      </c>
    </row>
    <row r="879" spans="2:77" ht="12.75" x14ac:dyDescent="0.2">
      <c r="B879" s="22">
        <v>45424</v>
      </c>
      <c r="C879" s="26">
        <f t="shared" ca="1" si="205"/>
        <v>0.25255440796060535</v>
      </c>
      <c r="D879" s="29">
        <f t="shared" ca="1" si="187"/>
        <v>62</v>
      </c>
      <c r="F879" s="22"/>
      <c r="G879" s="26">
        <f t="shared" ca="1" si="206"/>
        <v>0.66814788724765728</v>
      </c>
      <c r="H879" s="29">
        <f t="shared" ca="1" si="188"/>
        <v>222</v>
      </c>
      <c r="J879" s="22">
        <v>45424</v>
      </c>
      <c r="K879" s="26">
        <f t="shared" ca="1" si="207"/>
        <v>0.45352848338794949</v>
      </c>
      <c r="L879" s="29">
        <f t="shared" ca="1" si="189"/>
        <v>149</v>
      </c>
      <c r="N879" s="22">
        <v>45424</v>
      </c>
      <c r="O879" s="26">
        <f t="shared" ca="1" si="208"/>
        <v>7.2296500409030018E-2</v>
      </c>
      <c r="P879" s="29">
        <f t="shared" ca="1" si="190"/>
        <v>208</v>
      </c>
      <c r="R879" s="22">
        <v>45424</v>
      </c>
      <c r="S879" s="26">
        <f t="shared" ca="1" si="209"/>
        <v>0.78918642312766307</v>
      </c>
      <c r="T879" s="29">
        <f t="shared" ca="1" si="191"/>
        <v>147</v>
      </c>
      <c r="V879" s="22">
        <v>45424</v>
      </c>
      <c r="W879" s="26">
        <f t="shared" ca="1" si="210"/>
        <v>0.77348512836390859</v>
      </c>
      <c r="X879" s="29">
        <f t="shared" ca="1" si="192"/>
        <v>237</v>
      </c>
      <c r="Z879" s="22">
        <v>45424</v>
      </c>
      <c r="AA879" s="26">
        <f t="shared" ca="1" si="211"/>
        <v>0.96688476590543748</v>
      </c>
      <c r="AB879" s="29">
        <f t="shared" ca="1" si="193"/>
        <v>304</v>
      </c>
      <c r="AC879"/>
      <c r="AD879" s="25"/>
      <c r="AF879" s="22">
        <v>45424</v>
      </c>
      <c r="AG879" s="26">
        <f t="shared" ca="1" si="212"/>
        <v>0.31026641027279733</v>
      </c>
      <c r="AH879" s="29">
        <f t="shared" ca="1" si="194"/>
        <v>284</v>
      </c>
      <c r="AJ879" s="22">
        <v>45424</v>
      </c>
      <c r="AK879" s="26">
        <f t="shared" ca="1" si="213"/>
        <v>6.3991345306917857E-2</v>
      </c>
      <c r="AL879" s="29">
        <f t="shared" ca="1" si="195"/>
        <v>107</v>
      </c>
      <c r="AN879" s="22">
        <v>45424</v>
      </c>
      <c r="AO879" s="26">
        <f t="shared" ca="1" si="214"/>
        <v>0.25245530526652371</v>
      </c>
      <c r="AP879" s="29">
        <f t="shared" ca="1" si="196"/>
        <v>121</v>
      </c>
      <c r="AR879" s="22">
        <v>45424</v>
      </c>
      <c r="AS879" s="26">
        <f t="shared" ca="1" si="215"/>
        <v>0.90528729267347763</v>
      </c>
      <c r="AT879" s="29">
        <f t="shared" ca="1" si="197"/>
        <v>293</v>
      </c>
      <c r="AV879" s="22">
        <v>45424</v>
      </c>
      <c r="AW879" s="26">
        <f t="shared" ca="1" si="216"/>
        <v>9.5754891243861828E-2</v>
      </c>
      <c r="AX879" s="29">
        <f t="shared" ca="1" si="198"/>
        <v>125</v>
      </c>
      <c r="AZ879" s="22">
        <v>45424</v>
      </c>
      <c r="BA879" s="26">
        <f t="shared" ca="1" si="217"/>
        <v>0.76004988035035981</v>
      </c>
      <c r="BB879" s="29">
        <f t="shared" ca="1" si="199"/>
        <v>214</v>
      </c>
      <c r="BC879"/>
      <c r="BD879" s="25"/>
      <c r="BF879" s="22">
        <v>45424</v>
      </c>
      <c r="BG879" s="26">
        <f t="shared" ca="1" si="218"/>
        <v>0.14022805107020031</v>
      </c>
      <c r="BH879" s="29">
        <f t="shared" ca="1" si="200"/>
        <v>114</v>
      </c>
      <c r="BJ879" s="22">
        <v>45424</v>
      </c>
      <c r="BK879" s="26">
        <f t="shared" ca="1" si="219"/>
        <v>0.16371325566601136</v>
      </c>
      <c r="BL879" s="29">
        <f t="shared" ca="1" si="201"/>
        <v>122</v>
      </c>
      <c r="BN879" s="22">
        <v>45424</v>
      </c>
      <c r="BO879" s="26">
        <f t="shared" ca="1" si="220"/>
        <v>0.90667196043429721</v>
      </c>
      <c r="BP879" s="29">
        <f t="shared" ca="1" si="202"/>
        <v>178</v>
      </c>
      <c r="BR879" s="22">
        <v>45424</v>
      </c>
      <c r="BS879" s="26">
        <f t="shared" ca="1" si="221"/>
        <v>0.5412312672109939</v>
      </c>
      <c r="BT879" s="29">
        <f t="shared" ca="1" si="203"/>
        <v>179</v>
      </c>
      <c r="BV879" s="22">
        <v>45424</v>
      </c>
      <c r="BW879" s="26">
        <f t="shared" ca="1" si="222"/>
        <v>0.26177047098165274</v>
      </c>
      <c r="BX879" s="29">
        <f t="shared" ca="1" si="204"/>
        <v>153</v>
      </c>
    </row>
    <row r="880" spans="2:77" ht="12.75" x14ac:dyDescent="0.2">
      <c r="B880" s="22">
        <v>45425</v>
      </c>
      <c r="C880" s="26">
        <f t="shared" ca="1" si="205"/>
        <v>0.1920153812782559</v>
      </c>
      <c r="D880" s="29">
        <f t="shared" ca="1" si="187"/>
        <v>58</v>
      </c>
      <c r="F880" s="22"/>
      <c r="G880" s="26">
        <f t="shared" ca="1" si="206"/>
        <v>0.50642936277977679</v>
      </c>
      <c r="H880" s="29">
        <f t="shared" ca="1" si="188"/>
        <v>216</v>
      </c>
      <c r="J880" s="22">
        <v>45425</v>
      </c>
      <c r="K880" s="26">
        <f t="shared" ca="1" si="207"/>
        <v>0.26072382729954535</v>
      </c>
      <c r="L880" s="29">
        <f t="shared" ca="1" si="189"/>
        <v>144</v>
      </c>
      <c r="N880" s="22">
        <v>45425</v>
      </c>
      <c r="O880" s="26">
        <f t="shared" ca="1" si="208"/>
        <v>0.68068452804489787</v>
      </c>
      <c r="P880" s="29">
        <f t="shared" ca="1" si="190"/>
        <v>237</v>
      </c>
      <c r="R880" s="22">
        <v>45425</v>
      </c>
      <c r="S880" s="26">
        <f t="shared" ca="1" si="209"/>
        <v>0.68657089011392436</v>
      </c>
      <c r="T880" s="29">
        <f t="shared" ca="1" si="191"/>
        <v>144</v>
      </c>
      <c r="V880" s="22">
        <v>45425</v>
      </c>
      <c r="W880" s="26">
        <f t="shared" ca="1" si="210"/>
        <v>0.76039812822247133</v>
      </c>
      <c r="X880" s="29">
        <f t="shared" ca="1" si="192"/>
        <v>236</v>
      </c>
      <c r="Z880" s="22">
        <v>45425</v>
      </c>
      <c r="AA880" s="26">
        <f t="shared" ca="1" si="211"/>
        <v>0.68548194230739656</v>
      </c>
      <c r="AB880" s="29">
        <f t="shared" ca="1" si="193"/>
        <v>279</v>
      </c>
      <c r="AC880"/>
      <c r="AD880" s="25"/>
      <c r="AF880" s="22">
        <v>45425</v>
      </c>
      <c r="AG880" s="26">
        <f t="shared" ca="1" si="212"/>
        <v>7.0027694653456707E-2</v>
      </c>
      <c r="AH880" s="29">
        <f t="shared" ca="1" si="194"/>
        <v>199</v>
      </c>
      <c r="AJ880" s="22">
        <v>45425</v>
      </c>
      <c r="AK880" s="26">
        <f t="shared" ca="1" si="213"/>
        <v>0.86932190184044977</v>
      </c>
      <c r="AL880" s="29">
        <f t="shared" ca="1" si="195"/>
        <v>234</v>
      </c>
      <c r="AN880" s="22">
        <v>45425</v>
      </c>
      <c r="AO880" s="26">
        <f t="shared" ca="1" si="214"/>
        <v>0.81428507244948301</v>
      </c>
      <c r="AP880" s="29">
        <f t="shared" ca="1" si="196"/>
        <v>183</v>
      </c>
      <c r="AR880" s="22">
        <v>45425</v>
      </c>
      <c r="AS880" s="26">
        <f t="shared" ca="1" si="215"/>
        <v>0.87460718630081358</v>
      </c>
      <c r="AT880" s="29">
        <f t="shared" ca="1" si="197"/>
        <v>284</v>
      </c>
      <c r="AV880" s="22">
        <v>45425</v>
      </c>
      <c r="AW880" s="26">
        <f t="shared" ca="1" si="216"/>
        <v>4.8454462035907975E-2</v>
      </c>
      <c r="AX880" s="29">
        <f t="shared" ca="1" si="198"/>
        <v>107</v>
      </c>
      <c r="AZ880" s="22">
        <v>45425</v>
      </c>
      <c r="BA880" s="26">
        <f t="shared" ca="1" si="217"/>
        <v>0.18053709566791021</v>
      </c>
      <c r="BB880" s="29">
        <f t="shared" ca="1" si="199"/>
        <v>137</v>
      </c>
      <c r="BC880"/>
      <c r="BD880" s="25"/>
      <c r="BF880" s="22">
        <v>45425</v>
      </c>
      <c r="BG880" s="26">
        <f t="shared" ca="1" si="218"/>
        <v>0.32592793751632354</v>
      </c>
      <c r="BH880" s="29">
        <f t="shared" ca="1" si="200"/>
        <v>141</v>
      </c>
      <c r="BJ880" s="22">
        <v>45425</v>
      </c>
      <c r="BK880" s="26">
        <f t="shared" ca="1" si="219"/>
        <v>0.23530682569395844</v>
      </c>
      <c r="BL880" s="29">
        <f t="shared" ca="1" si="201"/>
        <v>133</v>
      </c>
      <c r="BN880" s="22">
        <v>45425</v>
      </c>
      <c r="BO880" s="26">
        <f t="shared" ca="1" si="220"/>
        <v>0.8891172848269433</v>
      </c>
      <c r="BP880" s="29">
        <f t="shared" ca="1" si="202"/>
        <v>174</v>
      </c>
      <c r="BR880" s="22">
        <v>45425</v>
      </c>
      <c r="BS880" s="26">
        <f t="shared" ca="1" si="221"/>
        <v>0.21182839583707769</v>
      </c>
      <c r="BT880" s="29">
        <f t="shared" ca="1" si="203"/>
        <v>137</v>
      </c>
      <c r="BV880" s="22">
        <v>45425</v>
      </c>
      <c r="BW880" s="26">
        <f t="shared" ca="1" si="222"/>
        <v>0.66710748234384087</v>
      </c>
      <c r="BX880" s="29">
        <f t="shared" ca="1" si="204"/>
        <v>205</v>
      </c>
    </row>
    <row r="881" spans="2:76" ht="12.75" x14ac:dyDescent="0.2">
      <c r="B881" s="22">
        <v>45426</v>
      </c>
      <c r="C881" s="26">
        <f t="shared" ca="1" si="205"/>
        <v>0.99812783116668646</v>
      </c>
      <c r="D881" s="29">
        <f t="shared" ca="1" si="187"/>
        <v>133</v>
      </c>
      <c r="F881" s="22"/>
      <c r="G881" s="26">
        <f t="shared" ca="1" si="206"/>
        <v>0.73584062009328477</v>
      </c>
      <c r="H881" s="29">
        <f t="shared" ca="1" si="188"/>
        <v>225</v>
      </c>
      <c r="J881" s="22">
        <v>45426</v>
      </c>
      <c r="K881" s="26">
        <f t="shared" ca="1" si="207"/>
        <v>0.21131336727572136</v>
      </c>
      <c r="L881" s="29">
        <f t="shared" ca="1" si="189"/>
        <v>142</v>
      </c>
      <c r="N881" s="22">
        <v>45426</v>
      </c>
      <c r="O881" s="26">
        <f t="shared" ca="1" si="208"/>
        <v>0.62652424832263387</v>
      </c>
      <c r="P881" s="29">
        <f t="shared" ca="1" si="190"/>
        <v>235</v>
      </c>
      <c r="R881" s="22">
        <v>45426</v>
      </c>
      <c r="S881" s="26">
        <f t="shared" ca="1" si="209"/>
        <v>3.0272014959856208E-2</v>
      </c>
      <c r="T881" s="29">
        <f t="shared" ca="1" si="191"/>
        <v>122</v>
      </c>
      <c r="V881" s="22">
        <v>45426</v>
      </c>
      <c r="W881" s="26">
        <f t="shared" ca="1" si="210"/>
        <v>0.51375978820764001</v>
      </c>
      <c r="X881" s="29">
        <f t="shared" ca="1" si="192"/>
        <v>226</v>
      </c>
      <c r="Z881" s="22">
        <v>45426</v>
      </c>
      <c r="AA881" s="26">
        <f t="shared" ca="1" si="211"/>
        <v>0.8565161681536152</v>
      </c>
      <c r="AB881" s="29">
        <f t="shared" ca="1" si="193"/>
        <v>290</v>
      </c>
      <c r="AC881"/>
      <c r="AD881" s="25"/>
      <c r="AF881" s="22">
        <v>45426</v>
      </c>
      <c r="AG881" s="26">
        <f t="shared" ca="1" si="212"/>
        <v>0.343635189285878</v>
      </c>
      <c r="AH881" s="29">
        <f t="shared" ca="1" si="194"/>
        <v>292</v>
      </c>
      <c r="AJ881" s="22">
        <v>45426</v>
      </c>
      <c r="AK881" s="26">
        <f t="shared" ca="1" si="213"/>
        <v>0.98485357166374787</v>
      </c>
      <c r="AL881" s="29">
        <f t="shared" ca="1" si="195"/>
        <v>284</v>
      </c>
      <c r="AN881" s="22">
        <v>45426</v>
      </c>
      <c r="AO881" s="26">
        <f t="shared" ca="1" si="214"/>
        <v>0.96605029537059328</v>
      </c>
      <c r="AP881" s="29">
        <f t="shared" ca="1" si="196"/>
        <v>219</v>
      </c>
      <c r="AR881" s="22">
        <v>45426</v>
      </c>
      <c r="AS881" s="26">
        <f t="shared" ca="1" si="215"/>
        <v>0.42690841260432655</v>
      </c>
      <c r="AT881" s="29">
        <f t="shared" ca="1" si="197"/>
        <v>207</v>
      </c>
      <c r="AV881" s="22">
        <v>45426</v>
      </c>
      <c r="AW881" s="26">
        <f t="shared" ca="1" si="216"/>
        <v>0.95291130701307847</v>
      </c>
      <c r="AX881" s="29">
        <f t="shared" ca="1" si="198"/>
        <v>278</v>
      </c>
      <c r="AZ881" s="22">
        <v>45426</v>
      </c>
      <c r="BA881" s="26">
        <f t="shared" ca="1" si="217"/>
        <v>0.78567376216044649</v>
      </c>
      <c r="BB881" s="29">
        <f t="shared" ca="1" si="199"/>
        <v>218</v>
      </c>
      <c r="BC881"/>
      <c r="BD881" s="25"/>
      <c r="BF881" s="22">
        <v>45426</v>
      </c>
      <c r="BG881" s="26">
        <f t="shared" ca="1" si="218"/>
        <v>0.79247380775160425</v>
      </c>
      <c r="BH881" s="29">
        <f t="shared" ca="1" si="200"/>
        <v>195</v>
      </c>
      <c r="BJ881" s="22">
        <v>45426</v>
      </c>
      <c r="BK881" s="26">
        <f t="shared" ca="1" si="219"/>
        <v>0.90760228978049329</v>
      </c>
      <c r="BL881" s="29">
        <f t="shared" ca="1" si="201"/>
        <v>223</v>
      </c>
      <c r="BN881" s="22">
        <v>45426</v>
      </c>
      <c r="BO881" s="26">
        <f t="shared" ca="1" si="220"/>
        <v>0.35442540999819272</v>
      </c>
      <c r="BP881" s="29">
        <f t="shared" ca="1" si="202"/>
        <v>118</v>
      </c>
      <c r="BR881" s="22">
        <v>45426</v>
      </c>
      <c r="BS881" s="26">
        <f t="shared" ca="1" si="221"/>
        <v>0.95064533076452107</v>
      </c>
      <c r="BT881" s="29">
        <f t="shared" ca="1" si="203"/>
        <v>250</v>
      </c>
      <c r="BV881" s="22">
        <v>45426</v>
      </c>
      <c r="BW881" s="26">
        <f t="shared" ca="1" si="222"/>
        <v>0.28566232457382168</v>
      </c>
      <c r="BX881" s="29">
        <f t="shared" ca="1" si="204"/>
        <v>156</v>
      </c>
    </row>
    <row r="882" spans="2:76" ht="12.75" x14ac:dyDescent="0.2">
      <c r="B882" s="22">
        <v>45427</v>
      </c>
      <c r="C882" s="26">
        <f t="shared" ca="1" si="205"/>
        <v>0.54931221559105747</v>
      </c>
      <c r="D882" s="29">
        <f t="shared" ca="1" si="187"/>
        <v>78</v>
      </c>
      <c r="F882" s="22"/>
      <c r="G882" s="26">
        <f t="shared" ca="1" si="206"/>
        <v>0.87289672704013022</v>
      </c>
      <c r="H882" s="29">
        <f t="shared" ca="1" si="188"/>
        <v>232</v>
      </c>
      <c r="J882" s="22">
        <v>45427</v>
      </c>
      <c r="K882" s="26">
        <f t="shared" ca="1" si="207"/>
        <v>0.20688199121384732</v>
      </c>
      <c r="L882" s="29">
        <f t="shared" ca="1" si="189"/>
        <v>142</v>
      </c>
      <c r="N882" s="22">
        <v>45427</v>
      </c>
      <c r="O882" s="26">
        <f t="shared" ca="1" si="208"/>
        <v>0.40090994348560394</v>
      </c>
      <c r="P882" s="29">
        <f t="shared" ca="1" si="190"/>
        <v>226</v>
      </c>
      <c r="R882" s="22">
        <v>45427</v>
      </c>
      <c r="S882" s="26">
        <f t="shared" ca="1" si="209"/>
        <v>0.91036794108723462</v>
      </c>
      <c r="T882" s="29">
        <f t="shared" ca="1" si="191"/>
        <v>152</v>
      </c>
      <c r="V882" s="22">
        <v>45427</v>
      </c>
      <c r="W882" s="26">
        <f t="shared" ca="1" si="210"/>
        <v>8.6456716213599849E-2</v>
      </c>
      <c r="X882" s="29">
        <f t="shared" ca="1" si="192"/>
        <v>205</v>
      </c>
      <c r="Z882" s="22">
        <v>45427</v>
      </c>
      <c r="AA882" s="26">
        <f t="shared" ca="1" si="211"/>
        <v>0.95159625141252924</v>
      </c>
      <c r="AB882" s="29">
        <f t="shared" ca="1" si="193"/>
        <v>300</v>
      </c>
      <c r="AC882"/>
      <c r="AD882" s="25"/>
      <c r="AF882" s="22">
        <v>45427</v>
      </c>
      <c r="AG882" s="26">
        <f t="shared" ca="1" si="212"/>
        <v>0.8214114959971397</v>
      </c>
      <c r="AH882" s="29">
        <f t="shared" ca="1" si="194"/>
        <v>408</v>
      </c>
      <c r="AJ882" s="22">
        <v>45427</v>
      </c>
      <c r="AK882" s="26">
        <f t="shared" ca="1" si="213"/>
        <v>2.2552752006910426E-2</v>
      </c>
      <c r="AL882" s="29">
        <f t="shared" ca="1" si="195"/>
        <v>84</v>
      </c>
      <c r="AN882" s="22">
        <v>45427</v>
      </c>
      <c r="AO882" s="26">
        <f t="shared" ca="1" si="214"/>
        <v>0.25620046722183853</v>
      </c>
      <c r="AP882" s="29">
        <f t="shared" ca="1" si="196"/>
        <v>122</v>
      </c>
      <c r="AR882" s="22">
        <v>45427</v>
      </c>
      <c r="AS882" s="26">
        <f t="shared" ca="1" si="215"/>
        <v>1.1074807709217094E-2</v>
      </c>
      <c r="AT882" s="29">
        <f t="shared" ca="1" si="197"/>
        <v>85</v>
      </c>
      <c r="AV882" s="22">
        <v>45427</v>
      </c>
      <c r="AW882" s="26">
        <f t="shared" ca="1" si="216"/>
        <v>0.20906230609767051</v>
      </c>
      <c r="AX882" s="29">
        <f t="shared" ca="1" si="198"/>
        <v>151</v>
      </c>
      <c r="AZ882" s="22">
        <v>45427</v>
      </c>
      <c r="BA882" s="26">
        <f t="shared" ca="1" si="217"/>
        <v>0.23073817746112291</v>
      </c>
      <c r="BB882" s="29">
        <f t="shared" ca="1" si="199"/>
        <v>145</v>
      </c>
      <c r="BC882"/>
      <c r="BD882" s="25"/>
      <c r="BF882" s="22">
        <v>45427</v>
      </c>
      <c r="BG882" s="26">
        <f t="shared" ca="1" si="218"/>
        <v>0.58243965294109579</v>
      </c>
      <c r="BH882" s="29">
        <f t="shared" ca="1" si="200"/>
        <v>169</v>
      </c>
      <c r="BJ882" s="22">
        <v>45427</v>
      </c>
      <c r="BK882" s="26">
        <f t="shared" ca="1" si="219"/>
        <v>0.55213168159363057</v>
      </c>
      <c r="BL882" s="29">
        <f t="shared" ca="1" si="201"/>
        <v>171</v>
      </c>
      <c r="BN882" s="22">
        <v>45427</v>
      </c>
      <c r="BO882" s="26">
        <f t="shared" ca="1" si="220"/>
        <v>0.61010506003360865</v>
      </c>
      <c r="BP882" s="29">
        <f t="shared" ca="1" si="202"/>
        <v>141</v>
      </c>
      <c r="BR882" s="22">
        <v>45427</v>
      </c>
      <c r="BS882" s="26">
        <f t="shared" ca="1" si="221"/>
        <v>0.62609431611850574</v>
      </c>
      <c r="BT882" s="29">
        <f t="shared" ca="1" si="203"/>
        <v>189</v>
      </c>
      <c r="BV882" s="22">
        <v>45427</v>
      </c>
      <c r="BW882" s="26">
        <f t="shared" ca="1" si="222"/>
        <v>0.47024794450697138</v>
      </c>
      <c r="BX882" s="29">
        <f t="shared" ca="1" si="204"/>
        <v>180</v>
      </c>
    </row>
    <row r="883" spans="2:76" ht="12.75" x14ac:dyDescent="0.2">
      <c r="B883" s="22">
        <v>45428</v>
      </c>
      <c r="C883" s="26">
        <f t="shared" ca="1" si="205"/>
        <v>0.90264013346602401</v>
      </c>
      <c r="D883" s="29">
        <f t="shared" ca="1" si="187"/>
        <v>101</v>
      </c>
      <c r="F883" s="22"/>
      <c r="G883" s="26">
        <f t="shared" ca="1" si="206"/>
        <v>0.69148325151208856</v>
      </c>
      <c r="H883" s="29">
        <f t="shared" ca="1" si="188"/>
        <v>223</v>
      </c>
      <c r="J883" s="22">
        <v>45428</v>
      </c>
      <c r="K883" s="26">
        <f t="shared" ca="1" si="207"/>
        <v>0.87216495292692553</v>
      </c>
      <c r="L883" s="29">
        <f t="shared" ca="1" si="189"/>
        <v>162</v>
      </c>
      <c r="N883" s="22">
        <v>45428</v>
      </c>
      <c r="O883" s="26">
        <f t="shared" ca="1" si="208"/>
        <v>6.7882886443125234E-2</v>
      </c>
      <c r="P883" s="29">
        <f t="shared" ca="1" si="190"/>
        <v>207</v>
      </c>
      <c r="R883" s="22">
        <v>45428</v>
      </c>
      <c r="S883" s="26">
        <f t="shared" ca="1" si="209"/>
        <v>0.17403402067180462</v>
      </c>
      <c r="T883" s="29">
        <f t="shared" ca="1" si="191"/>
        <v>131</v>
      </c>
      <c r="V883" s="22">
        <v>45428</v>
      </c>
      <c r="W883" s="26">
        <f t="shared" ca="1" si="210"/>
        <v>0.35230357466853857</v>
      </c>
      <c r="X883" s="29">
        <f t="shared" ca="1" si="192"/>
        <v>220</v>
      </c>
      <c r="Z883" s="22">
        <v>45428</v>
      </c>
      <c r="AA883" s="26">
        <f t="shared" ca="1" si="211"/>
        <v>6.2130685659624763E-2</v>
      </c>
      <c r="AB883" s="29">
        <f t="shared" ca="1" si="193"/>
        <v>243</v>
      </c>
      <c r="AC883"/>
      <c r="AD883" s="25"/>
      <c r="AF883" s="22">
        <v>45428</v>
      </c>
      <c r="AG883" s="26">
        <f t="shared" ca="1" si="212"/>
        <v>0.71324239194590888</v>
      </c>
      <c r="AH883" s="29">
        <f t="shared" ca="1" si="194"/>
        <v>377</v>
      </c>
      <c r="AJ883" s="22">
        <v>45428</v>
      </c>
      <c r="AK883" s="26">
        <f t="shared" ca="1" si="213"/>
        <v>0.96092045819406635</v>
      </c>
      <c r="AL883" s="29">
        <f t="shared" ca="1" si="195"/>
        <v>265</v>
      </c>
      <c r="AN883" s="22">
        <v>45428</v>
      </c>
      <c r="AO883" s="26">
        <f t="shared" ca="1" si="214"/>
        <v>0.59802318206299321</v>
      </c>
      <c r="AP883" s="29">
        <f t="shared" ca="1" si="196"/>
        <v>157</v>
      </c>
      <c r="AR883" s="22">
        <v>45428</v>
      </c>
      <c r="AS883" s="26">
        <f t="shared" ca="1" si="215"/>
        <v>0.51252184540958268</v>
      </c>
      <c r="AT883" s="29">
        <f t="shared" ca="1" si="197"/>
        <v>219</v>
      </c>
      <c r="AV883" s="22">
        <v>45428</v>
      </c>
      <c r="AW883" s="26">
        <f t="shared" ca="1" si="216"/>
        <v>0.87183739008978356</v>
      </c>
      <c r="AX883" s="29">
        <f t="shared" ca="1" si="198"/>
        <v>250</v>
      </c>
      <c r="AZ883" s="22">
        <v>45428</v>
      </c>
      <c r="BA883" s="26">
        <f t="shared" ca="1" si="217"/>
        <v>0.96797090005842112</v>
      </c>
      <c r="BB883" s="29">
        <f t="shared" ca="1" si="199"/>
        <v>269</v>
      </c>
      <c r="BC883"/>
      <c r="BD883" s="25"/>
      <c r="BF883" s="22">
        <v>45428</v>
      </c>
      <c r="BG883" s="26">
        <f t="shared" ca="1" si="218"/>
        <v>0.61608108966586084</v>
      </c>
      <c r="BH883" s="29">
        <f t="shared" ca="1" si="200"/>
        <v>173</v>
      </c>
      <c r="BJ883" s="22">
        <v>45428</v>
      </c>
      <c r="BK883" s="26">
        <f t="shared" ca="1" si="219"/>
        <v>0.48784649294092308</v>
      </c>
      <c r="BL883" s="29">
        <f t="shared" ca="1" si="201"/>
        <v>164</v>
      </c>
      <c r="BN883" s="22">
        <v>45428</v>
      </c>
      <c r="BO883" s="26">
        <f t="shared" ca="1" si="220"/>
        <v>0.37898727021351519</v>
      </c>
      <c r="BP883" s="29">
        <f t="shared" ca="1" si="202"/>
        <v>121</v>
      </c>
      <c r="BR883" s="22">
        <v>45428</v>
      </c>
      <c r="BS883" s="26">
        <f t="shared" ca="1" si="221"/>
        <v>6.7133804038217448E-2</v>
      </c>
      <c r="BT883" s="29">
        <f t="shared" ca="1" si="203"/>
        <v>105</v>
      </c>
      <c r="BV883" s="22">
        <v>45428</v>
      </c>
      <c r="BW883" s="26">
        <f t="shared" ca="1" si="222"/>
        <v>0.19561293546350944</v>
      </c>
      <c r="BX883" s="29">
        <f t="shared" ca="1" si="204"/>
        <v>142</v>
      </c>
    </row>
    <row r="884" spans="2:76" ht="12.75" x14ac:dyDescent="0.2">
      <c r="B884" s="22">
        <v>45429</v>
      </c>
      <c r="C884" s="26">
        <f t="shared" ca="1" si="205"/>
        <v>0.65459331705666768</v>
      </c>
      <c r="D884" s="29">
        <f t="shared" ca="1" si="187"/>
        <v>83</v>
      </c>
      <c r="F884" s="22"/>
      <c r="G884" s="26">
        <f t="shared" ca="1" si="206"/>
        <v>0.44488040565847486</v>
      </c>
      <c r="H884" s="29">
        <f t="shared" ca="1" si="188"/>
        <v>214</v>
      </c>
      <c r="J884" s="22">
        <v>45429</v>
      </c>
      <c r="K884" s="26">
        <f t="shared" ca="1" si="207"/>
        <v>0.67092365790049424</v>
      </c>
      <c r="L884" s="29">
        <f t="shared" ca="1" si="189"/>
        <v>155</v>
      </c>
      <c r="N884" s="22">
        <v>45429</v>
      </c>
      <c r="O884" s="26">
        <f t="shared" ca="1" si="208"/>
        <v>0.60849714788814802</v>
      </c>
      <c r="P884" s="29">
        <f t="shared" ca="1" si="190"/>
        <v>234</v>
      </c>
      <c r="R884" s="22">
        <v>45429</v>
      </c>
      <c r="S884" s="26">
        <f t="shared" ca="1" si="209"/>
        <v>0.17994060294269321</v>
      </c>
      <c r="T884" s="29">
        <f t="shared" ca="1" si="191"/>
        <v>131</v>
      </c>
      <c r="V884" s="22">
        <v>45429</v>
      </c>
      <c r="W884" s="26">
        <f t="shared" ca="1" si="210"/>
        <v>0.28595944949028795</v>
      </c>
      <c r="X884" s="29">
        <f t="shared" ca="1" si="192"/>
        <v>217</v>
      </c>
      <c r="Z884" s="22">
        <v>45429</v>
      </c>
      <c r="AA884" s="26">
        <f t="shared" ca="1" si="211"/>
        <v>0.86678276982603364</v>
      </c>
      <c r="AB884" s="29">
        <f t="shared" ca="1" si="193"/>
        <v>291</v>
      </c>
      <c r="AC884"/>
      <c r="AD884" s="25"/>
      <c r="AF884" s="22">
        <v>45429</v>
      </c>
      <c r="AG884" s="26">
        <f t="shared" ca="1" si="212"/>
        <v>0.68620582186178114</v>
      </c>
      <c r="AH884" s="29">
        <f t="shared" ca="1" si="194"/>
        <v>370</v>
      </c>
      <c r="AJ884" s="22">
        <v>45429</v>
      </c>
      <c r="AK884" s="26">
        <f t="shared" ca="1" si="213"/>
        <v>6.8707487052441119E-2</v>
      </c>
      <c r="AL884" s="29">
        <f t="shared" ca="1" si="195"/>
        <v>109</v>
      </c>
      <c r="AN884" s="22">
        <v>45429</v>
      </c>
      <c r="AO884" s="26">
        <f t="shared" ca="1" si="214"/>
        <v>4.5472276159719049E-2</v>
      </c>
      <c r="AP884" s="29">
        <f t="shared" ca="1" si="196"/>
        <v>81</v>
      </c>
      <c r="AR884" s="22">
        <v>45429</v>
      </c>
      <c r="AS884" s="26">
        <f t="shared" ca="1" si="215"/>
        <v>0.13356113371042422</v>
      </c>
      <c r="AT884" s="29">
        <f t="shared" ca="1" si="197"/>
        <v>153</v>
      </c>
      <c r="AV884" s="22">
        <v>45429</v>
      </c>
      <c r="AW884" s="26">
        <f t="shared" ca="1" si="216"/>
        <v>0.61259358299290079</v>
      </c>
      <c r="AX884" s="29">
        <f t="shared" ca="1" si="198"/>
        <v>207</v>
      </c>
      <c r="AZ884" s="22">
        <v>45429</v>
      </c>
      <c r="BA884" s="26">
        <f t="shared" ca="1" si="217"/>
        <v>0.74153573002573614</v>
      </c>
      <c r="BB884" s="29">
        <f t="shared" ca="1" si="199"/>
        <v>211</v>
      </c>
      <c r="BC884"/>
      <c r="BD884" s="25"/>
      <c r="BF884" s="22">
        <v>45429</v>
      </c>
      <c r="BG884" s="26">
        <f t="shared" ca="1" si="218"/>
        <v>0.14483466067671225</v>
      </c>
      <c r="BH884" s="29">
        <f t="shared" ca="1" si="200"/>
        <v>115</v>
      </c>
      <c r="BJ884" s="22">
        <v>45429</v>
      </c>
      <c r="BK884" s="26">
        <f t="shared" ca="1" si="219"/>
        <v>0.1399489545212208</v>
      </c>
      <c r="BL884" s="29">
        <f t="shared" ca="1" si="201"/>
        <v>118</v>
      </c>
      <c r="BN884" s="22">
        <v>45429</v>
      </c>
      <c r="BO884" s="26">
        <f t="shared" ca="1" si="220"/>
        <v>0.6151509577295321</v>
      </c>
      <c r="BP884" s="29">
        <f t="shared" ca="1" si="202"/>
        <v>142</v>
      </c>
      <c r="BR884" s="22">
        <v>45429</v>
      </c>
      <c r="BS884" s="26">
        <f t="shared" ca="1" si="221"/>
        <v>9.9125056018205537E-3</v>
      </c>
      <c r="BT884" s="29">
        <f t="shared" ca="1" si="203"/>
        <v>66</v>
      </c>
      <c r="BV884" s="22">
        <v>45429</v>
      </c>
      <c r="BW884" s="26">
        <f t="shared" ca="1" si="222"/>
        <v>0.59747330403018073</v>
      </c>
      <c r="BX884" s="29">
        <f t="shared" ca="1" si="204"/>
        <v>196</v>
      </c>
    </row>
    <row r="885" spans="2:76" ht="12.75" x14ac:dyDescent="0.2">
      <c r="B885" s="22">
        <v>45430</v>
      </c>
      <c r="C885" s="26">
        <f t="shared" ca="1" si="205"/>
        <v>0.65992938180146199</v>
      </c>
      <c r="D885" s="29">
        <f t="shared" ca="1" si="187"/>
        <v>84</v>
      </c>
      <c r="F885" s="22"/>
      <c r="G885" s="26">
        <f t="shared" ca="1" si="206"/>
        <v>0.23547260402691228</v>
      </c>
      <c r="H885" s="29">
        <f t="shared" ca="1" si="188"/>
        <v>206</v>
      </c>
      <c r="J885" s="22">
        <v>45430</v>
      </c>
      <c r="K885" s="26">
        <f t="shared" ca="1" si="207"/>
        <v>0.18678884546246921</v>
      </c>
      <c r="L885" s="29">
        <f t="shared" ca="1" si="189"/>
        <v>142</v>
      </c>
      <c r="N885" s="22">
        <v>45430</v>
      </c>
      <c r="O885" s="26">
        <f t="shared" ca="1" si="208"/>
        <v>0.76042406614428026</v>
      </c>
      <c r="P885" s="29">
        <f t="shared" ca="1" si="190"/>
        <v>241</v>
      </c>
      <c r="R885" s="22">
        <v>45430</v>
      </c>
      <c r="S885" s="26">
        <f t="shared" ca="1" si="209"/>
        <v>0.91944117424429916</v>
      </c>
      <c r="T885" s="29">
        <f t="shared" ca="1" si="191"/>
        <v>152</v>
      </c>
      <c r="V885" s="22">
        <v>45430</v>
      </c>
      <c r="W885" s="26">
        <f t="shared" ca="1" si="210"/>
        <v>0.61539535635751796</v>
      </c>
      <c r="X885" s="29">
        <f t="shared" ca="1" si="192"/>
        <v>230</v>
      </c>
      <c r="Z885" s="22">
        <v>45430</v>
      </c>
      <c r="AA885" s="26">
        <f t="shared" ca="1" si="211"/>
        <v>0.43769272066876863</v>
      </c>
      <c r="AB885" s="29">
        <f t="shared" ca="1" si="193"/>
        <v>268</v>
      </c>
      <c r="AC885"/>
      <c r="AD885" s="25"/>
      <c r="AF885" s="22">
        <v>45430</v>
      </c>
      <c r="AG885" s="26">
        <f t="shared" ca="1" si="212"/>
        <v>0.15182923039000873</v>
      </c>
      <c r="AH885" s="29">
        <f t="shared" ca="1" si="194"/>
        <v>238</v>
      </c>
      <c r="AJ885" s="22">
        <v>45430</v>
      </c>
      <c r="AK885" s="26">
        <f t="shared" ca="1" si="213"/>
        <v>0.73772302837590609</v>
      </c>
      <c r="AL885" s="29">
        <f t="shared" ca="1" si="195"/>
        <v>211</v>
      </c>
      <c r="AN885" s="22">
        <v>45430</v>
      </c>
      <c r="AO885" s="26">
        <f t="shared" ca="1" si="214"/>
        <v>0.90613313541359497</v>
      </c>
      <c r="AP885" s="29">
        <f t="shared" ca="1" si="196"/>
        <v>199</v>
      </c>
      <c r="AR885" s="22">
        <v>45430</v>
      </c>
      <c r="AS885" s="26">
        <f t="shared" ca="1" si="215"/>
        <v>0.59911648626969904</v>
      </c>
      <c r="AT885" s="29">
        <f t="shared" ca="1" si="197"/>
        <v>232</v>
      </c>
      <c r="AV885" s="22">
        <v>45430</v>
      </c>
      <c r="AW885" s="26">
        <f t="shared" ca="1" si="216"/>
        <v>0.29651316517196402</v>
      </c>
      <c r="AX885" s="29">
        <f t="shared" ca="1" si="198"/>
        <v>165</v>
      </c>
      <c r="AZ885" s="22">
        <v>45430</v>
      </c>
      <c r="BA885" s="26">
        <f t="shared" ca="1" si="217"/>
        <v>0.73637337791504931</v>
      </c>
      <c r="BB885" s="29">
        <f t="shared" ca="1" si="199"/>
        <v>211</v>
      </c>
      <c r="BC885"/>
      <c r="BD885" s="25"/>
      <c r="BF885" s="22">
        <v>45430</v>
      </c>
      <c r="BG885" s="26">
        <f t="shared" ca="1" si="218"/>
        <v>0.59164552585157415</v>
      </c>
      <c r="BH885" s="29">
        <f t="shared" ca="1" si="200"/>
        <v>170</v>
      </c>
      <c r="BJ885" s="22">
        <v>45430</v>
      </c>
      <c r="BK885" s="26">
        <f t="shared" ca="1" si="219"/>
        <v>0.37180716443917616</v>
      </c>
      <c r="BL885" s="29">
        <f t="shared" ca="1" si="201"/>
        <v>151</v>
      </c>
      <c r="BN885" s="22">
        <v>45430</v>
      </c>
      <c r="BO885" s="26">
        <f t="shared" ca="1" si="220"/>
        <v>0.48690464526155941</v>
      </c>
      <c r="BP885" s="29">
        <f t="shared" ca="1" si="202"/>
        <v>130</v>
      </c>
      <c r="BR885" s="22">
        <v>45430</v>
      </c>
      <c r="BS885" s="26">
        <f t="shared" ca="1" si="221"/>
        <v>0.9202054507592774</v>
      </c>
      <c r="BT885" s="29">
        <f t="shared" ca="1" si="203"/>
        <v>239</v>
      </c>
      <c r="BV885" s="22">
        <v>45430</v>
      </c>
      <c r="BW885" s="26">
        <f t="shared" ca="1" si="222"/>
        <v>0.99423713848163597</v>
      </c>
      <c r="BX885" s="29">
        <f t="shared" ca="1" si="204"/>
        <v>308</v>
      </c>
    </row>
    <row r="886" spans="2:76" ht="12.75" x14ac:dyDescent="0.2">
      <c r="B886" s="22">
        <v>45431</v>
      </c>
      <c r="C886" s="26">
        <f t="shared" ca="1" si="205"/>
        <v>0.71186285786465164</v>
      </c>
      <c r="D886" s="29">
        <f t="shared" ca="1" si="187"/>
        <v>87</v>
      </c>
      <c r="F886" s="22"/>
      <c r="G886" s="26">
        <f t="shared" ca="1" si="206"/>
        <v>0.20744604687042811</v>
      </c>
      <c r="H886" s="29">
        <f t="shared" ca="1" si="188"/>
        <v>204</v>
      </c>
      <c r="J886" s="22">
        <v>45431</v>
      </c>
      <c r="K886" s="26">
        <f t="shared" ca="1" si="207"/>
        <v>0.62471245644635787</v>
      </c>
      <c r="L886" s="29">
        <f t="shared" ca="1" si="189"/>
        <v>154</v>
      </c>
      <c r="N886" s="22">
        <v>45431</v>
      </c>
      <c r="O886" s="26">
        <f t="shared" ca="1" si="208"/>
        <v>0.57821469766648959</v>
      </c>
      <c r="P886" s="29">
        <f t="shared" ca="1" si="190"/>
        <v>233</v>
      </c>
      <c r="R886" s="22">
        <v>45431</v>
      </c>
      <c r="S886" s="26">
        <f t="shared" ca="1" si="209"/>
        <v>0.31737140431604638</v>
      </c>
      <c r="T886" s="29">
        <f t="shared" ca="1" si="191"/>
        <v>135</v>
      </c>
      <c r="V886" s="22">
        <v>45431</v>
      </c>
      <c r="W886" s="26">
        <f t="shared" ca="1" si="210"/>
        <v>0.3873616473913396</v>
      </c>
      <c r="X886" s="29">
        <f t="shared" ca="1" si="192"/>
        <v>221</v>
      </c>
      <c r="Z886" s="22">
        <v>45431</v>
      </c>
      <c r="AA886" s="26">
        <f t="shared" ca="1" si="211"/>
        <v>0.82373555724977388</v>
      </c>
      <c r="AB886" s="29">
        <f t="shared" ca="1" si="193"/>
        <v>287</v>
      </c>
      <c r="AC886"/>
      <c r="AD886" s="25"/>
      <c r="AF886" s="22">
        <v>45431</v>
      </c>
      <c r="AG886" s="26">
        <f t="shared" ca="1" si="212"/>
        <v>0.86884434712057268</v>
      </c>
      <c r="AH886" s="29">
        <f t="shared" ca="1" si="194"/>
        <v>425</v>
      </c>
      <c r="AJ886" s="22">
        <v>45431</v>
      </c>
      <c r="AK886" s="26">
        <f t="shared" ca="1" si="213"/>
        <v>0.31717114886337427</v>
      </c>
      <c r="AL886" s="29">
        <f t="shared" ca="1" si="195"/>
        <v>158</v>
      </c>
      <c r="AN886" s="22">
        <v>45431</v>
      </c>
      <c r="AO886" s="26">
        <f t="shared" ca="1" si="214"/>
        <v>0.36664738520349405</v>
      </c>
      <c r="AP886" s="29">
        <f t="shared" ca="1" si="196"/>
        <v>134</v>
      </c>
      <c r="AR886" s="22">
        <v>45431</v>
      </c>
      <c r="AS886" s="26">
        <f t="shared" ca="1" si="215"/>
        <v>0.67759312939013272</v>
      </c>
      <c r="AT886" s="29">
        <f t="shared" ca="1" si="197"/>
        <v>244</v>
      </c>
      <c r="AV886" s="22">
        <v>45431</v>
      </c>
      <c r="AW886" s="26">
        <f t="shared" ca="1" si="216"/>
        <v>0.13259272191609406</v>
      </c>
      <c r="AX886" s="29">
        <f t="shared" ca="1" si="198"/>
        <v>135</v>
      </c>
      <c r="AZ886" s="22">
        <v>45431</v>
      </c>
      <c r="BA886" s="26">
        <f t="shared" ca="1" si="217"/>
        <v>0.5908068444630834</v>
      </c>
      <c r="BB886" s="29">
        <f t="shared" ca="1" si="199"/>
        <v>191</v>
      </c>
      <c r="BC886"/>
      <c r="BD886" s="25"/>
      <c r="BF886" s="22">
        <v>45431</v>
      </c>
      <c r="BG886" s="26">
        <f t="shared" ca="1" si="218"/>
        <v>0.45160998442510369</v>
      </c>
      <c r="BH886" s="29">
        <f t="shared" ca="1" si="200"/>
        <v>155</v>
      </c>
      <c r="BJ886" s="22">
        <v>45431</v>
      </c>
      <c r="BK886" s="26">
        <f t="shared" ca="1" si="219"/>
        <v>0.89262612172074574</v>
      </c>
      <c r="BL886" s="29">
        <f t="shared" ca="1" si="201"/>
        <v>219</v>
      </c>
      <c r="BN886" s="22">
        <v>45431</v>
      </c>
      <c r="BO886" s="26">
        <f t="shared" ca="1" si="220"/>
        <v>0.60909077026290859</v>
      </c>
      <c r="BP886" s="29">
        <f t="shared" ca="1" si="202"/>
        <v>141</v>
      </c>
      <c r="BR886" s="22">
        <v>45431</v>
      </c>
      <c r="BS886" s="26">
        <f t="shared" ca="1" si="221"/>
        <v>0.1137000983082832</v>
      </c>
      <c r="BT886" s="29">
        <f t="shared" ca="1" si="203"/>
        <v>118</v>
      </c>
      <c r="BV886" s="22">
        <v>45431</v>
      </c>
      <c r="BW886" s="26">
        <f t="shared" ca="1" si="222"/>
        <v>0.24295672677207025</v>
      </c>
      <c r="BX886" s="29">
        <f t="shared" ca="1" si="204"/>
        <v>150</v>
      </c>
    </row>
    <row r="887" spans="2:76" ht="12.75" x14ac:dyDescent="0.2">
      <c r="B887" s="22">
        <v>45432</v>
      </c>
      <c r="C887" s="26">
        <f t="shared" ca="1" si="205"/>
        <v>0.80453405632864894</v>
      </c>
      <c r="D887" s="29">
        <f t="shared" ca="1" si="187"/>
        <v>93</v>
      </c>
      <c r="F887" s="22"/>
      <c r="G887" s="26">
        <f t="shared" ca="1" si="206"/>
        <v>8.1779093246181711E-2</v>
      </c>
      <c r="H887" s="29">
        <f t="shared" ca="1" si="188"/>
        <v>196</v>
      </c>
      <c r="J887" s="22">
        <v>45432</v>
      </c>
      <c r="K887" s="26">
        <f t="shared" ca="1" si="207"/>
        <v>0.92387630642748841</v>
      </c>
      <c r="L887" s="29">
        <f t="shared" ca="1" si="189"/>
        <v>165</v>
      </c>
      <c r="N887" s="22">
        <v>45432</v>
      </c>
      <c r="O887" s="26">
        <f t="shared" ca="1" si="208"/>
        <v>0.78367031723052094</v>
      </c>
      <c r="P887" s="29">
        <f t="shared" ca="1" si="190"/>
        <v>242</v>
      </c>
      <c r="R887" s="22">
        <v>45432</v>
      </c>
      <c r="S887" s="26">
        <f t="shared" ca="1" si="209"/>
        <v>0.40539465796860374</v>
      </c>
      <c r="T887" s="29">
        <f t="shared" ca="1" si="191"/>
        <v>137</v>
      </c>
      <c r="V887" s="22">
        <v>45432</v>
      </c>
      <c r="W887" s="26">
        <f t="shared" ca="1" si="210"/>
        <v>0.75076674105938346</v>
      </c>
      <c r="X887" s="29">
        <f t="shared" ca="1" si="192"/>
        <v>236</v>
      </c>
      <c r="Z887" s="22">
        <v>45432</v>
      </c>
      <c r="AA887" s="26">
        <f t="shared" ca="1" si="211"/>
        <v>1.5626137357682812E-2</v>
      </c>
      <c r="AB887" s="29">
        <f t="shared" ca="1" si="193"/>
        <v>232</v>
      </c>
      <c r="AC887"/>
      <c r="AD887" s="25"/>
      <c r="AF887" s="22">
        <v>45432</v>
      </c>
      <c r="AG887" s="26">
        <f t="shared" ca="1" si="212"/>
        <v>0.88874878735124108</v>
      </c>
      <c r="AH887" s="29">
        <f t="shared" ca="1" si="194"/>
        <v>434</v>
      </c>
      <c r="AJ887" s="22">
        <v>45432</v>
      </c>
      <c r="AK887" s="26">
        <f t="shared" ca="1" si="213"/>
        <v>0.9926316886428469</v>
      </c>
      <c r="AL887" s="29">
        <f t="shared" ca="1" si="195"/>
        <v>297</v>
      </c>
      <c r="AN887" s="22">
        <v>45432</v>
      </c>
      <c r="AO887" s="26">
        <f t="shared" ca="1" si="214"/>
        <v>0.15196325105121122</v>
      </c>
      <c r="AP887" s="29">
        <f t="shared" ca="1" si="196"/>
        <v>107</v>
      </c>
      <c r="AR887" s="22">
        <v>45432</v>
      </c>
      <c r="AS887" s="26">
        <f t="shared" ca="1" si="215"/>
        <v>0.62998408704833186</v>
      </c>
      <c r="AT887" s="29">
        <f t="shared" ca="1" si="197"/>
        <v>236</v>
      </c>
      <c r="AV887" s="22">
        <v>45432</v>
      </c>
      <c r="AW887" s="26">
        <f t="shared" ca="1" si="216"/>
        <v>0.68381915243693947</v>
      </c>
      <c r="AX887" s="29">
        <f t="shared" ca="1" si="198"/>
        <v>217</v>
      </c>
      <c r="AZ887" s="22">
        <v>45432</v>
      </c>
      <c r="BA887" s="26">
        <f t="shared" ca="1" si="217"/>
        <v>0.55821006435068887</v>
      </c>
      <c r="BB887" s="29">
        <f t="shared" ca="1" si="199"/>
        <v>187</v>
      </c>
      <c r="BC887"/>
      <c r="BD887" s="25"/>
      <c r="BF887" s="22">
        <v>45432</v>
      </c>
      <c r="BG887" s="26">
        <f t="shared" ca="1" si="218"/>
        <v>0.73303645537022244</v>
      </c>
      <c r="BH887" s="29">
        <f t="shared" ca="1" si="200"/>
        <v>187</v>
      </c>
      <c r="BJ887" s="22">
        <v>45432</v>
      </c>
      <c r="BK887" s="26">
        <f t="shared" ca="1" si="219"/>
        <v>7.8241163037224837E-2</v>
      </c>
      <c r="BL887" s="29">
        <f t="shared" ca="1" si="201"/>
        <v>103</v>
      </c>
      <c r="BN887" s="22">
        <v>45432</v>
      </c>
      <c r="BO887" s="26">
        <f t="shared" ca="1" si="220"/>
        <v>5.6628862190005624E-2</v>
      </c>
      <c r="BP887" s="29">
        <f t="shared" ca="1" si="202"/>
        <v>76</v>
      </c>
      <c r="BR887" s="22">
        <v>45432</v>
      </c>
      <c r="BS887" s="26">
        <f t="shared" ca="1" si="221"/>
        <v>0.72617123368144887</v>
      </c>
      <c r="BT887" s="29">
        <f t="shared" ca="1" si="203"/>
        <v>202</v>
      </c>
      <c r="BV887" s="22">
        <v>45432</v>
      </c>
      <c r="BW887" s="26">
        <f t="shared" ca="1" si="222"/>
        <v>0.81548245238200101</v>
      </c>
      <c r="BX887" s="29">
        <f t="shared" ca="1" si="204"/>
        <v>228</v>
      </c>
    </row>
    <row r="888" spans="2:76" ht="12.75" x14ac:dyDescent="0.2">
      <c r="B888" s="22">
        <v>45433</v>
      </c>
      <c r="C888" s="26">
        <f t="shared" ca="1" si="205"/>
        <v>0.19808311323794559</v>
      </c>
      <c r="D888" s="29">
        <f t="shared" ca="1" si="187"/>
        <v>59</v>
      </c>
      <c r="F888" s="22"/>
      <c r="G888" s="26">
        <f t="shared" ca="1" si="206"/>
        <v>8.0165466180689426E-2</v>
      </c>
      <c r="H888" s="29">
        <f t="shared" ca="1" si="188"/>
        <v>196</v>
      </c>
      <c r="J888" s="22">
        <v>45433</v>
      </c>
      <c r="K888" s="26">
        <f t="shared" ca="1" si="207"/>
        <v>0.50224992696407234</v>
      </c>
      <c r="L888" s="29">
        <f t="shared" ca="1" si="189"/>
        <v>151</v>
      </c>
      <c r="N888" s="22">
        <v>45433</v>
      </c>
      <c r="O888" s="26">
        <f t="shared" ca="1" si="208"/>
        <v>0.57367777482867666</v>
      </c>
      <c r="P888" s="29">
        <f t="shared" ca="1" si="190"/>
        <v>233</v>
      </c>
      <c r="R888" s="22">
        <v>45433</v>
      </c>
      <c r="S888" s="26">
        <f t="shared" ca="1" si="209"/>
        <v>0.15519203777195401</v>
      </c>
      <c r="T888" s="29">
        <f t="shared" ca="1" si="191"/>
        <v>130</v>
      </c>
      <c r="V888" s="22">
        <v>45433</v>
      </c>
      <c r="W888" s="26">
        <f t="shared" ca="1" si="210"/>
        <v>0.82181510974029126</v>
      </c>
      <c r="X888" s="29">
        <f t="shared" ca="1" si="192"/>
        <v>239</v>
      </c>
      <c r="Z888" s="22">
        <v>45433</v>
      </c>
      <c r="AA888" s="26">
        <f t="shared" ca="1" si="211"/>
        <v>0.31765993728821684</v>
      </c>
      <c r="AB888" s="29">
        <f t="shared" ca="1" si="193"/>
        <v>262</v>
      </c>
      <c r="AC888"/>
      <c r="AD888" s="25"/>
      <c r="AF888" s="22">
        <v>45433</v>
      </c>
      <c r="AG888" s="26">
        <f t="shared" ca="1" si="212"/>
        <v>0.54263335063085261</v>
      </c>
      <c r="AH888" s="29">
        <f t="shared" ca="1" si="194"/>
        <v>337</v>
      </c>
      <c r="AJ888" s="22">
        <v>45433</v>
      </c>
      <c r="AK888" s="26">
        <f t="shared" ca="1" si="213"/>
        <v>0.55476584274248464</v>
      </c>
      <c r="AL888" s="29">
        <f t="shared" ca="1" si="195"/>
        <v>187</v>
      </c>
      <c r="AN888" s="22">
        <v>45433</v>
      </c>
      <c r="AO888" s="26">
        <f t="shared" ca="1" si="214"/>
        <v>0.33367058170657338</v>
      </c>
      <c r="AP888" s="29">
        <f t="shared" ca="1" si="196"/>
        <v>131</v>
      </c>
      <c r="AR888" s="22">
        <v>45433</v>
      </c>
      <c r="AS888" s="26">
        <f t="shared" ca="1" si="215"/>
        <v>4.0830377883314006E-2</v>
      </c>
      <c r="AT888" s="29">
        <f t="shared" ca="1" si="197"/>
        <v>117</v>
      </c>
      <c r="AV888" s="22">
        <v>45433</v>
      </c>
      <c r="AW888" s="26">
        <f t="shared" ca="1" si="216"/>
        <v>0.86788455445784762</v>
      </c>
      <c r="AX888" s="29">
        <f t="shared" ca="1" si="198"/>
        <v>249</v>
      </c>
      <c r="AZ888" s="22">
        <v>45433</v>
      </c>
      <c r="BA888" s="26">
        <f t="shared" ca="1" si="217"/>
        <v>0.28020925452616674</v>
      </c>
      <c r="BB888" s="29">
        <f t="shared" ca="1" si="199"/>
        <v>152</v>
      </c>
      <c r="BC888"/>
      <c r="BD888" s="25"/>
      <c r="BF888" s="22">
        <v>45433</v>
      </c>
      <c r="BG888" s="26">
        <f t="shared" ca="1" si="218"/>
        <v>0.22631213219810853</v>
      </c>
      <c r="BH888" s="29">
        <f t="shared" ca="1" si="200"/>
        <v>128</v>
      </c>
      <c r="BJ888" s="22">
        <v>45433</v>
      </c>
      <c r="BK888" s="26">
        <f t="shared" ca="1" si="219"/>
        <v>0.92244684946512201</v>
      </c>
      <c r="BL888" s="29">
        <f t="shared" ca="1" si="201"/>
        <v>227</v>
      </c>
      <c r="BN888" s="22">
        <v>45433</v>
      </c>
      <c r="BO888" s="26">
        <f t="shared" ca="1" si="220"/>
        <v>0.39236790524447451</v>
      </c>
      <c r="BP888" s="29">
        <f t="shared" ca="1" si="202"/>
        <v>122</v>
      </c>
      <c r="BR888" s="22">
        <v>45433</v>
      </c>
      <c r="BS888" s="26">
        <f t="shared" ca="1" si="221"/>
        <v>0.72238996892672147</v>
      </c>
      <c r="BT888" s="29">
        <f t="shared" ca="1" si="203"/>
        <v>201</v>
      </c>
      <c r="BV888" s="22">
        <v>45433</v>
      </c>
      <c r="BW888" s="26">
        <f t="shared" ca="1" si="222"/>
        <v>0.16843231671547565</v>
      </c>
      <c r="BX888" s="29">
        <f t="shared" ca="1" si="204"/>
        <v>137</v>
      </c>
    </row>
    <row r="889" spans="2:76" ht="12.75" x14ac:dyDescent="0.2">
      <c r="B889" s="22">
        <v>45434</v>
      </c>
      <c r="C889" s="26">
        <f t="shared" ca="1" si="205"/>
        <v>0.69575722532982431</v>
      </c>
      <c r="D889" s="29">
        <f t="shared" ca="1" si="187"/>
        <v>86</v>
      </c>
      <c r="F889" s="22"/>
      <c r="G889" s="26">
        <f t="shared" ca="1" si="206"/>
        <v>0.7373374742480775</v>
      </c>
      <c r="H889" s="29">
        <f t="shared" ca="1" si="188"/>
        <v>225</v>
      </c>
      <c r="J889" s="22">
        <v>45434</v>
      </c>
      <c r="K889" s="26">
        <f t="shared" ca="1" si="207"/>
        <v>0.31491352819480412</v>
      </c>
      <c r="L889" s="29">
        <f t="shared" ca="1" si="189"/>
        <v>146</v>
      </c>
      <c r="N889" s="22">
        <v>45434</v>
      </c>
      <c r="O889" s="26">
        <f t="shared" ca="1" si="208"/>
        <v>0.43988122365700633</v>
      </c>
      <c r="P889" s="29">
        <f t="shared" ca="1" si="190"/>
        <v>228</v>
      </c>
      <c r="R889" s="22">
        <v>45434</v>
      </c>
      <c r="S889" s="26">
        <f t="shared" ca="1" si="209"/>
        <v>0.51301393699492126</v>
      </c>
      <c r="T889" s="29">
        <f t="shared" ca="1" si="191"/>
        <v>140</v>
      </c>
      <c r="V889" s="22">
        <v>45434</v>
      </c>
      <c r="W889" s="26">
        <f t="shared" ca="1" si="210"/>
        <v>0.57649639407927167</v>
      </c>
      <c r="X889" s="29">
        <f t="shared" ca="1" si="192"/>
        <v>228</v>
      </c>
      <c r="Z889" s="22">
        <v>45434</v>
      </c>
      <c r="AA889" s="26">
        <f t="shared" ca="1" si="211"/>
        <v>0.61066309365586169</v>
      </c>
      <c r="AB889" s="29">
        <f t="shared" ca="1" si="193"/>
        <v>276</v>
      </c>
      <c r="AC889"/>
      <c r="AD889" s="25"/>
      <c r="AF889" s="22">
        <v>45434</v>
      </c>
      <c r="AG889" s="26">
        <f t="shared" ca="1" si="212"/>
        <v>0.66623261511336629</v>
      </c>
      <c r="AH889" s="29">
        <f t="shared" ca="1" si="194"/>
        <v>365</v>
      </c>
      <c r="AJ889" s="22">
        <v>45434</v>
      </c>
      <c r="AK889" s="26">
        <f t="shared" ca="1" si="213"/>
        <v>5.8300701100031382E-3</v>
      </c>
      <c r="AL889" s="29">
        <f t="shared" ca="1" si="195"/>
        <v>59</v>
      </c>
      <c r="AN889" s="22">
        <v>45434</v>
      </c>
      <c r="AO889" s="26">
        <f t="shared" ca="1" si="214"/>
        <v>6.730515882888255E-2</v>
      </c>
      <c r="AP889" s="29">
        <f t="shared" ca="1" si="196"/>
        <v>89</v>
      </c>
      <c r="AR889" s="22">
        <v>45434</v>
      </c>
      <c r="AS889" s="26">
        <f t="shared" ca="1" si="215"/>
        <v>0.27673428600782568</v>
      </c>
      <c r="AT889" s="29">
        <f t="shared" ca="1" si="197"/>
        <v>183</v>
      </c>
      <c r="AV889" s="22">
        <v>45434</v>
      </c>
      <c r="AW889" s="26">
        <f t="shared" ca="1" si="216"/>
        <v>7.0596416443442611E-2</v>
      </c>
      <c r="AX889" s="29">
        <f t="shared" ca="1" si="198"/>
        <v>117</v>
      </c>
      <c r="AZ889" s="22">
        <v>45434</v>
      </c>
      <c r="BA889" s="26">
        <f t="shared" ca="1" si="217"/>
        <v>0.60142626358753748</v>
      </c>
      <c r="BB889" s="29">
        <f t="shared" ca="1" si="199"/>
        <v>193</v>
      </c>
      <c r="BC889"/>
      <c r="BD889" s="25"/>
      <c r="BF889" s="22">
        <v>45434</v>
      </c>
      <c r="BG889" s="26">
        <f t="shared" ca="1" si="218"/>
        <v>0.31389241581095695</v>
      </c>
      <c r="BH889" s="29">
        <f t="shared" ca="1" si="200"/>
        <v>139</v>
      </c>
      <c r="BJ889" s="22">
        <v>45434</v>
      </c>
      <c r="BK889" s="26">
        <f t="shared" ca="1" si="219"/>
        <v>0.5622361101200708</v>
      </c>
      <c r="BL889" s="29">
        <f t="shared" ca="1" si="201"/>
        <v>172</v>
      </c>
      <c r="BN889" s="22">
        <v>45434</v>
      </c>
      <c r="BO889" s="26">
        <f t="shared" ca="1" si="220"/>
        <v>7.8668441458404459E-2</v>
      </c>
      <c r="BP889" s="29">
        <f t="shared" ca="1" si="202"/>
        <v>82</v>
      </c>
      <c r="BR889" s="22">
        <v>45434</v>
      </c>
      <c r="BS889" s="26">
        <f t="shared" ca="1" si="221"/>
        <v>0.20603698432928075</v>
      </c>
      <c r="BT889" s="29">
        <f t="shared" ca="1" si="203"/>
        <v>136</v>
      </c>
      <c r="BV889" s="22">
        <v>45434</v>
      </c>
      <c r="BW889" s="26">
        <f t="shared" ca="1" si="222"/>
        <v>9.0783469812649731E-3</v>
      </c>
      <c r="BX889" s="29">
        <f t="shared" ca="1" si="204"/>
        <v>68</v>
      </c>
    </row>
    <row r="890" spans="2:76" ht="12.75" x14ac:dyDescent="0.2">
      <c r="B890" s="22">
        <v>45435</v>
      </c>
      <c r="C890" s="26">
        <f t="shared" ca="1" si="205"/>
        <v>1.3802919776871869E-2</v>
      </c>
      <c r="D890" s="29">
        <f t="shared" ca="1" si="187"/>
        <v>31</v>
      </c>
      <c r="F890" s="22"/>
      <c r="G890" s="26">
        <f t="shared" ca="1" si="206"/>
        <v>0.21072729934289602</v>
      </c>
      <c r="H890" s="29">
        <f t="shared" ca="1" si="188"/>
        <v>204</v>
      </c>
      <c r="J890" s="22">
        <v>45435</v>
      </c>
      <c r="K890" s="26">
        <f t="shared" ca="1" si="207"/>
        <v>0.30468511496799255</v>
      </c>
      <c r="L890" s="29">
        <f t="shared" ca="1" si="189"/>
        <v>145</v>
      </c>
      <c r="N890" s="22">
        <v>45435</v>
      </c>
      <c r="O890" s="26">
        <f t="shared" ca="1" si="208"/>
        <v>2.447690979370809E-3</v>
      </c>
      <c r="P890" s="29">
        <f t="shared" ca="1" si="190"/>
        <v>187</v>
      </c>
      <c r="R890" s="22">
        <v>45435</v>
      </c>
      <c r="S890" s="26">
        <f t="shared" ca="1" si="209"/>
        <v>0.47112042868602855</v>
      </c>
      <c r="T890" s="29">
        <f t="shared" ca="1" si="191"/>
        <v>139</v>
      </c>
      <c r="V890" s="22">
        <v>45435</v>
      </c>
      <c r="W890" s="26">
        <f t="shared" ca="1" si="210"/>
        <v>0.95533471300421169</v>
      </c>
      <c r="X890" s="29">
        <f t="shared" ca="1" si="192"/>
        <v>251</v>
      </c>
      <c r="Z890" s="22">
        <v>45435</v>
      </c>
      <c r="AA890" s="26">
        <f t="shared" ca="1" si="211"/>
        <v>0.56974302759228868</v>
      </c>
      <c r="AB890" s="29">
        <f t="shared" ca="1" si="193"/>
        <v>274</v>
      </c>
      <c r="AC890"/>
      <c r="AD890" s="25"/>
      <c r="AF890" s="22">
        <v>45435</v>
      </c>
      <c r="AG890" s="26">
        <f t="shared" ca="1" si="212"/>
        <v>8.6881069843492531E-2</v>
      </c>
      <c r="AH890" s="29">
        <f t="shared" ca="1" si="194"/>
        <v>209</v>
      </c>
      <c r="AJ890" s="22">
        <v>45435</v>
      </c>
      <c r="AK890" s="26">
        <f t="shared" ca="1" si="213"/>
        <v>0.50249316273166356</v>
      </c>
      <c r="AL890" s="29">
        <f t="shared" ca="1" si="195"/>
        <v>181</v>
      </c>
      <c r="AN890" s="22">
        <v>45435</v>
      </c>
      <c r="AO890" s="26">
        <f t="shared" ca="1" si="214"/>
        <v>0.43354967179183412</v>
      </c>
      <c r="AP890" s="29">
        <f t="shared" ca="1" si="196"/>
        <v>141</v>
      </c>
      <c r="AR890" s="22">
        <v>45435</v>
      </c>
      <c r="AS890" s="26">
        <f t="shared" ca="1" si="215"/>
        <v>0.44620750303071788</v>
      </c>
      <c r="AT890" s="29">
        <f t="shared" ca="1" si="197"/>
        <v>209</v>
      </c>
      <c r="AV890" s="22">
        <v>45435</v>
      </c>
      <c r="AW890" s="26">
        <f t="shared" ca="1" si="216"/>
        <v>0.17093486365735233</v>
      </c>
      <c r="AX890" s="29">
        <f t="shared" ca="1" si="198"/>
        <v>144</v>
      </c>
      <c r="AZ890" s="22">
        <v>45435</v>
      </c>
      <c r="BA890" s="26">
        <f t="shared" ca="1" si="217"/>
        <v>9.7132394489925722E-2</v>
      </c>
      <c r="BB890" s="29">
        <f t="shared" ca="1" si="199"/>
        <v>118</v>
      </c>
      <c r="BC890"/>
      <c r="BD890" s="25"/>
      <c r="BF890" s="22">
        <v>45435</v>
      </c>
      <c r="BG890" s="26">
        <f t="shared" ca="1" si="218"/>
        <v>0.21667986396308414</v>
      </c>
      <c r="BH890" s="29">
        <f t="shared" ca="1" si="200"/>
        <v>127</v>
      </c>
      <c r="BJ890" s="22">
        <v>45435</v>
      </c>
      <c r="BK890" s="26">
        <f t="shared" ca="1" si="219"/>
        <v>0.2017090830571614</v>
      </c>
      <c r="BL890" s="29">
        <f t="shared" ca="1" si="201"/>
        <v>128</v>
      </c>
      <c r="BN890" s="22">
        <v>45435</v>
      </c>
      <c r="BO890" s="26">
        <f t="shared" ca="1" si="220"/>
        <v>4.3894872239371163E-2</v>
      </c>
      <c r="BP890" s="29">
        <f t="shared" ca="1" si="202"/>
        <v>72</v>
      </c>
      <c r="BR890" s="22">
        <v>45435</v>
      </c>
      <c r="BS890" s="26">
        <f t="shared" ca="1" si="221"/>
        <v>0.55668950587023736</v>
      </c>
      <c r="BT890" s="29">
        <f t="shared" ca="1" si="203"/>
        <v>181</v>
      </c>
      <c r="BV890" s="22">
        <v>45435</v>
      </c>
      <c r="BW890" s="26">
        <f t="shared" ca="1" si="222"/>
        <v>0.73491399443557637</v>
      </c>
      <c r="BX890" s="29">
        <f t="shared" ca="1" si="204"/>
        <v>215</v>
      </c>
    </row>
    <row r="891" spans="2:76" ht="12.75" x14ac:dyDescent="0.2">
      <c r="B891" s="22">
        <v>45436</v>
      </c>
      <c r="C891" s="26">
        <f t="shared" ca="1" si="205"/>
        <v>0.63762929604002727</v>
      </c>
      <c r="D891" s="29">
        <f t="shared" ca="1" si="187"/>
        <v>83</v>
      </c>
      <c r="F891" s="22"/>
      <c r="G891" s="26">
        <f t="shared" ca="1" si="206"/>
        <v>0.4777649923925007</v>
      </c>
      <c r="H891" s="29">
        <f t="shared" ca="1" si="188"/>
        <v>215</v>
      </c>
      <c r="J891" s="22">
        <v>45436</v>
      </c>
      <c r="K891" s="26">
        <f t="shared" ca="1" si="207"/>
        <v>0.26783046721493919</v>
      </c>
      <c r="L891" s="29">
        <f t="shared" ca="1" si="189"/>
        <v>144</v>
      </c>
      <c r="N891" s="22">
        <v>45436</v>
      </c>
      <c r="O891" s="26">
        <f t="shared" ca="1" si="208"/>
        <v>0.95863749945592824</v>
      </c>
      <c r="P891" s="29">
        <f t="shared" ca="1" si="190"/>
        <v>256</v>
      </c>
      <c r="R891" s="22">
        <v>45436</v>
      </c>
      <c r="S891" s="26">
        <f t="shared" ca="1" si="209"/>
        <v>0.76441931688743514</v>
      </c>
      <c r="T891" s="29">
        <f t="shared" ca="1" si="191"/>
        <v>146</v>
      </c>
      <c r="V891" s="22">
        <v>45436</v>
      </c>
      <c r="W891" s="26">
        <f t="shared" ca="1" si="210"/>
        <v>0.89088206856842556</v>
      </c>
      <c r="X891" s="29">
        <f t="shared" ca="1" si="192"/>
        <v>244</v>
      </c>
      <c r="Z891" s="22">
        <v>45436</v>
      </c>
      <c r="AA891" s="26">
        <f t="shared" ca="1" si="211"/>
        <v>0.87343889190267243</v>
      </c>
      <c r="AB891" s="29">
        <f t="shared" ca="1" si="193"/>
        <v>291</v>
      </c>
      <c r="AC891"/>
      <c r="AD891" s="25"/>
      <c r="AF891" s="22">
        <v>45436</v>
      </c>
      <c r="AG891" s="26">
        <f t="shared" ca="1" si="212"/>
        <v>0.47626731554438417</v>
      </c>
      <c r="AH891" s="29">
        <f t="shared" ca="1" si="194"/>
        <v>322</v>
      </c>
      <c r="AJ891" s="22">
        <v>45436</v>
      </c>
      <c r="AK891" s="26">
        <f t="shared" ca="1" si="213"/>
        <v>0.39125525695362218</v>
      </c>
      <c r="AL891" s="29">
        <f t="shared" ca="1" si="195"/>
        <v>167</v>
      </c>
      <c r="AN891" s="22">
        <v>45436</v>
      </c>
      <c r="AO891" s="26">
        <f t="shared" ca="1" si="214"/>
        <v>0.50356837602913618</v>
      </c>
      <c r="AP891" s="29">
        <f t="shared" ca="1" si="196"/>
        <v>148</v>
      </c>
      <c r="AR891" s="22">
        <v>45436</v>
      </c>
      <c r="AS891" s="26">
        <f t="shared" ca="1" si="215"/>
        <v>0.92869831325925978</v>
      </c>
      <c r="AT891" s="29">
        <f t="shared" ca="1" si="197"/>
        <v>302</v>
      </c>
      <c r="AV891" s="22">
        <v>45436</v>
      </c>
      <c r="AW891" s="26">
        <f t="shared" ca="1" si="216"/>
        <v>0.86217265761182948</v>
      </c>
      <c r="AX891" s="29">
        <f t="shared" ca="1" si="198"/>
        <v>248</v>
      </c>
      <c r="AZ891" s="22">
        <v>45436</v>
      </c>
      <c r="BA891" s="26">
        <f t="shared" ca="1" si="217"/>
        <v>0.46439488095406967</v>
      </c>
      <c r="BB891" s="29">
        <f t="shared" ca="1" si="199"/>
        <v>176</v>
      </c>
      <c r="BC891"/>
      <c r="BD891" s="25"/>
      <c r="BF891" s="22">
        <v>45436</v>
      </c>
      <c r="BG891" s="26">
        <f t="shared" ca="1" si="218"/>
        <v>0.55725278405905332</v>
      </c>
      <c r="BH891" s="29">
        <f t="shared" ca="1" si="200"/>
        <v>166</v>
      </c>
      <c r="BJ891" s="22">
        <v>45436</v>
      </c>
      <c r="BK891" s="26">
        <f t="shared" ca="1" si="219"/>
        <v>0.62316187633850106</v>
      </c>
      <c r="BL891" s="29">
        <f t="shared" ca="1" si="201"/>
        <v>179</v>
      </c>
      <c r="BN891" s="22">
        <v>45436</v>
      </c>
      <c r="BO891" s="26">
        <f t="shared" ca="1" si="220"/>
        <v>2.5373633820993113E-3</v>
      </c>
      <c r="BP891" s="29">
        <f t="shared" ca="1" si="202"/>
        <v>34</v>
      </c>
      <c r="BR891" s="22">
        <v>45436</v>
      </c>
      <c r="BS891" s="26">
        <f t="shared" ca="1" si="221"/>
        <v>0.8369702549619672</v>
      </c>
      <c r="BT891" s="29">
        <f t="shared" ca="1" si="203"/>
        <v>220</v>
      </c>
      <c r="BV891" s="22">
        <v>45436</v>
      </c>
      <c r="BW891" s="26">
        <f t="shared" ca="1" si="222"/>
        <v>0.22918398298861442</v>
      </c>
      <c r="BX891" s="29">
        <f t="shared" ca="1" si="204"/>
        <v>148</v>
      </c>
    </row>
    <row r="892" spans="2:76" ht="12.75" x14ac:dyDescent="0.2">
      <c r="B892" s="22">
        <v>45437</v>
      </c>
      <c r="C892" s="26">
        <f t="shared" ca="1" si="205"/>
        <v>8.1266076595241099E-2</v>
      </c>
      <c r="D892" s="29">
        <f t="shared" ca="1" si="187"/>
        <v>48</v>
      </c>
      <c r="F892" s="22"/>
      <c r="G892" s="26">
        <f t="shared" ca="1" si="206"/>
        <v>0.88911403929298372</v>
      </c>
      <c r="H892" s="29">
        <f t="shared" ca="1" si="188"/>
        <v>233</v>
      </c>
      <c r="J892" s="22">
        <v>45437</v>
      </c>
      <c r="K892" s="26">
        <f t="shared" ca="1" si="207"/>
        <v>0.68081488129661272</v>
      </c>
      <c r="L892" s="29">
        <f t="shared" ca="1" si="189"/>
        <v>155</v>
      </c>
      <c r="N892" s="22">
        <v>45437</v>
      </c>
      <c r="O892" s="26">
        <f t="shared" ca="1" si="208"/>
        <v>0.41477999152099054</v>
      </c>
      <c r="P892" s="29">
        <f t="shared" ca="1" si="190"/>
        <v>227</v>
      </c>
      <c r="R892" s="22">
        <v>45437</v>
      </c>
      <c r="S892" s="26">
        <f t="shared" ca="1" si="209"/>
        <v>0.37962699192586857</v>
      </c>
      <c r="T892" s="29">
        <f t="shared" ca="1" si="191"/>
        <v>136</v>
      </c>
      <c r="V892" s="22">
        <v>45437</v>
      </c>
      <c r="W892" s="26">
        <f t="shared" ca="1" si="210"/>
        <v>8.0989048766564986E-2</v>
      </c>
      <c r="X892" s="29">
        <f t="shared" ca="1" si="192"/>
        <v>205</v>
      </c>
      <c r="Z892" s="22">
        <v>45437</v>
      </c>
      <c r="AA892" s="26">
        <f t="shared" ca="1" si="211"/>
        <v>0.25194230121917205</v>
      </c>
      <c r="AB892" s="29">
        <f t="shared" ca="1" si="193"/>
        <v>258</v>
      </c>
      <c r="AC892"/>
      <c r="AD892" s="25"/>
      <c r="AF892" s="22">
        <v>45437</v>
      </c>
      <c r="AG892" s="26">
        <f t="shared" ca="1" si="212"/>
        <v>0.83231186635253451</v>
      </c>
      <c r="AH892" s="29">
        <f t="shared" ca="1" si="194"/>
        <v>412</v>
      </c>
      <c r="AJ892" s="22">
        <v>45437</v>
      </c>
      <c r="AK892" s="26">
        <f t="shared" ca="1" si="213"/>
        <v>0.65250799173554697</v>
      </c>
      <c r="AL892" s="29">
        <f t="shared" ca="1" si="195"/>
        <v>199</v>
      </c>
      <c r="AN892" s="22">
        <v>45437</v>
      </c>
      <c r="AO892" s="26">
        <f t="shared" ca="1" si="214"/>
        <v>0.12578856585006015</v>
      </c>
      <c r="AP892" s="29">
        <f t="shared" ca="1" si="196"/>
        <v>103</v>
      </c>
      <c r="AR892" s="22">
        <v>45437</v>
      </c>
      <c r="AS892" s="26">
        <f t="shared" ca="1" si="215"/>
        <v>0.861844281891324</v>
      </c>
      <c r="AT892" s="29">
        <f t="shared" ca="1" si="197"/>
        <v>280</v>
      </c>
      <c r="AV892" s="22">
        <v>45437</v>
      </c>
      <c r="AW892" s="26">
        <f t="shared" ca="1" si="216"/>
        <v>0.42823998319379397</v>
      </c>
      <c r="AX892" s="29">
        <f t="shared" ca="1" si="198"/>
        <v>183</v>
      </c>
      <c r="AZ892" s="22">
        <v>45437</v>
      </c>
      <c r="BA892" s="26">
        <f t="shared" ca="1" si="217"/>
        <v>0.24227088511592854</v>
      </c>
      <c r="BB892" s="29">
        <f t="shared" ca="1" si="199"/>
        <v>147</v>
      </c>
      <c r="BC892"/>
      <c r="BD892" s="25"/>
      <c r="BF892" s="22">
        <v>45437</v>
      </c>
      <c r="BG892" s="26">
        <f t="shared" ca="1" si="218"/>
        <v>0.39921896113655542</v>
      </c>
      <c r="BH892" s="29">
        <f t="shared" ca="1" si="200"/>
        <v>149</v>
      </c>
      <c r="BJ892" s="22">
        <v>45437</v>
      </c>
      <c r="BK892" s="26">
        <f t="shared" ca="1" si="219"/>
        <v>0.12446038021126427</v>
      </c>
      <c r="BL892" s="29">
        <f t="shared" ca="1" si="201"/>
        <v>114</v>
      </c>
      <c r="BN892" s="22">
        <v>45437</v>
      </c>
      <c r="BO892" s="26">
        <f t="shared" ca="1" si="220"/>
        <v>0.34791593494453432</v>
      </c>
      <c r="BP892" s="29">
        <f t="shared" ca="1" si="202"/>
        <v>118</v>
      </c>
      <c r="BR892" s="22">
        <v>45437</v>
      </c>
      <c r="BS892" s="26">
        <f t="shared" ca="1" si="221"/>
        <v>0.63321088439009843</v>
      </c>
      <c r="BT892" s="29">
        <f t="shared" ca="1" si="203"/>
        <v>190</v>
      </c>
      <c r="BV892" s="22">
        <v>45437</v>
      </c>
      <c r="BW892" s="26">
        <f t="shared" ca="1" si="222"/>
        <v>0.79062876402517068</v>
      </c>
      <c r="BX892" s="29">
        <f t="shared" ca="1" si="204"/>
        <v>224</v>
      </c>
    </row>
    <row r="893" spans="2:76" ht="12.75" x14ac:dyDescent="0.2">
      <c r="B893" s="22">
        <v>45438</v>
      </c>
      <c r="C893" s="26">
        <f t="shared" ca="1" si="205"/>
        <v>0.51997340744063125</v>
      </c>
      <c r="D893" s="29">
        <f t="shared" ca="1" si="187"/>
        <v>77</v>
      </c>
      <c r="F893" s="22"/>
      <c r="G893" s="26">
        <f t="shared" ca="1" si="206"/>
        <v>0.15753158145054169</v>
      </c>
      <c r="H893" s="29">
        <f t="shared" ca="1" si="188"/>
        <v>201</v>
      </c>
      <c r="J893" s="22">
        <v>45438</v>
      </c>
      <c r="K893" s="26">
        <f t="shared" ca="1" si="207"/>
        <v>0.11166622696500395</v>
      </c>
      <c r="L893" s="29">
        <f t="shared" ca="1" si="189"/>
        <v>138</v>
      </c>
      <c r="N893" s="22">
        <v>45438</v>
      </c>
      <c r="O893" s="26">
        <f t="shared" ca="1" si="208"/>
        <v>0.99306503586541894</v>
      </c>
      <c r="P893" s="29">
        <f t="shared" ca="1" si="190"/>
        <v>267</v>
      </c>
      <c r="R893" s="22">
        <v>45438</v>
      </c>
      <c r="S893" s="26">
        <f t="shared" ca="1" si="209"/>
        <v>0.50875433757430877</v>
      </c>
      <c r="T893" s="29">
        <f t="shared" ca="1" si="191"/>
        <v>139</v>
      </c>
      <c r="V893" s="22">
        <v>45438</v>
      </c>
      <c r="W893" s="26">
        <f t="shared" ca="1" si="210"/>
        <v>0.58028451144841098</v>
      </c>
      <c r="X893" s="29">
        <f t="shared" ca="1" si="192"/>
        <v>229</v>
      </c>
      <c r="Z893" s="22">
        <v>45438</v>
      </c>
      <c r="AA893" s="26">
        <f t="shared" ca="1" si="211"/>
        <v>0.7714330894644833</v>
      </c>
      <c r="AB893" s="29">
        <f t="shared" ca="1" si="193"/>
        <v>284</v>
      </c>
      <c r="AC893"/>
      <c r="AD893" s="25"/>
      <c r="AF893" s="22">
        <v>45438</v>
      </c>
      <c r="AG893" s="26">
        <f t="shared" ca="1" si="212"/>
        <v>0.42828245719111135</v>
      </c>
      <c r="AH893" s="29">
        <f t="shared" ca="1" si="194"/>
        <v>312</v>
      </c>
      <c r="AJ893" s="22">
        <v>45438</v>
      </c>
      <c r="AK893" s="26">
        <f t="shared" ca="1" si="213"/>
        <v>0.36792258344476969</v>
      </c>
      <c r="AL893" s="29">
        <f t="shared" ca="1" si="195"/>
        <v>164</v>
      </c>
      <c r="AN893" s="22">
        <v>45438</v>
      </c>
      <c r="AO893" s="26">
        <f t="shared" ca="1" si="214"/>
        <v>0.86910454242879931</v>
      </c>
      <c r="AP893" s="29">
        <f t="shared" ca="1" si="196"/>
        <v>192</v>
      </c>
      <c r="AR893" s="22">
        <v>45438</v>
      </c>
      <c r="AS893" s="26">
        <f t="shared" ca="1" si="215"/>
        <v>6.5565739730513828E-2</v>
      </c>
      <c r="AT893" s="29">
        <f t="shared" ca="1" si="197"/>
        <v>130</v>
      </c>
      <c r="AV893" s="22">
        <v>45438</v>
      </c>
      <c r="AW893" s="26">
        <f t="shared" ca="1" si="216"/>
        <v>0.81378201645376469</v>
      </c>
      <c r="AX893" s="29">
        <f t="shared" ca="1" si="198"/>
        <v>238</v>
      </c>
      <c r="AZ893" s="22">
        <v>45438</v>
      </c>
      <c r="BA893" s="26">
        <f t="shared" ca="1" si="217"/>
        <v>0.79566254395197966</v>
      </c>
      <c r="BB893" s="29">
        <f t="shared" ca="1" si="199"/>
        <v>220</v>
      </c>
      <c r="BC893"/>
      <c r="BD893" s="25"/>
      <c r="BF893" s="22">
        <v>45438</v>
      </c>
      <c r="BG893" s="26">
        <f t="shared" ca="1" si="218"/>
        <v>9.2947969660881813E-2</v>
      </c>
      <c r="BH893" s="29">
        <f t="shared" ca="1" si="200"/>
        <v>104</v>
      </c>
      <c r="BJ893" s="22">
        <v>45438</v>
      </c>
      <c r="BK893" s="26">
        <f t="shared" ca="1" si="219"/>
        <v>0.97008018072700253</v>
      </c>
      <c r="BL893" s="29">
        <f t="shared" ca="1" si="201"/>
        <v>248</v>
      </c>
      <c r="BN893" s="22">
        <v>45438</v>
      </c>
      <c r="BO893" s="26">
        <f t="shared" ca="1" si="220"/>
        <v>0.37385352814600714</v>
      </c>
      <c r="BP893" s="29">
        <f t="shared" ca="1" si="202"/>
        <v>120</v>
      </c>
      <c r="BR893" s="22">
        <v>45438</v>
      </c>
      <c r="BS893" s="26">
        <f t="shared" ca="1" si="221"/>
        <v>0.39807365611019452</v>
      </c>
      <c r="BT893" s="29">
        <f t="shared" ca="1" si="203"/>
        <v>162</v>
      </c>
      <c r="BV893" s="22">
        <v>45438</v>
      </c>
      <c r="BW893" s="26">
        <f t="shared" ca="1" si="222"/>
        <v>0.36524351227907781</v>
      </c>
      <c r="BX893" s="29">
        <f t="shared" ca="1" si="204"/>
        <v>167</v>
      </c>
    </row>
    <row r="894" spans="2:76" ht="12.75" x14ac:dyDescent="0.2">
      <c r="B894" s="22">
        <v>45439</v>
      </c>
      <c r="C894" s="26">
        <f t="shared" ca="1" si="205"/>
        <v>0.252860152840652</v>
      </c>
      <c r="D894" s="29">
        <f t="shared" ca="1" si="187"/>
        <v>62</v>
      </c>
      <c r="F894" s="22"/>
      <c r="G894" s="26">
        <f t="shared" ca="1" si="206"/>
        <v>0.56126278573009492</v>
      </c>
      <c r="H894" s="29">
        <f t="shared" ca="1" si="188"/>
        <v>218</v>
      </c>
      <c r="J894" s="22">
        <v>45439</v>
      </c>
      <c r="K894" s="26">
        <f t="shared" ca="1" si="207"/>
        <v>0.75509576250283095</v>
      </c>
      <c r="L894" s="29">
        <f t="shared" ca="1" si="189"/>
        <v>157</v>
      </c>
      <c r="N894" s="22">
        <v>45439</v>
      </c>
      <c r="O894" s="26">
        <f t="shared" ca="1" si="208"/>
        <v>0.41574252716880566</v>
      </c>
      <c r="P894" s="29">
        <f t="shared" ca="1" si="190"/>
        <v>227</v>
      </c>
      <c r="R894" s="22">
        <v>45439</v>
      </c>
      <c r="S894" s="26">
        <f t="shared" ca="1" si="209"/>
        <v>0.61723164511470652</v>
      </c>
      <c r="T894" s="29">
        <f t="shared" ca="1" si="191"/>
        <v>142</v>
      </c>
      <c r="V894" s="22">
        <v>45439</v>
      </c>
      <c r="W894" s="26">
        <f t="shared" ca="1" si="210"/>
        <v>0.66084380288857958</v>
      </c>
      <c r="X894" s="29">
        <f t="shared" ca="1" si="192"/>
        <v>232</v>
      </c>
      <c r="Z894" s="22">
        <v>45439</v>
      </c>
      <c r="AA894" s="26">
        <f t="shared" ca="1" si="211"/>
        <v>0.4485576294860425</v>
      </c>
      <c r="AB894" s="29">
        <f t="shared" ca="1" si="193"/>
        <v>268</v>
      </c>
      <c r="AC894"/>
      <c r="AD894" s="25"/>
      <c r="AF894" s="22">
        <v>45439</v>
      </c>
      <c r="AG894" s="26">
        <f t="shared" ca="1" si="212"/>
        <v>0.99738019078361995</v>
      </c>
      <c r="AH894" s="29">
        <f t="shared" ca="1" si="194"/>
        <v>571</v>
      </c>
      <c r="AJ894" s="22">
        <v>45439</v>
      </c>
      <c r="AK894" s="26">
        <f t="shared" ca="1" si="213"/>
        <v>0.46050201420916737</v>
      </c>
      <c r="AL894" s="29">
        <f t="shared" ca="1" si="195"/>
        <v>176</v>
      </c>
      <c r="AN894" s="22">
        <v>45439</v>
      </c>
      <c r="AO894" s="26">
        <f t="shared" ca="1" si="214"/>
        <v>0.16856142334784219</v>
      </c>
      <c r="AP894" s="29">
        <f t="shared" ca="1" si="196"/>
        <v>110</v>
      </c>
      <c r="AR894" s="22">
        <v>45439</v>
      </c>
      <c r="AS894" s="26">
        <f t="shared" ca="1" si="215"/>
        <v>0.96159162241520801</v>
      </c>
      <c r="AT894" s="29">
        <f t="shared" ca="1" si="197"/>
        <v>320</v>
      </c>
      <c r="AV894" s="22">
        <v>45439</v>
      </c>
      <c r="AW894" s="26">
        <f t="shared" ca="1" si="216"/>
        <v>0.27979098894061727</v>
      </c>
      <c r="AX894" s="29">
        <f t="shared" ca="1" si="198"/>
        <v>162</v>
      </c>
      <c r="AZ894" s="22">
        <v>45439</v>
      </c>
      <c r="BA894" s="26">
        <f t="shared" ca="1" si="217"/>
        <v>0.17146434266078481</v>
      </c>
      <c r="BB894" s="29">
        <f t="shared" ca="1" si="199"/>
        <v>135</v>
      </c>
      <c r="BC894"/>
      <c r="BD894" s="25"/>
      <c r="BF894" s="22">
        <v>45439</v>
      </c>
      <c r="BG894" s="26">
        <f t="shared" ca="1" si="218"/>
        <v>0.16997845758582597</v>
      </c>
      <c r="BH894" s="29">
        <f t="shared" ca="1" si="200"/>
        <v>119</v>
      </c>
      <c r="BJ894" s="22">
        <v>45439</v>
      </c>
      <c r="BK894" s="26">
        <f t="shared" ca="1" si="219"/>
        <v>0.65554929534671069</v>
      </c>
      <c r="BL894" s="29">
        <f t="shared" ca="1" si="201"/>
        <v>183</v>
      </c>
      <c r="BN894" s="22">
        <v>45439</v>
      </c>
      <c r="BO894" s="26">
        <f t="shared" ca="1" si="220"/>
        <v>0.11272914375427567</v>
      </c>
      <c r="BP894" s="29">
        <f t="shared" ca="1" si="202"/>
        <v>89</v>
      </c>
      <c r="BR894" s="22">
        <v>45439</v>
      </c>
      <c r="BS894" s="26">
        <f t="shared" ca="1" si="221"/>
        <v>0.90654931255609439</v>
      </c>
      <c r="BT894" s="29">
        <f t="shared" ca="1" si="203"/>
        <v>235</v>
      </c>
      <c r="BV894" s="22">
        <v>45439</v>
      </c>
      <c r="BW894" s="26">
        <f t="shared" ca="1" si="222"/>
        <v>0.21449672132709141</v>
      </c>
      <c r="BX894" s="29">
        <f t="shared" ca="1" si="204"/>
        <v>145</v>
      </c>
    </row>
    <row r="895" spans="2:76" ht="12.75" x14ac:dyDescent="0.2">
      <c r="B895" s="22">
        <v>45440</v>
      </c>
      <c r="C895" s="26">
        <f t="shared" ca="1" si="205"/>
        <v>7.1418089449479583E-2</v>
      </c>
      <c r="D895" s="29">
        <f t="shared" ca="1" si="187"/>
        <v>46</v>
      </c>
      <c r="F895" s="22"/>
      <c r="G895" s="26">
        <f t="shared" ca="1" si="206"/>
        <v>0.23896612232709191</v>
      </c>
      <c r="H895" s="29">
        <f t="shared" ca="1" si="188"/>
        <v>206</v>
      </c>
      <c r="J895" s="22">
        <v>45440</v>
      </c>
      <c r="K895" s="26">
        <f t="shared" ca="1" si="207"/>
        <v>0.21923539980227402</v>
      </c>
      <c r="L895" s="29">
        <f t="shared" ca="1" si="189"/>
        <v>143</v>
      </c>
      <c r="N895" s="22">
        <v>45440</v>
      </c>
      <c r="O895" s="26">
        <f t="shared" ca="1" si="208"/>
        <v>0.8314540735921131</v>
      </c>
      <c r="P895" s="29">
        <f t="shared" ca="1" si="190"/>
        <v>245</v>
      </c>
      <c r="R895" s="22">
        <v>45440</v>
      </c>
      <c r="S895" s="26">
        <f t="shared" ca="1" si="209"/>
        <v>3.7927508567693002E-2</v>
      </c>
      <c r="T895" s="29">
        <f t="shared" ca="1" si="191"/>
        <v>123</v>
      </c>
      <c r="V895" s="22">
        <v>45440</v>
      </c>
      <c r="W895" s="26">
        <f t="shared" ca="1" si="210"/>
        <v>0.77299746640366551</v>
      </c>
      <c r="X895" s="29">
        <f t="shared" ca="1" si="192"/>
        <v>237</v>
      </c>
      <c r="Z895" s="22">
        <v>45440</v>
      </c>
      <c r="AA895" s="26">
        <f t="shared" ca="1" si="211"/>
        <v>0.98881954661041505</v>
      </c>
      <c r="AB895" s="29">
        <f t="shared" ca="1" si="193"/>
        <v>312</v>
      </c>
      <c r="AC895"/>
      <c r="AD895" s="25"/>
      <c r="AF895" s="22">
        <v>45440</v>
      </c>
      <c r="AG895" s="26">
        <f t="shared" ca="1" si="212"/>
        <v>0.26944309755262985</v>
      </c>
      <c r="AH895" s="29">
        <f t="shared" ca="1" si="194"/>
        <v>274</v>
      </c>
      <c r="AJ895" s="22">
        <v>45440</v>
      </c>
      <c r="AK895" s="26">
        <f t="shared" ca="1" si="213"/>
        <v>0.7154748269008786</v>
      </c>
      <c r="AL895" s="29">
        <f t="shared" ca="1" si="195"/>
        <v>208</v>
      </c>
      <c r="AN895" s="22">
        <v>45440</v>
      </c>
      <c r="AO895" s="26">
        <f t="shared" ca="1" si="214"/>
        <v>0.12962245285623841</v>
      </c>
      <c r="AP895" s="29">
        <f t="shared" ca="1" si="196"/>
        <v>103</v>
      </c>
      <c r="AR895" s="22">
        <v>45440</v>
      </c>
      <c r="AS895" s="26">
        <f t="shared" ca="1" si="215"/>
        <v>0.75522907902022618</v>
      </c>
      <c r="AT895" s="29">
        <f t="shared" ca="1" si="197"/>
        <v>257</v>
      </c>
      <c r="AV895" s="22">
        <v>45440</v>
      </c>
      <c r="AW895" s="26">
        <f t="shared" ca="1" si="216"/>
        <v>0.99495423444576081</v>
      </c>
      <c r="AX895" s="29">
        <f t="shared" ca="1" si="198"/>
        <v>324</v>
      </c>
      <c r="AZ895" s="22">
        <v>45440</v>
      </c>
      <c r="BA895" s="26">
        <f t="shared" ca="1" si="217"/>
        <v>0.88413761372714483</v>
      </c>
      <c r="BB895" s="29">
        <f t="shared" ca="1" si="199"/>
        <v>238</v>
      </c>
      <c r="BC895"/>
      <c r="BD895" s="25"/>
      <c r="BF895" s="22">
        <v>45440</v>
      </c>
      <c r="BG895" s="26">
        <f t="shared" ca="1" si="218"/>
        <v>0.87114508102536203</v>
      </c>
      <c r="BH895" s="29">
        <f t="shared" ca="1" si="200"/>
        <v>208</v>
      </c>
      <c r="BJ895" s="22">
        <v>45440</v>
      </c>
      <c r="BK895" s="26">
        <f t="shared" ca="1" si="219"/>
        <v>0.95721519630606822</v>
      </c>
      <c r="BL895" s="29">
        <f t="shared" ca="1" si="201"/>
        <v>240</v>
      </c>
      <c r="BN895" s="22">
        <v>45440</v>
      </c>
      <c r="BO895" s="26">
        <f t="shared" ca="1" si="220"/>
        <v>0.40343419973839068</v>
      </c>
      <c r="BP895" s="29">
        <f t="shared" ca="1" si="202"/>
        <v>123</v>
      </c>
      <c r="BR895" s="22">
        <v>45440</v>
      </c>
      <c r="BS895" s="26">
        <f t="shared" ca="1" si="221"/>
        <v>0.64166814071269818</v>
      </c>
      <c r="BT895" s="29">
        <f t="shared" ca="1" si="203"/>
        <v>191</v>
      </c>
      <c r="BV895" s="22">
        <v>45440</v>
      </c>
      <c r="BW895" s="26">
        <f t="shared" ca="1" si="222"/>
        <v>0.32784793519589395</v>
      </c>
      <c r="BX895" s="29">
        <f t="shared" ca="1" si="204"/>
        <v>162</v>
      </c>
    </row>
    <row r="896" spans="2:76" ht="12.75" x14ac:dyDescent="0.2">
      <c r="B896" s="22">
        <v>45441</v>
      </c>
      <c r="C896" s="26">
        <f t="shared" ca="1" si="205"/>
        <v>0.52598962086674672</v>
      </c>
      <c r="D896" s="29">
        <f t="shared" ca="1" si="187"/>
        <v>77</v>
      </c>
      <c r="F896" s="22"/>
      <c r="G896" s="26">
        <f t="shared" ca="1" si="206"/>
        <v>0.28075643851383081</v>
      </c>
      <c r="H896" s="29">
        <f t="shared" ca="1" si="188"/>
        <v>208</v>
      </c>
      <c r="J896" s="22">
        <v>45441</v>
      </c>
      <c r="K896" s="26">
        <f t="shared" ca="1" si="207"/>
        <v>0.47902568041254701</v>
      </c>
      <c r="L896" s="29">
        <f t="shared" ca="1" si="189"/>
        <v>150</v>
      </c>
      <c r="N896" s="22">
        <v>45441</v>
      </c>
      <c r="O896" s="26">
        <f t="shared" ca="1" si="208"/>
        <v>0.16748159675041652</v>
      </c>
      <c r="P896" s="29">
        <f t="shared" ca="1" si="190"/>
        <v>215</v>
      </c>
      <c r="R896" s="22">
        <v>45441</v>
      </c>
      <c r="S896" s="26">
        <f t="shared" ca="1" si="209"/>
        <v>0.29047784609815053</v>
      </c>
      <c r="T896" s="29">
        <f t="shared" ca="1" si="191"/>
        <v>134</v>
      </c>
      <c r="V896" s="22">
        <v>45441</v>
      </c>
      <c r="W896" s="26">
        <f t="shared" ca="1" si="210"/>
        <v>0.24606002732557153</v>
      </c>
      <c r="X896" s="29">
        <f t="shared" ca="1" si="192"/>
        <v>215</v>
      </c>
      <c r="Z896" s="22">
        <v>45441</v>
      </c>
      <c r="AA896" s="26">
        <f t="shared" ca="1" si="211"/>
        <v>0.9981624201117647</v>
      </c>
      <c r="AB896" s="29">
        <f t="shared" ca="1" si="193"/>
        <v>323</v>
      </c>
      <c r="AC896"/>
      <c r="AD896" s="25"/>
      <c r="AF896" s="22">
        <v>45441</v>
      </c>
      <c r="AG896" s="26">
        <f t="shared" ca="1" si="212"/>
        <v>0.25250525452302197</v>
      </c>
      <c r="AH896" s="29">
        <f t="shared" ca="1" si="194"/>
        <v>269</v>
      </c>
      <c r="AJ896" s="22">
        <v>45441</v>
      </c>
      <c r="AK896" s="26">
        <f t="shared" ca="1" si="213"/>
        <v>0.16550165339031342</v>
      </c>
      <c r="AL896" s="29">
        <f t="shared" ca="1" si="195"/>
        <v>134</v>
      </c>
      <c r="AN896" s="22">
        <v>45441</v>
      </c>
      <c r="AO896" s="26">
        <f t="shared" ca="1" si="214"/>
        <v>0.88147588568000712</v>
      </c>
      <c r="AP896" s="29">
        <f t="shared" ca="1" si="196"/>
        <v>194</v>
      </c>
      <c r="AR896" s="22">
        <v>45441</v>
      </c>
      <c r="AS896" s="26">
        <f t="shared" ca="1" si="215"/>
        <v>0.15185699288355325</v>
      </c>
      <c r="AT896" s="29">
        <f t="shared" ca="1" si="197"/>
        <v>158</v>
      </c>
      <c r="AV896" s="22">
        <v>45441</v>
      </c>
      <c r="AW896" s="26">
        <f t="shared" ca="1" si="216"/>
        <v>0.73435540265266752</v>
      </c>
      <c r="AX896" s="29">
        <f t="shared" ca="1" si="198"/>
        <v>224</v>
      </c>
      <c r="AZ896" s="22">
        <v>45441</v>
      </c>
      <c r="BA896" s="26">
        <f t="shared" ca="1" si="217"/>
        <v>5.7866838291628087E-2</v>
      </c>
      <c r="BB896" s="29">
        <f t="shared" ca="1" si="199"/>
        <v>105</v>
      </c>
      <c r="BC896"/>
      <c r="BD896" s="25"/>
      <c r="BF896" s="22">
        <v>45441</v>
      </c>
      <c r="BG896" s="26">
        <f t="shared" ca="1" si="218"/>
        <v>2.877605397007077E-2</v>
      </c>
      <c r="BH896" s="29">
        <f t="shared" ca="1" si="200"/>
        <v>79</v>
      </c>
      <c r="BJ896" s="22">
        <v>45441</v>
      </c>
      <c r="BK896" s="26">
        <f t="shared" ca="1" si="219"/>
        <v>0.90113828288632203</v>
      </c>
      <c r="BL896" s="29">
        <f t="shared" ca="1" si="201"/>
        <v>222</v>
      </c>
      <c r="BN896" s="22">
        <v>45441</v>
      </c>
      <c r="BO896" s="26">
        <f t="shared" ca="1" si="220"/>
        <v>0.863799372025428</v>
      </c>
      <c r="BP896" s="29">
        <f t="shared" ca="1" si="202"/>
        <v>170</v>
      </c>
      <c r="BR896" s="22">
        <v>45441</v>
      </c>
      <c r="BS896" s="26">
        <f t="shared" ca="1" si="221"/>
        <v>0.11363870320297009</v>
      </c>
      <c r="BT896" s="29">
        <f t="shared" ca="1" si="203"/>
        <v>118</v>
      </c>
      <c r="BV896" s="22">
        <v>45441</v>
      </c>
      <c r="BW896" s="26">
        <f t="shared" ca="1" si="222"/>
        <v>0.63008592761457749</v>
      </c>
      <c r="BX896" s="29">
        <f t="shared" ca="1" si="204"/>
        <v>200</v>
      </c>
    </row>
    <row r="897" spans="2:77" ht="12.75" x14ac:dyDescent="0.2">
      <c r="B897" s="22">
        <v>45442</v>
      </c>
      <c r="C897" s="26">
        <f t="shared" ca="1" si="205"/>
        <v>0.49991326705115879</v>
      </c>
      <c r="D897" s="29">
        <f t="shared" ca="1" si="187"/>
        <v>75</v>
      </c>
      <c r="F897" s="22"/>
      <c r="G897" s="26">
        <f t="shared" ca="1" si="206"/>
        <v>0.33165152236821049</v>
      </c>
      <c r="H897" s="29">
        <f t="shared" ca="1" si="188"/>
        <v>210</v>
      </c>
      <c r="J897" s="22">
        <v>45442</v>
      </c>
      <c r="K897" s="26">
        <f t="shared" ca="1" si="207"/>
        <v>0.25625524843369163</v>
      </c>
      <c r="L897" s="29">
        <f t="shared" ca="1" si="189"/>
        <v>144</v>
      </c>
      <c r="N897" s="22">
        <v>45442</v>
      </c>
      <c r="O897" s="26">
        <f t="shared" ca="1" si="208"/>
        <v>3.923015635101712E-2</v>
      </c>
      <c r="P897" s="29">
        <f t="shared" ca="1" si="190"/>
        <v>203</v>
      </c>
      <c r="R897" s="22">
        <v>45442</v>
      </c>
      <c r="S897" s="26">
        <f t="shared" ca="1" si="209"/>
        <v>0.31913772758893977</v>
      </c>
      <c r="T897" s="29">
        <f t="shared" ca="1" si="191"/>
        <v>135</v>
      </c>
      <c r="V897" s="22">
        <v>45442</v>
      </c>
      <c r="W897" s="26">
        <f t="shared" ca="1" si="210"/>
        <v>0.46290492197789246</v>
      </c>
      <c r="X897" s="29">
        <f t="shared" ca="1" si="192"/>
        <v>224</v>
      </c>
      <c r="Z897" s="22">
        <v>45442</v>
      </c>
      <c r="AA897" s="26">
        <f t="shared" ca="1" si="211"/>
        <v>0.88666222709962905</v>
      </c>
      <c r="AB897" s="29">
        <f t="shared" ca="1" si="193"/>
        <v>292</v>
      </c>
      <c r="AC897"/>
      <c r="AD897" s="25"/>
      <c r="AF897" s="22">
        <v>45442</v>
      </c>
      <c r="AG897" s="26">
        <f t="shared" ca="1" si="212"/>
        <v>0.19762810578342982</v>
      </c>
      <c r="AH897" s="29">
        <f t="shared" ca="1" si="194"/>
        <v>253</v>
      </c>
      <c r="AJ897" s="22">
        <v>45442</v>
      </c>
      <c r="AK897" s="26">
        <f t="shared" ca="1" si="213"/>
        <v>0.30843741474312536</v>
      </c>
      <c r="AL897" s="29">
        <f t="shared" ca="1" si="195"/>
        <v>156</v>
      </c>
      <c r="AN897" s="22">
        <v>45442</v>
      </c>
      <c r="AO897" s="26">
        <f t="shared" ca="1" si="214"/>
        <v>0.52440012907603095</v>
      </c>
      <c r="AP897" s="29">
        <f t="shared" ca="1" si="196"/>
        <v>150</v>
      </c>
      <c r="AR897" s="22">
        <v>45442</v>
      </c>
      <c r="AS897" s="26">
        <f t="shared" ca="1" si="215"/>
        <v>0.13147785718018556</v>
      </c>
      <c r="AT897" s="29">
        <f t="shared" ca="1" si="197"/>
        <v>153</v>
      </c>
      <c r="AV897" s="22">
        <v>45442</v>
      </c>
      <c r="AW897" s="26">
        <f t="shared" ca="1" si="216"/>
        <v>0.46363814106716894</v>
      </c>
      <c r="AX897" s="29">
        <f t="shared" ca="1" si="198"/>
        <v>188</v>
      </c>
      <c r="AZ897" s="22">
        <v>45442</v>
      </c>
      <c r="BA897" s="26">
        <f t="shared" ca="1" si="217"/>
        <v>3.0002532511625324E-2</v>
      </c>
      <c r="BB897" s="29">
        <f t="shared" ca="1" si="199"/>
        <v>90</v>
      </c>
      <c r="BC897"/>
      <c r="BD897" s="25"/>
      <c r="BF897" s="22">
        <v>45442</v>
      </c>
      <c r="BG897" s="26">
        <f t="shared" ca="1" si="218"/>
        <v>9.061612934133545E-3</v>
      </c>
      <c r="BH897" s="29">
        <f t="shared" ca="1" si="200"/>
        <v>60</v>
      </c>
      <c r="BJ897" s="22">
        <v>45442</v>
      </c>
      <c r="BK897" s="26">
        <f t="shared" ca="1" si="219"/>
        <v>0.80843852980444952</v>
      </c>
      <c r="BL897" s="29">
        <f t="shared" ca="1" si="201"/>
        <v>203</v>
      </c>
      <c r="BN897" s="22">
        <v>45442</v>
      </c>
      <c r="BO897" s="26">
        <f t="shared" ca="1" si="220"/>
        <v>0.52684057624542602</v>
      </c>
      <c r="BP897" s="29">
        <f t="shared" ca="1" si="202"/>
        <v>134</v>
      </c>
      <c r="BR897" s="22">
        <v>45442</v>
      </c>
      <c r="BS897" s="26">
        <f t="shared" ca="1" si="221"/>
        <v>0.68187720391982409</v>
      </c>
      <c r="BT897" s="29">
        <f t="shared" ca="1" si="203"/>
        <v>196</v>
      </c>
      <c r="BV897" s="22">
        <v>45442</v>
      </c>
      <c r="BW897" s="26">
        <f t="shared" ca="1" si="222"/>
        <v>0.45770956820408748</v>
      </c>
      <c r="BX897" s="29">
        <f t="shared" ca="1" si="204"/>
        <v>179</v>
      </c>
    </row>
    <row r="898" spans="2:77" ht="12.75" x14ac:dyDescent="0.2">
      <c r="B898" s="22">
        <v>45443</v>
      </c>
      <c r="C898" s="26">
        <f t="shared" ca="1" si="205"/>
        <v>0.3310111410075931</v>
      </c>
      <c r="D898" s="29">
        <f t="shared" ca="1" si="187"/>
        <v>67</v>
      </c>
      <c r="E898">
        <v>2366</v>
      </c>
      <c r="F898" s="22"/>
      <c r="G898" s="26">
        <f t="shared" ca="1" si="206"/>
        <v>0.12146190317389638</v>
      </c>
      <c r="H898" s="29">
        <f t="shared" ca="1" si="188"/>
        <v>199</v>
      </c>
      <c r="I898">
        <v>2311</v>
      </c>
      <c r="J898" s="22">
        <v>45443</v>
      </c>
      <c r="K898" s="26">
        <f t="shared" ca="1" si="207"/>
        <v>0.49593143592748645</v>
      </c>
      <c r="L898" s="29">
        <f t="shared" ca="1" si="189"/>
        <v>150</v>
      </c>
      <c r="M898">
        <v>4611</v>
      </c>
      <c r="N898" s="22">
        <v>45443</v>
      </c>
      <c r="O898" s="26">
        <f t="shared" ca="1" si="208"/>
        <v>0.39893741368230351</v>
      </c>
      <c r="P898" s="29">
        <f t="shared" ca="1" si="190"/>
        <v>226</v>
      </c>
      <c r="Q898">
        <v>7093</v>
      </c>
      <c r="R898" s="22">
        <v>45443</v>
      </c>
      <c r="S898" s="26">
        <f t="shared" ca="1" si="209"/>
        <v>0.54849834384716445</v>
      </c>
      <c r="T898" s="29">
        <f t="shared" ca="1" si="191"/>
        <v>140</v>
      </c>
      <c r="U898">
        <v>4371</v>
      </c>
      <c r="V898" s="22">
        <v>45443</v>
      </c>
      <c r="W898" s="26">
        <f t="shared" ca="1" si="210"/>
        <v>0.75093094117232728</v>
      </c>
      <c r="X898" s="29">
        <f t="shared" ca="1" si="192"/>
        <v>236</v>
      </c>
      <c r="Y898">
        <v>6959</v>
      </c>
      <c r="Z898" s="22">
        <v>45443</v>
      </c>
      <c r="AA898" s="26">
        <f t="shared" ca="1" si="211"/>
        <v>0.86721480486732616</v>
      </c>
      <c r="AB898" s="29">
        <f t="shared" ca="1" si="193"/>
        <v>291</v>
      </c>
      <c r="AC898">
        <v>8412</v>
      </c>
      <c r="AD898" s="25"/>
      <c r="AF898" s="22">
        <v>45443</v>
      </c>
      <c r="AG898" s="26">
        <f t="shared" ca="1" si="212"/>
        <v>0.62089406841774675</v>
      </c>
      <c r="AH898" s="29">
        <f t="shared" ca="1" si="194"/>
        <v>354</v>
      </c>
      <c r="AI898">
        <v>11352</v>
      </c>
      <c r="AJ898" s="22">
        <v>45443</v>
      </c>
      <c r="AK898" s="26">
        <f t="shared" ca="1" si="213"/>
        <v>0.30985286760191177</v>
      </c>
      <c r="AL898" s="29">
        <f t="shared" ca="1" si="195"/>
        <v>157</v>
      </c>
      <c r="AM898">
        <v>5911</v>
      </c>
      <c r="AN898" s="22">
        <v>45443</v>
      </c>
      <c r="AO898" s="26">
        <f t="shared" ca="1" si="214"/>
        <v>0.44558528672420505</v>
      </c>
      <c r="AP898" s="29">
        <f t="shared" ca="1" si="196"/>
        <v>142</v>
      </c>
      <c r="AQ898">
        <v>4756</v>
      </c>
      <c r="AR898" s="22">
        <v>45443</v>
      </c>
      <c r="AS898" s="26">
        <f t="shared" ca="1" si="215"/>
        <v>0.18187435903753413</v>
      </c>
      <c r="AT898" s="29">
        <f t="shared" ca="1" si="197"/>
        <v>165</v>
      </c>
      <c r="AU898">
        <v>6275</v>
      </c>
      <c r="AV898" s="22">
        <v>45443</v>
      </c>
      <c r="AW898" s="26">
        <f t="shared" ca="1" si="216"/>
        <v>0.40111284134956815</v>
      </c>
      <c r="AX898" s="29">
        <f t="shared" ca="1" si="198"/>
        <v>179</v>
      </c>
      <c r="AY898">
        <v>6063</v>
      </c>
      <c r="AZ898" s="22">
        <v>45443</v>
      </c>
      <c r="BA898" s="26">
        <f t="shared" ca="1" si="217"/>
        <v>0.73696874412459901</v>
      </c>
      <c r="BB898" s="29">
        <f t="shared" ca="1" si="199"/>
        <v>211</v>
      </c>
      <c r="BC898">
        <v>5540</v>
      </c>
      <c r="BD898" s="25"/>
      <c r="BF898" s="22">
        <v>45443</v>
      </c>
      <c r="BG898" s="26">
        <f t="shared" ca="1" si="218"/>
        <v>0.15184789885896788</v>
      </c>
      <c r="BH898" s="29">
        <f t="shared" ca="1" si="200"/>
        <v>116</v>
      </c>
      <c r="BI898">
        <v>4954</v>
      </c>
      <c r="BJ898" s="22">
        <v>45443</v>
      </c>
      <c r="BK898" s="26">
        <f t="shared" ca="1" si="219"/>
        <v>0.74179140689380196</v>
      </c>
      <c r="BL898" s="29">
        <f t="shared" ca="1" si="201"/>
        <v>194</v>
      </c>
      <c r="BM898">
        <v>5222</v>
      </c>
      <c r="BN898" s="22">
        <v>45443</v>
      </c>
      <c r="BO898" s="26">
        <f t="shared" ca="1" si="220"/>
        <v>0.8239753503250572</v>
      </c>
      <c r="BP898" s="29">
        <f t="shared" ca="1" si="202"/>
        <v>164</v>
      </c>
      <c r="BQ898">
        <v>4462</v>
      </c>
      <c r="BR898" s="22">
        <v>45443</v>
      </c>
      <c r="BS898" s="26">
        <f t="shared" ca="1" si="221"/>
        <v>0.14923833560198463</v>
      </c>
      <c r="BT898" s="29">
        <f t="shared" ca="1" si="203"/>
        <v>126</v>
      </c>
      <c r="BU898">
        <v>5049</v>
      </c>
      <c r="BV898" s="22">
        <v>45443</v>
      </c>
      <c r="BW898" s="26">
        <f t="shared" ca="1" si="222"/>
        <v>0.57948874822931296</v>
      </c>
      <c r="BX898" s="29">
        <f t="shared" ca="1" si="204"/>
        <v>194</v>
      </c>
      <c r="BY898">
        <v>4887</v>
      </c>
    </row>
    <row r="899" spans="2:77" ht="12.75" x14ac:dyDescent="0.2">
      <c r="B899" s="22">
        <v>45444</v>
      </c>
      <c r="C899" s="26">
        <f t="shared" ca="1" si="205"/>
        <v>0.34802659013186132</v>
      </c>
      <c r="D899" s="29">
        <f ca="1">ROUNDUP(_xlfn.NORM.INV(C898,C$10,C$12),0)</f>
        <v>67</v>
      </c>
      <c r="F899" s="22"/>
      <c r="G899" s="26">
        <f t="shared" ca="1" si="206"/>
        <v>0.72624271055291212</v>
      </c>
      <c r="H899" s="29">
        <f ca="1">ROUNDUP(_xlfn.NORM.INV(G898,G$10,G$12),0)</f>
        <v>199</v>
      </c>
      <c r="I899">
        <v>0</v>
      </c>
      <c r="J899" s="22">
        <v>45444</v>
      </c>
      <c r="K899" s="26">
        <f t="shared" ca="1" si="207"/>
        <v>0.88688369236681663</v>
      </c>
      <c r="L899" s="29">
        <f ca="1">ROUNDUP(_xlfn.NORM.INV(K898,K$10,K$12),0)</f>
        <v>150</v>
      </c>
      <c r="N899" s="22">
        <v>45444</v>
      </c>
      <c r="O899" s="26">
        <f t="shared" ca="1" si="208"/>
        <v>0.81960945134718655</v>
      </c>
      <c r="P899" s="29">
        <f ca="1">ROUNDUP(_xlfn.NORM.INV(O898,O$10,O$12),0)</f>
        <v>226</v>
      </c>
      <c r="R899" s="22">
        <v>45444</v>
      </c>
      <c r="S899" s="26">
        <f t="shared" ca="1" si="209"/>
        <v>0.81935956207707084</v>
      </c>
      <c r="T899" s="29">
        <f ca="1">ROUNDUP(_xlfn.NORM.INV(S898,S$10,S$12),0)</f>
        <v>140</v>
      </c>
      <c r="V899" s="22">
        <v>45444</v>
      </c>
      <c r="W899" s="26">
        <f t="shared" ca="1" si="210"/>
        <v>0.94715194105187694</v>
      </c>
      <c r="X899" s="29">
        <f ca="1">ROUNDUP(_xlfn.NORM.INV(W898,W$10,W$12),0)</f>
        <v>236</v>
      </c>
      <c r="Z899" s="22">
        <v>45444</v>
      </c>
      <c r="AA899" s="26">
        <f t="shared" ca="1" si="211"/>
        <v>0.44907274225644833</v>
      </c>
      <c r="AB899" s="29">
        <f ca="1">ROUNDUP(_xlfn.NORM.INV(AA898,AA$10,AA$12),0)</f>
        <v>291</v>
      </c>
      <c r="AC899"/>
      <c r="AD899" s="25"/>
      <c r="AF899" s="22">
        <v>45444</v>
      </c>
      <c r="AG899" s="26">
        <f t="shared" ca="1" si="212"/>
        <v>0.95799642211754998</v>
      </c>
      <c r="AH899" s="29">
        <f ca="1">ROUNDUP(_xlfn.NORM.INV(AG898,AG$10,AG$12),0)</f>
        <v>354</v>
      </c>
      <c r="AJ899" s="22">
        <v>45444</v>
      </c>
      <c r="AK899" s="26">
        <f t="shared" ca="1" si="213"/>
        <v>0.43184370374036718</v>
      </c>
      <c r="AL899" s="29">
        <f ca="1">ROUNDUP(_xlfn.NORM.INV(AK898,AK$10,AK$12),0)</f>
        <v>157</v>
      </c>
      <c r="AN899" s="22">
        <v>45444</v>
      </c>
      <c r="AO899" s="26">
        <f t="shared" ca="1" si="214"/>
        <v>0.14119392429306221</v>
      </c>
      <c r="AP899" s="29">
        <f ca="1">ROUNDUP(_xlfn.NORM.INV(AO898,AO$10,AO$12),0)</f>
        <v>142</v>
      </c>
      <c r="AR899" s="22">
        <v>45444</v>
      </c>
      <c r="AS899" s="26">
        <f t="shared" ca="1" si="215"/>
        <v>0.6177586335960662</v>
      </c>
      <c r="AT899" s="29">
        <f ca="1">ROUNDUP(_xlfn.NORM.INV(AS898,AS$10,AS$12),0)</f>
        <v>165</v>
      </c>
      <c r="AV899" s="22">
        <v>45444</v>
      </c>
      <c r="AW899" s="26">
        <f t="shared" ca="1" si="216"/>
        <v>0.6696257353981282</v>
      </c>
      <c r="AX899" s="29">
        <f ca="1">ROUNDUP(_xlfn.NORM.INV(AW898,AW$10,AW$12),0)</f>
        <v>179</v>
      </c>
      <c r="AZ899" s="22">
        <v>45444</v>
      </c>
      <c r="BA899" s="26">
        <f t="shared" ca="1" si="217"/>
        <v>0.49195742552619381</v>
      </c>
      <c r="BB899" s="29">
        <f ca="1">ROUNDUP(_xlfn.NORM.INV(BA898,BA$10,BA$12),0)</f>
        <v>211</v>
      </c>
      <c r="BC899"/>
      <c r="BD899" s="25"/>
      <c r="BF899" s="22">
        <v>45444</v>
      </c>
      <c r="BG899" s="26">
        <f t="shared" ca="1" si="218"/>
        <v>0.83162004266711731</v>
      </c>
      <c r="BH899" s="29">
        <f ca="1">ROUNDUP(_xlfn.NORM.INV(BG898,BG$10,BG$12),0)</f>
        <v>116</v>
      </c>
      <c r="BJ899" s="22">
        <v>45444</v>
      </c>
      <c r="BK899" s="26">
        <f t="shared" ca="1" si="219"/>
        <v>0.42543211950042858</v>
      </c>
      <c r="BL899" s="29">
        <f ca="1">ROUNDUP(_xlfn.NORM.INV(BK898,BK$10,BK$12),0)</f>
        <v>194</v>
      </c>
      <c r="BN899" s="22">
        <v>45444</v>
      </c>
      <c r="BO899" s="26">
        <f t="shared" ca="1" si="220"/>
        <v>0.3971171181419737</v>
      </c>
      <c r="BP899" s="29">
        <f ca="1">ROUNDUP(_xlfn.NORM.INV(BO898,BO$10,BO$12),0)</f>
        <v>164</v>
      </c>
      <c r="BR899" s="22">
        <v>45444</v>
      </c>
      <c r="BS899" s="26">
        <f t="shared" ca="1" si="221"/>
        <v>0.53415846108764975</v>
      </c>
      <c r="BT899" s="29">
        <f ca="1">ROUNDUP(_xlfn.NORM.INV(BS898,BS$10,BS$12),0)</f>
        <v>126</v>
      </c>
      <c r="BV899" s="22">
        <v>45444</v>
      </c>
      <c r="BW899" s="26">
        <f t="shared" ca="1" si="222"/>
        <v>0.3585270171637045</v>
      </c>
      <c r="BX899" s="29">
        <f ca="1">ROUNDUP(_xlfn.NORM.INV(BW898,BW$10,BW$12),0)</f>
        <v>194</v>
      </c>
    </row>
    <row r="900" spans="2:77" ht="12.75" x14ac:dyDescent="0.2">
      <c r="B900" s="22">
        <v>45445</v>
      </c>
      <c r="C900" s="26">
        <f t="shared" ca="1" si="205"/>
        <v>0.14248795281630067</v>
      </c>
      <c r="D900" s="29">
        <f t="shared" ca="1" si="187"/>
        <v>54</v>
      </c>
      <c r="F900" s="22"/>
      <c r="G900" s="26">
        <f t="shared" ca="1" si="206"/>
        <v>0.21204824628763919</v>
      </c>
      <c r="H900" s="29">
        <f t="shared" ca="1" si="188"/>
        <v>204</v>
      </c>
      <c r="J900" s="22">
        <v>45445</v>
      </c>
      <c r="K900" s="26">
        <f t="shared" ca="1" si="207"/>
        <v>0.8221361430068147</v>
      </c>
      <c r="L900" s="29">
        <f t="shared" ca="1" si="189"/>
        <v>160</v>
      </c>
      <c r="N900" s="22">
        <v>45445</v>
      </c>
      <c r="O900" s="26">
        <f t="shared" ca="1" si="208"/>
        <v>0.59898524604460168</v>
      </c>
      <c r="P900" s="29">
        <f t="shared" ca="1" si="190"/>
        <v>234</v>
      </c>
      <c r="R900" s="22">
        <v>45445</v>
      </c>
      <c r="S900" s="26">
        <f t="shared" ca="1" si="209"/>
        <v>0.57825240947335854</v>
      </c>
      <c r="T900" s="29">
        <f t="shared" ca="1" si="191"/>
        <v>141</v>
      </c>
      <c r="V900" s="22">
        <v>45445</v>
      </c>
      <c r="W900" s="26">
        <f t="shared" ca="1" si="210"/>
        <v>0.14251352981377241</v>
      </c>
      <c r="X900" s="29">
        <f t="shared" ca="1" si="192"/>
        <v>209</v>
      </c>
      <c r="Z900" s="22">
        <v>45445</v>
      </c>
      <c r="AA900" s="26">
        <f t="shared" ca="1" si="211"/>
        <v>2.723743778754073E-2</v>
      </c>
      <c r="AB900" s="29">
        <f t="shared" ca="1" si="193"/>
        <v>236</v>
      </c>
      <c r="AC900"/>
      <c r="AD900" s="25"/>
      <c r="AF900" s="22">
        <v>45445</v>
      </c>
      <c r="AG900" s="26">
        <f t="shared" ca="1" si="212"/>
        <v>0.33576933197489633</v>
      </c>
      <c r="AH900" s="29">
        <f t="shared" ca="1" si="194"/>
        <v>291</v>
      </c>
      <c r="AJ900" s="22">
        <v>45445</v>
      </c>
      <c r="AK900" s="26">
        <f t="shared" ca="1" si="213"/>
        <v>0.28395175357386893</v>
      </c>
      <c r="AL900" s="29">
        <f t="shared" ca="1" si="195"/>
        <v>153</v>
      </c>
      <c r="AN900" s="22">
        <v>45445</v>
      </c>
      <c r="AO900" s="26">
        <f t="shared" ca="1" si="214"/>
        <v>0.9153272926334679</v>
      </c>
      <c r="AP900" s="29">
        <f t="shared" ca="1" si="196"/>
        <v>202</v>
      </c>
      <c r="AR900" s="22">
        <v>45445</v>
      </c>
      <c r="AS900" s="26">
        <f t="shared" ca="1" si="215"/>
        <v>0.197721736640737</v>
      </c>
      <c r="AT900" s="29">
        <f t="shared" ca="1" si="197"/>
        <v>168</v>
      </c>
      <c r="AV900" s="22">
        <v>45445</v>
      </c>
      <c r="AW900" s="26">
        <f t="shared" ca="1" si="216"/>
        <v>0.56497618831449237</v>
      </c>
      <c r="AX900" s="29">
        <f t="shared" ca="1" si="198"/>
        <v>201</v>
      </c>
      <c r="AZ900" s="22">
        <v>45445</v>
      </c>
      <c r="BA900" s="26">
        <f t="shared" ca="1" si="217"/>
        <v>0.57771924475939851</v>
      </c>
      <c r="BB900" s="29">
        <f t="shared" ca="1" si="199"/>
        <v>190</v>
      </c>
      <c r="BC900"/>
      <c r="BD900" s="25"/>
      <c r="BF900" s="22">
        <v>45445</v>
      </c>
      <c r="BG900" s="26">
        <f t="shared" ca="1" si="218"/>
        <v>7.6799527307404358E-2</v>
      </c>
      <c r="BH900" s="29">
        <f t="shared" ca="1" si="200"/>
        <v>99</v>
      </c>
      <c r="BJ900" s="22">
        <v>45445</v>
      </c>
      <c r="BK900" s="26">
        <f t="shared" ca="1" si="219"/>
        <v>0.65682286876769147</v>
      </c>
      <c r="BL900" s="29">
        <f t="shared" ca="1" si="201"/>
        <v>183</v>
      </c>
      <c r="BN900" s="22">
        <v>45445</v>
      </c>
      <c r="BO900" s="26">
        <f t="shared" ca="1" si="220"/>
        <v>6.7660443573499207E-2</v>
      </c>
      <c r="BP900" s="29">
        <f t="shared" ca="1" si="202"/>
        <v>79</v>
      </c>
      <c r="BR900" s="22">
        <v>45445</v>
      </c>
      <c r="BS900" s="26">
        <f t="shared" ca="1" si="221"/>
        <v>0.22196695120771204</v>
      </c>
      <c r="BT900" s="29">
        <f t="shared" ca="1" si="203"/>
        <v>139</v>
      </c>
      <c r="BV900" s="22">
        <v>45445</v>
      </c>
      <c r="BW900" s="26">
        <f t="shared" ca="1" si="222"/>
        <v>0.84282523689337685</v>
      </c>
      <c r="BX900" s="29">
        <f t="shared" ca="1" si="204"/>
        <v>233</v>
      </c>
    </row>
    <row r="901" spans="2:77" ht="12.75" x14ac:dyDescent="0.2">
      <c r="B901" s="22">
        <v>45446</v>
      </c>
      <c r="C901" s="26">
        <f t="shared" ca="1" si="205"/>
        <v>0.53369944842510531</v>
      </c>
      <c r="D901" s="29">
        <f t="shared" ca="1" si="187"/>
        <v>77</v>
      </c>
      <c r="F901" s="22"/>
      <c r="G901" s="26">
        <f t="shared" ca="1" si="206"/>
        <v>0.64414541052097785</v>
      </c>
      <c r="H901" s="29">
        <f t="shared" ca="1" si="188"/>
        <v>221</v>
      </c>
      <c r="J901" s="22">
        <v>45446</v>
      </c>
      <c r="K901" s="26">
        <f t="shared" ca="1" si="207"/>
        <v>0.12983035270623788</v>
      </c>
      <c r="L901" s="29">
        <f t="shared" ca="1" si="189"/>
        <v>139</v>
      </c>
      <c r="N901" s="22">
        <v>45446</v>
      </c>
      <c r="O901" s="26">
        <f t="shared" ca="1" si="208"/>
        <v>0.47550980138838272</v>
      </c>
      <c r="P901" s="29">
        <f t="shared" ca="1" si="190"/>
        <v>229</v>
      </c>
      <c r="R901" s="22">
        <v>45446</v>
      </c>
      <c r="S901" s="26">
        <f t="shared" ca="1" si="209"/>
        <v>0.76503582707215756</v>
      </c>
      <c r="T901" s="29">
        <f t="shared" ca="1" si="191"/>
        <v>146</v>
      </c>
      <c r="V901" s="22">
        <v>45446</v>
      </c>
      <c r="W901" s="26">
        <f t="shared" ca="1" si="210"/>
        <v>0.71113822361995238</v>
      </c>
      <c r="X901" s="29">
        <f t="shared" ca="1" si="192"/>
        <v>234</v>
      </c>
      <c r="Z901" s="22">
        <v>45446</v>
      </c>
      <c r="AA901" s="26">
        <f t="shared" ca="1" si="211"/>
        <v>0.29491884450814287</v>
      </c>
      <c r="AB901" s="29">
        <f t="shared" ca="1" si="193"/>
        <v>261</v>
      </c>
      <c r="AC901"/>
      <c r="AD901" s="25"/>
      <c r="AF901" s="22">
        <v>45446</v>
      </c>
      <c r="AG901" s="26">
        <f t="shared" ca="1" si="212"/>
        <v>0.99753806552377366</v>
      </c>
      <c r="AH901" s="29">
        <f t="shared" ca="1" si="194"/>
        <v>573</v>
      </c>
      <c r="AJ901" s="22">
        <v>45446</v>
      </c>
      <c r="AK901" s="26">
        <f t="shared" ca="1" si="213"/>
        <v>0.1152650923327021</v>
      </c>
      <c r="AL901" s="29">
        <f t="shared" ca="1" si="195"/>
        <v>123</v>
      </c>
      <c r="AN901" s="22">
        <v>45446</v>
      </c>
      <c r="AO901" s="26">
        <f t="shared" ca="1" si="214"/>
        <v>0.73906917600329236</v>
      </c>
      <c r="AP901" s="29">
        <f t="shared" ca="1" si="196"/>
        <v>173</v>
      </c>
      <c r="AR901" s="22">
        <v>45446</v>
      </c>
      <c r="AS901" s="26">
        <f t="shared" ca="1" si="215"/>
        <v>0.55222614987326524</v>
      </c>
      <c r="AT901" s="29">
        <f t="shared" ca="1" si="197"/>
        <v>225</v>
      </c>
      <c r="AV901" s="22">
        <v>45446</v>
      </c>
      <c r="AW901" s="26">
        <f t="shared" ca="1" si="216"/>
        <v>0.83689613677621777</v>
      </c>
      <c r="AX901" s="29">
        <f t="shared" ca="1" si="198"/>
        <v>242</v>
      </c>
      <c r="AZ901" s="22">
        <v>45446</v>
      </c>
      <c r="BA901" s="26">
        <f t="shared" ca="1" si="217"/>
        <v>9.0184989845779939E-2</v>
      </c>
      <c r="BB901" s="29">
        <f t="shared" ca="1" si="199"/>
        <v>116</v>
      </c>
      <c r="BC901"/>
      <c r="BD901" s="25"/>
      <c r="BF901" s="22">
        <v>45446</v>
      </c>
      <c r="BG901" s="26">
        <f t="shared" ca="1" si="218"/>
        <v>0.16681341290437657</v>
      </c>
      <c r="BH901" s="29">
        <f t="shared" ca="1" si="200"/>
        <v>119</v>
      </c>
      <c r="BJ901" s="22">
        <v>45446</v>
      </c>
      <c r="BK901" s="26">
        <f t="shared" ca="1" si="219"/>
        <v>0.38607884956489658</v>
      </c>
      <c r="BL901" s="29">
        <f t="shared" ca="1" si="201"/>
        <v>152</v>
      </c>
      <c r="BN901" s="22">
        <v>45446</v>
      </c>
      <c r="BO901" s="26">
        <f t="shared" ca="1" si="220"/>
        <v>0.69701177067536768</v>
      </c>
      <c r="BP901" s="29">
        <f t="shared" ca="1" si="202"/>
        <v>149</v>
      </c>
      <c r="BR901" s="22">
        <v>45446</v>
      </c>
      <c r="BS901" s="26">
        <f t="shared" ca="1" si="221"/>
        <v>0.98033953971805998</v>
      </c>
      <c r="BT901" s="29">
        <f t="shared" ca="1" si="203"/>
        <v>269</v>
      </c>
      <c r="BV901" s="22">
        <v>45446</v>
      </c>
      <c r="BW901" s="26">
        <f t="shared" ca="1" si="222"/>
        <v>0.39981146862156403</v>
      </c>
      <c r="BX901" s="29">
        <f t="shared" ca="1" si="204"/>
        <v>172</v>
      </c>
    </row>
    <row r="902" spans="2:77" ht="12.75" x14ac:dyDescent="0.2">
      <c r="B902" s="22">
        <v>45447</v>
      </c>
      <c r="C902" s="26">
        <f t="shared" ca="1" si="205"/>
        <v>0.14390171949033193</v>
      </c>
      <c r="D902" s="29">
        <f t="shared" ca="1" si="187"/>
        <v>54</v>
      </c>
      <c r="F902" s="22"/>
      <c r="G902" s="26">
        <f t="shared" ca="1" si="206"/>
        <v>0.44470229899756142</v>
      </c>
      <c r="H902" s="29">
        <f t="shared" ca="1" si="188"/>
        <v>214</v>
      </c>
      <c r="J902" s="22">
        <v>45447</v>
      </c>
      <c r="K902" s="26">
        <f t="shared" ca="1" si="207"/>
        <v>6.7444566751536983E-2</v>
      </c>
      <c r="L902" s="29">
        <f t="shared" ca="1" si="189"/>
        <v>136</v>
      </c>
      <c r="N902" s="22">
        <v>45447</v>
      </c>
      <c r="O902" s="26">
        <f t="shared" ca="1" si="208"/>
        <v>0.99282006976526627</v>
      </c>
      <c r="P902" s="29">
        <f t="shared" ca="1" si="190"/>
        <v>267</v>
      </c>
      <c r="R902" s="22">
        <v>45447</v>
      </c>
      <c r="S902" s="26">
        <f t="shared" ca="1" si="209"/>
        <v>0.85738903468650085</v>
      </c>
      <c r="T902" s="29">
        <f t="shared" ca="1" si="191"/>
        <v>149</v>
      </c>
      <c r="V902" s="22">
        <v>45447</v>
      </c>
      <c r="W902" s="26">
        <f t="shared" ca="1" si="210"/>
        <v>0.70086255634950378</v>
      </c>
      <c r="X902" s="29">
        <f t="shared" ca="1" si="192"/>
        <v>233</v>
      </c>
      <c r="Z902" s="22">
        <v>45447</v>
      </c>
      <c r="AA902" s="26">
        <f t="shared" ca="1" si="211"/>
        <v>0.95666600546241443</v>
      </c>
      <c r="AB902" s="29">
        <f t="shared" ca="1" si="193"/>
        <v>301</v>
      </c>
      <c r="AC902"/>
      <c r="AD902" s="25"/>
      <c r="AF902" s="22">
        <v>45447</v>
      </c>
      <c r="AG902" s="26">
        <f t="shared" ca="1" si="212"/>
        <v>0.82235479200255845</v>
      </c>
      <c r="AH902" s="29">
        <f t="shared" ca="1" si="194"/>
        <v>408</v>
      </c>
      <c r="AJ902" s="22">
        <v>45447</v>
      </c>
      <c r="AK902" s="26">
        <f t="shared" ca="1" si="213"/>
        <v>3.7710721456392093E-3</v>
      </c>
      <c r="AL902" s="29">
        <f t="shared" ca="1" si="195"/>
        <v>52</v>
      </c>
      <c r="AN902" s="22">
        <v>45447</v>
      </c>
      <c r="AO902" s="26">
        <f t="shared" ca="1" si="214"/>
        <v>0.65128087774260446</v>
      </c>
      <c r="AP902" s="29">
        <f t="shared" ca="1" si="196"/>
        <v>163</v>
      </c>
      <c r="AR902" s="22">
        <v>45447</v>
      </c>
      <c r="AS902" s="26">
        <f t="shared" ca="1" si="215"/>
        <v>0.52338911835624446</v>
      </c>
      <c r="AT902" s="29">
        <f t="shared" ca="1" si="197"/>
        <v>221</v>
      </c>
      <c r="AV902" s="22">
        <v>45447</v>
      </c>
      <c r="AW902" s="26">
        <f t="shared" ca="1" si="216"/>
        <v>0.61693685794890984</v>
      </c>
      <c r="AX902" s="29">
        <f t="shared" ca="1" si="198"/>
        <v>207</v>
      </c>
      <c r="AZ902" s="22">
        <v>45447</v>
      </c>
      <c r="BA902" s="26">
        <f t="shared" ca="1" si="217"/>
        <v>0.35166199252290697</v>
      </c>
      <c r="BB902" s="29">
        <f t="shared" ca="1" si="199"/>
        <v>162</v>
      </c>
      <c r="BC902"/>
      <c r="BD902" s="25"/>
      <c r="BF902" s="22">
        <v>45447</v>
      </c>
      <c r="BG902" s="26">
        <f t="shared" ca="1" si="218"/>
        <v>0.3972996953946103</v>
      </c>
      <c r="BH902" s="29">
        <f t="shared" ca="1" si="200"/>
        <v>149</v>
      </c>
      <c r="BJ902" s="22">
        <v>45447</v>
      </c>
      <c r="BK902" s="26">
        <f t="shared" ca="1" si="219"/>
        <v>0.3492486707925565</v>
      </c>
      <c r="BL902" s="29">
        <f t="shared" ca="1" si="201"/>
        <v>148</v>
      </c>
      <c r="BN902" s="22">
        <v>45447</v>
      </c>
      <c r="BO902" s="26">
        <f t="shared" ca="1" si="220"/>
        <v>0.3647816600056828</v>
      </c>
      <c r="BP902" s="29">
        <f t="shared" ca="1" si="202"/>
        <v>119</v>
      </c>
      <c r="BR902" s="22">
        <v>45447</v>
      </c>
      <c r="BS902" s="26">
        <f t="shared" ca="1" si="221"/>
        <v>0.34791125054508232</v>
      </c>
      <c r="BT902" s="29">
        <f t="shared" ca="1" si="203"/>
        <v>156</v>
      </c>
      <c r="BV902" s="22">
        <v>45447</v>
      </c>
      <c r="BW902" s="26">
        <f t="shared" ca="1" si="222"/>
        <v>6.0565998893245654E-2</v>
      </c>
      <c r="BX902" s="29">
        <f t="shared" ca="1" si="204"/>
        <v>108</v>
      </c>
    </row>
    <row r="903" spans="2:77" ht="12.75" x14ac:dyDescent="0.2">
      <c r="B903" s="22">
        <v>45448</v>
      </c>
      <c r="C903" s="26">
        <f t="shared" ca="1" si="205"/>
        <v>0.836992803350461</v>
      </c>
      <c r="D903" s="29">
        <f t="shared" ca="1" si="187"/>
        <v>95</v>
      </c>
      <c r="F903" s="22"/>
      <c r="G903" s="26">
        <f t="shared" ca="1" si="206"/>
        <v>0.92903773486682262</v>
      </c>
      <c r="H903" s="29">
        <f t="shared" ca="1" si="188"/>
        <v>237</v>
      </c>
      <c r="J903" s="22">
        <v>45448</v>
      </c>
      <c r="K903" s="26">
        <f t="shared" ca="1" si="207"/>
        <v>0.79496115810722057</v>
      </c>
      <c r="L903" s="29">
        <f t="shared" ca="1" si="189"/>
        <v>159</v>
      </c>
      <c r="N903" s="22">
        <v>45448</v>
      </c>
      <c r="O903" s="26">
        <f t="shared" ca="1" si="208"/>
        <v>0.41829521378404466</v>
      </c>
      <c r="P903" s="29">
        <f t="shared" ca="1" si="190"/>
        <v>227</v>
      </c>
      <c r="R903" s="22">
        <v>45448</v>
      </c>
      <c r="S903" s="26">
        <f t="shared" ca="1" si="209"/>
        <v>0.67800790537209732</v>
      </c>
      <c r="T903" s="29">
        <f t="shared" ca="1" si="191"/>
        <v>144</v>
      </c>
      <c r="V903" s="22">
        <v>45448</v>
      </c>
      <c r="W903" s="26">
        <f t="shared" ca="1" si="210"/>
        <v>0.36989459908761202</v>
      </c>
      <c r="X903" s="29">
        <f t="shared" ca="1" si="192"/>
        <v>221</v>
      </c>
      <c r="Z903" s="22">
        <v>45448</v>
      </c>
      <c r="AA903" s="26">
        <f t="shared" ca="1" si="211"/>
        <v>1.8421673849739251E-2</v>
      </c>
      <c r="AB903" s="29">
        <f t="shared" ca="1" si="193"/>
        <v>233</v>
      </c>
      <c r="AC903"/>
      <c r="AD903" s="25"/>
      <c r="AF903" s="22">
        <v>45448</v>
      </c>
      <c r="AG903" s="26">
        <f t="shared" ca="1" si="212"/>
        <v>0.95732875182632016</v>
      </c>
      <c r="AH903" s="29">
        <f t="shared" ca="1" si="194"/>
        <v>478</v>
      </c>
      <c r="AJ903" s="22">
        <v>45448</v>
      </c>
      <c r="AK903" s="26">
        <f t="shared" ca="1" si="213"/>
        <v>0.59285797069244361</v>
      </c>
      <c r="AL903" s="29">
        <f t="shared" ca="1" si="195"/>
        <v>192</v>
      </c>
      <c r="AN903" s="22">
        <v>45448</v>
      </c>
      <c r="AO903" s="26">
        <f t="shared" ca="1" si="214"/>
        <v>0.35265525749245263</v>
      </c>
      <c r="AP903" s="29">
        <f t="shared" ca="1" si="196"/>
        <v>133</v>
      </c>
      <c r="AR903" s="22">
        <v>45448</v>
      </c>
      <c r="AS903" s="26">
        <f t="shared" ca="1" si="215"/>
        <v>0.79913704865658031</v>
      </c>
      <c r="AT903" s="29">
        <f t="shared" ca="1" si="197"/>
        <v>266</v>
      </c>
      <c r="AV903" s="22">
        <v>45448</v>
      </c>
      <c r="AW903" s="26">
        <f t="shared" ca="1" si="216"/>
        <v>0.4693527465044065</v>
      </c>
      <c r="AX903" s="29">
        <f t="shared" ca="1" si="198"/>
        <v>188</v>
      </c>
      <c r="AZ903" s="22">
        <v>45448</v>
      </c>
      <c r="BA903" s="26">
        <f t="shared" ca="1" si="217"/>
        <v>0.23843348841980772</v>
      </c>
      <c r="BB903" s="29">
        <f t="shared" ca="1" si="199"/>
        <v>146</v>
      </c>
      <c r="BC903"/>
      <c r="BD903" s="25"/>
      <c r="BF903" s="22">
        <v>45448</v>
      </c>
      <c r="BG903" s="26">
        <f t="shared" ca="1" si="218"/>
        <v>0.5690367472643596</v>
      </c>
      <c r="BH903" s="29">
        <f t="shared" ca="1" si="200"/>
        <v>168</v>
      </c>
      <c r="BJ903" s="22">
        <v>45448</v>
      </c>
      <c r="BK903" s="26">
        <f t="shared" ca="1" si="219"/>
        <v>0.28472915026483081</v>
      </c>
      <c r="BL903" s="29">
        <f t="shared" ca="1" si="201"/>
        <v>140</v>
      </c>
      <c r="BN903" s="22">
        <v>45448</v>
      </c>
      <c r="BO903" s="26">
        <f t="shared" ca="1" si="220"/>
        <v>0.22140154968713099</v>
      </c>
      <c r="BP903" s="29">
        <f t="shared" ca="1" si="202"/>
        <v>105</v>
      </c>
      <c r="BR903" s="22">
        <v>45448</v>
      </c>
      <c r="BS903" s="26">
        <f t="shared" ca="1" si="221"/>
        <v>0.32307121137742867</v>
      </c>
      <c r="BT903" s="29">
        <f t="shared" ca="1" si="203"/>
        <v>153</v>
      </c>
      <c r="BV903" s="22">
        <v>45448</v>
      </c>
      <c r="BW903" s="26">
        <f t="shared" ca="1" si="222"/>
        <v>0.30084189804082884</v>
      </c>
      <c r="BX903" s="29">
        <f t="shared" ca="1" si="204"/>
        <v>158</v>
      </c>
    </row>
    <row r="904" spans="2:77" ht="12.75" x14ac:dyDescent="0.2">
      <c r="B904" s="22">
        <v>45449</v>
      </c>
      <c r="C904" s="26">
        <f t="shared" ca="1" si="205"/>
        <v>0.94637636208098541</v>
      </c>
      <c r="D904" s="29">
        <f t="shared" ca="1" si="187"/>
        <v>108</v>
      </c>
      <c r="F904" s="22"/>
      <c r="G904" s="26">
        <f t="shared" ca="1" si="206"/>
        <v>0.53971743485245538</v>
      </c>
      <c r="H904" s="29">
        <f t="shared" ca="1" si="188"/>
        <v>217</v>
      </c>
      <c r="J904" s="22">
        <v>45449</v>
      </c>
      <c r="K904" s="26">
        <f t="shared" ca="1" si="207"/>
        <v>0.1409290752647665</v>
      </c>
      <c r="L904" s="29">
        <f t="shared" ca="1" si="189"/>
        <v>140</v>
      </c>
      <c r="N904" s="22">
        <v>45449</v>
      </c>
      <c r="O904" s="26">
        <f t="shared" ca="1" si="208"/>
        <v>0.90972100472085005</v>
      </c>
      <c r="P904" s="29">
        <f t="shared" ca="1" si="190"/>
        <v>250</v>
      </c>
      <c r="R904" s="22">
        <v>45449</v>
      </c>
      <c r="S904" s="26">
        <f t="shared" ca="1" si="209"/>
        <v>0.48477427937334927</v>
      </c>
      <c r="T904" s="29">
        <f t="shared" ca="1" si="191"/>
        <v>139</v>
      </c>
      <c r="V904" s="22">
        <v>45449</v>
      </c>
      <c r="W904" s="26">
        <f t="shared" ca="1" si="210"/>
        <v>0.66994015657774897</v>
      </c>
      <c r="X904" s="29">
        <f t="shared" ca="1" si="192"/>
        <v>232</v>
      </c>
      <c r="Z904" s="22">
        <v>45449</v>
      </c>
      <c r="AA904" s="26">
        <f t="shared" ca="1" si="211"/>
        <v>0.67562433332726635</v>
      </c>
      <c r="AB904" s="29">
        <f t="shared" ca="1" si="193"/>
        <v>279</v>
      </c>
      <c r="AC904"/>
      <c r="AD904" s="25"/>
      <c r="AF904" s="22">
        <v>45449</v>
      </c>
      <c r="AG904" s="26">
        <f t="shared" ca="1" si="212"/>
        <v>0.80777661419826274</v>
      </c>
      <c r="AH904" s="29">
        <f t="shared" ca="1" si="194"/>
        <v>403</v>
      </c>
      <c r="AJ904" s="22">
        <v>45449</v>
      </c>
      <c r="AK904" s="26">
        <f t="shared" ca="1" si="213"/>
        <v>0.89532399587662703</v>
      </c>
      <c r="AL904" s="29">
        <f t="shared" ca="1" si="195"/>
        <v>241</v>
      </c>
      <c r="AN904" s="22">
        <v>45449</v>
      </c>
      <c r="AO904" s="26">
        <f t="shared" ca="1" si="214"/>
        <v>0.83598020259019612</v>
      </c>
      <c r="AP904" s="29">
        <f t="shared" ca="1" si="196"/>
        <v>186</v>
      </c>
      <c r="AR904" s="22">
        <v>45449</v>
      </c>
      <c r="AS904" s="26">
        <f t="shared" ca="1" si="215"/>
        <v>0.67678445820575195</v>
      </c>
      <c r="AT904" s="29">
        <f t="shared" ca="1" si="197"/>
        <v>244</v>
      </c>
      <c r="AV904" s="22">
        <v>45449</v>
      </c>
      <c r="AW904" s="26">
        <f t="shared" ca="1" si="216"/>
        <v>7.7402612305890517E-2</v>
      </c>
      <c r="AX904" s="29">
        <f t="shared" ca="1" si="198"/>
        <v>119</v>
      </c>
      <c r="AZ904" s="22">
        <v>45449</v>
      </c>
      <c r="BA904" s="26">
        <f t="shared" ca="1" si="217"/>
        <v>0.46354484663525231</v>
      </c>
      <c r="BB904" s="29">
        <f t="shared" ca="1" si="199"/>
        <v>176</v>
      </c>
      <c r="BC904"/>
      <c r="BD904" s="25"/>
      <c r="BF904" s="22">
        <v>45449</v>
      </c>
      <c r="BG904" s="26">
        <f t="shared" ca="1" si="218"/>
        <v>0.12259931364719223</v>
      </c>
      <c r="BH904" s="29">
        <f t="shared" ca="1" si="200"/>
        <v>111</v>
      </c>
      <c r="BJ904" s="22">
        <v>45449</v>
      </c>
      <c r="BK904" s="26">
        <f t="shared" ca="1" si="219"/>
        <v>0.36773457191188785</v>
      </c>
      <c r="BL904" s="29">
        <f t="shared" ca="1" si="201"/>
        <v>150</v>
      </c>
      <c r="BN904" s="22">
        <v>45449</v>
      </c>
      <c r="BO904" s="26">
        <f t="shared" ca="1" si="220"/>
        <v>0.54155305081732208</v>
      </c>
      <c r="BP904" s="29">
        <f t="shared" ca="1" si="202"/>
        <v>135</v>
      </c>
      <c r="BR904" s="22">
        <v>45449</v>
      </c>
      <c r="BS904" s="26">
        <f t="shared" ca="1" si="221"/>
        <v>0.16909494619627596</v>
      </c>
      <c r="BT904" s="29">
        <f t="shared" ca="1" si="203"/>
        <v>130</v>
      </c>
      <c r="BV904" s="22">
        <v>45449</v>
      </c>
      <c r="BW904" s="26">
        <f t="shared" ca="1" si="222"/>
        <v>0.73221068298692316</v>
      </c>
      <c r="BX904" s="29">
        <f t="shared" ca="1" si="204"/>
        <v>214</v>
      </c>
    </row>
    <row r="905" spans="2:77" ht="12.75" x14ac:dyDescent="0.2">
      <c r="B905" s="22">
        <v>45450</v>
      </c>
      <c r="C905" s="26">
        <f t="shared" ca="1" si="205"/>
        <v>0.87675430891513784</v>
      </c>
      <c r="D905" s="29">
        <f t="shared" ca="1" si="187"/>
        <v>99</v>
      </c>
      <c r="F905" s="22"/>
      <c r="G905" s="26">
        <f t="shared" ca="1" si="206"/>
        <v>0.66138176804468962</v>
      </c>
      <c r="H905" s="29">
        <f t="shared" ca="1" si="188"/>
        <v>222</v>
      </c>
      <c r="J905" s="22">
        <v>45450</v>
      </c>
      <c r="K905" s="26">
        <f t="shared" ca="1" si="207"/>
        <v>0.90757900685520032</v>
      </c>
      <c r="L905" s="29">
        <f t="shared" ca="1" si="189"/>
        <v>164</v>
      </c>
      <c r="N905" s="22">
        <v>45450</v>
      </c>
      <c r="O905" s="26">
        <f t="shared" ca="1" si="208"/>
        <v>0.55812326778774124</v>
      </c>
      <c r="P905" s="29">
        <f t="shared" ca="1" si="190"/>
        <v>232</v>
      </c>
      <c r="R905" s="22">
        <v>45450</v>
      </c>
      <c r="S905" s="26">
        <f t="shared" ca="1" si="209"/>
        <v>0.12112070993174229</v>
      </c>
      <c r="T905" s="29">
        <f t="shared" ca="1" si="191"/>
        <v>128</v>
      </c>
      <c r="V905" s="22">
        <v>45450</v>
      </c>
      <c r="W905" s="26">
        <f t="shared" ca="1" si="210"/>
        <v>0.80396346070050084</v>
      </c>
      <c r="X905" s="29">
        <f t="shared" ca="1" si="192"/>
        <v>238</v>
      </c>
      <c r="Z905" s="22">
        <v>45450</v>
      </c>
      <c r="AA905" s="26">
        <f t="shared" ca="1" si="211"/>
        <v>1.2859075317900204E-2</v>
      </c>
      <c r="AB905" s="29">
        <f t="shared" ca="1" si="193"/>
        <v>230</v>
      </c>
      <c r="AC905"/>
      <c r="AD905" s="25"/>
      <c r="AF905" s="22">
        <v>45450</v>
      </c>
      <c r="AG905" s="26">
        <f t="shared" ca="1" si="212"/>
        <v>0.74225213269582691</v>
      </c>
      <c r="AH905" s="29">
        <f t="shared" ca="1" si="194"/>
        <v>384</v>
      </c>
      <c r="AJ905" s="22">
        <v>45450</v>
      </c>
      <c r="AK905" s="26">
        <f t="shared" ca="1" si="213"/>
        <v>0.71870827881347255</v>
      </c>
      <c r="AL905" s="29">
        <f t="shared" ca="1" si="195"/>
        <v>208</v>
      </c>
      <c r="AN905" s="22">
        <v>45450</v>
      </c>
      <c r="AO905" s="26">
        <f t="shared" ca="1" si="214"/>
        <v>0.42996193975061381</v>
      </c>
      <c r="AP905" s="29">
        <f t="shared" ca="1" si="196"/>
        <v>141</v>
      </c>
      <c r="AR905" s="22">
        <v>45450</v>
      </c>
      <c r="AS905" s="26">
        <f t="shared" ca="1" si="215"/>
        <v>0.14086840871510209</v>
      </c>
      <c r="AT905" s="29">
        <f t="shared" ca="1" si="197"/>
        <v>155</v>
      </c>
      <c r="AV905" s="22">
        <v>45450</v>
      </c>
      <c r="AW905" s="26">
        <f t="shared" ca="1" si="216"/>
        <v>0.88026452757588547</v>
      </c>
      <c r="AX905" s="29">
        <f t="shared" ca="1" si="198"/>
        <v>252</v>
      </c>
      <c r="AZ905" s="22">
        <v>45450</v>
      </c>
      <c r="BA905" s="26">
        <f t="shared" ca="1" si="217"/>
        <v>0.81663358409666675</v>
      </c>
      <c r="BB905" s="29">
        <f t="shared" ca="1" si="199"/>
        <v>224</v>
      </c>
      <c r="BC905"/>
      <c r="BD905" s="25"/>
      <c r="BF905" s="22">
        <v>45450</v>
      </c>
      <c r="BG905" s="26">
        <f t="shared" ca="1" si="218"/>
        <v>0.11628346433932801</v>
      </c>
      <c r="BH905" s="29">
        <f t="shared" ca="1" si="200"/>
        <v>109</v>
      </c>
      <c r="BJ905" s="22">
        <v>45450</v>
      </c>
      <c r="BK905" s="26">
        <f t="shared" ca="1" si="219"/>
        <v>4.7248137820065428E-2</v>
      </c>
      <c r="BL905" s="29">
        <f t="shared" ca="1" si="201"/>
        <v>92</v>
      </c>
      <c r="BN905" s="22">
        <v>45450</v>
      </c>
      <c r="BO905" s="26">
        <f t="shared" ca="1" si="220"/>
        <v>0.25185936358020689</v>
      </c>
      <c r="BP905" s="29">
        <f t="shared" ca="1" si="202"/>
        <v>108</v>
      </c>
      <c r="BR905" s="22">
        <v>45450</v>
      </c>
      <c r="BS905" s="26">
        <f t="shared" ca="1" si="221"/>
        <v>0.84918398506635928</v>
      </c>
      <c r="BT905" s="29">
        <f t="shared" ca="1" si="203"/>
        <v>222</v>
      </c>
      <c r="BV905" s="22">
        <v>45450</v>
      </c>
      <c r="BW905" s="26">
        <f t="shared" ca="1" si="222"/>
        <v>0.31388427748379966</v>
      </c>
      <c r="BX905" s="29">
        <f t="shared" ca="1" si="204"/>
        <v>160</v>
      </c>
    </row>
    <row r="906" spans="2:77" ht="12.75" x14ac:dyDescent="0.2">
      <c r="B906" s="22">
        <v>45451</v>
      </c>
      <c r="C906" s="26">
        <f t="shared" ca="1" si="205"/>
        <v>1.8985905528160707E-2</v>
      </c>
      <c r="D906" s="29">
        <f t="shared" ca="1" si="187"/>
        <v>34</v>
      </c>
      <c r="F906" s="22"/>
      <c r="G906" s="26">
        <f t="shared" ca="1" si="206"/>
        <v>0.55905213839302492</v>
      </c>
      <c r="H906" s="29">
        <f t="shared" ca="1" si="188"/>
        <v>218</v>
      </c>
      <c r="J906" s="22">
        <v>45451</v>
      </c>
      <c r="K906" s="26">
        <f t="shared" ca="1" si="207"/>
        <v>0.85563546465617102</v>
      </c>
      <c r="L906" s="29">
        <f t="shared" ca="1" si="189"/>
        <v>161</v>
      </c>
      <c r="N906" s="22">
        <v>45451</v>
      </c>
      <c r="O906" s="26">
        <f t="shared" ca="1" si="208"/>
        <v>0.84331304072036672</v>
      </c>
      <c r="P906" s="29">
        <f t="shared" ca="1" si="190"/>
        <v>245</v>
      </c>
      <c r="R906" s="22">
        <v>45451</v>
      </c>
      <c r="S906" s="26">
        <f t="shared" ca="1" si="209"/>
        <v>0.92676459183494231</v>
      </c>
      <c r="T906" s="29">
        <f t="shared" ca="1" si="191"/>
        <v>153</v>
      </c>
      <c r="V906" s="22">
        <v>45451</v>
      </c>
      <c r="W906" s="26">
        <f t="shared" ca="1" si="210"/>
        <v>9.3921586023179571E-2</v>
      </c>
      <c r="X906" s="29">
        <f t="shared" ca="1" si="192"/>
        <v>206</v>
      </c>
      <c r="Z906" s="22">
        <v>45451</v>
      </c>
      <c r="AA906" s="26">
        <f t="shared" ca="1" si="211"/>
        <v>0.26596233132941782</v>
      </c>
      <c r="AB906" s="29">
        <f t="shared" ca="1" si="193"/>
        <v>259</v>
      </c>
      <c r="AC906"/>
      <c r="AD906" s="25"/>
      <c r="AF906" s="22">
        <v>45451</v>
      </c>
      <c r="AG906" s="26">
        <f t="shared" ca="1" si="212"/>
        <v>0.47802081213088532</v>
      </c>
      <c r="AH906" s="29">
        <f t="shared" ca="1" si="194"/>
        <v>323</v>
      </c>
      <c r="AJ906" s="22">
        <v>45451</v>
      </c>
      <c r="AK906" s="26">
        <f t="shared" ca="1" si="213"/>
        <v>0.71002845553456528</v>
      </c>
      <c r="AL906" s="29">
        <f t="shared" ca="1" si="195"/>
        <v>207</v>
      </c>
      <c r="AN906" s="22">
        <v>45451</v>
      </c>
      <c r="AO906" s="26">
        <f t="shared" ca="1" si="214"/>
        <v>0.5194609459766687</v>
      </c>
      <c r="AP906" s="29">
        <f t="shared" ca="1" si="196"/>
        <v>150</v>
      </c>
      <c r="AR906" s="22">
        <v>45451</v>
      </c>
      <c r="AS906" s="26">
        <f t="shared" ca="1" si="215"/>
        <v>0.76106896340765884</v>
      </c>
      <c r="AT906" s="29">
        <f t="shared" ca="1" si="197"/>
        <v>258</v>
      </c>
      <c r="AV906" s="22">
        <v>45451</v>
      </c>
      <c r="AW906" s="26">
        <f t="shared" ca="1" si="216"/>
        <v>9.9168534000269482E-2</v>
      </c>
      <c r="AX906" s="29">
        <f t="shared" ca="1" si="198"/>
        <v>126</v>
      </c>
      <c r="AZ906" s="22">
        <v>45451</v>
      </c>
      <c r="BA906" s="26">
        <f t="shared" ca="1" si="217"/>
        <v>0.7469301584943101</v>
      </c>
      <c r="BB906" s="29">
        <f t="shared" ca="1" si="199"/>
        <v>212</v>
      </c>
      <c r="BC906"/>
      <c r="BD906" s="25"/>
      <c r="BF906" s="22">
        <v>45451</v>
      </c>
      <c r="BG906" s="26">
        <f t="shared" ca="1" si="218"/>
        <v>0.64808786433178689</v>
      </c>
      <c r="BH906" s="29">
        <f t="shared" ca="1" si="200"/>
        <v>176</v>
      </c>
      <c r="BJ906" s="22">
        <v>45451</v>
      </c>
      <c r="BK906" s="26">
        <f t="shared" ca="1" si="219"/>
        <v>0.24332715259287774</v>
      </c>
      <c r="BL906" s="29">
        <f t="shared" ca="1" si="201"/>
        <v>135</v>
      </c>
      <c r="BN906" s="22">
        <v>45451</v>
      </c>
      <c r="BO906" s="26">
        <f t="shared" ca="1" si="220"/>
        <v>0.72268245515235641</v>
      </c>
      <c r="BP906" s="29">
        <f t="shared" ca="1" si="202"/>
        <v>152</v>
      </c>
      <c r="BR906" s="22">
        <v>45451</v>
      </c>
      <c r="BS906" s="26">
        <f t="shared" ca="1" si="221"/>
        <v>0.87979174100571278</v>
      </c>
      <c r="BT906" s="29">
        <f t="shared" ca="1" si="203"/>
        <v>228</v>
      </c>
      <c r="BV906" s="22">
        <v>45451</v>
      </c>
      <c r="BW906" s="26">
        <f t="shared" ca="1" si="222"/>
        <v>0.48437284896017574</v>
      </c>
      <c r="BX906" s="29">
        <f t="shared" ca="1" si="204"/>
        <v>182</v>
      </c>
    </row>
    <row r="907" spans="2:77" ht="12.75" x14ac:dyDescent="0.2">
      <c r="B907" s="22">
        <v>45452</v>
      </c>
      <c r="C907" s="26">
        <f t="shared" ca="1" si="205"/>
        <v>0.93733502684000447</v>
      </c>
      <c r="D907" s="29">
        <f t="shared" ca="1" si="187"/>
        <v>106</v>
      </c>
      <c r="F907" s="22"/>
      <c r="G907" s="26">
        <f t="shared" ca="1" si="206"/>
        <v>1.9852877853980488E-2</v>
      </c>
      <c r="H907" s="29">
        <f t="shared" ca="1" si="188"/>
        <v>186</v>
      </c>
      <c r="J907" s="22">
        <v>45452</v>
      </c>
      <c r="K907" s="26">
        <f t="shared" ca="1" si="207"/>
        <v>0.9681251271314284</v>
      </c>
      <c r="L907" s="29">
        <f t="shared" ca="1" si="189"/>
        <v>169</v>
      </c>
      <c r="N907" s="22">
        <v>45452</v>
      </c>
      <c r="O907" s="26">
        <f t="shared" ca="1" si="208"/>
        <v>0.83832353390651837</v>
      </c>
      <c r="P907" s="29">
        <f t="shared" ca="1" si="190"/>
        <v>245</v>
      </c>
      <c r="R907" s="22">
        <v>45452</v>
      </c>
      <c r="S907" s="26">
        <f t="shared" ca="1" si="209"/>
        <v>3.5885848357486649E-2</v>
      </c>
      <c r="T907" s="29">
        <f t="shared" ca="1" si="191"/>
        <v>123</v>
      </c>
      <c r="V907" s="22">
        <v>45452</v>
      </c>
      <c r="W907" s="26">
        <f t="shared" ca="1" si="210"/>
        <v>0.72093094844863714</v>
      </c>
      <c r="X907" s="29">
        <f t="shared" ca="1" si="192"/>
        <v>234</v>
      </c>
      <c r="Z907" s="22">
        <v>45452</v>
      </c>
      <c r="AA907" s="26">
        <f t="shared" ca="1" si="211"/>
        <v>0.78332103175677625</v>
      </c>
      <c r="AB907" s="29">
        <f t="shared" ca="1" si="193"/>
        <v>285</v>
      </c>
      <c r="AC907"/>
      <c r="AD907" s="25"/>
      <c r="AF907" s="22">
        <v>45452</v>
      </c>
      <c r="AG907" s="26">
        <f t="shared" ca="1" si="212"/>
        <v>0.97043426461940963</v>
      </c>
      <c r="AH907" s="29">
        <f t="shared" ca="1" si="194"/>
        <v>492</v>
      </c>
      <c r="AJ907" s="22">
        <v>45452</v>
      </c>
      <c r="AK907" s="26">
        <f t="shared" ca="1" si="213"/>
        <v>0.8059494837791239</v>
      </c>
      <c r="AL907" s="29">
        <f t="shared" ca="1" si="195"/>
        <v>222</v>
      </c>
      <c r="AN907" s="22">
        <v>45452</v>
      </c>
      <c r="AO907" s="26">
        <f t="shared" ca="1" si="214"/>
        <v>0.4311378350984576</v>
      </c>
      <c r="AP907" s="29">
        <f t="shared" ca="1" si="196"/>
        <v>141</v>
      </c>
      <c r="AR907" s="22">
        <v>45452</v>
      </c>
      <c r="AS907" s="26">
        <f t="shared" ca="1" si="215"/>
        <v>0.89451548856307472</v>
      </c>
      <c r="AT907" s="29">
        <f t="shared" ca="1" si="197"/>
        <v>290</v>
      </c>
      <c r="AV907" s="22">
        <v>45452</v>
      </c>
      <c r="AW907" s="26">
        <f t="shared" ca="1" si="216"/>
        <v>0.80621921152617126</v>
      </c>
      <c r="AX907" s="29">
        <f t="shared" ca="1" si="198"/>
        <v>236</v>
      </c>
      <c r="AZ907" s="22">
        <v>45452</v>
      </c>
      <c r="BA907" s="26">
        <f t="shared" ca="1" si="217"/>
        <v>0.94275880373542043</v>
      </c>
      <c r="BB907" s="29">
        <f t="shared" ca="1" si="199"/>
        <v>256</v>
      </c>
      <c r="BC907"/>
      <c r="BD907" s="25"/>
      <c r="BF907" s="22">
        <v>45452</v>
      </c>
      <c r="BG907" s="26">
        <f t="shared" ca="1" si="218"/>
        <v>0.40374425504386191</v>
      </c>
      <c r="BH907" s="29">
        <f t="shared" ca="1" si="200"/>
        <v>150</v>
      </c>
      <c r="BJ907" s="22">
        <v>45452</v>
      </c>
      <c r="BK907" s="26">
        <f t="shared" ca="1" si="219"/>
        <v>0.34625344317308415</v>
      </c>
      <c r="BL907" s="29">
        <f t="shared" ca="1" si="201"/>
        <v>148</v>
      </c>
      <c r="BN907" s="22">
        <v>45452</v>
      </c>
      <c r="BO907" s="26">
        <f t="shared" ca="1" si="220"/>
        <v>7.5856102056768626E-2</v>
      </c>
      <c r="BP907" s="29">
        <f t="shared" ca="1" si="202"/>
        <v>81</v>
      </c>
      <c r="BR907" s="22">
        <v>45452</v>
      </c>
      <c r="BS907" s="26">
        <f t="shared" ca="1" si="221"/>
        <v>0.45931690828145821</v>
      </c>
      <c r="BT907" s="29">
        <f t="shared" ca="1" si="203"/>
        <v>169</v>
      </c>
      <c r="BV907" s="22">
        <v>45452</v>
      </c>
      <c r="BW907" s="26">
        <f t="shared" ca="1" si="222"/>
        <v>0.68788616364495137</v>
      </c>
      <c r="BX907" s="29">
        <f t="shared" ca="1" si="204"/>
        <v>208</v>
      </c>
    </row>
    <row r="908" spans="2:77" ht="12.75" x14ac:dyDescent="0.2">
      <c r="B908" s="22">
        <v>45453</v>
      </c>
      <c r="C908" s="26">
        <f t="shared" ca="1" si="205"/>
        <v>9.9533810143664803E-2</v>
      </c>
      <c r="D908" s="29">
        <f t="shared" ca="1" si="187"/>
        <v>50</v>
      </c>
      <c r="F908" s="22"/>
      <c r="G908" s="26">
        <f t="shared" ca="1" si="206"/>
        <v>0.44562895956533533</v>
      </c>
      <c r="H908" s="29">
        <f t="shared" ca="1" si="188"/>
        <v>214</v>
      </c>
      <c r="J908" s="22">
        <v>45453</v>
      </c>
      <c r="K908" s="26">
        <f t="shared" ca="1" si="207"/>
        <v>0.38242416118859901</v>
      </c>
      <c r="L908" s="29">
        <f t="shared" ca="1" si="189"/>
        <v>148</v>
      </c>
      <c r="N908" s="22">
        <v>45453</v>
      </c>
      <c r="O908" s="26">
        <f t="shared" ca="1" si="208"/>
        <v>7.5477566076016522E-3</v>
      </c>
      <c r="P908" s="29">
        <f t="shared" ca="1" si="190"/>
        <v>193</v>
      </c>
      <c r="R908" s="22">
        <v>45453</v>
      </c>
      <c r="S908" s="26">
        <f t="shared" ca="1" si="209"/>
        <v>0.80887995142501745</v>
      </c>
      <c r="T908" s="29">
        <f t="shared" ca="1" si="191"/>
        <v>147</v>
      </c>
      <c r="V908" s="22">
        <v>45453</v>
      </c>
      <c r="W908" s="26">
        <f t="shared" ca="1" si="210"/>
        <v>9.1235280626541515E-2</v>
      </c>
      <c r="X908" s="29">
        <f t="shared" ca="1" si="192"/>
        <v>206</v>
      </c>
      <c r="Z908" s="22">
        <v>45453</v>
      </c>
      <c r="AA908" s="26">
        <f t="shared" ca="1" si="211"/>
        <v>0.61587169590879809</v>
      </c>
      <c r="AB908" s="29">
        <f t="shared" ca="1" si="193"/>
        <v>276</v>
      </c>
      <c r="AC908"/>
      <c r="AD908" s="25"/>
      <c r="AF908" s="22">
        <v>45453</v>
      </c>
      <c r="AG908" s="26">
        <f t="shared" ca="1" si="212"/>
        <v>8.6748972922069401E-2</v>
      </c>
      <c r="AH908" s="29">
        <f t="shared" ca="1" si="194"/>
        <v>209</v>
      </c>
      <c r="AJ908" s="22">
        <v>45453</v>
      </c>
      <c r="AK908" s="26">
        <f t="shared" ca="1" si="213"/>
        <v>0.14804588509278938</v>
      </c>
      <c r="AL908" s="29">
        <f t="shared" ca="1" si="195"/>
        <v>130</v>
      </c>
      <c r="AN908" s="22">
        <v>45453</v>
      </c>
      <c r="AO908" s="26">
        <f t="shared" ca="1" si="214"/>
        <v>0.25843156853553251</v>
      </c>
      <c r="AP908" s="29">
        <f t="shared" ca="1" si="196"/>
        <v>122</v>
      </c>
      <c r="AR908" s="22">
        <v>45453</v>
      </c>
      <c r="AS908" s="26">
        <f t="shared" ca="1" si="215"/>
        <v>0.50209664083242178</v>
      </c>
      <c r="AT908" s="29">
        <f t="shared" ca="1" si="197"/>
        <v>218</v>
      </c>
      <c r="AV908" s="22">
        <v>45453</v>
      </c>
      <c r="AW908" s="26">
        <f t="shared" ca="1" si="216"/>
        <v>0.27738237971269608</v>
      </c>
      <c r="AX908" s="29">
        <f t="shared" ca="1" si="198"/>
        <v>162</v>
      </c>
      <c r="AZ908" s="22">
        <v>45453</v>
      </c>
      <c r="BA908" s="26">
        <f t="shared" ca="1" si="217"/>
        <v>8.9754841678201247E-3</v>
      </c>
      <c r="BB908" s="29">
        <f t="shared" ca="1" si="199"/>
        <v>67</v>
      </c>
      <c r="BC908"/>
      <c r="BD908" s="25"/>
      <c r="BF908" s="22">
        <v>45453</v>
      </c>
      <c r="BG908" s="26">
        <f t="shared" ca="1" si="218"/>
        <v>0.34868144170690984</v>
      </c>
      <c r="BH908" s="29">
        <f t="shared" ca="1" si="200"/>
        <v>144</v>
      </c>
      <c r="BJ908" s="22">
        <v>45453</v>
      </c>
      <c r="BK908" s="26">
        <f t="shared" ca="1" si="219"/>
        <v>0.12875382810920633</v>
      </c>
      <c r="BL908" s="29">
        <f t="shared" ca="1" si="201"/>
        <v>115</v>
      </c>
      <c r="BN908" s="22">
        <v>45453</v>
      </c>
      <c r="BO908" s="26">
        <f t="shared" ca="1" si="220"/>
        <v>0.93162198056265344</v>
      </c>
      <c r="BP908" s="29">
        <f t="shared" ca="1" si="202"/>
        <v>183</v>
      </c>
      <c r="BR908" s="22">
        <v>45453</v>
      </c>
      <c r="BS908" s="26">
        <f t="shared" ca="1" si="221"/>
        <v>6.4384411404641018E-3</v>
      </c>
      <c r="BT908" s="29">
        <f t="shared" ca="1" si="203"/>
        <v>59</v>
      </c>
      <c r="BV908" s="22">
        <v>45453</v>
      </c>
      <c r="BW908" s="26">
        <f t="shared" ca="1" si="222"/>
        <v>0.51128798750762305</v>
      </c>
      <c r="BX908" s="29">
        <f t="shared" ca="1" si="204"/>
        <v>185</v>
      </c>
    </row>
    <row r="909" spans="2:77" ht="12.75" x14ac:dyDescent="0.2">
      <c r="B909" s="22">
        <v>45454</v>
      </c>
      <c r="C909" s="26">
        <f t="shared" ca="1" si="205"/>
        <v>0.6753562280633757</v>
      </c>
      <c r="D909" s="29">
        <f t="shared" ca="1" si="187"/>
        <v>85</v>
      </c>
      <c r="F909" s="22"/>
      <c r="G909" s="26">
        <f t="shared" ca="1" si="206"/>
        <v>0.27345994817146957</v>
      </c>
      <c r="H909" s="29">
        <f t="shared" ca="1" si="188"/>
        <v>207</v>
      </c>
      <c r="J909" s="22">
        <v>45454</v>
      </c>
      <c r="K909" s="26">
        <f t="shared" ca="1" si="207"/>
        <v>0.9370258973918888</v>
      </c>
      <c r="L909" s="29">
        <f t="shared" ca="1" si="189"/>
        <v>166</v>
      </c>
      <c r="N909" s="22">
        <v>45454</v>
      </c>
      <c r="O909" s="26">
        <f t="shared" ca="1" si="208"/>
        <v>0.24829637847035047</v>
      </c>
      <c r="P909" s="29">
        <f t="shared" ca="1" si="190"/>
        <v>219</v>
      </c>
      <c r="R909" s="22">
        <v>45454</v>
      </c>
      <c r="S909" s="26">
        <f t="shared" ca="1" si="209"/>
        <v>0.12029427708520291</v>
      </c>
      <c r="T909" s="29">
        <f t="shared" ca="1" si="191"/>
        <v>128</v>
      </c>
      <c r="V909" s="22">
        <v>45454</v>
      </c>
      <c r="W909" s="26">
        <f t="shared" ca="1" si="210"/>
        <v>0.95560188888978459</v>
      </c>
      <c r="X909" s="29">
        <f t="shared" ca="1" si="192"/>
        <v>251</v>
      </c>
      <c r="Z909" s="22">
        <v>45454</v>
      </c>
      <c r="AA909" s="26">
        <f t="shared" ca="1" si="211"/>
        <v>0.63325098660318202</v>
      </c>
      <c r="AB909" s="29">
        <f t="shared" ca="1" si="193"/>
        <v>277</v>
      </c>
      <c r="AC909"/>
      <c r="AD909" s="25"/>
      <c r="AF909" s="22">
        <v>45454</v>
      </c>
      <c r="AG909" s="26">
        <f t="shared" ca="1" si="212"/>
        <v>0.33115387255652051</v>
      </c>
      <c r="AH909" s="29">
        <f t="shared" ca="1" si="194"/>
        <v>289</v>
      </c>
      <c r="AJ909" s="22">
        <v>45454</v>
      </c>
      <c r="AK909" s="26">
        <f t="shared" ca="1" si="213"/>
        <v>0.685279089346991</v>
      </c>
      <c r="AL909" s="29">
        <f t="shared" ca="1" si="195"/>
        <v>203</v>
      </c>
      <c r="AN909" s="22">
        <v>45454</v>
      </c>
      <c r="AO909" s="26">
        <f t="shared" ca="1" si="214"/>
        <v>0.82804805617781274</v>
      </c>
      <c r="AP909" s="29">
        <f t="shared" ca="1" si="196"/>
        <v>185</v>
      </c>
      <c r="AR909" s="22">
        <v>45454</v>
      </c>
      <c r="AS909" s="26">
        <f t="shared" ca="1" si="215"/>
        <v>0.38195831268074321</v>
      </c>
      <c r="AT909" s="29">
        <f t="shared" ca="1" si="197"/>
        <v>200</v>
      </c>
      <c r="AV909" s="22">
        <v>45454</v>
      </c>
      <c r="AW909" s="26">
        <f t="shared" ca="1" si="216"/>
        <v>0.57157405546283691</v>
      </c>
      <c r="AX909" s="29">
        <f t="shared" ca="1" si="198"/>
        <v>201</v>
      </c>
      <c r="AZ909" s="22">
        <v>45454</v>
      </c>
      <c r="BA909" s="26">
        <f t="shared" ca="1" si="217"/>
        <v>0.4861716092309385</v>
      </c>
      <c r="BB909" s="29">
        <f t="shared" ca="1" si="199"/>
        <v>179</v>
      </c>
      <c r="BC909"/>
      <c r="BD909" s="25"/>
      <c r="BF909" s="22">
        <v>45454</v>
      </c>
      <c r="BG909" s="26">
        <f t="shared" ca="1" si="218"/>
        <v>0.98720920927167566</v>
      </c>
      <c r="BH909" s="29">
        <f t="shared" ca="1" si="200"/>
        <v>255</v>
      </c>
      <c r="BJ909" s="22">
        <v>45454</v>
      </c>
      <c r="BK909" s="26">
        <f t="shared" ca="1" si="219"/>
        <v>0.20832552499968837</v>
      </c>
      <c r="BL909" s="29">
        <f t="shared" ca="1" si="201"/>
        <v>129</v>
      </c>
      <c r="BN909" s="22">
        <v>45454</v>
      </c>
      <c r="BO909" s="26">
        <f t="shared" ca="1" si="220"/>
        <v>0.51389063909161614</v>
      </c>
      <c r="BP909" s="29">
        <f t="shared" ca="1" si="202"/>
        <v>133</v>
      </c>
      <c r="BR909" s="22">
        <v>45454</v>
      </c>
      <c r="BS909" s="26">
        <f t="shared" ca="1" si="221"/>
        <v>0.85869079630336276</v>
      </c>
      <c r="BT909" s="29">
        <f t="shared" ca="1" si="203"/>
        <v>224</v>
      </c>
      <c r="BV909" s="22">
        <v>45454</v>
      </c>
      <c r="BW909" s="26">
        <f t="shared" ca="1" si="222"/>
        <v>0.63687257171150979</v>
      </c>
      <c r="BX909" s="29">
        <f t="shared" ca="1" si="204"/>
        <v>201</v>
      </c>
    </row>
    <row r="910" spans="2:77" ht="12.75" x14ac:dyDescent="0.2">
      <c r="B910" s="22">
        <v>45455</v>
      </c>
      <c r="C910" s="26">
        <f t="shared" ca="1" si="205"/>
        <v>0.53302819097809739</v>
      </c>
      <c r="D910" s="29">
        <f t="shared" ca="1" si="187"/>
        <v>77</v>
      </c>
      <c r="F910" s="22"/>
      <c r="G910" s="26">
        <f t="shared" ca="1" si="206"/>
        <v>0.80615505212096528</v>
      </c>
      <c r="H910" s="29">
        <f t="shared" ca="1" si="188"/>
        <v>228</v>
      </c>
      <c r="J910" s="22">
        <v>45455</v>
      </c>
      <c r="K910" s="26">
        <f t="shared" ca="1" si="207"/>
        <v>0.33465633815562046</v>
      </c>
      <c r="L910" s="29">
        <f t="shared" ca="1" si="189"/>
        <v>146</v>
      </c>
      <c r="N910" s="22">
        <v>45455</v>
      </c>
      <c r="O910" s="26">
        <f t="shared" ca="1" si="208"/>
        <v>0.76174927787484992</v>
      </c>
      <c r="P910" s="29">
        <f t="shared" ca="1" si="190"/>
        <v>241</v>
      </c>
      <c r="R910" s="22">
        <v>45455</v>
      </c>
      <c r="S910" s="26">
        <f t="shared" ca="1" si="209"/>
        <v>0.63127734495664889</v>
      </c>
      <c r="T910" s="29">
        <f t="shared" ca="1" si="191"/>
        <v>142</v>
      </c>
      <c r="V910" s="22">
        <v>45455</v>
      </c>
      <c r="W910" s="26">
        <f t="shared" ca="1" si="210"/>
        <v>0.43635626076849243</v>
      </c>
      <c r="X910" s="29">
        <f t="shared" ca="1" si="192"/>
        <v>223</v>
      </c>
      <c r="Z910" s="22">
        <v>45455</v>
      </c>
      <c r="AA910" s="26">
        <f t="shared" ca="1" si="211"/>
        <v>8.7506925035579219E-2</v>
      </c>
      <c r="AB910" s="29">
        <f t="shared" ca="1" si="193"/>
        <v>246</v>
      </c>
      <c r="AC910"/>
      <c r="AD910" s="25"/>
      <c r="AF910" s="22">
        <v>45455</v>
      </c>
      <c r="AG910" s="26">
        <f t="shared" ca="1" si="212"/>
        <v>0.44202933333076699</v>
      </c>
      <c r="AH910" s="29">
        <f t="shared" ca="1" si="194"/>
        <v>315</v>
      </c>
      <c r="AJ910" s="22">
        <v>45455</v>
      </c>
      <c r="AK910" s="26">
        <f t="shared" ca="1" si="213"/>
        <v>0.78950162412466263</v>
      </c>
      <c r="AL910" s="29">
        <f t="shared" ca="1" si="195"/>
        <v>219</v>
      </c>
      <c r="AN910" s="22">
        <v>45455</v>
      </c>
      <c r="AO910" s="26">
        <f t="shared" ca="1" si="214"/>
        <v>0.13675159078615029</v>
      </c>
      <c r="AP910" s="29">
        <f t="shared" ca="1" si="196"/>
        <v>105</v>
      </c>
      <c r="AR910" s="22">
        <v>45455</v>
      </c>
      <c r="AS910" s="26">
        <f t="shared" ca="1" si="215"/>
        <v>0.73189148290550554</v>
      </c>
      <c r="AT910" s="29">
        <f t="shared" ca="1" si="197"/>
        <v>253</v>
      </c>
      <c r="AV910" s="22">
        <v>45455</v>
      </c>
      <c r="AW910" s="26">
        <f t="shared" ca="1" si="216"/>
        <v>5.1393819911013772E-2</v>
      </c>
      <c r="AX910" s="29">
        <f t="shared" ca="1" si="198"/>
        <v>109</v>
      </c>
      <c r="AZ910" s="22">
        <v>45455</v>
      </c>
      <c r="BA910" s="26">
        <f t="shared" ca="1" si="217"/>
        <v>0.32980111555542091</v>
      </c>
      <c r="BB910" s="29">
        <f t="shared" ca="1" si="199"/>
        <v>159</v>
      </c>
      <c r="BC910"/>
      <c r="BD910" s="25"/>
      <c r="BF910" s="22">
        <v>45455</v>
      </c>
      <c r="BG910" s="26">
        <f t="shared" ca="1" si="218"/>
        <v>0.70907857381604744</v>
      </c>
      <c r="BH910" s="29">
        <f t="shared" ca="1" si="200"/>
        <v>184</v>
      </c>
      <c r="BJ910" s="22">
        <v>45455</v>
      </c>
      <c r="BK910" s="26">
        <f t="shared" ca="1" si="219"/>
        <v>0.74038496565678646</v>
      </c>
      <c r="BL910" s="29">
        <f t="shared" ca="1" si="201"/>
        <v>193</v>
      </c>
      <c r="BN910" s="22">
        <v>45455</v>
      </c>
      <c r="BO910" s="26">
        <f t="shared" ca="1" si="220"/>
        <v>0.4410669923069187</v>
      </c>
      <c r="BP910" s="29">
        <f t="shared" ca="1" si="202"/>
        <v>126</v>
      </c>
      <c r="BR910" s="22">
        <v>45455</v>
      </c>
      <c r="BS910" s="26">
        <f t="shared" ca="1" si="221"/>
        <v>0.62900175667989355</v>
      </c>
      <c r="BT910" s="29">
        <f t="shared" ca="1" si="203"/>
        <v>189</v>
      </c>
      <c r="BV910" s="22">
        <v>45455</v>
      </c>
      <c r="BW910" s="26">
        <f t="shared" ca="1" si="222"/>
        <v>0.54488022047359341</v>
      </c>
      <c r="BX910" s="29">
        <f t="shared" ca="1" si="204"/>
        <v>189</v>
      </c>
    </row>
    <row r="911" spans="2:77" ht="12.75" x14ac:dyDescent="0.2">
      <c r="B911" s="22">
        <v>45456</v>
      </c>
      <c r="C911" s="26">
        <f t="shared" ca="1" si="205"/>
        <v>0.42053079063054011</v>
      </c>
      <c r="D911" s="29">
        <f t="shared" ca="1" si="187"/>
        <v>71</v>
      </c>
      <c r="F911" s="22"/>
      <c r="G911" s="26">
        <f t="shared" ca="1" si="206"/>
        <v>0.8351991227751463</v>
      </c>
      <c r="H911" s="29">
        <f t="shared" ca="1" si="188"/>
        <v>230</v>
      </c>
      <c r="J911" s="22">
        <v>45456</v>
      </c>
      <c r="K911" s="26">
        <f t="shared" ca="1" si="207"/>
        <v>0.38056831328831731</v>
      </c>
      <c r="L911" s="29">
        <f t="shared" ca="1" si="189"/>
        <v>147</v>
      </c>
      <c r="N911" s="22">
        <v>45456</v>
      </c>
      <c r="O911" s="26">
        <f t="shared" ca="1" si="208"/>
        <v>0.47888739703309413</v>
      </c>
      <c r="P911" s="29">
        <f t="shared" ca="1" si="190"/>
        <v>229</v>
      </c>
      <c r="R911" s="22">
        <v>45456</v>
      </c>
      <c r="S911" s="26">
        <f t="shared" ca="1" si="209"/>
        <v>0.36740438676431053</v>
      </c>
      <c r="T911" s="29">
        <f t="shared" ca="1" si="191"/>
        <v>136</v>
      </c>
      <c r="V911" s="22">
        <v>45456</v>
      </c>
      <c r="W911" s="26">
        <f t="shared" ca="1" si="210"/>
        <v>0.59914072719342581</v>
      </c>
      <c r="X911" s="29">
        <f t="shared" ca="1" si="192"/>
        <v>229</v>
      </c>
      <c r="Z911" s="22">
        <v>45456</v>
      </c>
      <c r="AA911" s="26">
        <f t="shared" ca="1" si="211"/>
        <v>4.1745405974262684E-2</v>
      </c>
      <c r="AB911" s="29">
        <f t="shared" ca="1" si="193"/>
        <v>239</v>
      </c>
      <c r="AC911"/>
      <c r="AD911" s="25"/>
      <c r="AF911" s="22">
        <v>45456</v>
      </c>
      <c r="AG911" s="26">
        <f t="shared" ca="1" si="212"/>
        <v>0.15268281496444758</v>
      </c>
      <c r="AH911" s="29">
        <f t="shared" ca="1" si="194"/>
        <v>238</v>
      </c>
      <c r="AJ911" s="22">
        <v>45456</v>
      </c>
      <c r="AK911" s="26">
        <f t="shared" ca="1" si="213"/>
        <v>0.32247829495942626</v>
      </c>
      <c r="AL911" s="29">
        <f t="shared" ca="1" si="195"/>
        <v>158</v>
      </c>
      <c r="AN911" s="22">
        <v>45456</v>
      </c>
      <c r="AO911" s="26">
        <f t="shared" ca="1" si="214"/>
        <v>0.90335541548570097</v>
      </c>
      <c r="AP911" s="29">
        <f t="shared" ca="1" si="196"/>
        <v>199</v>
      </c>
      <c r="AR911" s="22">
        <v>45456</v>
      </c>
      <c r="AS911" s="26">
        <f t="shared" ca="1" si="215"/>
        <v>0.3795741562742373</v>
      </c>
      <c r="AT911" s="29">
        <f t="shared" ca="1" si="197"/>
        <v>200</v>
      </c>
      <c r="AV911" s="22">
        <v>45456</v>
      </c>
      <c r="AW911" s="26">
        <f t="shared" ca="1" si="216"/>
        <v>0.85708195792776642</v>
      </c>
      <c r="AX911" s="29">
        <f t="shared" ca="1" si="198"/>
        <v>247</v>
      </c>
      <c r="AZ911" s="22">
        <v>45456</v>
      </c>
      <c r="BA911" s="26">
        <f t="shared" ca="1" si="217"/>
        <v>0.1075154665856467</v>
      </c>
      <c r="BB911" s="29">
        <f t="shared" ca="1" si="199"/>
        <v>121</v>
      </c>
      <c r="BC911"/>
      <c r="BD911" s="25"/>
      <c r="BF911" s="22">
        <v>45456</v>
      </c>
      <c r="BG911" s="26">
        <f t="shared" ca="1" si="218"/>
        <v>0.64170698310224894</v>
      </c>
      <c r="BH911" s="29">
        <f t="shared" ca="1" si="200"/>
        <v>176</v>
      </c>
      <c r="BJ911" s="22">
        <v>45456</v>
      </c>
      <c r="BK911" s="26">
        <f t="shared" ca="1" si="219"/>
        <v>0.93048524829106638</v>
      </c>
      <c r="BL911" s="29">
        <f t="shared" ca="1" si="201"/>
        <v>230</v>
      </c>
      <c r="BN911" s="22">
        <v>45456</v>
      </c>
      <c r="BO911" s="26">
        <f t="shared" ca="1" si="220"/>
        <v>0.97327147620620269</v>
      </c>
      <c r="BP911" s="29">
        <f t="shared" ca="1" si="202"/>
        <v>199</v>
      </c>
      <c r="BR911" s="22">
        <v>45456</v>
      </c>
      <c r="BS911" s="26">
        <f t="shared" ca="1" si="221"/>
        <v>0.59795619631659402</v>
      </c>
      <c r="BT911" s="29">
        <f t="shared" ca="1" si="203"/>
        <v>186</v>
      </c>
      <c r="BV911" s="22">
        <v>45456</v>
      </c>
      <c r="BW911" s="26">
        <f t="shared" ca="1" si="222"/>
        <v>0.45896496045843771</v>
      </c>
      <c r="BX911" s="29">
        <f t="shared" ca="1" si="204"/>
        <v>179</v>
      </c>
    </row>
    <row r="912" spans="2:77" ht="12.75" x14ac:dyDescent="0.2">
      <c r="B912" s="22">
        <v>45457</v>
      </c>
      <c r="C912" s="26">
        <f t="shared" ca="1" si="205"/>
        <v>0.32973923995680687</v>
      </c>
      <c r="D912" s="29">
        <f t="shared" ca="1" si="187"/>
        <v>67</v>
      </c>
      <c r="F912" s="22"/>
      <c r="G912" s="26">
        <f t="shared" ca="1" si="206"/>
        <v>0.58178577814879284</v>
      </c>
      <c r="H912" s="29">
        <f t="shared" ca="1" si="188"/>
        <v>219</v>
      </c>
      <c r="J912" s="22">
        <v>45457</v>
      </c>
      <c r="K912" s="26">
        <f t="shared" ca="1" si="207"/>
        <v>0.23248678884169349</v>
      </c>
      <c r="L912" s="29">
        <f t="shared" ca="1" si="189"/>
        <v>143</v>
      </c>
      <c r="N912" s="22">
        <v>45457</v>
      </c>
      <c r="O912" s="26">
        <f t="shared" ca="1" si="208"/>
        <v>0.58334681607395444</v>
      </c>
      <c r="P912" s="29">
        <f t="shared" ca="1" si="190"/>
        <v>233</v>
      </c>
      <c r="R912" s="22">
        <v>45457</v>
      </c>
      <c r="S912" s="26">
        <f t="shared" ca="1" si="209"/>
        <v>0.16351435050179053</v>
      </c>
      <c r="T912" s="29">
        <f t="shared" ca="1" si="191"/>
        <v>130</v>
      </c>
      <c r="V912" s="22">
        <v>45457</v>
      </c>
      <c r="W912" s="26">
        <f t="shared" ca="1" si="210"/>
        <v>0.13048592275623694</v>
      </c>
      <c r="X912" s="29">
        <f t="shared" ca="1" si="192"/>
        <v>209</v>
      </c>
      <c r="Z912" s="22">
        <v>45457</v>
      </c>
      <c r="AA912" s="26">
        <f t="shared" ca="1" si="211"/>
        <v>0.67586721988761833</v>
      </c>
      <c r="AB912" s="29">
        <f t="shared" ca="1" si="193"/>
        <v>279</v>
      </c>
      <c r="AC912"/>
      <c r="AD912" s="25"/>
      <c r="AF912" s="22">
        <v>45457</v>
      </c>
      <c r="AG912" s="26">
        <f t="shared" ca="1" si="212"/>
        <v>0.43938294975427772</v>
      </c>
      <c r="AH912" s="29">
        <f t="shared" ca="1" si="194"/>
        <v>314</v>
      </c>
      <c r="AJ912" s="22">
        <v>45457</v>
      </c>
      <c r="AK912" s="26">
        <f t="shared" ca="1" si="213"/>
        <v>0.60213342662808533</v>
      </c>
      <c r="AL912" s="29">
        <f t="shared" ca="1" si="195"/>
        <v>193</v>
      </c>
      <c r="AN912" s="22">
        <v>45457</v>
      </c>
      <c r="AO912" s="26">
        <f t="shared" ca="1" si="214"/>
        <v>0.30535617097703249</v>
      </c>
      <c r="AP912" s="29">
        <f t="shared" ca="1" si="196"/>
        <v>128</v>
      </c>
      <c r="AR912" s="22">
        <v>45457</v>
      </c>
      <c r="AS912" s="26">
        <f t="shared" ca="1" si="215"/>
        <v>0.37068845409176898</v>
      </c>
      <c r="AT912" s="29">
        <f t="shared" ca="1" si="197"/>
        <v>198</v>
      </c>
      <c r="AV912" s="22">
        <v>45457</v>
      </c>
      <c r="AW912" s="26">
        <f t="shared" ca="1" si="216"/>
        <v>0.46380222597820475</v>
      </c>
      <c r="AX912" s="29">
        <f t="shared" ca="1" si="198"/>
        <v>188</v>
      </c>
      <c r="AZ912" s="22">
        <v>45457</v>
      </c>
      <c r="BA912" s="26">
        <f t="shared" ca="1" si="217"/>
        <v>0.67554021058096581</v>
      </c>
      <c r="BB912" s="29">
        <f t="shared" ca="1" si="199"/>
        <v>202</v>
      </c>
      <c r="BC912"/>
      <c r="BD912" s="25"/>
      <c r="BF912" s="22">
        <v>45457</v>
      </c>
      <c r="BG912" s="26">
        <f t="shared" ca="1" si="218"/>
        <v>0.55930567571725232</v>
      </c>
      <c r="BH912" s="29">
        <f t="shared" ca="1" si="200"/>
        <v>166</v>
      </c>
      <c r="BJ912" s="22">
        <v>45457</v>
      </c>
      <c r="BK912" s="26">
        <f t="shared" ca="1" si="219"/>
        <v>0.17599822732363979</v>
      </c>
      <c r="BL912" s="29">
        <f t="shared" ca="1" si="201"/>
        <v>124</v>
      </c>
      <c r="BN912" s="22">
        <v>45457</v>
      </c>
      <c r="BO912" s="26">
        <f t="shared" ca="1" si="220"/>
        <v>0.34195619183859671</v>
      </c>
      <c r="BP912" s="29">
        <f t="shared" ca="1" si="202"/>
        <v>117</v>
      </c>
      <c r="BR912" s="22">
        <v>45457</v>
      </c>
      <c r="BS912" s="26">
        <f t="shared" ca="1" si="221"/>
        <v>0.18628285610750517</v>
      </c>
      <c r="BT912" s="29">
        <f t="shared" ca="1" si="203"/>
        <v>133</v>
      </c>
      <c r="BV912" s="22">
        <v>45457</v>
      </c>
      <c r="BW912" s="26">
        <f t="shared" ca="1" si="222"/>
        <v>0.76198968089524011</v>
      </c>
      <c r="BX912" s="29">
        <f t="shared" ca="1" si="204"/>
        <v>219</v>
      </c>
    </row>
    <row r="913" spans="2:77" ht="12.75" x14ac:dyDescent="0.2">
      <c r="B913" s="22">
        <v>45458</v>
      </c>
      <c r="C913" s="26">
        <f t="shared" ca="1" si="205"/>
        <v>0.18551625610830091</v>
      </c>
      <c r="D913" s="29">
        <f t="shared" ca="1" si="187"/>
        <v>58</v>
      </c>
      <c r="F913" s="22"/>
      <c r="G913" s="26">
        <f t="shared" ca="1" si="206"/>
        <v>0.74070673159526479</v>
      </c>
      <c r="H913" s="29">
        <f t="shared" ca="1" si="188"/>
        <v>225</v>
      </c>
      <c r="J913" s="22">
        <v>45458</v>
      </c>
      <c r="K913" s="26">
        <f t="shared" ca="1" si="207"/>
        <v>0.58702065957926619</v>
      </c>
      <c r="L913" s="29">
        <f t="shared" ca="1" si="189"/>
        <v>153</v>
      </c>
      <c r="N913" s="22">
        <v>45458</v>
      </c>
      <c r="O913" s="26">
        <f t="shared" ca="1" si="208"/>
        <v>3.3860953455147391E-2</v>
      </c>
      <c r="P913" s="29">
        <f t="shared" ca="1" si="190"/>
        <v>202</v>
      </c>
      <c r="R913" s="22">
        <v>45458</v>
      </c>
      <c r="S913" s="26">
        <f t="shared" ca="1" si="209"/>
        <v>0.19034581513190052</v>
      </c>
      <c r="T913" s="29">
        <f t="shared" ca="1" si="191"/>
        <v>131</v>
      </c>
      <c r="V913" s="22">
        <v>45458</v>
      </c>
      <c r="W913" s="26">
        <f t="shared" ca="1" si="210"/>
        <v>0.62353832254907648</v>
      </c>
      <c r="X913" s="29">
        <f t="shared" ca="1" si="192"/>
        <v>230</v>
      </c>
      <c r="Z913" s="22">
        <v>45458</v>
      </c>
      <c r="AA913" s="26">
        <f t="shared" ca="1" si="211"/>
        <v>0.98442035254578131</v>
      </c>
      <c r="AB913" s="29">
        <f t="shared" ca="1" si="193"/>
        <v>309</v>
      </c>
      <c r="AC913"/>
      <c r="AD913" s="25"/>
      <c r="AF913" s="22">
        <v>45458</v>
      </c>
      <c r="AG913" s="26">
        <f t="shared" ca="1" si="212"/>
        <v>0.20527749980213084</v>
      </c>
      <c r="AH913" s="29">
        <f t="shared" ca="1" si="194"/>
        <v>256</v>
      </c>
      <c r="AJ913" s="22">
        <v>45458</v>
      </c>
      <c r="AK913" s="26">
        <f t="shared" ca="1" si="213"/>
        <v>0.14839840466260912</v>
      </c>
      <c r="AL913" s="29">
        <f t="shared" ca="1" si="195"/>
        <v>130</v>
      </c>
      <c r="AN913" s="22">
        <v>45458</v>
      </c>
      <c r="AO913" s="26">
        <f t="shared" ca="1" si="214"/>
        <v>0.36549819056484312</v>
      </c>
      <c r="AP913" s="29">
        <f t="shared" ca="1" si="196"/>
        <v>134</v>
      </c>
      <c r="AR913" s="22">
        <v>45458</v>
      </c>
      <c r="AS913" s="26">
        <f t="shared" ca="1" si="215"/>
        <v>0.85255771173446893</v>
      </c>
      <c r="AT913" s="29">
        <f t="shared" ca="1" si="197"/>
        <v>278</v>
      </c>
      <c r="AV913" s="22">
        <v>45458</v>
      </c>
      <c r="AW913" s="26">
        <f t="shared" ca="1" si="216"/>
        <v>0.41460996149406903</v>
      </c>
      <c r="AX913" s="29">
        <f t="shared" ca="1" si="198"/>
        <v>181</v>
      </c>
      <c r="AZ913" s="22">
        <v>45458</v>
      </c>
      <c r="BA913" s="26">
        <f t="shared" ca="1" si="217"/>
        <v>0.97953623117917665</v>
      </c>
      <c r="BB913" s="29">
        <f t="shared" ca="1" si="199"/>
        <v>278</v>
      </c>
      <c r="BC913"/>
      <c r="BD913" s="25"/>
      <c r="BF913" s="22">
        <v>45458</v>
      </c>
      <c r="BG913" s="26">
        <f t="shared" ca="1" si="218"/>
        <v>0.59900964050406769</v>
      </c>
      <c r="BH913" s="29">
        <f t="shared" ca="1" si="200"/>
        <v>171</v>
      </c>
      <c r="BJ913" s="22">
        <v>45458</v>
      </c>
      <c r="BK913" s="26">
        <f t="shared" ca="1" si="219"/>
        <v>4.4395429653072416E-2</v>
      </c>
      <c r="BL913" s="29">
        <f t="shared" ca="1" si="201"/>
        <v>90</v>
      </c>
      <c r="BN913" s="22">
        <v>45458</v>
      </c>
      <c r="BO913" s="26">
        <f t="shared" ca="1" si="220"/>
        <v>0.92163616936741888</v>
      </c>
      <c r="BP913" s="29">
        <f t="shared" ca="1" si="202"/>
        <v>181</v>
      </c>
      <c r="BR913" s="22">
        <v>45458</v>
      </c>
      <c r="BS913" s="26">
        <f t="shared" ca="1" si="221"/>
        <v>0.45789756778223523</v>
      </c>
      <c r="BT913" s="29">
        <f t="shared" ca="1" si="203"/>
        <v>169</v>
      </c>
      <c r="BV913" s="22">
        <v>45458</v>
      </c>
      <c r="BW913" s="26">
        <f t="shared" ca="1" si="222"/>
        <v>0.58472628516805336</v>
      </c>
      <c r="BX913" s="29">
        <f t="shared" ca="1" si="204"/>
        <v>194</v>
      </c>
    </row>
    <row r="914" spans="2:77" ht="12.75" x14ac:dyDescent="0.2">
      <c r="B914" s="22">
        <v>45459</v>
      </c>
      <c r="C914" s="26">
        <f t="shared" ca="1" si="205"/>
        <v>0.91142824761209928</v>
      </c>
      <c r="D914" s="29">
        <f t="shared" ref="D914:D933" ca="1" si="223">ROUNDUP(_xlfn.NORM.INV(C914,C$10,C$12),0)</f>
        <v>102</v>
      </c>
      <c r="F914" s="22"/>
      <c r="G914" s="26">
        <f t="shared" ca="1" si="206"/>
        <v>0.52114981835478202</v>
      </c>
      <c r="H914" s="29">
        <f t="shared" ca="1" si="188"/>
        <v>217</v>
      </c>
      <c r="J914" s="22">
        <v>45459</v>
      </c>
      <c r="K914" s="26">
        <f t="shared" ca="1" si="207"/>
        <v>0.37774931518875232</v>
      </c>
      <c r="L914" s="29">
        <f t="shared" ca="1" si="189"/>
        <v>147</v>
      </c>
      <c r="N914" s="22">
        <v>45459</v>
      </c>
      <c r="O914" s="26">
        <f t="shared" ca="1" si="208"/>
        <v>0.61581661795581177</v>
      </c>
      <c r="P914" s="29">
        <f t="shared" ca="1" si="190"/>
        <v>234</v>
      </c>
      <c r="R914" s="22">
        <v>45459</v>
      </c>
      <c r="S914" s="26">
        <f t="shared" ca="1" si="209"/>
        <v>0.75277601108716929</v>
      </c>
      <c r="T914" s="29">
        <f t="shared" ca="1" si="191"/>
        <v>146</v>
      </c>
      <c r="V914" s="22">
        <v>45459</v>
      </c>
      <c r="W914" s="26">
        <f t="shared" ca="1" si="210"/>
        <v>9.5612098150570368E-2</v>
      </c>
      <c r="X914" s="29">
        <f t="shared" ca="1" si="192"/>
        <v>206</v>
      </c>
      <c r="Z914" s="22">
        <v>45459</v>
      </c>
      <c r="AA914" s="26">
        <f t="shared" ca="1" si="211"/>
        <v>0.10774277791547138</v>
      </c>
      <c r="AB914" s="29">
        <f t="shared" ca="1" si="193"/>
        <v>248</v>
      </c>
      <c r="AC914"/>
      <c r="AD914" s="25"/>
      <c r="AF914" s="22">
        <v>45459</v>
      </c>
      <c r="AG914" s="26">
        <f t="shared" ca="1" si="212"/>
        <v>0.85180230830658399</v>
      </c>
      <c r="AH914" s="29">
        <f t="shared" ca="1" si="194"/>
        <v>419</v>
      </c>
      <c r="AJ914" s="22">
        <v>45459</v>
      </c>
      <c r="AK914" s="26">
        <f t="shared" ca="1" si="213"/>
        <v>0.29415923421540136</v>
      </c>
      <c r="AL914" s="29">
        <f t="shared" ca="1" si="195"/>
        <v>154</v>
      </c>
      <c r="AN914" s="22">
        <v>45459</v>
      </c>
      <c r="AO914" s="26">
        <f t="shared" ca="1" si="214"/>
        <v>0.34817839447916743</v>
      </c>
      <c r="AP914" s="29">
        <f t="shared" ca="1" si="196"/>
        <v>132</v>
      </c>
      <c r="AR914" s="22">
        <v>45459</v>
      </c>
      <c r="AS914" s="26">
        <f t="shared" ca="1" si="215"/>
        <v>0.22115021432474247</v>
      </c>
      <c r="AT914" s="29">
        <f t="shared" ca="1" si="197"/>
        <v>173</v>
      </c>
      <c r="AV914" s="22">
        <v>45459</v>
      </c>
      <c r="AW914" s="26">
        <f t="shared" ca="1" si="216"/>
        <v>0.14465955673613473</v>
      </c>
      <c r="AX914" s="29">
        <f t="shared" ca="1" si="198"/>
        <v>138</v>
      </c>
      <c r="AZ914" s="22">
        <v>45459</v>
      </c>
      <c r="BA914" s="26">
        <f t="shared" ca="1" si="217"/>
        <v>0.87534451389611145</v>
      </c>
      <c r="BB914" s="29">
        <f t="shared" ca="1" si="199"/>
        <v>236</v>
      </c>
      <c r="BC914"/>
      <c r="BD914" s="25"/>
      <c r="BF914" s="22">
        <v>45459</v>
      </c>
      <c r="BG914" s="26">
        <f t="shared" ca="1" si="218"/>
        <v>0.13146891167595121</v>
      </c>
      <c r="BH914" s="29">
        <f t="shared" ca="1" si="200"/>
        <v>112</v>
      </c>
      <c r="BJ914" s="22">
        <v>45459</v>
      </c>
      <c r="BK914" s="26">
        <f t="shared" ca="1" si="219"/>
        <v>0.2139297349541226</v>
      </c>
      <c r="BL914" s="29">
        <f t="shared" ca="1" si="201"/>
        <v>130</v>
      </c>
      <c r="BN914" s="22">
        <v>45459</v>
      </c>
      <c r="BO914" s="26">
        <f t="shared" ca="1" si="220"/>
        <v>0.65679165124689964</v>
      </c>
      <c r="BP914" s="29">
        <f t="shared" ca="1" si="202"/>
        <v>146</v>
      </c>
      <c r="BR914" s="22">
        <v>45459</v>
      </c>
      <c r="BS914" s="26">
        <f t="shared" ca="1" si="221"/>
        <v>0.42345791695767643</v>
      </c>
      <c r="BT914" s="29">
        <f t="shared" ca="1" si="203"/>
        <v>165</v>
      </c>
      <c r="BV914" s="22">
        <v>45459</v>
      </c>
      <c r="BW914" s="26">
        <f t="shared" ca="1" si="222"/>
        <v>0.89065033843262487</v>
      </c>
      <c r="BX914" s="29">
        <f t="shared" ca="1" si="204"/>
        <v>244</v>
      </c>
    </row>
    <row r="915" spans="2:77" ht="12.75" x14ac:dyDescent="0.2">
      <c r="B915" s="22">
        <v>45460</v>
      </c>
      <c r="C915" s="26">
        <f t="shared" ca="1" si="205"/>
        <v>0.45210536105833199</v>
      </c>
      <c r="D915" s="29">
        <f t="shared" ca="1" si="223"/>
        <v>73</v>
      </c>
      <c r="F915" s="22"/>
      <c r="G915" s="26">
        <f t="shared" ca="1" si="206"/>
        <v>0.44153381101758837</v>
      </c>
      <c r="H915" s="29">
        <f t="shared" ca="1" si="188"/>
        <v>214</v>
      </c>
      <c r="J915" s="22">
        <v>45460</v>
      </c>
      <c r="K915" s="26">
        <f t="shared" ca="1" si="207"/>
        <v>5.1576113882262686E-2</v>
      </c>
      <c r="L915" s="29">
        <f t="shared" ca="1" si="189"/>
        <v>134</v>
      </c>
      <c r="N915" s="22">
        <v>45460</v>
      </c>
      <c r="O915" s="26">
        <f t="shared" ca="1" si="208"/>
        <v>0.56922231638283605</v>
      </c>
      <c r="P915" s="29">
        <f t="shared" ca="1" si="190"/>
        <v>233</v>
      </c>
      <c r="R915" s="22">
        <v>45460</v>
      </c>
      <c r="S915" s="26">
        <f t="shared" ca="1" si="209"/>
        <v>0.38170602643539486</v>
      </c>
      <c r="T915" s="29">
        <f t="shared" ca="1" si="191"/>
        <v>136</v>
      </c>
      <c r="V915" s="22">
        <v>45460</v>
      </c>
      <c r="W915" s="26">
        <f t="shared" ca="1" si="210"/>
        <v>1.0123305995619503E-2</v>
      </c>
      <c r="X915" s="29">
        <f t="shared" ca="1" si="192"/>
        <v>191</v>
      </c>
      <c r="Z915" s="22">
        <v>45460</v>
      </c>
      <c r="AA915" s="26">
        <f t="shared" ca="1" si="211"/>
        <v>0.5849970688562508</v>
      </c>
      <c r="AB915" s="29">
        <f t="shared" ca="1" si="193"/>
        <v>274</v>
      </c>
      <c r="AC915"/>
      <c r="AD915" s="25"/>
      <c r="AF915" s="22">
        <v>45460</v>
      </c>
      <c r="AG915" s="26">
        <f t="shared" ca="1" si="212"/>
        <v>0.7618657315700984</v>
      </c>
      <c r="AH915" s="29">
        <f t="shared" ca="1" si="194"/>
        <v>390</v>
      </c>
      <c r="AJ915" s="22">
        <v>45460</v>
      </c>
      <c r="AK915" s="26">
        <f t="shared" ca="1" si="213"/>
        <v>0.91623840498775955</v>
      </c>
      <c r="AL915" s="29">
        <f t="shared" ca="1" si="195"/>
        <v>247</v>
      </c>
      <c r="AN915" s="22">
        <v>45460</v>
      </c>
      <c r="AO915" s="26">
        <f t="shared" ca="1" si="214"/>
        <v>0.87864645052946611</v>
      </c>
      <c r="AP915" s="29">
        <f t="shared" ca="1" si="196"/>
        <v>193</v>
      </c>
      <c r="AR915" s="22">
        <v>45460</v>
      </c>
      <c r="AS915" s="26">
        <f t="shared" ca="1" si="215"/>
        <v>0.79193397140452437</v>
      </c>
      <c r="AT915" s="29">
        <f t="shared" ca="1" si="197"/>
        <v>264</v>
      </c>
      <c r="AV915" s="22">
        <v>45460</v>
      </c>
      <c r="AW915" s="26">
        <f t="shared" ca="1" si="216"/>
        <v>0.37941689937107581</v>
      </c>
      <c r="AX915" s="29">
        <f t="shared" ca="1" si="198"/>
        <v>177</v>
      </c>
      <c r="AZ915" s="22">
        <v>45460</v>
      </c>
      <c r="BA915" s="26">
        <f t="shared" ca="1" si="217"/>
        <v>0.71288241719811918</v>
      </c>
      <c r="BB915" s="29">
        <f t="shared" ca="1" si="199"/>
        <v>207</v>
      </c>
      <c r="BC915"/>
      <c r="BD915" s="25"/>
      <c r="BF915" s="22">
        <v>45460</v>
      </c>
      <c r="BG915" s="26">
        <f t="shared" ca="1" si="218"/>
        <v>0.4804554721211991</v>
      </c>
      <c r="BH915" s="29">
        <f t="shared" ca="1" si="200"/>
        <v>158</v>
      </c>
      <c r="BJ915" s="22">
        <v>45460</v>
      </c>
      <c r="BK915" s="26">
        <f t="shared" ca="1" si="219"/>
        <v>0.61001981863922594</v>
      </c>
      <c r="BL915" s="29">
        <f t="shared" ca="1" si="201"/>
        <v>177</v>
      </c>
      <c r="BN915" s="22">
        <v>45460</v>
      </c>
      <c r="BO915" s="26">
        <f t="shared" ca="1" si="220"/>
        <v>0.91020318134201283</v>
      </c>
      <c r="BP915" s="29">
        <f t="shared" ca="1" si="202"/>
        <v>178</v>
      </c>
      <c r="BR915" s="22">
        <v>45460</v>
      </c>
      <c r="BS915" s="26">
        <f t="shared" ca="1" si="221"/>
        <v>0.10139950436607104</v>
      </c>
      <c r="BT915" s="29">
        <f t="shared" ca="1" si="203"/>
        <v>115</v>
      </c>
      <c r="BV915" s="22">
        <v>45460</v>
      </c>
      <c r="BW915" s="26">
        <f t="shared" ca="1" si="222"/>
        <v>0.22588113098991136</v>
      </c>
      <c r="BX915" s="29">
        <f t="shared" ca="1" si="204"/>
        <v>147</v>
      </c>
    </row>
    <row r="916" spans="2:77" ht="12.75" x14ac:dyDescent="0.2">
      <c r="B916" s="22">
        <v>45461</v>
      </c>
      <c r="C916" s="26">
        <f t="shared" ca="1" si="205"/>
        <v>1.1216400402921378E-2</v>
      </c>
      <c r="D916" s="29">
        <f t="shared" ca="1" si="223"/>
        <v>30</v>
      </c>
      <c r="F916" s="22"/>
      <c r="G916" s="26">
        <f t="shared" ca="1" si="206"/>
        <v>0.53296917075218031</v>
      </c>
      <c r="H916" s="29">
        <f t="shared" ca="1" si="188"/>
        <v>217</v>
      </c>
      <c r="J916" s="22">
        <v>45461</v>
      </c>
      <c r="K916" s="26">
        <f t="shared" ca="1" si="207"/>
        <v>0.59298479912924695</v>
      </c>
      <c r="L916" s="29">
        <f t="shared" ca="1" si="189"/>
        <v>153</v>
      </c>
      <c r="N916" s="22">
        <v>45461</v>
      </c>
      <c r="O916" s="26">
        <f t="shared" ca="1" si="208"/>
        <v>0.22083359846331718</v>
      </c>
      <c r="P916" s="29">
        <f t="shared" ca="1" si="190"/>
        <v>218</v>
      </c>
      <c r="R916" s="22">
        <v>45461</v>
      </c>
      <c r="S916" s="26">
        <f t="shared" ca="1" si="209"/>
        <v>0.46046127702818285</v>
      </c>
      <c r="T916" s="29">
        <f t="shared" ca="1" si="191"/>
        <v>138</v>
      </c>
      <c r="V916" s="22">
        <v>45461</v>
      </c>
      <c r="W916" s="26">
        <f t="shared" ca="1" si="210"/>
        <v>0.99030070640821999</v>
      </c>
      <c r="X916" s="29">
        <f t="shared" ca="1" si="192"/>
        <v>261</v>
      </c>
      <c r="Z916" s="22">
        <v>45461</v>
      </c>
      <c r="AA916" s="26">
        <f t="shared" ca="1" si="211"/>
        <v>0.4964216692815846</v>
      </c>
      <c r="AB916" s="29">
        <f t="shared" ca="1" si="193"/>
        <v>270</v>
      </c>
      <c r="AC916"/>
      <c r="AD916" s="25"/>
      <c r="AF916" s="22">
        <v>45461</v>
      </c>
      <c r="AG916" s="26">
        <f t="shared" ca="1" si="212"/>
        <v>0.21728904005582339</v>
      </c>
      <c r="AH916" s="29">
        <f t="shared" ca="1" si="194"/>
        <v>259</v>
      </c>
      <c r="AJ916" s="22">
        <v>45461</v>
      </c>
      <c r="AK916" s="26">
        <f t="shared" ca="1" si="213"/>
        <v>0.14363241469159749</v>
      </c>
      <c r="AL916" s="29">
        <f t="shared" ca="1" si="195"/>
        <v>129</v>
      </c>
      <c r="AN916" s="22">
        <v>45461</v>
      </c>
      <c r="AO916" s="26">
        <f t="shared" ca="1" si="214"/>
        <v>0.10292119704099512</v>
      </c>
      <c r="AP916" s="29">
        <f t="shared" ca="1" si="196"/>
        <v>98</v>
      </c>
      <c r="AR916" s="22">
        <v>45461</v>
      </c>
      <c r="AS916" s="26">
        <f t="shared" ca="1" si="215"/>
        <v>0.14740227477553403</v>
      </c>
      <c r="AT916" s="29">
        <f t="shared" ca="1" si="197"/>
        <v>157</v>
      </c>
      <c r="AV916" s="22">
        <v>45461</v>
      </c>
      <c r="AW916" s="26">
        <f t="shared" ca="1" si="216"/>
        <v>7.2194766218806938E-2</v>
      </c>
      <c r="AX916" s="29">
        <f t="shared" ca="1" si="198"/>
        <v>118</v>
      </c>
      <c r="AZ916" s="22">
        <v>45461</v>
      </c>
      <c r="BA916" s="26">
        <f t="shared" ca="1" si="217"/>
        <v>0.51751073800633318</v>
      </c>
      <c r="BB916" s="29">
        <f t="shared" ca="1" si="199"/>
        <v>182</v>
      </c>
      <c r="BC916"/>
      <c r="BD916" s="25"/>
      <c r="BF916" s="22">
        <v>45461</v>
      </c>
      <c r="BG916" s="26">
        <f t="shared" ca="1" si="218"/>
        <v>0.7843573209178667</v>
      </c>
      <c r="BH916" s="29">
        <f t="shared" ca="1" si="200"/>
        <v>194</v>
      </c>
      <c r="BJ916" s="22">
        <v>45461</v>
      </c>
      <c r="BK916" s="26">
        <f t="shared" ca="1" si="219"/>
        <v>0.491379105176034</v>
      </c>
      <c r="BL916" s="29">
        <f t="shared" ca="1" si="201"/>
        <v>164</v>
      </c>
      <c r="BN916" s="22">
        <v>45461</v>
      </c>
      <c r="BO916" s="26">
        <f t="shared" ca="1" si="220"/>
        <v>0.76346871097021518</v>
      </c>
      <c r="BP916" s="29">
        <f t="shared" ca="1" si="202"/>
        <v>157</v>
      </c>
      <c r="BR916" s="22">
        <v>45461</v>
      </c>
      <c r="BS916" s="26">
        <f t="shared" ca="1" si="221"/>
        <v>0.17488661818282125</v>
      </c>
      <c r="BT916" s="29">
        <f t="shared" ca="1" si="203"/>
        <v>131</v>
      </c>
      <c r="BV916" s="22">
        <v>45461</v>
      </c>
      <c r="BW916" s="26">
        <f t="shared" ca="1" si="222"/>
        <v>0.61251708652929415</v>
      </c>
      <c r="BX916" s="29">
        <f t="shared" ca="1" si="204"/>
        <v>198</v>
      </c>
    </row>
    <row r="917" spans="2:77" ht="12.75" x14ac:dyDescent="0.2">
      <c r="B917" s="22">
        <v>45462</v>
      </c>
      <c r="C917" s="26">
        <f t="shared" ca="1" si="205"/>
        <v>0.76411552519992754</v>
      </c>
      <c r="D917" s="29">
        <f t="shared" ca="1" si="223"/>
        <v>90</v>
      </c>
      <c r="F917" s="22"/>
      <c r="G917" s="26">
        <f t="shared" ca="1" si="206"/>
        <v>0.19263871340931804</v>
      </c>
      <c r="H917" s="29">
        <f t="shared" ca="1" si="188"/>
        <v>203</v>
      </c>
      <c r="J917" s="22">
        <v>45462</v>
      </c>
      <c r="K917" s="26">
        <f t="shared" ca="1" si="207"/>
        <v>0.58551260056584942</v>
      </c>
      <c r="L917" s="29">
        <f t="shared" ca="1" si="189"/>
        <v>153</v>
      </c>
      <c r="N917" s="22">
        <v>45462</v>
      </c>
      <c r="O917" s="26">
        <f t="shared" ca="1" si="208"/>
        <v>0.19988760203324418</v>
      </c>
      <c r="P917" s="29">
        <f t="shared" ca="1" si="190"/>
        <v>217</v>
      </c>
      <c r="R917" s="22">
        <v>45462</v>
      </c>
      <c r="S917" s="26">
        <f t="shared" ca="1" si="209"/>
        <v>0.26185248294563923</v>
      </c>
      <c r="T917" s="29">
        <f t="shared" ca="1" si="191"/>
        <v>133</v>
      </c>
      <c r="V917" s="22">
        <v>45462</v>
      </c>
      <c r="W917" s="26">
        <f t="shared" ca="1" si="210"/>
        <v>0.42416388748834477</v>
      </c>
      <c r="X917" s="29">
        <f t="shared" ca="1" si="192"/>
        <v>223</v>
      </c>
      <c r="Z917" s="22">
        <v>45462</v>
      </c>
      <c r="AA917" s="26">
        <f t="shared" ca="1" si="211"/>
        <v>0.3666123708036364</v>
      </c>
      <c r="AB917" s="29">
        <f t="shared" ca="1" si="193"/>
        <v>264</v>
      </c>
      <c r="AC917"/>
      <c r="AD917" s="25"/>
      <c r="AF917" s="22">
        <v>45462</v>
      </c>
      <c r="AG917" s="26">
        <f t="shared" ca="1" si="212"/>
        <v>0.83048832804732442</v>
      </c>
      <c r="AH917" s="29">
        <f t="shared" ca="1" si="194"/>
        <v>411</v>
      </c>
      <c r="AJ917" s="22">
        <v>45462</v>
      </c>
      <c r="AK917" s="26">
        <f t="shared" ca="1" si="213"/>
        <v>0.17151685506292658</v>
      </c>
      <c r="AL917" s="29">
        <f t="shared" ca="1" si="195"/>
        <v>135</v>
      </c>
      <c r="AN917" s="22">
        <v>45462</v>
      </c>
      <c r="AO917" s="26">
        <f t="shared" ca="1" si="214"/>
        <v>1.0848596400179544E-2</v>
      </c>
      <c r="AP917" s="29">
        <f t="shared" ca="1" si="196"/>
        <v>58</v>
      </c>
      <c r="AR917" s="22">
        <v>45462</v>
      </c>
      <c r="AS917" s="26">
        <f t="shared" ca="1" si="215"/>
        <v>0.75391087318532435</v>
      </c>
      <c r="AT917" s="29">
        <f t="shared" ca="1" si="197"/>
        <v>257</v>
      </c>
      <c r="AV917" s="22">
        <v>45462</v>
      </c>
      <c r="AW917" s="26">
        <f t="shared" ca="1" si="216"/>
        <v>0.44422069037371881</v>
      </c>
      <c r="AX917" s="29">
        <f t="shared" ca="1" si="198"/>
        <v>185</v>
      </c>
      <c r="AZ917" s="22">
        <v>45462</v>
      </c>
      <c r="BA917" s="26">
        <f t="shared" ca="1" si="217"/>
        <v>0.25841651280463707</v>
      </c>
      <c r="BB917" s="29">
        <f t="shared" ca="1" si="199"/>
        <v>149</v>
      </c>
      <c r="BC917"/>
      <c r="BD917" s="25"/>
      <c r="BF917" s="22">
        <v>45462</v>
      </c>
      <c r="BG917" s="26">
        <f t="shared" ca="1" si="218"/>
        <v>0.58336501513656513</v>
      </c>
      <c r="BH917" s="29">
        <f t="shared" ca="1" si="200"/>
        <v>169</v>
      </c>
      <c r="BJ917" s="22">
        <v>45462</v>
      </c>
      <c r="BK917" s="26">
        <f t="shared" ca="1" si="219"/>
        <v>0.962813433177513</v>
      </c>
      <c r="BL917" s="29">
        <f t="shared" ca="1" si="201"/>
        <v>243</v>
      </c>
      <c r="BN917" s="22">
        <v>45462</v>
      </c>
      <c r="BO917" s="26">
        <f t="shared" ca="1" si="220"/>
        <v>0.57083349709937592</v>
      </c>
      <c r="BP917" s="29">
        <f t="shared" ca="1" si="202"/>
        <v>138</v>
      </c>
      <c r="BR917" s="22">
        <v>45462</v>
      </c>
      <c r="BS917" s="26">
        <f t="shared" ca="1" si="221"/>
        <v>7.4102837087421269E-2</v>
      </c>
      <c r="BT917" s="29">
        <f t="shared" ca="1" si="203"/>
        <v>107</v>
      </c>
      <c r="BV917" s="22">
        <v>45462</v>
      </c>
      <c r="BW917" s="26">
        <f t="shared" ca="1" si="222"/>
        <v>0.30645067736570408</v>
      </c>
      <c r="BX917" s="29">
        <f t="shared" ca="1" si="204"/>
        <v>159</v>
      </c>
    </row>
    <row r="918" spans="2:77" ht="12.75" x14ac:dyDescent="0.2">
      <c r="B918" s="22">
        <v>45463</v>
      </c>
      <c r="C918" s="26">
        <f t="shared" ca="1" si="205"/>
        <v>0.35721819528523702</v>
      </c>
      <c r="D918" s="29">
        <f t="shared" ca="1" si="223"/>
        <v>68</v>
      </c>
      <c r="F918" s="22"/>
      <c r="G918" s="26">
        <f t="shared" ca="1" si="206"/>
        <v>0.94772283515489308</v>
      </c>
      <c r="H918" s="29">
        <f t="shared" ca="1" si="188"/>
        <v>239</v>
      </c>
      <c r="J918" s="22">
        <v>45463</v>
      </c>
      <c r="K918" s="26">
        <f t="shared" ca="1" si="207"/>
        <v>0.91502627645398293</v>
      </c>
      <c r="L918" s="29">
        <f t="shared" ca="1" si="189"/>
        <v>164</v>
      </c>
      <c r="N918" s="22">
        <v>45463</v>
      </c>
      <c r="O918" s="26">
        <f t="shared" ca="1" si="208"/>
        <v>6.9576516611981387E-2</v>
      </c>
      <c r="P918" s="29">
        <f t="shared" ca="1" si="190"/>
        <v>207</v>
      </c>
      <c r="R918" s="22">
        <v>45463</v>
      </c>
      <c r="S918" s="26">
        <f t="shared" ca="1" si="209"/>
        <v>0.68946368737578012</v>
      </c>
      <c r="T918" s="29">
        <f t="shared" ca="1" si="191"/>
        <v>144</v>
      </c>
      <c r="V918" s="22">
        <v>45463</v>
      </c>
      <c r="W918" s="26">
        <f t="shared" ca="1" si="210"/>
        <v>0.13465827776286521</v>
      </c>
      <c r="X918" s="29">
        <f t="shared" ca="1" si="192"/>
        <v>209</v>
      </c>
      <c r="Z918" s="22">
        <v>45463</v>
      </c>
      <c r="AA918" s="26">
        <f t="shared" ca="1" si="211"/>
        <v>0.96748430316488954</v>
      </c>
      <c r="AB918" s="29">
        <f t="shared" ca="1" si="193"/>
        <v>304</v>
      </c>
      <c r="AC918"/>
      <c r="AD918" s="25"/>
      <c r="AF918" s="22">
        <v>45463</v>
      </c>
      <c r="AG918" s="26">
        <f t="shared" ca="1" si="212"/>
        <v>0.77541217190789447</v>
      </c>
      <c r="AH918" s="29">
        <f t="shared" ca="1" si="194"/>
        <v>393</v>
      </c>
      <c r="AJ918" s="22">
        <v>45463</v>
      </c>
      <c r="AK918" s="26">
        <f t="shared" ca="1" si="213"/>
        <v>0.10434657471796349</v>
      </c>
      <c r="AL918" s="29">
        <f t="shared" ca="1" si="195"/>
        <v>120</v>
      </c>
      <c r="AN918" s="22">
        <v>45463</v>
      </c>
      <c r="AO918" s="26">
        <f t="shared" ca="1" si="214"/>
        <v>0.4981736919832167</v>
      </c>
      <c r="AP918" s="29">
        <f t="shared" ca="1" si="196"/>
        <v>147</v>
      </c>
      <c r="AR918" s="22">
        <v>45463</v>
      </c>
      <c r="AS918" s="26">
        <f t="shared" ca="1" si="215"/>
        <v>0.37058320899473285</v>
      </c>
      <c r="AT918" s="29">
        <f t="shared" ca="1" si="197"/>
        <v>198</v>
      </c>
      <c r="AV918" s="22">
        <v>45463</v>
      </c>
      <c r="AW918" s="26">
        <f t="shared" ca="1" si="216"/>
        <v>0.48873159362537177</v>
      </c>
      <c r="AX918" s="29">
        <f t="shared" ca="1" si="198"/>
        <v>191</v>
      </c>
      <c r="AZ918" s="22">
        <v>45463</v>
      </c>
      <c r="BA918" s="26">
        <f t="shared" ca="1" si="217"/>
        <v>0.66912595617981385</v>
      </c>
      <c r="BB918" s="29">
        <f t="shared" ca="1" si="199"/>
        <v>201</v>
      </c>
      <c r="BC918"/>
      <c r="BD918" s="25"/>
      <c r="BF918" s="22">
        <v>45463</v>
      </c>
      <c r="BG918" s="26">
        <f t="shared" ca="1" si="218"/>
        <v>0.59781843485241049</v>
      </c>
      <c r="BH918" s="29">
        <f t="shared" ca="1" si="200"/>
        <v>171</v>
      </c>
      <c r="BJ918" s="22">
        <v>45463</v>
      </c>
      <c r="BK918" s="26">
        <f t="shared" ca="1" si="219"/>
        <v>0.23863503429986221</v>
      </c>
      <c r="BL918" s="29">
        <f t="shared" ca="1" si="201"/>
        <v>134</v>
      </c>
      <c r="BN918" s="22">
        <v>45463</v>
      </c>
      <c r="BO918" s="26">
        <f t="shared" ca="1" si="220"/>
        <v>0.50668946589453379</v>
      </c>
      <c r="BP918" s="29">
        <f t="shared" ca="1" si="202"/>
        <v>132</v>
      </c>
      <c r="BR918" s="22">
        <v>45463</v>
      </c>
      <c r="BS918" s="26">
        <f t="shared" ca="1" si="221"/>
        <v>0.14002382375919664</v>
      </c>
      <c r="BT918" s="29">
        <f t="shared" ca="1" si="203"/>
        <v>124</v>
      </c>
      <c r="BV918" s="22">
        <v>45463</v>
      </c>
      <c r="BW918" s="26">
        <f t="shared" ca="1" si="222"/>
        <v>0.96579004489720732</v>
      </c>
      <c r="BX918" s="29">
        <f t="shared" ca="1" si="204"/>
        <v>273</v>
      </c>
    </row>
    <row r="919" spans="2:77" ht="12.75" x14ac:dyDescent="0.2">
      <c r="B919" s="22">
        <v>45464</v>
      </c>
      <c r="C919" s="26">
        <f t="shared" ca="1" si="205"/>
        <v>0.2292699455457603</v>
      </c>
      <c r="D919" s="29">
        <f t="shared" ca="1" si="223"/>
        <v>61</v>
      </c>
      <c r="F919" s="22"/>
      <c r="G919" s="26">
        <f t="shared" ca="1" si="206"/>
        <v>0.5843846771252158</v>
      </c>
      <c r="H919" s="29">
        <f t="shared" ref="H919:H933" ca="1" si="224">ROUNDUP(_xlfn.NORM.INV(G919,G$10,G$12),0)</f>
        <v>219</v>
      </c>
      <c r="J919" s="22">
        <v>45464</v>
      </c>
      <c r="K919" s="26">
        <f t="shared" ca="1" si="207"/>
        <v>0.32095668904660635</v>
      </c>
      <c r="L919" s="29">
        <f t="shared" ref="L919:L933" ca="1" si="225">ROUNDUP(_xlfn.NORM.INV(K919,K$10,K$12),0)</f>
        <v>146</v>
      </c>
      <c r="N919" s="22">
        <v>45464</v>
      </c>
      <c r="O919" s="26">
        <f t="shared" ca="1" si="208"/>
        <v>0.87607279713798414</v>
      </c>
      <c r="P919" s="29">
        <f t="shared" ref="P919:P933" ca="1" si="226">ROUNDUP(_xlfn.NORM.INV(O919,O$10,O$12),0)</f>
        <v>248</v>
      </c>
      <c r="R919" s="22">
        <v>45464</v>
      </c>
      <c r="S919" s="26">
        <f t="shared" ca="1" si="209"/>
        <v>0.48992521004466061</v>
      </c>
      <c r="T919" s="29">
        <f t="shared" ref="T919:T933" ca="1" si="227">ROUNDUP(_xlfn.NORM.INV(S919,S$10,S$12),0)</f>
        <v>139</v>
      </c>
      <c r="V919" s="22">
        <v>45464</v>
      </c>
      <c r="W919" s="26">
        <f t="shared" ca="1" si="210"/>
        <v>0.63898259727172069</v>
      </c>
      <c r="X919" s="29">
        <f t="shared" ref="X919:X933" ca="1" si="228">ROUNDUP(_xlfn.NORM.INV(W919,W$10,W$12),0)</f>
        <v>231</v>
      </c>
      <c r="Z919" s="22">
        <v>45464</v>
      </c>
      <c r="AA919" s="26">
        <f t="shared" ca="1" si="211"/>
        <v>0.3173404445286232</v>
      </c>
      <c r="AB919" s="29">
        <f t="shared" ref="AB919:AB933" ca="1" si="229">ROUNDUP(_xlfn.NORM.INV(AA919,AA$10,AA$12),0)</f>
        <v>262</v>
      </c>
      <c r="AC919"/>
      <c r="AD919" s="25"/>
      <c r="AF919" s="22">
        <v>45464</v>
      </c>
      <c r="AG919" s="26">
        <f t="shared" ca="1" si="212"/>
        <v>0.48203835883484836</v>
      </c>
      <c r="AH919" s="29">
        <f t="shared" ref="AH919:AH933" ca="1" si="230">ROUNDUP(_xlfn.NORM.INV(AG919,AG$10,AG$12),0)</f>
        <v>324</v>
      </c>
      <c r="AJ919" s="22">
        <v>45464</v>
      </c>
      <c r="AK919" s="26">
        <f t="shared" ca="1" si="213"/>
        <v>0.43923313064098846</v>
      </c>
      <c r="AL919" s="29">
        <f t="shared" ref="AL919:AL933" ca="1" si="231">ROUNDUP(_xlfn.NORM.INV(AK919,AK$10,AK$12),0)</f>
        <v>173</v>
      </c>
      <c r="AN919" s="22">
        <v>45464</v>
      </c>
      <c r="AO919" s="26">
        <f t="shared" ca="1" si="214"/>
        <v>0.66479904803357426</v>
      </c>
      <c r="AP919" s="29">
        <f t="shared" ref="AP919:AP933" ca="1" si="232">ROUNDUP(_xlfn.NORM.INV(AO919,AO$10,AO$12),0)</f>
        <v>164</v>
      </c>
      <c r="AR919" s="22">
        <v>45464</v>
      </c>
      <c r="AS919" s="26">
        <f t="shared" ca="1" si="215"/>
        <v>0.40991272326781525</v>
      </c>
      <c r="AT919" s="29">
        <f t="shared" ref="AT919:AT933" ca="1" si="233">ROUNDUP(_xlfn.NORM.INV(AS919,AS$10,AS$12),0)</f>
        <v>204</v>
      </c>
      <c r="AV919" s="22">
        <v>45464</v>
      </c>
      <c r="AW919" s="26">
        <f t="shared" ca="1" si="216"/>
        <v>0.52395858220630853</v>
      </c>
      <c r="AX919" s="29">
        <f t="shared" ref="AX919:AX933" ca="1" si="234">ROUNDUP(_xlfn.NORM.INV(AW919,AW$10,AW$12),0)</f>
        <v>195</v>
      </c>
      <c r="AZ919" s="22">
        <v>45464</v>
      </c>
      <c r="BA919" s="26">
        <f t="shared" ca="1" si="217"/>
        <v>0.14027283695471826</v>
      </c>
      <c r="BB919" s="29">
        <f t="shared" ref="BB919:BB933" ca="1" si="235">ROUNDUP(_xlfn.NORM.INV(BA919,BA$10,BA$12),0)</f>
        <v>129</v>
      </c>
      <c r="BC919"/>
      <c r="BD919" s="25"/>
      <c r="BF919" s="22">
        <v>45464</v>
      </c>
      <c r="BG919" s="26">
        <f t="shared" ca="1" si="218"/>
        <v>0.74559239967556346</v>
      </c>
      <c r="BH919" s="29">
        <f t="shared" ref="BH919:BH933" ca="1" si="236">ROUNDUP(_xlfn.NORM.INV(BG919,BG$10,BG$12),0)</f>
        <v>188</v>
      </c>
      <c r="BJ919" s="22">
        <v>45464</v>
      </c>
      <c r="BK919" s="26">
        <f t="shared" ca="1" si="219"/>
        <v>0.9425428098287264</v>
      </c>
      <c r="BL919" s="29">
        <f t="shared" ref="BL919:BL933" ca="1" si="237">ROUNDUP(_xlfn.NORM.INV(BK919,BK$10,BK$12),0)</f>
        <v>234</v>
      </c>
      <c r="BN919" s="22">
        <v>45464</v>
      </c>
      <c r="BO919" s="26">
        <f t="shared" ca="1" si="220"/>
        <v>0.94317043562505187</v>
      </c>
      <c r="BP919" s="29">
        <f t="shared" ref="BP919:BP933" ca="1" si="238">ROUNDUP(_xlfn.NORM.INV(BO919,BO$10,BO$12),0)</f>
        <v>187</v>
      </c>
      <c r="BR919" s="22">
        <v>45464</v>
      </c>
      <c r="BS919" s="26">
        <f t="shared" ca="1" si="221"/>
        <v>0.96794678644441212</v>
      </c>
      <c r="BT919" s="29">
        <f t="shared" ref="BT919:BT933" ca="1" si="239">ROUNDUP(_xlfn.NORM.INV(BS919,BS$10,BS$12),0)</f>
        <v>260</v>
      </c>
      <c r="BV919" s="22">
        <v>45464</v>
      </c>
      <c r="BW919" s="26">
        <f t="shared" ca="1" si="222"/>
        <v>0.396568138575771</v>
      </c>
      <c r="BX919" s="29">
        <f t="shared" ref="BX919:BX933" ca="1" si="240">ROUNDUP(_xlfn.NORM.INV(BW919,BW$10,BW$12),0)</f>
        <v>171</v>
      </c>
    </row>
    <row r="920" spans="2:77" ht="12.75" x14ac:dyDescent="0.2">
      <c r="B920" s="22">
        <v>45465</v>
      </c>
      <c r="C920" s="26">
        <f t="shared" ca="1" si="205"/>
        <v>0.73224670004171244</v>
      </c>
      <c r="D920" s="29">
        <f t="shared" ca="1" si="223"/>
        <v>88</v>
      </c>
      <c r="F920" s="22"/>
      <c r="G920" s="26">
        <f t="shared" ca="1" si="206"/>
        <v>5.9142380044856613E-2</v>
      </c>
      <c r="H920" s="29">
        <f t="shared" ca="1" si="224"/>
        <v>193</v>
      </c>
      <c r="J920" s="22">
        <v>45465</v>
      </c>
      <c r="K920" s="26">
        <f t="shared" ca="1" si="207"/>
        <v>0.63003915475469818</v>
      </c>
      <c r="L920" s="29">
        <f t="shared" ca="1" si="225"/>
        <v>154</v>
      </c>
      <c r="N920" s="22">
        <v>45465</v>
      </c>
      <c r="O920" s="26">
        <f t="shared" ca="1" si="208"/>
        <v>0.75382050627758146</v>
      </c>
      <c r="P920" s="29">
        <f t="shared" ca="1" si="226"/>
        <v>240</v>
      </c>
      <c r="R920" s="22">
        <v>45465</v>
      </c>
      <c r="S920" s="26">
        <f t="shared" ca="1" si="209"/>
        <v>0.16050382849889189</v>
      </c>
      <c r="T920" s="29">
        <f t="shared" ca="1" si="227"/>
        <v>130</v>
      </c>
      <c r="V920" s="22">
        <v>45465</v>
      </c>
      <c r="W920" s="26">
        <f t="shared" ca="1" si="210"/>
        <v>0.75464717802394432</v>
      </c>
      <c r="X920" s="29">
        <f t="shared" ca="1" si="228"/>
        <v>236</v>
      </c>
      <c r="Z920" s="22">
        <v>45465</v>
      </c>
      <c r="AA920" s="26">
        <f t="shared" ca="1" si="211"/>
        <v>0.36365362539179003</v>
      </c>
      <c r="AB920" s="29">
        <f t="shared" ca="1" si="229"/>
        <v>264</v>
      </c>
      <c r="AC920"/>
      <c r="AD920" s="25"/>
      <c r="AF920" s="22">
        <v>45465</v>
      </c>
      <c r="AG920" s="26">
        <f t="shared" ca="1" si="212"/>
        <v>0.2114436816907499</v>
      </c>
      <c r="AH920" s="29">
        <f t="shared" ca="1" si="230"/>
        <v>258</v>
      </c>
      <c r="AJ920" s="22">
        <v>45465</v>
      </c>
      <c r="AK920" s="26">
        <f t="shared" ca="1" si="213"/>
        <v>0.28953867104411746</v>
      </c>
      <c r="AL920" s="29">
        <f t="shared" ca="1" si="231"/>
        <v>154</v>
      </c>
      <c r="AN920" s="22">
        <v>45465</v>
      </c>
      <c r="AO920" s="26">
        <f t="shared" ca="1" si="214"/>
        <v>0.61620145934813086</v>
      </c>
      <c r="AP920" s="29">
        <f t="shared" ca="1" si="232"/>
        <v>159</v>
      </c>
      <c r="AR920" s="22">
        <v>45465</v>
      </c>
      <c r="AS920" s="26">
        <f t="shared" ca="1" si="215"/>
        <v>0.77684278167981913</v>
      </c>
      <c r="AT920" s="29">
        <f t="shared" ca="1" si="233"/>
        <v>261</v>
      </c>
      <c r="AV920" s="22">
        <v>45465</v>
      </c>
      <c r="AW920" s="26">
        <f t="shared" ca="1" si="216"/>
        <v>0.11732485966104111</v>
      </c>
      <c r="AX920" s="29">
        <f t="shared" ca="1" si="234"/>
        <v>131</v>
      </c>
      <c r="AZ920" s="22">
        <v>45465</v>
      </c>
      <c r="BA920" s="26">
        <f t="shared" ca="1" si="217"/>
        <v>0.53318067345092912</v>
      </c>
      <c r="BB920" s="29">
        <f t="shared" ca="1" si="235"/>
        <v>184</v>
      </c>
      <c r="BC920"/>
      <c r="BD920" s="25"/>
      <c r="BF920" s="22">
        <v>45465</v>
      </c>
      <c r="BG920" s="26">
        <f t="shared" ca="1" si="218"/>
        <v>0.61286143525188475</v>
      </c>
      <c r="BH920" s="29">
        <f t="shared" ca="1" si="236"/>
        <v>172</v>
      </c>
      <c r="BJ920" s="22">
        <v>45465</v>
      </c>
      <c r="BK920" s="26">
        <f t="shared" ca="1" si="219"/>
        <v>0.45810465444180792</v>
      </c>
      <c r="BL920" s="29">
        <f t="shared" ca="1" si="237"/>
        <v>160</v>
      </c>
      <c r="BN920" s="22">
        <v>45465</v>
      </c>
      <c r="BO920" s="26">
        <f t="shared" ca="1" si="220"/>
        <v>0.40334919194763152</v>
      </c>
      <c r="BP920" s="29">
        <f t="shared" ca="1" si="238"/>
        <v>123</v>
      </c>
      <c r="BR920" s="22">
        <v>45465</v>
      </c>
      <c r="BS920" s="26">
        <f t="shared" ca="1" si="221"/>
        <v>0.94848557048301918</v>
      </c>
      <c r="BT920" s="29">
        <f t="shared" ca="1" si="239"/>
        <v>250</v>
      </c>
      <c r="BV920" s="22">
        <v>45465</v>
      </c>
      <c r="BW920" s="26">
        <f t="shared" ca="1" si="222"/>
        <v>0.26834968596959685</v>
      </c>
      <c r="BX920" s="29">
        <f t="shared" ca="1" si="240"/>
        <v>154</v>
      </c>
    </row>
    <row r="921" spans="2:77" ht="12.75" x14ac:dyDescent="0.2">
      <c r="B921" s="22">
        <v>45466</v>
      </c>
      <c r="C921" s="26">
        <f t="shared" ca="1" si="205"/>
        <v>0.20231042700807422</v>
      </c>
      <c r="D921" s="29">
        <f t="shared" ca="1" si="223"/>
        <v>59</v>
      </c>
      <c r="F921" s="22"/>
      <c r="G921" s="26">
        <f t="shared" ca="1" si="206"/>
        <v>0.13469122983864756</v>
      </c>
      <c r="H921" s="29">
        <f t="shared" ca="1" si="224"/>
        <v>200</v>
      </c>
      <c r="J921" s="22">
        <v>45466</v>
      </c>
      <c r="K921" s="26">
        <f t="shared" ca="1" si="207"/>
        <v>0.32577518342255274</v>
      </c>
      <c r="L921" s="29">
        <f t="shared" ca="1" si="225"/>
        <v>146</v>
      </c>
      <c r="N921" s="22">
        <v>45466</v>
      </c>
      <c r="O921" s="26">
        <f t="shared" ca="1" si="208"/>
        <v>0.46484886151421867</v>
      </c>
      <c r="P921" s="29">
        <f t="shared" ca="1" si="226"/>
        <v>229</v>
      </c>
      <c r="R921" s="22">
        <v>45466</v>
      </c>
      <c r="S921" s="26">
        <f t="shared" ca="1" si="209"/>
        <v>0.11292400880339803</v>
      </c>
      <c r="T921" s="29">
        <f t="shared" ca="1" si="227"/>
        <v>128</v>
      </c>
      <c r="V921" s="22">
        <v>45466</v>
      </c>
      <c r="W921" s="26">
        <f t="shared" ca="1" si="210"/>
        <v>0.2521986927037082</v>
      </c>
      <c r="X921" s="29">
        <f t="shared" ca="1" si="228"/>
        <v>215</v>
      </c>
      <c r="Z921" s="22">
        <v>45466</v>
      </c>
      <c r="AA921" s="26">
        <f t="shared" ca="1" si="211"/>
        <v>0.62689123929021218</v>
      </c>
      <c r="AB921" s="29">
        <f t="shared" ca="1" si="229"/>
        <v>276</v>
      </c>
      <c r="AC921"/>
      <c r="AD921" s="25"/>
      <c r="AF921" s="22">
        <v>45466</v>
      </c>
      <c r="AG921" s="26">
        <f t="shared" ca="1" si="212"/>
        <v>0.90649589962642996</v>
      </c>
      <c r="AH921" s="29">
        <f t="shared" ca="1" si="230"/>
        <v>443</v>
      </c>
      <c r="AJ921" s="22">
        <v>45466</v>
      </c>
      <c r="AK921" s="26">
        <f t="shared" ca="1" si="213"/>
        <v>0.71835878192114866</v>
      </c>
      <c r="AL921" s="29">
        <f t="shared" ca="1" si="231"/>
        <v>208</v>
      </c>
      <c r="AN921" s="22">
        <v>45466</v>
      </c>
      <c r="AO921" s="26">
        <f t="shared" ca="1" si="214"/>
        <v>0.83307261028896573</v>
      </c>
      <c r="AP921" s="29">
        <f t="shared" ca="1" si="232"/>
        <v>186</v>
      </c>
      <c r="AR921" s="22">
        <v>45466</v>
      </c>
      <c r="AS921" s="26">
        <f t="shared" ca="1" si="215"/>
        <v>0.34330423014001432</v>
      </c>
      <c r="AT921" s="29">
        <f t="shared" ca="1" si="233"/>
        <v>194</v>
      </c>
      <c r="AV921" s="22">
        <v>45466</v>
      </c>
      <c r="AW921" s="26">
        <f t="shared" ca="1" si="216"/>
        <v>5.86279611098528E-2</v>
      </c>
      <c r="AX921" s="29">
        <f t="shared" ca="1" si="234"/>
        <v>112</v>
      </c>
      <c r="AZ921" s="22">
        <v>45466</v>
      </c>
      <c r="BA921" s="26">
        <f t="shared" ca="1" si="217"/>
        <v>0.83598848653156643</v>
      </c>
      <c r="BB921" s="29">
        <f t="shared" ca="1" si="235"/>
        <v>227</v>
      </c>
      <c r="BC921"/>
      <c r="BD921" s="25"/>
      <c r="BF921" s="22">
        <v>45466</v>
      </c>
      <c r="BG921" s="26">
        <f t="shared" ca="1" si="218"/>
        <v>0.88904910776121404</v>
      </c>
      <c r="BH921" s="29">
        <f t="shared" ca="1" si="236"/>
        <v>212</v>
      </c>
      <c r="BJ921" s="22">
        <v>45466</v>
      </c>
      <c r="BK921" s="26">
        <f t="shared" ca="1" si="219"/>
        <v>0.16371565626769891</v>
      </c>
      <c r="BL921" s="29">
        <f t="shared" ca="1" si="237"/>
        <v>122</v>
      </c>
      <c r="BN921" s="22">
        <v>45466</v>
      </c>
      <c r="BO921" s="26">
        <f t="shared" ca="1" si="220"/>
        <v>0.17447951364380743</v>
      </c>
      <c r="BP921" s="29">
        <f t="shared" ca="1" si="238"/>
        <v>99</v>
      </c>
      <c r="BR921" s="22">
        <v>45466</v>
      </c>
      <c r="BS921" s="26">
        <f t="shared" ca="1" si="221"/>
        <v>0.21831156469333213</v>
      </c>
      <c r="BT921" s="29">
        <f t="shared" ca="1" si="239"/>
        <v>138</v>
      </c>
      <c r="BV921" s="22">
        <v>45466</v>
      </c>
      <c r="BW921" s="26">
        <f t="shared" ca="1" si="222"/>
        <v>1.9995615910719855E-2</v>
      </c>
      <c r="BX921" s="29">
        <f t="shared" ca="1" si="240"/>
        <v>83</v>
      </c>
    </row>
    <row r="922" spans="2:77" ht="12.75" x14ac:dyDescent="0.2">
      <c r="B922" s="22">
        <v>45467</v>
      </c>
      <c r="C922" s="26">
        <f t="shared" ca="1" si="205"/>
        <v>0.12676287574054645</v>
      </c>
      <c r="D922" s="29">
        <f t="shared" ca="1" si="223"/>
        <v>53</v>
      </c>
      <c r="F922" s="22"/>
      <c r="G922" s="26">
        <f t="shared" ca="1" si="206"/>
        <v>0.91228109946227898</v>
      </c>
      <c r="H922" s="29">
        <f t="shared" ca="1" si="224"/>
        <v>235</v>
      </c>
      <c r="J922" s="22">
        <v>45467</v>
      </c>
      <c r="K922" s="26">
        <f t="shared" ca="1" si="207"/>
        <v>0.51595660582589598</v>
      </c>
      <c r="L922" s="29">
        <f t="shared" ca="1" si="225"/>
        <v>151</v>
      </c>
      <c r="N922" s="22">
        <v>45467</v>
      </c>
      <c r="O922" s="26">
        <f t="shared" ca="1" si="208"/>
        <v>9.0078318343208341E-2</v>
      </c>
      <c r="P922" s="29">
        <f t="shared" ca="1" si="226"/>
        <v>209</v>
      </c>
      <c r="R922" s="22">
        <v>45467</v>
      </c>
      <c r="S922" s="26">
        <f t="shared" ca="1" si="209"/>
        <v>0.23740215359801997</v>
      </c>
      <c r="T922" s="29">
        <f t="shared" ca="1" si="227"/>
        <v>133</v>
      </c>
      <c r="V922" s="22">
        <v>45467</v>
      </c>
      <c r="W922" s="26">
        <f t="shared" ca="1" si="210"/>
        <v>0.50206017274788872</v>
      </c>
      <c r="X922" s="29">
        <f t="shared" ca="1" si="228"/>
        <v>226</v>
      </c>
      <c r="Z922" s="22">
        <v>45467</v>
      </c>
      <c r="AA922" s="26">
        <f t="shared" ca="1" si="211"/>
        <v>0.16526589576472495</v>
      </c>
      <c r="AB922" s="29">
        <f t="shared" ca="1" si="229"/>
        <v>253</v>
      </c>
      <c r="AC922"/>
      <c r="AD922" s="25"/>
      <c r="AF922" s="22">
        <v>45467</v>
      </c>
      <c r="AG922" s="26">
        <f t="shared" ca="1" si="212"/>
        <v>0.1934573467784001</v>
      </c>
      <c r="AH922" s="29">
        <f t="shared" ca="1" si="230"/>
        <v>252</v>
      </c>
      <c r="AJ922" s="22">
        <v>45467</v>
      </c>
      <c r="AK922" s="26">
        <f t="shared" ca="1" si="213"/>
        <v>0.62414191519177875</v>
      </c>
      <c r="AL922" s="29">
        <f t="shared" ca="1" si="231"/>
        <v>196</v>
      </c>
      <c r="AN922" s="22">
        <v>45467</v>
      </c>
      <c r="AO922" s="26">
        <f t="shared" ca="1" si="214"/>
        <v>0.10181500771897811</v>
      </c>
      <c r="AP922" s="29">
        <f t="shared" ca="1" si="232"/>
        <v>98</v>
      </c>
      <c r="AR922" s="22">
        <v>45467</v>
      </c>
      <c r="AS922" s="26">
        <f t="shared" ca="1" si="215"/>
        <v>0.71037829494776816</v>
      </c>
      <c r="AT922" s="29">
        <f t="shared" ca="1" si="233"/>
        <v>249</v>
      </c>
      <c r="AV922" s="22">
        <v>45467</v>
      </c>
      <c r="AW922" s="26">
        <f t="shared" ca="1" si="216"/>
        <v>0.79616898986078999</v>
      </c>
      <c r="AX922" s="29">
        <f t="shared" ca="1" si="234"/>
        <v>235</v>
      </c>
      <c r="AZ922" s="22">
        <v>45467</v>
      </c>
      <c r="BA922" s="26">
        <f t="shared" ca="1" si="217"/>
        <v>0.34460179666542368</v>
      </c>
      <c r="BB922" s="29">
        <f t="shared" ca="1" si="235"/>
        <v>161</v>
      </c>
      <c r="BC922"/>
      <c r="BD922" s="25"/>
      <c r="BF922" s="22">
        <v>45467</v>
      </c>
      <c r="BG922" s="26">
        <f t="shared" ca="1" si="218"/>
        <v>0.65857025497498423</v>
      </c>
      <c r="BH922" s="29">
        <f t="shared" ca="1" si="236"/>
        <v>177</v>
      </c>
      <c r="BJ922" s="22">
        <v>45467</v>
      </c>
      <c r="BK922" s="26">
        <f t="shared" ca="1" si="219"/>
        <v>0.27382535826655052</v>
      </c>
      <c r="BL922" s="29">
        <f t="shared" ca="1" si="237"/>
        <v>139</v>
      </c>
      <c r="BN922" s="22">
        <v>45467</v>
      </c>
      <c r="BO922" s="26">
        <f t="shared" ca="1" si="220"/>
        <v>0.82880654557381217</v>
      </c>
      <c r="BP922" s="29">
        <f t="shared" ca="1" si="238"/>
        <v>165</v>
      </c>
      <c r="BR922" s="22">
        <v>45467</v>
      </c>
      <c r="BS922" s="26">
        <f t="shared" ca="1" si="221"/>
        <v>6.1857104149090958E-2</v>
      </c>
      <c r="BT922" s="29">
        <f t="shared" ca="1" si="239"/>
        <v>103</v>
      </c>
      <c r="BV922" s="22">
        <v>45467</v>
      </c>
      <c r="BW922" s="26">
        <f t="shared" ca="1" si="222"/>
        <v>0.53582307759317482</v>
      </c>
      <c r="BX922" s="29">
        <f t="shared" ca="1" si="240"/>
        <v>188</v>
      </c>
    </row>
    <row r="923" spans="2:77" ht="12.75" x14ac:dyDescent="0.2">
      <c r="B923" s="22">
        <v>45468</v>
      </c>
      <c r="C923" s="26">
        <f t="shared" ca="1" si="205"/>
        <v>0.6940619044790084</v>
      </c>
      <c r="D923" s="29">
        <f t="shared" ca="1" si="223"/>
        <v>86</v>
      </c>
      <c r="F923" s="22"/>
      <c r="G923" s="26">
        <f t="shared" ca="1" si="206"/>
        <v>0.15821706088835963</v>
      </c>
      <c r="H923" s="29">
        <f t="shared" ca="1" si="224"/>
        <v>202</v>
      </c>
      <c r="J923" s="22">
        <v>45468</v>
      </c>
      <c r="K923" s="26">
        <f t="shared" ca="1" si="207"/>
        <v>0.94771766583313599</v>
      </c>
      <c r="L923" s="29">
        <f t="shared" ca="1" si="225"/>
        <v>167</v>
      </c>
      <c r="N923" s="22">
        <v>45468</v>
      </c>
      <c r="O923" s="26">
        <f t="shared" ca="1" si="208"/>
        <v>0.39314793063813869</v>
      </c>
      <c r="P923" s="29">
        <f t="shared" ca="1" si="226"/>
        <v>226</v>
      </c>
      <c r="R923" s="22">
        <v>45468</v>
      </c>
      <c r="S923" s="26">
        <f t="shared" ca="1" si="209"/>
        <v>0.83809780594144057</v>
      </c>
      <c r="T923" s="29">
        <f t="shared" ca="1" si="227"/>
        <v>148</v>
      </c>
      <c r="V923" s="22">
        <v>45468</v>
      </c>
      <c r="W923" s="26">
        <f t="shared" ca="1" si="210"/>
        <v>9.1508708589548071E-2</v>
      </c>
      <c r="X923" s="29">
        <f t="shared" ca="1" si="228"/>
        <v>206</v>
      </c>
      <c r="Z923" s="22">
        <v>45468</v>
      </c>
      <c r="AA923" s="26">
        <f t="shared" ca="1" si="211"/>
        <v>0.57058677587018536</v>
      </c>
      <c r="AB923" s="29">
        <f t="shared" ca="1" si="229"/>
        <v>274</v>
      </c>
      <c r="AC923"/>
      <c r="AD923" s="25"/>
      <c r="AF923" s="22">
        <v>45468</v>
      </c>
      <c r="AG923" s="26">
        <f t="shared" ca="1" si="212"/>
        <v>0.43268728407229473</v>
      </c>
      <c r="AH923" s="29">
        <f t="shared" ca="1" si="230"/>
        <v>313</v>
      </c>
      <c r="AJ923" s="22">
        <v>45468</v>
      </c>
      <c r="AK923" s="26">
        <f t="shared" ca="1" si="213"/>
        <v>0.78427495556279692</v>
      </c>
      <c r="AL923" s="29">
        <f t="shared" ca="1" si="231"/>
        <v>218</v>
      </c>
      <c r="AN923" s="22">
        <v>45468</v>
      </c>
      <c r="AO923" s="26">
        <f t="shared" ca="1" si="214"/>
        <v>0.14982551657530019</v>
      </c>
      <c r="AP923" s="29">
        <f t="shared" ca="1" si="232"/>
        <v>107</v>
      </c>
      <c r="AR923" s="22">
        <v>45468</v>
      </c>
      <c r="AS923" s="26">
        <f t="shared" ca="1" si="215"/>
        <v>0.80027237638130588</v>
      </c>
      <c r="AT923" s="29">
        <f t="shared" ca="1" si="233"/>
        <v>266</v>
      </c>
      <c r="AV923" s="22">
        <v>45468</v>
      </c>
      <c r="AW923" s="26">
        <f t="shared" ca="1" si="216"/>
        <v>0.4585925340999224</v>
      </c>
      <c r="AX923" s="29">
        <f t="shared" ca="1" si="234"/>
        <v>187</v>
      </c>
      <c r="AZ923" s="22">
        <v>45468</v>
      </c>
      <c r="BA923" s="26">
        <f t="shared" ca="1" si="217"/>
        <v>0.83754394789844822</v>
      </c>
      <c r="BB923" s="29">
        <f t="shared" ca="1" si="235"/>
        <v>228</v>
      </c>
      <c r="BC923"/>
      <c r="BD923" s="25"/>
      <c r="BF923" s="22">
        <v>45468</v>
      </c>
      <c r="BG923" s="26">
        <f t="shared" ca="1" si="218"/>
        <v>0.72210287448427635</v>
      </c>
      <c r="BH923" s="29">
        <f t="shared" ca="1" si="236"/>
        <v>185</v>
      </c>
      <c r="BJ923" s="22">
        <v>45468</v>
      </c>
      <c r="BK923" s="26">
        <f t="shared" ca="1" si="219"/>
        <v>0.22531354979733187</v>
      </c>
      <c r="BL923" s="29">
        <f t="shared" ca="1" si="237"/>
        <v>132</v>
      </c>
      <c r="BN923" s="22">
        <v>45468</v>
      </c>
      <c r="BO923" s="26">
        <f t="shared" ca="1" si="220"/>
        <v>8.8824218732363014E-2</v>
      </c>
      <c r="BP923" s="29">
        <f t="shared" ca="1" si="238"/>
        <v>84</v>
      </c>
      <c r="BR923" s="22">
        <v>45468</v>
      </c>
      <c r="BS923" s="26">
        <f t="shared" ca="1" si="221"/>
        <v>0.94786356240681346</v>
      </c>
      <c r="BT923" s="29">
        <f t="shared" ca="1" si="239"/>
        <v>249</v>
      </c>
      <c r="BV923" s="22">
        <v>45468</v>
      </c>
      <c r="BW923" s="26">
        <f t="shared" ca="1" si="222"/>
        <v>0.3891330258796416</v>
      </c>
      <c r="BX923" s="29">
        <f t="shared" ca="1" si="240"/>
        <v>170</v>
      </c>
    </row>
    <row r="924" spans="2:77" ht="12.75" x14ac:dyDescent="0.2">
      <c r="B924" s="22">
        <v>45469</v>
      </c>
      <c r="C924" s="26">
        <f t="shared" ca="1" si="205"/>
        <v>0.78888382788718103</v>
      </c>
      <c r="D924" s="29">
        <f t="shared" ca="1" si="223"/>
        <v>92</v>
      </c>
      <c r="F924" s="22"/>
      <c r="G924" s="26">
        <f t="shared" ca="1" si="206"/>
        <v>0.63559164569996418</v>
      </c>
      <c r="H924" s="29">
        <f t="shared" ca="1" si="224"/>
        <v>221</v>
      </c>
      <c r="J924" s="22">
        <v>45469</v>
      </c>
      <c r="K924" s="26">
        <f t="shared" ca="1" si="207"/>
        <v>0.58571802711353016</v>
      </c>
      <c r="L924" s="29">
        <f t="shared" ca="1" si="225"/>
        <v>153</v>
      </c>
      <c r="N924" s="22">
        <v>45469</v>
      </c>
      <c r="O924" s="26">
        <f t="shared" ca="1" si="208"/>
        <v>0.69907283853859803</v>
      </c>
      <c r="P924" s="29">
        <f t="shared" ca="1" si="226"/>
        <v>238</v>
      </c>
      <c r="R924" s="22">
        <v>45469</v>
      </c>
      <c r="S924" s="26">
        <f t="shared" ca="1" si="209"/>
        <v>0.46030772496726413</v>
      </c>
      <c r="T924" s="29">
        <f t="shared" ca="1" si="227"/>
        <v>138</v>
      </c>
      <c r="V924" s="22">
        <v>45469</v>
      </c>
      <c r="W924" s="26">
        <f t="shared" ca="1" si="210"/>
        <v>0.82478053246534955</v>
      </c>
      <c r="X924" s="29">
        <f t="shared" ca="1" si="228"/>
        <v>240</v>
      </c>
      <c r="Z924" s="22">
        <v>45469</v>
      </c>
      <c r="AA924" s="26">
        <f t="shared" ca="1" si="211"/>
        <v>5.7041588203731397E-2</v>
      </c>
      <c r="AB924" s="29">
        <f t="shared" ca="1" si="229"/>
        <v>242</v>
      </c>
      <c r="AC924"/>
      <c r="AD924" s="25"/>
      <c r="AF924" s="22">
        <v>45469</v>
      </c>
      <c r="AG924" s="26">
        <f t="shared" ca="1" si="212"/>
        <v>0.23003492018145477</v>
      </c>
      <c r="AH924" s="29">
        <f t="shared" ca="1" si="230"/>
        <v>263</v>
      </c>
      <c r="AJ924" s="22">
        <v>45469</v>
      </c>
      <c r="AK924" s="26">
        <f t="shared" ca="1" si="213"/>
        <v>0.56460256533193298</v>
      </c>
      <c r="AL924" s="29">
        <f t="shared" ca="1" si="231"/>
        <v>188</v>
      </c>
      <c r="AN924" s="22">
        <v>45469</v>
      </c>
      <c r="AO924" s="26">
        <f t="shared" ca="1" si="214"/>
        <v>0.74176468510443039</v>
      </c>
      <c r="AP924" s="29">
        <f t="shared" ca="1" si="232"/>
        <v>173</v>
      </c>
      <c r="AR924" s="22">
        <v>45469</v>
      </c>
      <c r="AS924" s="26">
        <f t="shared" ca="1" si="215"/>
        <v>0.33309990174258819</v>
      </c>
      <c r="AT924" s="29">
        <f t="shared" ca="1" si="233"/>
        <v>192</v>
      </c>
      <c r="AV924" s="22">
        <v>45469</v>
      </c>
      <c r="AW924" s="26">
        <f t="shared" ca="1" si="216"/>
        <v>0.2835147998936639</v>
      </c>
      <c r="AX924" s="29">
        <f t="shared" ca="1" si="234"/>
        <v>163</v>
      </c>
      <c r="AZ924" s="22">
        <v>45469</v>
      </c>
      <c r="BA924" s="26">
        <f t="shared" ca="1" si="217"/>
        <v>0.42825049297157192</v>
      </c>
      <c r="BB924" s="29">
        <f t="shared" ca="1" si="235"/>
        <v>172</v>
      </c>
      <c r="BC924"/>
      <c r="BD924" s="25"/>
      <c r="BF924" s="22">
        <v>45469</v>
      </c>
      <c r="BG924" s="26">
        <f t="shared" ca="1" si="218"/>
        <v>0.73986369540921093</v>
      </c>
      <c r="BH924" s="29">
        <f t="shared" ca="1" si="236"/>
        <v>187</v>
      </c>
      <c r="BJ924" s="22">
        <v>45469</v>
      </c>
      <c r="BK924" s="26">
        <f t="shared" ca="1" si="219"/>
        <v>0.40610264901435122</v>
      </c>
      <c r="BL924" s="29">
        <f t="shared" ca="1" si="237"/>
        <v>155</v>
      </c>
      <c r="BN924" s="22">
        <v>45469</v>
      </c>
      <c r="BO924" s="26">
        <f t="shared" ca="1" si="220"/>
        <v>5.4181883507296025E-3</v>
      </c>
      <c r="BP924" s="29">
        <f t="shared" ca="1" si="238"/>
        <v>42</v>
      </c>
      <c r="BR924" s="22">
        <v>45469</v>
      </c>
      <c r="BS924" s="26">
        <f t="shared" ca="1" si="221"/>
        <v>0.58573226899024944</v>
      </c>
      <c r="BT924" s="29">
        <f t="shared" ca="1" si="239"/>
        <v>184</v>
      </c>
      <c r="BV924" s="22">
        <v>45469</v>
      </c>
      <c r="BW924" s="26">
        <f t="shared" ca="1" si="222"/>
        <v>0.57751309245735671</v>
      </c>
      <c r="BX924" s="29">
        <f t="shared" ca="1" si="240"/>
        <v>194</v>
      </c>
    </row>
    <row r="925" spans="2:77" ht="12.75" x14ac:dyDescent="0.2">
      <c r="B925" s="22">
        <v>45470</v>
      </c>
      <c r="C925" s="26">
        <f t="shared" ca="1" si="205"/>
        <v>8.8088507350864931E-2</v>
      </c>
      <c r="D925" s="29">
        <f t="shared" ca="1" si="223"/>
        <v>48</v>
      </c>
      <c r="F925" s="22"/>
      <c r="G925" s="26">
        <f t="shared" ca="1" si="206"/>
        <v>0.88866501189597213</v>
      </c>
      <c r="H925" s="29">
        <f t="shared" ca="1" si="224"/>
        <v>233</v>
      </c>
      <c r="J925" s="22">
        <v>45470</v>
      </c>
      <c r="K925" s="26">
        <f t="shared" ca="1" si="207"/>
        <v>0.73867417329451557</v>
      </c>
      <c r="L925" s="29">
        <f t="shared" ca="1" si="225"/>
        <v>157</v>
      </c>
      <c r="N925" s="22">
        <v>45470</v>
      </c>
      <c r="O925" s="26">
        <f t="shared" ca="1" si="208"/>
        <v>0.78008557581533888</v>
      </c>
      <c r="P925" s="29">
        <f t="shared" ca="1" si="226"/>
        <v>242</v>
      </c>
      <c r="R925" s="22">
        <v>45470</v>
      </c>
      <c r="S925" s="26">
        <f t="shared" ca="1" si="209"/>
        <v>0.74421051054595344</v>
      </c>
      <c r="T925" s="29">
        <f t="shared" ca="1" si="227"/>
        <v>145</v>
      </c>
      <c r="V925" s="22">
        <v>45470</v>
      </c>
      <c r="W925" s="26">
        <f t="shared" ca="1" si="210"/>
        <v>0.11380693111652584</v>
      </c>
      <c r="X925" s="29">
        <f t="shared" ca="1" si="228"/>
        <v>207</v>
      </c>
      <c r="Z925" s="22">
        <v>45470</v>
      </c>
      <c r="AA925" s="26">
        <f t="shared" ca="1" si="211"/>
        <v>0.25391893321861791</v>
      </c>
      <c r="AB925" s="29">
        <f t="shared" ca="1" si="229"/>
        <v>259</v>
      </c>
      <c r="AC925"/>
      <c r="AD925" s="25"/>
      <c r="AF925" s="22">
        <v>45470</v>
      </c>
      <c r="AG925" s="26">
        <f t="shared" ca="1" si="212"/>
        <v>0.43690705711652178</v>
      </c>
      <c r="AH925" s="29">
        <f t="shared" ca="1" si="230"/>
        <v>314</v>
      </c>
      <c r="AJ925" s="22">
        <v>45470</v>
      </c>
      <c r="AK925" s="26">
        <f t="shared" ca="1" si="213"/>
        <v>0.14224460144069329</v>
      </c>
      <c r="AL925" s="29">
        <f t="shared" ca="1" si="231"/>
        <v>129</v>
      </c>
      <c r="AN925" s="22">
        <v>45470</v>
      </c>
      <c r="AO925" s="26">
        <f t="shared" ca="1" si="214"/>
        <v>0.45602580871355636</v>
      </c>
      <c r="AP925" s="29">
        <f t="shared" ca="1" si="232"/>
        <v>143</v>
      </c>
      <c r="AR925" s="22">
        <v>45470</v>
      </c>
      <c r="AS925" s="26">
        <f t="shared" ca="1" si="215"/>
        <v>0.91877457399887563</v>
      </c>
      <c r="AT925" s="29">
        <f t="shared" ca="1" si="233"/>
        <v>298</v>
      </c>
      <c r="AV925" s="22">
        <v>45470</v>
      </c>
      <c r="AW925" s="26">
        <f t="shared" ca="1" si="216"/>
        <v>0.73743701931482386</v>
      </c>
      <c r="AX925" s="29">
        <f t="shared" ca="1" si="234"/>
        <v>225</v>
      </c>
      <c r="AZ925" s="22">
        <v>45470</v>
      </c>
      <c r="BA925" s="26">
        <f t="shared" ca="1" si="217"/>
        <v>0.71603651878197494</v>
      </c>
      <c r="BB925" s="29">
        <f t="shared" ca="1" si="235"/>
        <v>208</v>
      </c>
      <c r="BC925"/>
      <c r="BD925" s="25"/>
      <c r="BF925" s="22">
        <v>45470</v>
      </c>
      <c r="BG925" s="26">
        <f t="shared" ca="1" si="218"/>
        <v>0.43861584256178288</v>
      </c>
      <c r="BH925" s="29">
        <f t="shared" ca="1" si="236"/>
        <v>154</v>
      </c>
      <c r="BJ925" s="22">
        <v>45470</v>
      </c>
      <c r="BK925" s="26">
        <f t="shared" ca="1" si="219"/>
        <v>0.55346765217126614</v>
      </c>
      <c r="BL925" s="29">
        <f t="shared" ca="1" si="237"/>
        <v>171</v>
      </c>
      <c r="BN925" s="22">
        <v>45470</v>
      </c>
      <c r="BO925" s="26">
        <f t="shared" ca="1" si="220"/>
        <v>0.77882566501465111</v>
      </c>
      <c r="BP925" s="29">
        <f t="shared" ca="1" si="238"/>
        <v>158</v>
      </c>
      <c r="BR925" s="22">
        <v>45470</v>
      </c>
      <c r="BS925" s="26">
        <f t="shared" ca="1" si="221"/>
        <v>5.166725377901582E-2</v>
      </c>
      <c r="BT925" s="29">
        <f t="shared" ca="1" si="239"/>
        <v>99</v>
      </c>
      <c r="BV925" s="22">
        <v>45470</v>
      </c>
      <c r="BW925" s="26">
        <f t="shared" ca="1" si="222"/>
        <v>0.45184008347631799</v>
      </c>
      <c r="BX925" s="29">
        <f t="shared" ca="1" si="240"/>
        <v>178</v>
      </c>
    </row>
    <row r="926" spans="2:77" ht="12.75" x14ac:dyDescent="0.2">
      <c r="B926" s="22">
        <v>45471</v>
      </c>
      <c r="C926" s="26">
        <f t="shared" ca="1" si="205"/>
        <v>7.6509092654017063E-2</v>
      </c>
      <c r="D926" s="29">
        <f t="shared" ca="1" si="223"/>
        <v>47</v>
      </c>
      <c r="F926" s="22"/>
      <c r="G926" s="26">
        <f t="shared" ca="1" si="206"/>
        <v>0.37184568144563457</v>
      </c>
      <c r="H926" s="29">
        <f t="shared" ca="1" si="224"/>
        <v>211</v>
      </c>
      <c r="J926" s="22">
        <v>45471</v>
      </c>
      <c r="K926" s="26">
        <f t="shared" ca="1" si="207"/>
        <v>0.45693416143192633</v>
      </c>
      <c r="L926" s="29">
        <f t="shared" ca="1" si="225"/>
        <v>149</v>
      </c>
      <c r="N926" s="22">
        <v>45471</v>
      </c>
      <c r="O926" s="26">
        <f t="shared" ca="1" si="208"/>
        <v>0.59735086616709687</v>
      </c>
      <c r="P926" s="29">
        <f t="shared" ca="1" si="226"/>
        <v>234</v>
      </c>
      <c r="R926" s="22">
        <v>45471</v>
      </c>
      <c r="S926" s="26">
        <f t="shared" ca="1" si="209"/>
        <v>0.98518953553243704</v>
      </c>
      <c r="T926" s="29">
        <f t="shared" ca="1" si="227"/>
        <v>159</v>
      </c>
      <c r="V926" s="22">
        <v>45471</v>
      </c>
      <c r="W926" s="26">
        <f t="shared" ca="1" si="210"/>
        <v>0.61226582251103534</v>
      </c>
      <c r="X926" s="29">
        <f t="shared" ca="1" si="228"/>
        <v>230</v>
      </c>
      <c r="Z926" s="22">
        <v>45471</v>
      </c>
      <c r="AA926" s="26">
        <f t="shared" ca="1" si="211"/>
        <v>0.85714433459184891</v>
      </c>
      <c r="AB926" s="29">
        <f t="shared" ca="1" si="229"/>
        <v>290</v>
      </c>
      <c r="AC926"/>
      <c r="AD926" s="25"/>
      <c r="AF926" s="22">
        <v>45471</v>
      </c>
      <c r="AG926" s="26">
        <f t="shared" ca="1" si="212"/>
        <v>0.61876763926767031</v>
      </c>
      <c r="AH926" s="29">
        <f t="shared" ca="1" si="230"/>
        <v>354</v>
      </c>
      <c r="AJ926" s="22">
        <v>45471</v>
      </c>
      <c r="AK926" s="26">
        <f t="shared" ca="1" si="213"/>
        <v>9.007288213669129E-2</v>
      </c>
      <c r="AL926" s="29">
        <f t="shared" ca="1" si="231"/>
        <v>116</v>
      </c>
      <c r="AN926" s="22">
        <v>45471</v>
      </c>
      <c r="AO926" s="26">
        <f t="shared" ca="1" si="214"/>
        <v>0.83775630044993021</v>
      </c>
      <c r="AP926" s="29">
        <f t="shared" ca="1" si="232"/>
        <v>186</v>
      </c>
      <c r="AR926" s="22">
        <v>45471</v>
      </c>
      <c r="AS926" s="26">
        <f t="shared" ca="1" si="215"/>
        <v>0.78688804899783282</v>
      </c>
      <c r="AT926" s="29">
        <f t="shared" ca="1" si="233"/>
        <v>263</v>
      </c>
      <c r="AV926" s="22">
        <v>45471</v>
      </c>
      <c r="AW926" s="26">
        <f t="shared" ca="1" si="216"/>
        <v>0.64014485836162971</v>
      </c>
      <c r="AX926" s="29">
        <f t="shared" ca="1" si="234"/>
        <v>211</v>
      </c>
      <c r="AZ926" s="22">
        <v>45471</v>
      </c>
      <c r="BA926" s="26">
        <f t="shared" ca="1" si="217"/>
        <v>0.9669890864655486</v>
      </c>
      <c r="BB926" s="29">
        <f t="shared" ca="1" si="235"/>
        <v>269</v>
      </c>
      <c r="BC926"/>
      <c r="BD926" s="25"/>
      <c r="BF926" s="22">
        <v>45471</v>
      </c>
      <c r="BG926" s="26">
        <f t="shared" ca="1" si="218"/>
        <v>0.81554587408380763</v>
      </c>
      <c r="BH926" s="29">
        <f t="shared" ca="1" si="236"/>
        <v>198</v>
      </c>
      <c r="BJ926" s="22">
        <v>45471</v>
      </c>
      <c r="BK926" s="26">
        <f t="shared" ca="1" si="219"/>
        <v>0.57924341127051193</v>
      </c>
      <c r="BL926" s="29">
        <f t="shared" ca="1" si="237"/>
        <v>174</v>
      </c>
      <c r="BN926" s="22">
        <v>45471</v>
      </c>
      <c r="BO926" s="26">
        <f t="shared" ca="1" si="220"/>
        <v>9.5275101968429476E-2</v>
      </c>
      <c r="BP926" s="29">
        <f t="shared" ca="1" si="238"/>
        <v>86</v>
      </c>
      <c r="BR926" s="22">
        <v>45471</v>
      </c>
      <c r="BS926" s="26">
        <f t="shared" ca="1" si="221"/>
        <v>2.0605463834756255E-2</v>
      </c>
      <c r="BT926" s="29">
        <f t="shared" ca="1" si="239"/>
        <v>80</v>
      </c>
      <c r="BV926" s="22">
        <v>45471</v>
      </c>
      <c r="BW926" s="26">
        <f t="shared" ca="1" si="222"/>
        <v>2.1571682268983761E-4</v>
      </c>
      <c r="BX926" s="29">
        <f t="shared" ca="1" si="240"/>
        <v>12</v>
      </c>
    </row>
    <row r="927" spans="2:77" ht="12.75" x14ac:dyDescent="0.2">
      <c r="B927" s="22">
        <v>45472</v>
      </c>
      <c r="C927" s="26">
        <f t="shared" ca="1" si="205"/>
        <v>0.72758686162526676</v>
      </c>
      <c r="D927" s="29">
        <f t="shared" ca="1" si="223"/>
        <v>88</v>
      </c>
      <c r="F927" s="22"/>
      <c r="G927" s="26">
        <f t="shared" ca="1" si="206"/>
        <v>0.42665181484766501</v>
      </c>
      <c r="H927" s="29">
        <f t="shared" ca="1" si="224"/>
        <v>213</v>
      </c>
      <c r="J927" s="22">
        <v>45472</v>
      </c>
      <c r="K927" s="26">
        <f t="shared" ca="1" si="207"/>
        <v>0.91988742820869929</v>
      </c>
      <c r="L927" s="29">
        <f t="shared" ca="1" si="225"/>
        <v>165</v>
      </c>
      <c r="N927" s="22">
        <v>45472</v>
      </c>
      <c r="O927" s="26">
        <f t="shared" ca="1" si="208"/>
        <v>0.74961952113020536</v>
      </c>
      <c r="P927" s="29">
        <f t="shared" ca="1" si="226"/>
        <v>240</v>
      </c>
      <c r="R927" s="22">
        <v>45472</v>
      </c>
      <c r="S927" s="26">
        <f t="shared" ca="1" si="209"/>
        <v>0.90744441958122424</v>
      </c>
      <c r="T927" s="29">
        <f t="shared" ca="1" si="227"/>
        <v>152</v>
      </c>
      <c r="V927" s="22">
        <v>45472</v>
      </c>
      <c r="W927" s="26">
        <f t="shared" ca="1" si="210"/>
        <v>0.60781135453397461</v>
      </c>
      <c r="X927" s="29">
        <f t="shared" ca="1" si="228"/>
        <v>230</v>
      </c>
      <c r="Z927" s="22">
        <v>45472</v>
      </c>
      <c r="AA927" s="26">
        <f t="shared" ca="1" si="211"/>
        <v>4.6608262061400008E-2</v>
      </c>
      <c r="AB927" s="29">
        <f t="shared" ca="1" si="229"/>
        <v>240</v>
      </c>
      <c r="AC927"/>
      <c r="AD927" s="25"/>
      <c r="AF927" s="22">
        <v>45472</v>
      </c>
      <c r="AG927" s="26">
        <f t="shared" ca="1" si="212"/>
        <v>0.45337272264510009</v>
      </c>
      <c r="AH927" s="29">
        <f t="shared" ca="1" si="230"/>
        <v>317</v>
      </c>
      <c r="AJ927" s="22">
        <v>45472</v>
      </c>
      <c r="AK927" s="26">
        <f t="shared" ca="1" si="213"/>
        <v>0.13452335027867446</v>
      </c>
      <c r="AL927" s="29">
        <f t="shared" ca="1" si="231"/>
        <v>127</v>
      </c>
      <c r="AN927" s="22">
        <v>45472</v>
      </c>
      <c r="AO927" s="26">
        <f t="shared" ca="1" si="214"/>
        <v>1.9249801915951381E-2</v>
      </c>
      <c r="AP927" s="29">
        <f t="shared" ca="1" si="232"/>
        <v>66</v>
      </c>
      <c r="AR927" s="22">
        <v>45472</v>
      </c>
      <c r="AS927" s="26">
        <f t="shared" ca="1" si="215"/>
        <v>4.5493106889599289E-2</v>
      </c>
      <c r="AT927" s="29">
        <f t="shared" ca="1" si="233"/>
        <v>120</v>
      </c>
      <c r="AV927" s="22">
        <v>45472</v>
      </c>
      <c r="AW927" s="26">
        <f t="shared" ca="1" si="216"/>
        <v>0.80957783586966003</v>
      </c>
      <c r="AX927" s="29">
        <f t="shared" ca="1" si="234"/>
        <v>237</v>
      </c>
      <c r="AZ927" s="22">
        <v>45472</v>
      </c>
      <c r="BA927" s="26">
        <f t="shared" ca="1" si="217"/>
        <v>0.5220561077440411</v>
      </c>
      <c r="BB927" s="29">
        <f t="shared" ca="1" si="235"/>
        <v>183</v>
      </c>
      <c r="BC927"/>
      <c r="BD927" s="25"/>
      <c r="BF927" s="22">
        <v>45472</v>
      </c>
      <c r="BG927" s="26">
        <f t="shared" ca="1" si="218"/>
        <v>0.63075558271776344</v>
      </c>
      <c r="BH927" s="29">
        <f t="shared" ca="1" si="236"/>
        <v>174</v>
      </c>
      <c r="BJ927" s="22">
        <v>45472</v>
      </c>
      <c r="BK927" s="26">
        <f t="shared" ca="1" si="219"/>
        <v>0.66038750971603888</v>
      </c>
      <c r="BL927" s="29">
        <f t="shared" ca="1" si="237"/>
        <v>183</v>
      </c>
      <c r="BN927" s="22">
        <v>45472</v>
      </c>
      <c r="BO927" s="26">
        <f t="shared" ca="1" si="220"/>
        <v>1.7869040874753606E-2</v>
      </c>
      <c r="BP927" s="29">
        <f t="shared" ca="1" si="238"/>
        <v>58</v>
      </c>
      <c r="BR927" s="22">
        <v>45472</v>
      </c>
      <c r="BS927" s="26">
        <f t="shared" ca="1" si="221"/>
        <v>0.2645695814685971</v>
      </c>
      <c r="BT927" s="29">
        <f t="shared" ca="1" si="239"/>
        <v>145</v>
      </c>
      <c r="BV927" s="22">
        <v>45472</v>
      </c>
      <c r="BW927" s="26">
        <f t="shared" ca="1" si="222"/>
        <v>7.5314481192023108E-2</v>
      </c>
      <c r="BX927" s="29">
        <f t="shared" ca="1" si="240"/>
        <v>114</v>
      </c>
    </row>
    <row r="928" spans="2:77" ht="12.75" x14ac:dyDescent="0.2">
      <c r="B928" s="22">
        <v>45473</v>
      </c>
      <c r="C928" s="26">
        <f t="shared" ca="1" si="205"/>
        <v>0.46874608792902139</v>
      </c>
      <c r="D928" s="29">
        <f t="shared" ca="1" si="223"/>
        <v>74</v>
      </c>
      <c r="E928">
        <v>2200</v>
      </c>
      <c r="F928" s="22"/>
      <c r="G928" s="26">
        <f t="shared" ca="1" si="206"/>
        <v>0.18036092362184364</v>
      </c>
      <c r="H928" s="29">
        <f t="shared" ca="1" si="224"/>
        <v>203</v>
      </c>
      <c r="I928">
        <v>2278</v>
      </c>
      <c r="J928" s="22">
        <v>45473</v>
      </c>
      <c r="K928" s="26">
        <f t="shared" ca="1" si="207"/>
        <v>0.95911681395874215</v>
      </c>
      <c r="L928" s="29">
        <f t="shared" ca="1" si="225"/>
        <v>168</v>
      </c>
      <c r="M928">
        <v>4519</v>
      </c>
      <c r="N928" s="22">
        <v>45473</v>
      </c>
      <c r="O928" s="26">
        <f t="shared" ca="1" si="208"/>
        <v>0.49338054650861529</v>
      </c>
      <c r="P928" s="29">
        <f t="shared" ca="1" si="226"/>
        <v>230</v>
      </c>
      <c r="Q928">
        <v>6871</v>
      </c>
      <c r="R928" s="22">
        <v>45473</v>
      </c>
      <c r="S928" s="26">
        <f t="shared" ca="1" si="209"/>
        <v>0.70039999153034305</v>
      </c>
      <c r="T928" s="29">
        <f t="shared" ca="1" si="227"/>
        <v>144</v>
      </c>
      <c r="U928">
        <v>4255</v>
      </c>
      <c r="V928" s="22">
        <v>45473</v>
      </c>
      <c r="W928" s="26">
        <f t="shared" ca="1" si="210"/>
        <v>0.90516357523320135</v>
      </c>
      <c r="X928" s="29">
        <f t="shared" ca="1" si="228"/>
        <v>245</v>
      </c>
      <c r="Y928">
        <v>6788</v>
      </c>
      <c r="Z928" s="22">
        <v>45473</v>
      </c>
      <c r="AA928" s="26">
        <f t="shared" ca="1" si="211"/>
        <v>0.40455410374150458</v>
      </c>
      <c r="AB928" s="29">
        <f t="shared" ca="1" si="229"/>
        <v>266</v>
      </c>
      <c r="AC928">
        <v>8014</v>
      </c>
      <c r="AD928" s="25"/>
      <c r="AF928" s="22">
        <v>45473</v>
      </c>
      <c r="AG928" s="26">
        <f t="shared" ca="1" si="212"/>
        <v>0.57209644354740163</v>
      </c>
      <c r="AH928" s="29">
        <f t="shared" ca="1" si="230"/>
        <v>343</v>
      </c>
      <c r="AI928">
        <v>9627</v>
      </c>
      <c r="AJ928" s="22">
        <v>45473</v>
      </c>
      <c r="AK928" s="26">
        <f t="shared" ca="1" si="213"/>
        <v>0.94568479448138809</v>
      </c>
      <c r="AL928" s="29">
        <f t="shared" ca="1" si="231"/>
        <v>257</v>
      </c>
      <c r="AM928">
        <v>5209</v>
      </c>
      <c r="AN928" s="22">
        <v>45473</v>
      </c>
      <c r="AO928" s="26">
        <f t="shared" ca="1" si="214"/>
        <v>0.48148302979747681</v>
      </c>
      <c r="AP928" s="29">
        <f t="shared" ca="1" si="232"/>
        <v>146</v>
      </c>
      <c r="AQ928">
        <v>4473</v>
      </c>
      <c r="AR928" s="22">
        <v>45473</v>
      </c>
      <c r="AS928" s="26">
        <f t="shared" ca="1" si="215"/>
        <v>0.77577954952046313</v>
      </c>
      <c r="AT928" s="29">
        <f t="shared" ca="1" si="233"/>
        <v>261</v>
      </c>
      <c r="AU928">
        <v>6163</v>
      </c>
      <c r="AV928" s="22">
        <v>45473</v>
      </c>
      <c r="AW928" s="26">
        <f t="shared" ca="1" si="216"/>
        <v>0.21621879285084522</v>
      </c>
      <c r="AX928" s="29">
        <f t="shared" ca="1" si="234"/>
        <v>152</v>
      </c>
      <c r="AY928">
        <v>5575</v>
      </c>
      <c r="AZ928" s="22">
        <v>45473</v>
      </c>
      <c r="BA928" s="26">
        <f t="shared" ca="1" si="217"/>
        <v>0.66434113359109259</v>
      </c>
      <c r="BB928" s="29">
        <f t="shared" ca="1" si="235"/>
        <v>201</v>
      </c>
      <c r="BC928">
        <v>5289</v>
      </c>
      <c r="BD928" s="25"/>
      <c r="BF928" s="22">
        <v>45473</v>
      </c>
      <c r="BG928" s="26">
        <f t="shared" ca="1" si="218"/>
        <v>0.24027718329959225</v>
      </c>
      <c r="BH928" s="29">
        <f t="shared" ca="1" si="236"/>
        <v>130</v>
      </c>
      <c r="BI928">
        <v>4646</v>
      </c>
      <c r="BJ928" s="22">
        <v>45473</v>
      </c>
      <c r="BK928" s="26">
        <f t="shared" ca="1" si="219"/>
        <v>0.8462954440323408</v>
      </c>
      <c r="BL928" s="29">
        <f t="shared" ca="1" si="237"/>
        <v>210</v>
      </c>
      <c r="BM928">
        <v>4838</v>
      </c>
      <c r="BN928" s="22">
        <v>45473</v>
      </c>
      <c r="BO928" s="26">
        <f t="shared" ca="1" si="220"/>
        <v>0.82991903592661087</v>
      </c>
      <c r="BP928" s="29">
        <f t="shared" ca="1" si="238"/>
        <v>165</v>
      </c>
      <c r="BQ928">
        <v>3662</v>
      </c>
      <c r="BR928" s="22">
        <v>45473</v>
      </c>
      <c r="BS928" s="26">
        <f t="shared" ca="1" si="221"/>
        <v>0.69854193624383487</v>
      </c>
      <c r="BT928" s="29">
        <f t="shared" ca="1" si="239"/>
        <v>198</v>
      </c>
      <c r="BU928">
        <v>5401</v>
      </c>
      <c r="BV928" s="22">
        <v>45473</v>
      </c>
      <c r="BW928" s="26">
        <f t="shared" ca="1" si="222"/>
        <v>0.85228483163966373</v>
      </c>
      <c r="BX928" s="29">
        <f t="shared" ca="1" si="240"/>
        <v>235</v>
      </c>
      <c r="BY928">
        <v>5155</v>
      </c>
    </row>
    <row r="929" spans="2:76" ht="12.75" x14ac:dyDescent="0.2">
      <c r="B929" s="22">
        <v>45474</v>
      </c>
      <c r="C929" s="26">
        <f t="shared" ca="1" si="205"/>
        <v>0.96430509779653528</v>
      </c>
      <c r="D929" s="29">
        <f ca="1">ROUNDUP(_xlfn.NORM.INV(C928,C$10,C$12),0)</f>
        <v>74</v>
      </c>
      <c r="F929" s="22"/>
      <c r="G929" s="26">
        <f t="shared" ca="1" si="206"/>
        <v>0.72042392263168964</v>
      </c>
      <c r="H929" s="29">
        <f ca="1">ROUNDUP(_xlfn.NORM.INV(G928,G$10,G$12),0)</f>
        <v>203</v>
      </c>
      <c r="I929">
        <v>0</v>
      </c>
      <c r="J929" s="22">
        <v>45474</v>
      </c>
      <c r="K929" s="26">
        <f t="shared" ca="1" si="207"/>
        <v>0.41624829337267144</v>
      </c>
      <c r="L929" s="29">
        <f ca="1">ROUNDUP(_xlfn.NORM.INV(K928,K$10,K$12),0)</f>
        <v>168</v>
      </c>
      <c r="N929" s="22">
        <v>45474</v>
      </c>
      <c r="O929" s="26">
        <f t="shared" ca="1" si="208"/>
        <v>0.22747156554139747</v>
      </c>
      <c r="P929" s="29">
        <f ca="1">ROUNDUP(_xlfn.NORM.INV(O928,O$10,O$12),0)</f>
        <v>230</v>
      </c>
      <c r="R929" s="22">
        <v>45474</v>
      </c>
      <c r="S929" s="26">
        <f t="shared" ca="1" si="209"/>
        <v>0.29457226701129069</v>
      </c>
      <c r="T929" s="29">
        <f ca="1">ROUNDUP(_xlfn.NORM.INV(S928,S$10,S$12),0)</f>
        <v>144</v>
      </c>
      <c r="V929" s="22">
        <v>45474</v>
      </c>
      <c r="W929" s="26">
        <f t="shared" ca="1" si="210"/>
        <v>0.87183431798751765</v>
      </c>
      <c r="X929" s="29">
        <f ca="1">ROUNDUP(_xlfn.NORM.INV(W928,W$10,W$12),0)</f>
        <v>245</v>
      </c>
      <c r="Z929" s="22">
        <v>45474</v>
      </c>
      <c r="AA929" s="26">
        <f t="shared" ca="1" si="211"/>
        <v>0.75046172373124409</v>
      </c>
      <c r="AB929" s="29">
        <f ca="1">ROUNDUP(_xlfn.NORM.INV(AA928,AA$10,AA$12),0)</f>
        <v>266</v>
      </c>
      <c r="AC929"/>
      <c r="AD929" s="25"/>
      <c r="AF929" s="22">
        <v>45474</v>
      </c>
      <c r="AG929" s="26">
        <f t="shared" ca="1" si="212"/>
        <v>0.93619428857459575</v>
      </c>
      <c r="AH929" s="29">
        <f ca="1">ROUNDUP(_xlfn.NORM.INV(AG928,AG$10,AG$12),0)</f>
        <v>343</v>
      </c>
      <c r="AJ929" s="22">
        <v>45474</v>
      </c>
      <c r="AK929" s="26">
        <f t="shared" ca="1" si="213"/>
        <v>7.3933580365915796E-2</v>
      </c>
      <c r="AL929" s="29">
        <f ca="1">ROUNDUP(_xlfn.NORM.INV(AK928,AK$10,AK$12),0)</f>
        <v>257</v>
      </c>
      <c r="AN929" s="22">
        <v>45474</v>
      </c>
      <c r="AO929" s="26">
        <f t="shared" ca="1" si="214"/>
        <v>0.73379587819744918</v>
      </c>
      <c r="AP929" s="29">
        <f ca="1">ROUNDUP(_xlfn.NORM.INV(AO928,AO$10,AO$12),0)</f>
        <v>146</v>
      </c>
      <c r="AR929" s="22">
        <v>45474</v>
      </c>
      <c r="AS929" s="26">
        <f t="shared" ca="1" si="215"/>
        <v>0.9105467451806607</v>
      </c>
      <c r="AT929" s="29">
        <f ca="1">ROUNDUP(_xlfn.NORM.INV(AS928,AS$10,AS$12),0)</f>
        <v>261</v>
      </c>
      <c r="AV929" s="22">
        <v>45474</v>
      </c>
      <c r="AW929" s="26">
        <f t="shared" ca="1" si="216"/>
        <v>0.23272861143989798</v>
      </c>
      <c r="AX929" s="29">
        <f ca="1">ROUNDUP(_xlfn.NORM.INV(AW928,AW$10,AW$12),0)</f>
        <v>152</v>
      </c>
      <c r="AZ929" s="22">
        <v>45474</v>
      </c>
      <c r="BA929" s="26">
        <f t="shared" ca="1" si="217"/>
        <v>3.8710119457269876E-2</v>
      </c>
      <c r="BB929" s="29">
        <f ca="1">ROUNDUP(_xlfn.NORM.INV(BA928,BA$10,BA$12),0)</f>
        <v>201</v>
      </c>
      <c r="BC929"/>
      <c r="BD929" s="25"/>
      <c r="BF929" s="22">
        <v>45474</v>
      </c>
      <c r="BG929" s="26">
        <f t="shared" ca="1" si="218"/>
        <v>0.5723633565081423</v>
      </c>
      <c r="BH929" s="29">
        <f ca="1">ROUNDUP(_xlfn.NORM.INV(BG928,BG$10,BG$12),0)</f>
        <v>130</v>
      </c>
      <c r="BJ929" s="22">
        <v>45474</v>
      </c>
      <c r="BK929" s="26">
        <f t="shared" ca="1" si="219"/>
        <v>0.63230524950052669</v>
      </c>
      <c r="BL929" s="29">
        <f ca="1">ROUNDUP(_xlfn.NORM.INV(BK928,BK$10,BK$12),0)</f>
        <v>210</v>
      </c>
      <c r="BN929" s="22">
        <v>45474</v>
      </c>
      <c r="BO929" s="26">
        <f t="shared" ca="1" si="220"/>
        <v>0.32654527803245759</v>
      </c>
      <c r="BP929" s="29">
        <f ca="1">ROUNDUP(_xlfn.NORM.INV(BO928,BO$10,BO$12),0)</f>
        <v>165</v>
      </c>
      <c r="BR929" s="22">
        <v>45474</v>
      </c>
      <c r="BS929" s="26">
        <f t="shared" ca="1" si="221"/>
        <v>0.94287087747125109</v>
      </c>
      <c r="BT929" s="29">
        <f ca="1">ROUNDUP(_xlfn.NORM.INV(BS928,BS$10,BS$12),0)</f>
        <v>198</v>
      </c>
      <c r="BV929" s="22">
        <v>45474</v>
      </c>
      <c r="BW929" s="26">
        <f t="shared" ca="1" si="222"/>
        <v>0.49580338020234294</v>
      </c>
      <c r="BX929" s="29">
        <f ca="1">ROUNDUP(_xlfn.NORM.INV(BW928,BW$10,BW$12),0)</f>
        <v>235</v>
      </c>
    </row>
    <row r="930" spans="2:76" ht="12.75" x14ac:dyDescent="0.2">
      <c r="B930" s="22">
        <v>45475</v>
      </c>
      <c r="C930" s="26">
        <f t="shared" ca="1" si="205"/>
        <v>0.39215658357187377</v>
      </c>
      <c r="D930" s="29">
        <f t="shared" ca="1" si="223"/>
        <v>70</v>
      </c>
      <c r="F930" s="22"/>
      <c r="G930" s="26">
        <f t="shared" ca="1" si="206"/>
        <v>2.5997851382811965E-2</v>
      </c>
      <c r="H930" s="29">
        <f t="shared" ca="1" si="224"/>
        <v>188</v>
      </c>
      <c r="J930" s="22">
        <v>45475</v>
      </c>
      <c r="K930" s="26">
        <f t="shared" ca="1" si="207"/>
        <v>0.63978512744798244</v>
      </c>
      <c r="L930" s="29">
        <f t="shared" ca="1" si="225"/>
        <v>154</v>
      </c>
      <c r="N930" s="22">
        <v>45475</v>
      </c>
      <c r="O930" s="26">
        <f t="shared" ca="1" si="208"/>
        <v>0.35951631764094327</v>
      </c>
      <c r="P930" s="29">
        <f t="shared" ca="1" si="226"/>
        <v>224</v>
      </c>
      <c r="R930" s="22">
        <v>45475</v>
      </c>
      <c r="S930" s="26">
        <f t="shared" ca="1" si="209"/>
        <v>0.9249400396470191</v>
      </c>
      <c r="T930" s="29">
        <f t="shared" ca="1" si="227"/>
        <v>153</v>
      </c>
      <c r="V930" s="22">
        <v>45475</v>
      </c>
      <c r="W930" s="26">
        <f t="shared" ca="1" si="210"/>
        <v>0.89411523093696488</v>
      </c>
      <c r="X930" s="29">
        <f t="shared" ca="1" si="228"/>
        <v>244</v>
      </c>
      <c r="Z930" s="22">
        <v>45475</v>
      </c>
      <c r="AA930" s="26">
        <f t="shared" ca="1" si="211"/>
        <v>0.67577835609554626</v>
      </c>
      <c r="AB930" s="29">
        <f t="shared" ca="1" si="229"/>
        <v>279</v>
      </c>
      <c r="AC930"/>
      <c r="AD930" s="25"/>
      <c r="AF930" s="22">
        <v>45475</v>
      </c>
      <c r="AG930" s="26">
        <f t="shared" ca="1" si="212"/>
        <v>0.1610517555302069</v>
      </c>
      <c r="AH930" s="29">
        <f t="shared" ca="1" si="230"/>
        <v>241</v>
      </c>
      <c r="AJ930" s="22">
        <v>45475</v>
      </c>
      <c r="AK930" s="26">
        <f t="shared" ca="1" si="213"/>
        <v>4.402896359072106E-2</v>
      </c>
      <c r="AL930" s="29">
        <f t="shared" ca="1" si="231"/>
        <v>99</v>
      </c>
      <c r="AN930" s="22">
        <v>45475</v>
      </c>
      <c r="AO930" s="26">
        <f t="shared" ca="1" si="214"/>
        <v>4.2929397182896012E-2</v>
      </c>
      <c r="AP930" s="29">
        <f t="shared" ca="1" si="232"/>
        <v>80</v>
      </c>
      <c r="AR930" s="22">
        <v>45475</v>
      </c>
      <c r="AS930" s="26">
        <f t="shared" ca="1" si="215"/>
        <v>0.9555964820815227</v>
      </c>
      <c r="AT930" s="29">
        <f t="shared" ca="1" si="233"/>
        <v>316</v>
      </c>
      <c r="AV930" s="22">
        <v>45475</v>
      </c>
      <c r="AW930" s="26">
        <f t="shared" ca="1" si="216"/>
        <v>0.72771887242187738</v>
      </c>
      <c r="AX930" s="29">
        <f t="shared" ca="1" si="234"/>
        <v>223</v>
      </c>
      <c r="AZ930" s="22">
        <v>45475</v>
      </c>
      <c r="BA930" s="26">
        <f t="shared" ca="1" si="217"/>
        <v>0.1602848281803726</v>
      </c>
      <c r="BB930" s="29">
        <f t="shared" ca="1" si="235"/>
        <v>133</v>
      </c>
      <c r="BC930"/>
      <c r="BD930" s="25"/>
      <c r="BF930" s="22">
        <v>45475</v>
      </c>
      <c r="BG930" s="26">
        <f t="shared" ca="1" si="218"/>
        <v>0.4940422196535057</v>
      </c>
      <c r="BH930" s="29">
        <f t="shared" ca="1" si="236"/>
        <v>159</v>
      </c>
      <c r="BJ930" s="22">
        <v>45475</v>
      </c>
      <c r="BK930" s="26">
        <f t="shared" ca="1" si="219"/>
        <v>0.61828304097300413</v>
      </c>
      <c r="BL930" s="29">
        <f t="shared" ca="1" si="237"/>
        <v>178</v>
      </c>
      <c r="BN930" s="22">
        <v>45475</v>
      </c>
      <c r="BO930" s="26">
        <f t="shared" ca="1" si="220"/>
        <v>0.58653204143275706</v>
      </c>
      <c r="BP930" s="29">
        <f t="shared" ca="1" si="238"/>
        <v>139</v>
      </c>
      <c r="BR930" s="22">
        <v>45475</v>
      </c>
      <c r="BS930" s="26">
        <f t="shared" ca="1" si="221"/>
        <v>0.72426203026065517</v>
      </c>
      <c r="BT930" s="29">
        <f t="shared" ca="1" si="239"/>
        <v>202</v>
      </c>
      <c r="BV930" s="22">
        <v>45475</v>
      </c>
      <c r="BW930" s="26">
        <f t="shared" ca="1" si="222"/>
        <v>0.99702984428388075</v>
      </c>
      <c r="BX930" s="29">
        <f t="shared" ca="1" si="240"/>
        <v>319</v>
      </c>
    </row>
    <row r="931" spans="2:76" ht="12.75" x14ac:dyDescent="0.2">
      <c r="B931" s="22">
        <v>45476</v>
      </c>
      <c r="C931" s="26">
        <f t="shared" ca="1" si="205"/>
        <v>0.30055583018375986</v>
      </c>
      <c r="D931" s="29">
        <f t="shared" ca="1" si="223"/>
        <v>65</v>
      </c>
      <c r="F931" s="22"/>
      <c r="G931" s="26">
        <f t="shared" ca="1" si="206"/>
        <v>0.61093931001538093</v>
      </c>
      <c r="H931" s="29">
        <f t="shared" ca="1" si="224"/>
        <v>220</v>
      </c>
      <c r="J931" s="22">
        <v>45476</v>
      </c>
      <c r="K931" s="26">
        <f t="shared" ca="1" si="207"/>
        <v>0.67167807479918828</v>
      </c>
      <c r="L931" s="29">
        <f t="shared" ca="1" si="225"/>
        <v>155</v>
      </c>
      <c r="N931" s="22">
        <v>45476</v>
      </c>
      <c r="O931" s="26">
        <f t="shared" ca="1" si="208"/>
        <v>0.59612295224859069</v>
      </c>
      <c r="P931" s="29">
        <f t="shared" ca="1" si="226"/>
        <v>234</v>
      </c>
      <c r="R931" s="22">
        <v>45476</v>
      </c>
      <c r="S931" s="26">
        <f t="shared" ca="1" si="209"/>
        <v>0.964531606391693</v>
      </c>
      <c r="T931" s="29">
        <f t="shared" ca="1" si="227"/>
        <v>156</v>
      </c>
      <c r="V931" s="22">
        <v>45476</v>
      </c>
      <c r="W931" s="26">
        <f t="shared" ca="1" si="210"/>
        <v>0.19866859837212758</v>
      </c>
      <c r="X931" s="29">
        <f t="shared" ca="1" si="228"/>
        <v>213</v>
      </c>
      <c r="Z931" s="22">
        <v>45476</v>
      </c>
      <c r="AA931" s="26">
        <f t="shared" ca="1" si="211"/>
        <v>0.47820154497306055</v>
      </c>
      <c r="AB931" s="29">
        <f t="shared" ca="1" si="229"/>
        <v>270</v>
      </c>
      <c r="AC931"/>
      <c r="AD931" s="25"/>
      <c r="AF931" s="22">
        <v>45476</v>
      </c>
      <c r="AG931" s="26">
        <f t="shared" ca="1" si="212"/>
        <v>0.36595781188162579</v>
      </c>
      <c r="AH931" s="29">
        <f t="shared" ca="1" si="230"/>
        <v>298</v>
      </c>
      <c r="AJ931" s="22">
        <v>45476</v>
      </c>
      <c r="AK931" s="26">
        <f t="shared" ca="1" si="213"/>
        <v>0.84415732321068104</v>
      </c>
      <c r="AL931" s="29">
        <f t="shared" ca="1" si="231"/>
        <v>229</v>
      </c>
      <c r="AN931" s="22">
        <v>45476</v>
      </c>
      <c r="AO931" s="26">
        <f t="shared" ca="1" si="214"/>
        <v>0.43928052531989525</v>
      </c>
      <c r="AP931" s="29">
        <f t="shared" ca="1" si="232"/>
        <v>142</v>
      </c>
      <c r="AR931" s="22">
        <v>45476</v>
      </c>
      <c r="AS931" s="26">
        <f t="shared" ca="1" si="215"/>
        <v>0.20799545429440736</v>
      </c>
      <c r="AT931" s="29">
        <f t="shared" ca="1" si="233"/>
        <v>170</v>
      </c>
      <c r="AV931" s="22">
        <v>45476</v>
      </c>
      <c r="AW931" s="26">
        <f t="shared" ca="1" si="216"/>
        <v>0.41015853036365202</v>
      </c>
      <c r="AX931" s="29">
        <f t="shared" ca="1" si="234"/>
        <v>181</v>
      </c>
      <c r="AZ931" s="22">
        <v>45476</v>
      </c>
      <c r="BA931" s="26">
        <f t="shared" ca="1" si="217"/>
        <v>5.4595586372542249E-2</v>
      </c>
      <c r="BB931" s="29">
        <f t="shared" ca="1" si="235"/>
        <v>104</v>
      </c>
      <c r="BC931"/>
      <c r="BD931" s="25"/>
      <c r="BF931" s="22">
        <v>45476</v>
      </c>
      <c r="BG931" s="26">
        <f t="shared" ca="1" si="218"/>
        <v>0.201216735786233</v>
      </c>
      <c r="BH931" s="29">
        <f t="shared" ca="1" si="236"/>
        <v>124</v>
      </c>
      <c r="BJ931" s="22">
        <v>45476</v>
      </c>
      <c r="BK931" s="26">
        <f t="shared" ca="1" si="219"/>
        <v>0.83389100419311879</v>
      </c>
      <c r="BL931" s="29">
        <f t="shared" ca="1" si="237"/>
        <v>208</v>
      </c>
      <c r="BN931" s="22">
        <v>45476</v>
      </c>
      <c r="BO931" s="26">
        <f t="shared" ca="1" si="220"/>
        <v>0.31174037108554475</v>
      </c>
      <c r="BP931" s="29">
        <f t="shared" ca="1" si="238"/>
        <v>114</v>
      </c>
      <c r="BR931" s="22">
        <v>45476</v>
      </c>
      <c r="BS931" s="26">
        <f t="shared" ca="1" si="221"/>
        <v>1.3791409498681406E-2</v>
      </c>
      <c r="BT931" s="29">
        <f t="shared" ca="1" si="239"/>
        <v>72</v>
      </c>
      <c r="BV931" s="22">
        <v>45476</v>
      </c>
      <c r="BW931" s="26">
        <f t="shared" ca="1" si="222"/>
        <v>0.92401565683940046</v>
      </c>
      <c r="BX931" s="29">
        <f t="shared" ca="1" si="240"/>
        <v>254</v>
      </c>
    </row>
    <row r="932" spans="2:76" ht="12.75" x14ac:dyDescent="0.2">
      <c r="B932" s="22">
        <v>45477</v>
      </c>
      <c r="C932" s="26">
        <f t="shared" ca="1" si="205"/>
        <v>4.5166110104550183E-2</v>
      </c>
      <c r="D932" s="29">
        <f t="shared" ca="1" si="223"/>
        <v>42</v>
      </c>
      <c r="F932" s="22"/>
      <c r="G932" s="26">
        <f t="shared" ca="1" si="206"/>
        <v>0.77167017843367591</v>
      </c>
      <c r="H932" s="29">
        <f t="shared" ca="1" si="224"/>
        <v>227</v>
      </c>
      <c r="J932" s="22">
        <v>45477</v>
      </c>
      <c r="K932" s="26">
        <f t="shared" ca="1" si="207"/>
        <v>0.74835719530380573</v>
      </c>
      <c r="L932" s="29">
        <f t="shared" ca="1" si="225"/>
        <v>157</v>
      </c>
      <c r="N932" s="22">
        <v>45477</v>
      </c>
      <c r="O932" s="26">
        <f t="shared" ca="1" si="208"/>
        <v>0.85798023710654381</v>
      </c>
      <c r="P932" s="29">
        <f t="shared" ca="1" si="226"/>
        <v>246</v>
      </c>
      <c r="R932" s="22">
        <v>45477</v>
      </c>
      <c r="S932" s="26">
        <f t="shared" ca="1" si="209"/>
        <v>0.93997905347751365</v>
      </c>
      <c r="T932" s="29">
        <f t="shared" ca="1" si="227"/>
        <v>154</v>
      </c>
      <c r="V932" s="22">
        <v>45477</v>
      </c>
      <c r="W932" s="26">
        <f t="shared" ca="1" si="210"/>
        <v>0.38563765031685793</v>
      </c>
      <c r="X932" s="29">
        <f t="shared" ca="1" si="228"/>
        <v>221</v>
      </c>
      <c r="Z932" s="22">
        <v>45477</v>
      </c>
      <c r="AA932" s="26">
        <f t="shared" ca="1" si="211"/>
        <v>0.16699113378187713</v>
      </c>
      <c r="AB932" s="29">
        <f t="shared" ca="1" si="229"/>
        <v>253</v>
      </c>
      <c r="AC932"/>
      <c r="AD932" s="25"/>
      <c r="AF932" s="22">
        <v>45477</v>
      </c>
      <c r="AG932" s="26">
        <f t="shared" ca="1" si="212"/>
        <v>0.88242336489083883</v>
      </c>
      <c r="AH932" s="29">
        <f t="shared" ca="1" si="230"/>
        <v>431</v>
      </c>
      <c r="AJ932" s="22">
        <v>45477</v>
      </c>
      <c r="AK932" s="26">
        <f t="shared" ca="1" si="213"/>
        <v>0.64385605964007464</v>
      </c>
      <c r="AL932" s="29">
        <f t="shared" ca="1" si="231"/>
        <v>198</v>
      </c>
      <c r="AN932" s="22">
        <v>45477</v>
      </c>
      <c r="AO932" s="26">
        <f t="shared" ca="1" si="214"/>
        <v>0.83798001696946489</v>
      </c>
      <c r="AP932" s="29">
        <f t="shared" ca="1" si="232"/>
        <v>186</v>
      </c>
      <c r="AR932" s="22">
        <v>45477</v>
      </c>
      <c r="AS932" s="26">
        <f t="shared" ca="1" si="215"/>
        <v>0.2060676878457538</v>
      </c>
      <c r="AT932" s="29">
        <f t="shared" ca="1" si="233"/>
        <v>170</v>
      </c>
      <c r="AV932" s="22">
        <v>45477</v>
      </c>
      <c r="AW932" s="26">
        <f t="shared" ca="1" si="216"/>
        <v>0.66513757244704541</v>
      </c>
      <c r="AX932" s="29">
        <f t="shared" ca="1" si="234"/>
        <v>214</v>
      </c>
      <c r="AZ932" s="22">
        <v>45477</v>
      </c>
      <c r="BA932" s="26">
        <f t="shared" ca="1" si="217"/>
        <v>0.94562118662821648</v>
      </c>
      <c r="BB932" s="29">
        <f t="shared" ca="1" si="235"/>
        <v>257</v>
      </c>
      <c r="BC932"/>
      <c r="BD932" s="25"/>
      <c r="BF932" s="22">
        <v>45477</v>
      </c>
      <c r="BG932" s="26">
        <f t="shared" ca="1" si="218"/>
        <v>0.46008680189413198</v>
      </c>
      <c r="BH932" s="29">
        <f t="shared" ca="1" si="236"/>
        <v>156</v>
      </c>
      <c r="BJ932" s="22">
        <v>45477</v>
      </c>
      <c r="BK932" s="26">
        <f t="shared" ca="1" si="219"/>
        <v>0.28448476031545888</v>
      </c>
      <c r="BL932" s="29">
        <f t="shared" ca="1" si="237"/>
        <v>140</v>
      </c>
      <c r="BN932" s="22">
        <v>45477</v>
      </c>
      <c r="BO932" s="26">
        <f t="shared" ca="1" si="220"/>
        <v>0.90118064231145301</v>
      </c>
      <c r="BP932" s="29">
        <f t="shared" ca="1" si="238"/>
        <v>176</v>
      </c>
      <c r="BR932" s="22">
        <v>45477</v>
      </c>
      <c r="BS932" s="26">
        <f t="shared" ca="1" si="221"/>
        <v>0.92684831993664929</v>
      </c>
      <c r="BT932" s="29">
        <f t="shared" ca="1" si="239"/>
        <v>241</v>
      </c>
      <c r="BV932" s="22">
        <v>45477</v>
      </c>
      <c r="BW932" s="26">
        <f t="shared" ca="1" si="222"/>
        <v>0.35080972211900885</v>
      </c>
      <c r="BX932" s="29">
        <f t="shared" ca="1" si="240"/>
        <v>165</v>
      </c>
    </row>
    <row r="933" spans="2:76" ht="12.75" x14ac:dyDescent="0.2">
      <c r="B933" s="22">
        <v>45478</v>
      </c>
      <c r="C933" s="26">
        <f t="shared" ca="1" si="205"/>
        <v>0.57706898565414766</v>
      </c>
      <c r="D933" s="29">
        <f t="shared" ca="1" si="223"/>
        <v>79</v>
      </c>
      <c r="F933" s="22"/>
      <c r="G933" s="26">
        <f t="shared" ca="1" si="206"/>
        <v>0.20507496914940615</v>
      </c>
      <c r="H933" s="29">
        <f t="shared" ca="1" si="224"/>
        <v>204</v>
      </c>
      <c r="J933" s="22">
        <v>45478</v>
      </c>
      <c r="K933" s="26">
        <f t="shared" ca="1" si="207"/>
        <v>0.48375152781989139</v>
      </c>
      <c r="L933" s="29">
        <f t="shared" ca="1" si="225"/>
        <v>150</v>
      </c>
      <c r="N933" s="22">
        <v>45478</v>
      </c>
      <c r="O933" s="26">
        <f t="shared" ca="1" si="208"/>
        <v>0.34601511187253098</v>
      </c>
      <c r="P933" s="29">
        <f t="shared" ca="1" si="226"/>
        <v>224</v>
      </c>
      <c r="R933" s="22">
        <v>45478</v>
      </c>
      <c r="S933" s="26">
        <f t="shared" ca="1" si="209"/>
        <v>0.93653826798918727</v>
      </c>
      <c r="T933" s="29">
        <f t="shared" ca="1" si="227"/>
        <v>153</v>
      </c>
      <c r="V933" s="22">
        <v>45478</v>
      </c>
      <c r="W933" s="26">
        <f t="shared" ca="1" si="210"/>
        <v>8.375222728242826E-2</v>
      </c>
      <c r="X933" s="29">
        <f t="shared" ca="1" si="228"/>
        <v>205</v>
      </c>
      <c r="Z933" s="22">
        <v>45478</v>
      </c>
      <c r="AA933" s="26">
        <f t="shared" ca="1" si="211"/>
        <v>0.13764658611597869</v>
      </c>
      <c r="AB933" s="29">
        <f t="shared" ca="1" si="229"/>
        <v>251</v>
      </c>
      <c r="AC933"/>
      <c r="AD933" s="25"/>
      <c r="AF933" s="22">
        <v>45478</v>
      </c>
      <c r="AG933" s="26">
        <f t="shared" ca="1" si="212"/>
        <v>0.27632221970213855</v>
      </c>
      <c r="AH933" s="29">
        <f t="shared" ca="1" si="230"/>
        <v>276</v>
      </c>
      <c r="AJ933" s="22">
        <v>45478</v>
      </c>
      <c r="AK933" s="26">
        <f t="shared" ca="1" si="213"/>
        <v>0.7546768368375899</v>
      </c>
      <c r="AL933" s="29">
        <f t="shared" ca="1" si="231"/>
        <v>213</v>
      </c>
      <c r="AN933" s="22">
        <v>45478</v>
      </c>
      <c r="AO933" s="26">
        <f t="shared" ca="1" si="214"/>
        <v>0.69880392936300395</v>
      </c>
      <c r="AP933" s="29">
        <f t="shared" ca="1" si="232"/>
        <v>168</v>
      </c>
      <c r="AR933" s="22">
        <v>45478</v>
      </c>
      <c r="AS933" s="26">
        <f t="shared" ca="1" si="215"/>
        <v>1.5526580946576773E-2</v>
      </c>
      <c r="AT933" s="29">
        <f t="shared" ca="1" si="233"/>
        <v>93</v>
      </c>
      <c r="AV933" s="22">
        <v>45478</v>
      </c>
      <c r="AW933" s="26">
        <f t="shared" ca="1" si="216"/>
        <v>0.61949777454877919</v>
      </c>
      <c r="AX933" s="29">
        <f t="shared" ca="1" si="234"/>
        <v>208</v>
      </c>
      <c r="AZ933" s="22">
        <v>45478</v>
      </c>
      <c r="BA933" s="26">
        <f t="shared" ca="1" si="217"/>
        <v>0.99472870360518972</v>
      </c>
      <c r="BB933" s="29">
        <f t="shared" ca="1" si="235"/>
        <v>303</v>
      </c>
      <c r="BC933"/>
      <c r="BD933" s="25"/>
      <c r="BF933" s="22">
        <v>45478</v>
      </c>
      <c r="BG933" s="26">
        <f t="shared" ca="1" si="218"/>
        <v>0.52465395050745378</v>
      </c>
      <c r="BH933" s="29">
        <f t="shared" ca="1" si="236"/>
        <v>163</v>
      </c>
      <c r="BJ933" s="22">
        <v>45478</v>
      </c>
      <c r="BK933" s="26">
        <f t="shared" ca="1" si="219"/>
        <v>5.1595811593194707E-2</v>
      </c>
      <c r="BL933" s="29">
        <f t="shared" ca="1" si="237"/>
        <v>94</v>
      </c>
      <c r="BN933" s="22">
        <v>45478</v>
      </c>
      <c r="BO933" s="26">
        <f t="shared" ca="1" si="220"/>
        <v>0.59669991118347365</v>
      </c>
      <c r="BP933" s="29">
        <f t="shared" ca="1" si="238"/>
        <v>140</v>
      </c>
      <c r="BR933" s="22">
        <v>45478</v>
      </c>
      <c r="BS933" s="26">
        <f t="shared" ca="1" si="221"/>
        <v>9.2943139334782265E-2</v>
      </c>
      <c r="BT933" s="29">
        <f t="shared" ca="1" si="239"/>
        <v>113</v>
      </c>
      <c r="BV933" s="22">
        <v>45478</v>
      </c>
      <c r="BW933" s="26">
        <f t="shared" ca="1" si="222"/>
        <v>0.83725610546765461</v>
      </c>
      <c r="BX933" s="29">
        <f t="shared" ca="1" si="240"/>
        <v>232</v>
      </c>
    </row>
    <row r="934" spans="2:76" ht="12.75" x14ac:dyDescent="0.2">
      <c r="B934" s="22">
        <v>45479</v>
      </c>
      <c r="C934" s="26">
        <f t="shared" ca="1" si="205"/>
        <v>0.55059732862667343</v>
      </c>
      <c r="D934" s="29">
        <v>0</v>
      </c>
      <c r="F934" s="22"/>
      <c r="G934" s="26">
        <f t="shared" ca="1" si="206"/>
        <v>0.53630253107888737</v>
      </c>
      <c r="H934" s="29">
        <v>0</v>
      </c>
      <c r="J934" s="22">
        <v>45479</v>
      </c>
      <c r="K934" s="26">
        <f t="shared" ca="1" si="207"/>
        <v>0.86269313174199136</v>
      </c>
      <c r="L934" s="29">
        <v>0</v>
      </c>
      <c r="N934" s="22">
        <v>45479</v>
      </c>
      <c r="O934" s="26">
        <f t="shared" ca="1" si="208"/>
        <v>0.51630342138754937</v>
      </c>
      <c r="P934" s="29">
        <v>0</v>
      </c>
      <c r="R934" s="22">
        <v>45479</v>
      </c>
      <c r="S934" s="26">
        <f t="shared" ca="1" si="209"/>
        <v>0.71997906340041007</v>
      </c>
      <c r="T934" s="29">
        <v>0</v>
      </c>
      <c r="V934" s="22">
        <v>45479</v>
      </c>
      <c r="W934" s="26">
        <f t="shared" ca="1" si="210"/>
        <v>0.38869909742841369</v>
      </c>
      <c r="X934" s="29">
        <v>0</v>
      </c>
      <c r="Z934" s="22">
        <v>45479</v>
      </c>
      <c r="AA934" s="26">
        <f t="shared" ca="1" si="211"/>
        <v>3.211284188156005E-2</v>
      </c>
      <c r="AB934" s="29">
        <v>0</v>
      </c>
      <c r="AC934"/>
      <c r="AD934" s="25"/>
      <c r="AF934" s="22">
        <v>45479</v>
      </c>
      <c r="AG934" s="26">
        <f t="shared" ca="1" si="212"/>
        <v>0.44597384251912175</v>
      </c>
      <c r="AH934" s="29">
        <v>0</v>
      </c>
      <c r="AJ934" s="22">
        <v>45479</v>
      </c>
      <c r="AK934" s="26">
        <f t="shared" ca="1" si="213"/>
        <v>0.66169068908041362</v>
      </c>
      <c r="AL934" s="29">
        <v>0</v>
      </c>
      <c r="AN934" s="22">
        <v>45479</v>
      </c>
      <c r="AO934" s="26">
        <f t="shared" ca="1" si="214"/>
        <v>0.22162728876547633</v>
      </c>
      <c r="AP934" s="29">
        <v>0</v>
      </c>
      <c r="AR934" s="22">
        <v>45479</v>
      </c>
      <c r="AS934" s="26">
        <f t="shared" ca="1" si="215"/>
        <v>0.28377895395968122</v>
      </c>
      <c r="AT934" s="29">
        <v>0</v>
      </c>
      <c r="AV934" s="22">
        <v>45479</v>
      </c>
      <c r="AW934" s="26">
        <f t="shared" ca="1" si="216"/>
        <v>0.25760681555450049</v>
      </c>
      <c r="AX934" s="29">
        <v>0</v>
      </c>
      <c r="AZ934" s="22">
        <v>45479</v>
      </c>
      <c r="BA934" s="26">
        <f t="shared" ca="1" si="217"/>
        <v>0.42951616599704656</v>
      </c>
      <c r="BB934" s="29">
        <v>0</v>
      </c>
      <c r="BC934"/>
      <c r="BD934" s="25"/>
      <c r="BF934" s="22">
        <v>45479</v>
      </c>
      <c r="BG934" s="26">
        <f t="shared" ca="1" si="218"/>
        <v>3.2201240578392465E-2</v>
      </c>
      <c r="BH934" s="29">
        <v>0</v>
      </c>
      <c r="BJ934" s="22">
        <v>45479</v>
      </c>
      <c r="BK934" s="26">
        <f t="shared" ca="1" si="219"/>
        <v>0.69867348102232874</v>
      </c>
      <c r="BL934" s="29">
        <v>0</v>
      </c>
      <c r="BN934" s="22">
        <v>45479</v>
      </c>
      <c r="BO934" s="26">
        <f t="shared" ca="1" si="220"/>
        <v>0.98211889891283954</v>
      </c>
      <c r="BP934" s="29">
        <v>0</v>
      </c>
      <c r="BR934" s="22">
        <v>45479</v>
      </c>
      <c r="BS934" s="26">
        <f t="shared" ca="1" si="221"/>
        <v>0.29575124199325309</v>
      </c>
      <c r="BT934" s="29">
        <v>0</v>
      </c>
      <c r="BV934" s="22">
        <v>45479</v>
      </c>
      <c r="BW934" s="26">
        <f t="shared" ca="1" si="222"/>
        <v>0.54523353090006654</v>
      </c>
      <c r="BX934" s="29">
        <v>0</v>
      </c>
    </row>
    <row r="935" spans="2:76" ht="12.75" x14ac:dyDescent="0.2">
      <c r="B935" s="22">
        <v>45480</v>
      </c>
      <c r="C935" s="26">
        <f t="shared" ca="1" si="205"/>
        <v>0.20112713990077091</v>
      </c>
      <c r="D935" s="29">
        <v>0</v>
      </c>
      <c r="F935" s="22"/>
      <c r="G935" s="26">
        <f t="shared" ca="1" si="206"/>
        <v>0.83813184831959775</v>
      </c>
      <c r="H935" s="29">
        <v>0</v>
      </c>
      <c r="J935" s="22">
        <v>45480</v>
      </c>
      <c r="K935" s="26">
        <f t="shared" ca="1" si="207"/>
        <v>0.97697684676013719</v>
      </c>
      <c r="L935" s="29">
        <v>0</v>
      </c>
      <c r="N935" s="22">
        <v>45480</v>
      </c>
      <c r="O935" s="26">
        <f t="shared" ca="1" si="208"/>
        <v>0.91020601852016125</v>
      </c>
      <c r="P935" s="29">
        <v>0</v>
      </c>
      <c r="R935" s="22">
        <v>45480</v>
      </c>
      <c r="S935" s="26">
        <f t="shared" ca="1" si="209"/>
        <v>6.8275416626699226E-2</v>
      </c>
      <c r="T935" s="29">
        <v>0</v>
      </c>
      <c r="V935" s="22">
        <v>45480</v>
      </c>
      <c r="W935" s="26">
        <f t="shared" ca="1" si="210"/>
        <v>0.69215581864705478</v>
      </c>
      <c r="X935" s="29">
        <v>0</v>
      </c>
      <c r="Z935" s="22">
        <v>45480</v>
      </c>
      <c r="AA935" s="26">
        <f t="shared" ca="1" si="211"/>
        <v>0.63949654413986778</v>
      </c>
      <c r="AB935" s="29">
        <v>0</v>
      </c>
      <c r="AC935"/>
      <c r="AD935" s="25"/>
      <c r="AF935" s="22">
        <v>45480</v>
      </c>
      <c r="AG935" s="26">
        <f t="shared" ca="1" si="212"/>
        <v>0.7516604106873882</v>
      </c>
      <c r="AH935" s="29">
        <v>0</v>
      </c>
      <c r="AJ935" s="22">
        <v>45480</v>
      </c>
      <c r="AK935" s="26">
        <f t="shared" ca="1" si="213"/>
        <v>0.95444441827438398</v>
      </c>
      <c r="AL935" s="29">
        <v>0</v>
      </c>
      <c r="AN935" s="22">
        <v>45480</v>
      </c>
      <c r="AO935" s="26">
        <f t="shared" ca="1" si="214"/>
        <v>0.71624374390833201</v>
      </c>
      <c r="AP935" s="29">
        <v>0</v>
      </c>
      <c r="AR935" s="22">
        <v>45480</v>
      </c>
      <c r="AS935" s="26">
        <f t="shared" ca="1" si="215"/>
        <v>0.19922143878868759</v>
      </c>
      <c r="AT935" s="29">
        <v>0</v>
      </c>
      <c r="AV935" s="22">
        <v>45480</v>
      </c>
      <c r="AW935" s="26">
        <f t="shared" ca="1" si="216"/>
        <v>0.91159846663257482</v>
      </c>
      <c r="AX935" s="29">
        <v>0</v>
      </c>
      <c r="AZ935" s="22">
        <v>45480</v>
      </c>
      <c r="BA935" s="26">
        <f t="shared" ca="1" si="217"/>
        <v>0.42442755146031108</v>
      </c>
      <c r="BB935" s="29">
        <v>0</v>
      </c>
      <c r="BC935"/>
      <c r="BD935" s="25"/>
      <c r="BF935" s="22">
        <v>45480</v>
      </c>
      <c r="BG935" s="26">
        <f t="shared" ca="1" si="218"/>
        <v>0.99025160580514315</v>
      </c>
      <c r="BH935" s="29">
        <v>0</v>
      </c>
      <c r="BJ935" s="22">
        <v>45480</v>
      </c>
      <c r="BK935" s="26">
        <f t="shared" ca="1" si="219"/>
        <v>0.75405548385800547</v>
      </c>
      <c r="BL935" s="29">
        <v>0</v>
      </c>
      <c r="BN935" s="22">
        <v>45480</v>
      </c>
      <c r="BO935" s="26">
        <f t="shared" ca="1" si="220"/>
        <v>0.90416501298471352</v>
      </c>
      <c r="BP935" s="29">
        <v>0</v>
      </c>
      <c r="BR935" s="22">
        <v>45480</v>
      </c>
      <c r="BS935" s="26">
        <f t="shared" ca="1" si="221"/>
        <v>0.95225544661885997</v>
      </c>
      <c r="BT935" s="29">
        <v>0</v>
      </c>
      <c r="BV935" s="22">
        <v>45480</v>
      </c>
      <c r="BW935" s="26">
        <f t="shared" ca="1" si="222"/>
        <v>0.79456953779394124</v>
      </c>
      <c r="BX935" s="29">
        <v>0</v>
      </c>
    </row>
    <row r="936" spans="2:76" ht="12.75" x14ac:dyDescent="0.2">
      <c r="B936" s="22">
        <v>45481</v>
      </c>
      <c r="C936" s="26">
        <f t="shared" ca="1" si="205"/>
        <v>6.6460167871915443E-2</v>
      </c>
      <c r="D936" s="29">
        <v>0</v>
      </c>
      <c r="F936" s="22"/>
      <c r="G936" s="26">
        <f t="shared" ca="1" si="206"/>
        <v>0.44051390969931581</v>
      </c>
      <c r="H936" s="29">
        <v>0</v>
      </c>
      <c r="J936" s="22">
        <v>45481</v>
      </c>
      <c r="K936" s="26">
        <f t="shared" ca="1" si="207"/>
        <v>0.78189175983402781</v>
      </c>
      <c r="L936" s="29">
        <v>0</v>
      </c>
      <c r="N936" s="22">
        <v>45481</v>
      </c>
      <c r="O936" s="26">
        <f t="shared" ca="1" si="208"/>
        <v>0.56348195035755155</v>
      </c>
      <c r="P936" s="29">
        <v>0</v>
      </c>
      <c r="R936" s="22">
        <v>45481</v>
      </c>
      <c r="S936" s="26">
        <f t="shared" ca="1" si="209"/>
        <v>0.62328090291424265</v>
      </c>
      <c r="T936" s="29">
        <v>0</v>
      </c>
      <c r="V936" s="22">
        <v>45481</v>
      </c>
      <c r="W936" s="26">
        <f t="shared" ca="1" si="210"/>
        <v>0.21901211262185183</v>
      </c>
      <c r="X936" s="29">
        <v>0</v>
      </c>
      <c r="Z936" s="22">
        <v>45481</v>
      </c>
      <c r="AA936" s="26">
        <f t="shared" ca="1" si="211"/>
        <v>0.60204042358289966</v>
      </c>
      <c r="AB936" s="29">
        <v>0</v>
      </c>
      <c r="AC936"/>
      <c r="AD936" s="25"/>
      <c r="AF936" s="22">
        <v>45481</v>
      </c>
      <c r="AG936" s="26">
        <f t="shared" ca="1" si="212"/>
        <v>0.20938698942499834</v>
      </c>
      <c r="AH936" s="29">
        <v>0</v>
      </c>
      <c r="AJ936" s="22">
        <v>45481</v>
      </c>
      <c r="AK936" s="26">
        <f t="shared" ca="1" si="213"/>
        <v>0.97674511476389558</v>
      </c>
      <c r="AL936" s="29">
        <v>0</v>
      </c>
      <c r="AN936" s="22">
        <v>45481</v>
      </c>
      <c r="AO936" s="26">
        <f t="shared" ca="1" si="214"/>
        <v>7.5210861238289572E-2</v>
      </c>
      <c r="AP936" s="29">
        <v>0</v>
      </c>
      <c r="AR936" s="22">
        <v>45481</v>
      </c>
      <c r="AS936" s="26">
        <f t="shared" ca="1" si="215"/>
        <v>0.19473447554943502</v>
      </c>
      <c r="AT936" s="29">
        <v>0</v>
      </c>
      <c r="AV936" s="22">
        <v>45481</v>
      </c>
      <c r="AW936" s="26">
        <f t="shared" ca="1" si="216"/>
        <v>0.82443514438490473</v>
      </c>
      <c r="AX936" s="29">
        <v>0</v>
      </c>
      <c r="AZ936" s="22">
        <v>45481</v>
      </c>
      <c r="BA936" s="26">
        <f t="shared" ca="1" si="217"/>
        <v>0.46309238179698176</v>
      </c>
      <c r="BB936" s="29">
        <v>0</v>
      </c>
      <c r="BC936"/>
      <c r="BD936" s="25"/>
      <c r="BF936" s="22">
        <v>45481</v>
      </c>
      <c r="BG936" s="26">
        <f t="shared" ca="1" si="218"/>
        <v>0.65380332091192928</v>
      </c>
      <c r="BH936" s="29">
        <v>0</v>
      </c>
      <c r="BJ936" s="22">
        <v>45481</v>
      </c>
      <c r="BK936" s="26">
        <f t="shared" ca="1" si="219"/>
        <v>0.84094350075372382</v>
      </c>
      <c r="BL936" s="29">
        <v>0</v>
      </c>
      <c r="BN936" s="22">
        <v>45481</v>
      </c>
      <c r="BO936" s="26">
        <f t="shared" ca="1" si="220"/>
        <v>0.61364548630129123</v>
      </c>
      <c r="BP936" s="29">
        <v>0</v>
      </c>
      <c r="BR936" s="22">
        <v>45481</v>
      </c>
      <c r="BS936" s="26">
        <f t="shared" ca="1" si="221"/>
        <v>6.0126953002524686E-2</v>
      </c>
      <c r="BT936" s="29">
        <v>0</v>
      </c>
      <c r="BV936" s="22">
        <v>45481</v>
      </c>
      <c r="BW936" s="26">
        <f t="shared" ca="1" si="222"/>
        <v>0.48239574995792367</v>
      </c>
      <c r="BX936" s="29">
        <v>0</v>
      </c>
    </row>
    <row r="937" spans="2:76" ht="12.75" x14ac:dyDescent="0.2">
      <c r="B937" s="22">
        <v>45482</v>
      </c>
      <c r="C937" s="26">
        <f t="shared" ca="1" si="205"/>
        <v>8.5930381962519564E-2</v>
      </c>
      <c r="D937" s="29">
        <v>0</v>
      </c>
      <c r="F937" s="22"/>
      <c r="G937" s="26">
        <f t="shared" ca="1" si="206"/>
        <v>0.29530155851762696</v>
      </c>
      <c r="H937" s="29">
        <v>0</v>
      </c>
      <c r="J937" s="22">
        <v>45482</v>
      </c>
      <c r="K937" s="26">
        <f t="shared" ca="1" si="207"/>
        <v>0.52655674944021602</v>
      </c>
      <c r="L937" s="29">
        <v>0</v>
      </c>
      <c r="N937" s="22">
        <v>45482</v>
      </c>
      <c r="O937" s="26">
        <f t="shared" ca="1" si="208"/>
        <v>3.7833280550016779E-2</v>
      </c>
      <c r="P937" s="29">
        <v>0</v>
      </c>
      <c r="R937" s="22">
        <v>45482</v>
      </c>
      <c r="S937" s="26">
        <f t="shared" ca="1" si="209"/>
        <v>0.68542919895209065</v>
      </c>
      <c r="T937" s="29">
        <v>0</v>
      </c>
      <c r="V937" s="22">
        <v>45482</v>
      </c>
      <c r="W937" s="26">
        <f t="shared" ca="1" si="210"/>
        <v>0.5658035609525045</v>
      </c>
      <c r="X937" s="29">
        <v>0</v>
      </c>
      <c r="Z937" s="22">
        <v>45482</v>
      </c>
      <c r="AA937" s="26">
        <f t="shared" ca="1" si="211"/>
        <v>0.88521189669745948</v>
      </c>
      <c r="AB937" s="29">
        <v>0</v>
      </c>
      <c r="AC937"/>
      <c r="AD937" s="25"/>
      <c r="AF937" s="22">
        <v>45482</v>
      </c>
      <c r="AG937" s="26">
        <f t="shared" ca="1" si="212"/>
        <v>6.9983443014175362E-2</v>
      </c>
      <c r="AH937" s="29">
        <v>0</v>
      </c>
      <c r="AJ937" s="22">
        <v>45482</v>
      </c>
      <c r="AK937" s="26">
        <f t="shared" ca="1" si="213"/>
        <v>0.60674293775896926</v>
      </c>
      <c r="AL937" s="29">
        <v>0</v>
      </c>
      <c r="AN937" s="22">
        <v>45482</v>
      </c>
      <c r="AO937" s="26">
        <f t="shared" ca="1" si="214"/>
        <v>0.83939684012381999</v>
      </c>
      <c r="AP937" s="29">
        <v>0</v>
      </c>
      <c r="AR937" s="22">
        <v>45482</v>
      </c>
      <c r="AS937" s="26">
        <f t="shared" ca="1" si="215"/>
        <v>0.3761423967022719</v>
      </c>
      <c r="AT937" s="29">
        <v>0</v>
      </c>
      <c r="AV937" s="22">
        <v>45482</v>
      </c>
      <c r="AW937" s="26">
        <f t="shared" ca="1" si="216"/>
        <v>8.0178534749541841E-2</v>
      </c>
      <c r="AX937" s="29">
        <v>0</v>
      </c>
      <c r="AZ937" s="22">
        <v>45482</v>
      </c>
      <c r="BA937" s="26">
        <f t="shared" ca="1" si="217"/>
        <v>0.61281978352655464</v>
      </c>
      <c r="BB937" s="29">
        <v>0</v>
      </c>
      <c r="BC937"/>
      <c r="BD937" s="25"/>
      <c r="BF937" s="22">
        <v>45482</v>
      </c>
      <c r="BG937" s="26">
        <f t="shared" ca="1" si="218"/>
        <v>0.52451666246018525</v>
      </c>
      <c r="BH937" s="29">
        <v>0</v>
      </c>
      <c r="BJ937" s="22">
        <v>45482</v>
      </c>
      <c r="BK937" s="26">
        <f t="shared" ca="1" si="219"/>
        <v>0.87613236346250467</v>
      </c>
      <c r="BL937" s="29">
        <v>0</v>
      </c>
      <c r="BN937" s="22">
        <v>45482</v>
      </c>
      <c r="BO937" s="26">
        <f t="shared" ca="1" si="220"/>
        <v>0.97683950893227867</v>
      </c>
      <c r="BP937" s="29">
        <v>0</v>
      </c>
      <c r="BR937" s="22">
        <v>45482</v>
      </c>
      <c r="BS937" s="26">
        <f t="shared" ca="1" si="221"/>
        <v>0.67784831952329183</v>
      </c>
      <c r="BT937" s="29">
        <v>0</v>
      </c>
      <c r="BV937" s="22">
        <v>45482</v>
      </c>
      <c r="BW937" s="26">
        <f t="shared" ca="1" si="222"/>
        <v>0.35229243530732579</v>
      </c>
      <c r="BX937" s="29">
        <v>0</v>
      </c>
    </row>
    <row r="938" spans="2:76" ht="12.75" x14ac:dyDescent="0.2">
      <c r="B938" s="22">
        <v>45483</v>
      </c>
      <c r="C938" s="26">
        <f t="shared" ca="1" si="205"/>
        <v>0.94512466496200365</v>
      </c>
      <c r="D938" s="29">
        <v>0</v>
      </c>
      <c r="F938" s="22"/>
      <c r="G938" s="26">
        <f t="shared" ca="1" si="206"/>
        <v>0.28961473750533362</v>
      </c>
      <c r="H938" s="29">
        <v>0</v>
      </c>
      <c r="J938" s="22">
        <v>45483</v>
      </c>
      <c r="K938" s="26">
        <f t="shared" ca="1" si="207"/>
        <v>0.63625156579143227</v>
      </c>
      <c r="L938" s="29">
        <v>0</v>
      </c>
      <c r="N938" s="22">
        <v>45483</v>
      </c>
      <c r="O938" s="26">
        <f t="shared" ca="1" si="208"/>
        <v>0.91049187844436008</v>
      </c>
      <c r="P938" s="29">
        <v>0</v>
      </c>
      <c r="R938" s="22">
        <v>45483</v>
      </c>
      <c r="S938" s="26">
        <f t="shared" ca="1" si="209"/>
        <v>0.49545247583828789</v>
      </c>
      <c r="T938" s="29">
        <v>0</v>
      </c>
      <c r="V938" s="22">
        <v>45483</v>
      </c>
      <c r="W938" s="26">
        <f t="shared" ca="1" si="210"/>
        <v>0.34017499002880114</v>
      </c>
      <c r="X938" s="29">
        <v>0</v>
      </c>
      <c r="Z938" s="22">
        <v>45483</v>
      </c>
      <c r="AA938" s="26">
        <f t="shared" ca="1" si="211"/>
        <v>0.58450676619836917</v>
      </c>
      <c r="AB938" s="29">
        <v>0</v>
      </c>
      <c r="AC938"/>
      <c r="AD938" s="25"/>
      <c r="AF938" s="22">
        <v>45483</v>
      </c>
      <c r="AG938" s="26">
        <f t="shared" ca="1" si="212"/>
        <v>0.75668575484757972</v>
      </c>
      <c r="AH938" s="29">
        <v>0</v>
      </c>
      <c r="AJ938" s="22">
        <v>45483</v>
      </c>
      <c r="AK938" s="26">
        <f t="shared" ca="1" si="213"/>
        <v>0.9507166831121403</v>
      </c>
      <c r="AL938" s="29">
        <v>0</v>
      </c>
      <c r="AN938" s="22">
        <v>45483</v>
      </c>
      <c r="AO938" s="26">
        <f t="shared" ca="1" si="214"/>
        <v>0.40115434155000684</v>
      </c>
      <c r="AP938" s="29">
        <v>0</v>
      </c>
      <c r="AR938" s="22">
        <v>45483</v>
      </c>
      <c r="AS938" s="26">
        <f t="shared" ca="1" si="215"/>
        <v>0.19592927328545373</v>
      </c>
      <c r="AT938" s="29">
        <v>0</v>
      </c>
      <c r="AV938" s="22">
        <v>45483</v>
      </c>
      <c r="AW938" s="26">
        <f t="shared" ca="1" si="216"/>
        <v>2.9937917781610479E-2</v>
      </c>
      <c r="AX938" s="29">
        <v>0</v>
      </c>
      <c r="AZ938" s="22">
        <v>45483</v>
      </c>
      <c r="BA938" s="26">
        <f t="shared" ca="1" si="217"/>
        <v>1.9015920132978037E-2</v>
      </c>
      <c r="BB938" s="29">
        <v>0</v>
      </c>
      <c r="BC938"/>
      <c r="BD938" s="25"/>
      <c r="BF938" s="22">
        <v>45483</v>
      </c>
      <c r="BG938" s="26">
        <f t="shared" ca="1" si="218"/>
        <v>0.5761489064979286</v>
      </c>
      <c r="BH938" s="29">
        <v>0</v>
      </c>
      <c r="BJ938" s="22">
        <v>45483</v>
      </c>
      <c r="BK938" s="26">
        <f t="shared" ca="1" si="219"/>
        <v>0.36393756704253644</v>
      </c>
      <c r="BL938" s="29">
        <v>0</v>
      </c>
      <c r="BN938" s="22">
        <v>45483</v>
      </c>
      <c r="BO938" s="26">
        <f t="shared" ca="1" si="220"/>
        <v>0.83057123932961319</v>
      </c>
      <c r="BP938" s="29">
        <v>0</v>
      </c>
      <c r="BR938" s="22">
        <v>45483</v>
      </c>
      <c r="BS938" s="26">
        <f t="shared" ca="1" si="221"/>
        <v>9.8772236169013317E-2</v>
      </c>
      <c r="BT938" s="29">
        <v>0</v>
      </c>
      <c r="BV938" s="22">
        <v>45483</v>
      </c>
      <c r="BW938" s="26">
        <f t="shared" ca="1" si="222"/>
        <v>0.35540771443660268</v>
      </c>
      <c r="BX938" s="29">
        <v>0</v>
      </c>
    </row>
    <row r="939" spans="2:76" ht="12.75" x14ac:dyDescent="0.2">
      <c r="B939" s="22">
        <v>45484</v>
      </c>
      <c r="C939" s="26">
        <f t="shared" ca="1" si="205"/>
        <v>5.7695682729729247E-3</v>
      </c>
      <c r="D939" s="29">
        <v>0</v>
      </c>
      <c r="F939" s="22"/>
      <c r="G939" s="26">
        <f t="shared" ca="1" si="206"/>
        <v>0.21574372033383538</v>
      </c>
      <c r="H939" s="29">
        <v>0</v>
      </c>
      <c r="J939" s="22">
        <v>45484</v>
      </c>
      <c r="K939" s="26">
        <f t="shared" ca="1" si="207"/>
        <v>0.40282236760330348</v>
      </c>
      <c r="L939" s="29">
        <v>0</v>
      </c>
      <c r="N939" s="22">
        <v>45484</v>
      </c>
      <c r="O939" s="26">
        <f t="shared" ca="1" si="208"/>
        <v>0.17517860771826477</v>
      </c>
      <c r="P939" s="29">
        <v>0</v>
      </c>
      <c r="R939" s="22">
        <v>45484</v>
      </c>
      <c r="S939" s="26">
        <f t="shared" ca="1" si="209"/>
        <v>0.25073604749277778</v>
      </c>
      <c r="T939" s="29">
        <v>0</v>
      </c>
      <c r="V939" s="22">
        <v>45484</v>
      </c>
      <c r="W939" s="26">
        <f t="shared" ca="1" si="210"/>
        <v>0.63716095624640645</v>
      </c>
      <c r="X939" s="29">
        <v>0</v>
      </c>
      <c r="Z939" s="22">
        <v>45484</v>
      </c>
      <c r="AA939" s="26">
        <f t="shared" ca="1" si="211"/>
        <v>0.89483923561022416</v>
      </c>
      <c r="AB939" s="29">
        <v>0</v>
      </c>
      <c r="AC939"/>
      <c r="AD939" s="25"/>
      <c r="AF939" s="22">
        <v>45484</v>
      </c>
      <c r="AG939" s="26">
        <f t="shared" ca="1" si="212"/>
        <v>0.75403800507436503</v>
      </c>
      <c r="AH939" s="29">
        <v>0</v>
      </c>
      <c r="AJ939" s="22">
        <v>45484</v>
      </c>
      <c r="AK939" s="26">
        <f t="shared" ca="1" si="213"/>
        <v>0.77605615785483417</v>
      </c>
      <c r="AL939" s="29">
        <v>0</v>
      </c>
      <c r="AN939" s="22">
        <v>45484</v>
      </c>
      <c r="AO939" s="26">
        <f t="shared" ca="1" si="214"/>
        <v>0.69479288466903932</v>
      </c>
      <c r="AP939" s="29">
        <v>0</v>
      </c>
      <c r="AR939" s="22">
        <v>45484</v>
      </c>
      <c r="AS939" s="26">
        <f t="shared" ca="1" si="215"/>
        <v>0.31380984343070739</v>
      </c>
      <c r="AT939" s="29">
        <v>0</v>
      </c>
      <c r="AV939" s="22">
        <v>45484</v>
      </c>
      <c r="AW939" s="26">
        <f t="shared" ca="1" si="216"/>
        <v>0.73631317238623817</v>
      </c>
      <c r="AX939" s="29">
        <v>0</v>
      </c>
      <c r="AZ939" s="22">
        <v>45484</v>
      </c>
      <c r="BA939" s="26">
        <f t="shared" ca="1" si="217"/>
        <v>2.7870219201440727E-2</v>
      </c>
      <c r="BB939" s="29">
        <v>0</v>
      </c>
      <c r="BC939"/>
      <c r="BD939" s="25"/>
      <c r="BF939" s="22">
        <v>45484</v>
      </c>
      <c r="BG939" s="26">
        <f t="shared" ca="1" si="218"/>
        <v>0.95164449301078324</v>
      </c>
      <c r="BH939" s="29">
        <v>0</v>
      </c>
      <c r="BJ939" s="22">
        <v>45484</v>
      </c>
      <c r="BK939" s="26">
        <f t="shared" ca="1" si="219"/>
        <v>0.44239636228161516</v>
      </c>
      <c r="BL939" s="29">
        <v>0</v>
      </c>
      <c r="BN939" s="22">
        <v>45484</v>
      </c>
      <c r="BO939" s="26">
        <f t="shared" ca="1" si="220"/>
        <v>0.92755562741195374</v>
      </c>
      <c r="BP939" s="29">
        <v>0</v>
      </c>
      <c r="BR939" s="22">
        <v>45484</v>
      </c>
      <c r="BS939" s="26">
        <f t="shared" ca="1" si="221"/>
        <v>0.62063249844118185</v>
      </c>
      <c r="BT939" s="29">
        <v>0</v>
      </c>
      <c r="BV939" s="22">
        <v>45484</v>
      </c>
      <c r="BW939" s="26">
        <f t="shared" ca="1" si="222"/>
        <v>0.83721705829902715</v>
      </c>
      <c r="BX939" s="29">
        <v>0</v>
      </c>
    </row>
    <row r="940" spans="2:76" ht="12.75" x14ac:dyDescent="0.2">
      <c r="B940" s="22">
        <v>45485</v>
      </c>
      <c r="C940" s="26">
        <f t="shared" ca="1" si="205"/>
        <v>0.8066466215584398</v>
      </c>
      <c r="D940" s="29">
        <v>0</v>
      </c>
      <c r="F940" s="22"/>
      <c r="G940" s="26">
        <f t="shared" ca="1" si="206"/>
        <v>0.59702309791048536</v>
      </c>
      <c r="H940" s="29">
        <v>0</v>
      </c>
      <c r="J940" s="22">
        <v>45485</v>
      </c>
      <c r="K940" s="26">
        <f t="shared" ca="1" si="207"/>
        <v>0.25485795690574897</v>
      </c>
      <c r="L940" s="29">
        <v>0</v>
      </c>
      <c r="N940" s="22">
        <v>45485</v>
      </c>
      <c r="O940" s="26">
        <f t="shared" ca="1" si="208"/>
        <v>0.85275144652659307</v>
      </c>
      <c r="P940" s="29">
        <v>0</v>
      </c>
      <c r="R940" s="22">
        <v>45485</v>
      </c>
      <c r="S940" s="26">
        <f t="shared" ca="1" si="209"/>
        <v>0.72376124381016405</v>
      </c>
      <c r="T940" s="29">
        <v>0</v>
      </c>
      <c r="V940" s="22">
        <v>45485</v>
      </c>
      <c r="W940" s="26">
        <f t="shared" ca="1" si="210"/>
        <v>9.2138049340833583E-2</v>
      </c>
      <c r="X940" s="29">
        <v>0</v>
      </c>
      <c r="Z940" s="22">
        <v>45485</v>
      </c>
      <c r="AA940" s="26">
        <f t="shared" ca="1" si="211"/>
        <v>0.60650431816867678</v>
      </c>
      <c r="AB940" s="29">
        <v>0</v>
      </c>
      <c r="AC940"/>
      <c r="AD940" s="25"/>
      <c r="AF940" s="22">
        <v>45485</v>
      </c>
      <c r="AG940" s="26">
        <f t="shared" ca="1" si="212"/>
        <v>6.4861979631898992E-2</v>
      </c>
      <c r="AH940" s="29">
        <v>0</v>
      </c>
      <c r="AJ940" s="22">
        <v>45485</v>
      </c>
      <c r="AK940" s="26">
        <f t="shared" ca="1" si="213"/>
        <v>0.90373108842148353</v>
      </c>
      <c r="AL940" s="29">
        <v>0</v>
      </c>
      <c r="AN940" s="22">
        <v>45485</v>
      </c>
      <c r="AO940" s="26">
        <f t="shared" ca="1" si="214"/>
        <v>7.6167294716162459E-2</v>
      </c>
      <c r="AP940" s="29">
        <v>0</v>
      </c>
      <c r="AR940" s="22">
        <v>45485</v>
      </c>
      <c r="AS940" s="26">
        <f t="shared" ca="1" si="215"/>
        <v>0.18147318016563641</v>
      </c>
      <c r="AT940" s="29">
        <v>0</v>
      </c>
      <c r="AV940" s="22">
        <v>45485</v>
      </c>
      <c r="AW940" s="26">
        <f t="shared" ca="1" si="216"/>
        <v>0.58161064159830023</v>
      </c>
      <c r="AX940" s="29">
        <v>0</v>
      </c>
      <c r="AZ940" s="22">
        <v>45485</v>
      </c>
      <c r="BA940" s="26">
        <f t="shared" ca="1" si="217"/>
        <v>0.76889958237719147</v>
      </c>
      <c r="BB940" s="29">
        <v>0</v>
      </c>
      <c r="BC940"/>
      <c r="BD940" s="25"/>
      <c r="BF940" s="22">
        <v>45485</v>
      </c>
      <c r="BG940" s="26">
        <f t="shared" ca="1" si="218"/>
        <v>0.34601363562492893</v>
      </c>
      <c r="BH940" s="29">
        <v>0</v>
      </c>
      <c r="BJ940" s="22">
        <v>45485</v>
      </c>
      <c r="BK940" s="26">
        <f t="shared" ca="1" si="219"/>
        <v>0.19033889692958816</v>
      </c>
      <c r="BL940" s="29">
        <v>0</v>
      </c>
      <c r="BN940" s="22">
        <v>45485</v>
      </c>
      <c r="BO940" s="26">
        <f t="shared" ca="1" si="220"/>
        <v>0.50747181679271902</v>
      </c>
      <c r="BP940" s="29">
        <v>0</v>
      </c>
      <c r="BR940" s="22">
        <v>45485</v>
      </c>
      <c r="BS940" s="26">
        <f t="shared" ca="1" si="221"/>
        <v>0.88553358779330393</v>
      </c>
      <c r="BT940" s="29">
        <v>0</v>
      </c>
      <c r="BV940" s="22">
        <v>45485</v>
      </c>
      <c r="BW940" s="26">
        <f t="shared" ca="1" si="222"/>
        <v>0.4549089322942802</v>
      </c>
      <c r="BX940" s="29">
        <v>0</v>
      </c>
    </row>
    <row r="941" spans="2:76" ht="12.75" x14ac:dyDescent="0.2">
      <c r="B941" s="22">
        <v>45486</v>
      </c>
      <c r="C941" s="26">
        <f t="shared" ca="1" si="205"/>
        <v>0.48077701640224535</v>
      </c>
      <c r="D941" s="29">
        <v>0</v>
      </c>
      <c r="F941" s="22"/>
      <c r="G941" s="26">
        <f t="shared" ca="1" si="206"/>
        <v>0.28185641991361743</v>
      </c>
      <c r="H941" s="29">
        <v>0</v>
      </c>
      <c r="J941" s="22">
        <v>45486</v>
      </c>
      <c r="K941" s="26">
        <f t="shared" ca="1" si="207"/>
        <v>0.12622468914018936</v>
      </c>
      <c r="L941" s="29">
        <v>0</v>
      </c>
      <c r="N941" s="22">
        <v>45486</v>
      </c>
      <c r="O941" s="26">
        <f t="shared" ca="1" si="208"/>
        <v>0.14489302507378921</v>
      </c>
      <c r="P941" s="29">
        <v>0</v>
      </c>
      <c r="R941" s="22">
        <v>45486</v>
      </c>
      <c r="S941" s="26">
        <f t="shared" ca="1" si="209"/>
        <v>0.9309819890492973</v>
      </c>
      <c r="T941" s="29">
        <v>0</v>
      </c>
      <c r="V941" s="22">
        <v>45486</v>
      </c>
      <c r="W941" s="26">
        <f t="shared" ca="1" si="210"/>
        <v>0.79911433341208982</v>
      </c>
      <c r="X941" s="29">
        <v>0</v>
      </c>
      <c r="Z941" s="22">
        <v>45486</v>
      </c>
      <c r="AA941" s="26">
        <f t="shared" ca="1" si="211"/>
        <v>0.8610322018696509</v>
      </c>
      <c r="AB941" s="29">
        <v>0</v>
      </c>
      <c r="AC941"/>
      <c r="AD941" s="25"/>
      <c r="AF941" s="22">
        <v>45486</v>
      </c>
      <c r="AG941" s="26">
        <f t="shared" ca="1" si="212"/>
        <v>0.44662082409991999</v>
      </c>
      <c r="AH941" s="29">
        <v>0</v>
      </c>
      <c r="AJ941" s="22">
        <v>45486</v>
      </c>
      <c r="AK941" s="26">
        <f t="shared" ca="1" si="213"/>
        <v>0.15831525230774601</v>
      </c>
      <c r="AL941" s="29">
        <v>0</v>
      </c>
      <c r="AN941" s="22">
        <v>45486</v>
      </c>
      <c r="AO941" s="26">
        <f t="shared" ca="1" si="214"/>
        <v>0.71294036077767453</v>
      </c>
      <c r="AP941" s="29">
        <v>0</v>
      </c>
      <c r="AR941" s="22">
        <v>45486</v>
      </c>
      <c r="AS941" s="26">
        <f t="shared" ca="1" si="215"/>
        <v>0.47754918263655355</v>
      </c>
      <c r="AT941" s="29">
        <v>0</v>
      </c>
      <c r="AV941" s="22">
        <v>45486</v>
      </c>
      <c r="AW941" s="26">
        <f t="shared" ca="1" si="216"/>
        <v>0.43925266208170777</v>
      </c>
      <c r="AX941" s="29">
        <v>0</v>
      </c>
      <c r="AZ941" s="22">
        <v>45486</v>
      </c>
      <c r="BA941" s="26">
        <f t="shared" ca="1" si="217"/>
        <v>0.9263839478813195</v>
      </c>
      <c r="BB941" s="29">
        <v>0</v>
      </c>
      <c r="BC941"/>
      <c r="BD941" s="25"/>
      <c r="BF941" s="22">
        <v>45486</v>
      </c>
      <c r="BG941" s="26">
        <f t="shared" ca="1" si="218"/>
        <v>2.0747492495728936E-2</v>
      </c>
      <c r="BH941" s="29">
        <v>0</v>
      </c>
      <c r="BJ941" s="22">
        <v>45486</v>
      </c>
      <c r="BK941" s="26">
        <f t="shared" ca="1" si="219"/>
        <v>4.6711414331862322E-2</v>
      </c>
      <c r="BL941" s="29">
        <v>0</v>
      </c>
      <c r="BN941" s="22">
        <v>45486</v>
      </c>
      <c r="BO941" s="26">
        <f t="shared" ca="1" si="220"/>
        <v>0.88253008117455944</v>
      </c>
      <c r="BP941" s="29">
        <v>0</v>
      </c>
      <c r="BR941" s="22">
        <v>45486</v>
      </c>
      <c r="BS941" s="26">
        <f t="shared" ca="1" si="221"/>
        <v>0.77891343903360477</v>
      </c>
      <c r="BT941" s="29">
        <v>0</v>
      </c>
      <c r="BV941" s="22">
        <v>45486</v>
      </c>
      <c r="BW941" s="26">
        <f t="shared" ca="1" si="222"/>
        <v>0.38876717976729802</v>
      </c>
      <c r="BX941" s="29">
        <v>0</v>
      </c>
    </row>
    <row r="942" spans="2:76" ht="12.75" x14ac:dyDescent="0.2">
      <c r="B942" s="22">
        <v>45487</v>
      </c>
      <c r="C942" s="26">
        <f t="shared" ca="1" si="205"/>
        <v>0.68349831110309189</v>
      </c>
      <c r="D942" s="29">
        <v>0</v>
      </c>
      <c r="F942" s="22"/>
      <c r="G942" s="26">
        <f t="shared" ca="1" si="206"/>
        <v>5.4512461711845095E-2</v>
      </c>
      <c r="H942" s="29">
        <v>0</v>
      </c>
      <c r="J942" s="22">
        <v>45487</v>
      </c>
      <c r="K942" s="26">
        <f t="shared" ca="1" si="207"/>
        <v>0.44091472929026954</v>
      </c>
      <c r="L942" s="29">
        <v>0</v>
      </c>
      <c r="N942" s="22">
        <v>45487</v>
      </c>
      <c r="O942" s="26">
        <f t="shared" ca="1" si="208"/>
        <v>0.87913514407154769</v>
      </c>
      <c r="P942" s="29">
        <v>0</v>
      </c>
      <c r="R942" s="22">
        <v>45487</v>
      </c>
      <c r="S942" s="26">
        <f t="shared" ca="1" si="209"/>
        <v>3.0860455907417705E-2</v>
      </c>
      <c r="T942" s="29">
        <v>0</v>
      </c>
      <c r="V942" s="22">
        <v>45487</v>
      </c>
      <c r="W942" s="26">
        <f t="shared" ca="1" si="210"/>
        <v>0.85888513526878896</v>
      </c>
      <c r="X942" s="29">
        <v>0</v>
      </c>
      <c r="Z942" s="22">
        <v>45487</v>
      </c>
      <c r="AA942" s="26">
        <f t="shared" ca="1" si="211"/>
        <v>0.91714660161321371</v>
      </c>
      <c r="AB942" s="29">
        <v>0</v>
      </c>
      <c r="AC942"/>
      <c r="AD942" s="25"/>
      <c r="AF942" s="22">
        <v>45487</v>
      </c>
      <c r="AG942" s="26">
        <f t="shared" ca="1" si="212"/>
        <v>0.80601564644647783</v>
      </c>
      <c r="AH942" s="29">
        <v>0</v>
      </c>
      <c r="AJ942" s="22">
        <v>45487</v>
      </c>
      <c r="AK942" s="26">
        <f t="shared" ca="1" si="213"/>
        <v>4.603337419711373E-2</v>
      </c>
      <c r="AL942" s="29">
        <v>0</v>
      </c>
      <c r="AN942" s="22">
        <v>45487</v>
      </c>
      <c r="AO942" s="26">
        <f t="shared" ca="1" si="214"/>
        <v>0.13425975446357308</v>
      </c>
      <c r="AP942" s="29">
        <v>0</v>
      </c>
      <c r="AR942" s="22">
        <v>45487</v>
      </c>
      <c r="AS942" s="26">
        <f t="shared" ca="1" si="215"/>
        <v>0.10934798770565779</v>
      </c>
      <c r="AT942" s="29">
        <v>0</v>
      </c>
      <c r="AV942" s="22">
        <v>45487</v>
      </c>
      <c r="AW942" s="26">
        <f t="shared" ca="1" si="216"/>
        <v>0.58645369968552652</v>
      </c>
      <c r="AX942" s="29">
        <v>0</v>
      </c>
      <c r="AZ942" s="22">
        <v>45487</v>
      </c>
      <c r="BA942" s="26">
        <f t="shared" ca="1" si="217"/>
        <v>0.84917351046784273</v>
      </c>
      <c r="BB942" s="29">
        <v>0</v>
      </c>
      <c r="BC942"/>
      <c r="BD942" s="25"/>
      <c r="BF942" s="22">
        <v>45487</v>
      </c>
      <c r="BG942" s="26">
        <f t="shared" ca="1" si="218"/>
        <v>0.92476332184470011</v>
      </c>
      <c r="BH942" s="29">
        <v>0</v>
      </c>
      <c r="BJ942" s="22">
        <v>45487</v>
      </c>
      <c r="BK942" s="26">
        <f t="shared" ca="1" si="219"/>
        <v>0.61298590972143918</v>
      </c>
      <c r="BL942" s="29">
        <v>0</v>
      </c>
      <c r="BN942" s="22">
        <v>45487</v>
      </c>
      <c r="BO942" s="26">
        <f t="shared" ca="1" si="220"/>
        <v>0.55238042722189096</v>
      </c>
      <c r="BP942" s="29">
        <v>0</v>
      </c>
      <c r="BR942" s="22">
        <v>45487</v>
      </c>
      <c r="BS942" s="26">
        <f t="shared" ca="1" si="221"/>
        <v>0.51822967466700998</v>
      </c>
      <c r="BT942" s="29">
        <v>0</v>
      </c>
      <c r="BV942" s="22">
        <v>45487</v>
      </c>
      <c r="BW942" s="26">
        <f t="shared" ca="1" si="222"/>
        <v>0.1764227467020324</v>
      </c>
      <c r="BX942" s="29">
        <v>0</v>
      </c>
    </row>
    <row r="943" spans="2:76" ht="12.75" x14ac:dyDescent="0.2">
      <c r="B943" s="22">
        <v>45488</v>
      </c>
      <c r="C943" s="26">
        <f t="shared" ca="1" si="205"/>
        <v>0.90367755483449053</v>
      </c>
      <c r="D943" s="29">
        <v>0</v>
      </c>
      <c r="F943" s="22"/>
      <c r="G943" s="26">
        <f t="shared" ca="1" si="206"/>
        <v>0.4999099097302262</v>
      </c>
      <c r="H943" s="29">
        <v>0</v>
      </c>
      <c r="J943" s="22">
        <v>45488</v>
      </c>
      <c r="K943" s="26">
        <f t="shared" ca="1" si="207"/>
        <v>0.50645049728993063</v>
      </c>
      <c r="L943" s="29">
        <v>0</v>
      </c>
      <c r="N943" s="22">
        <v>45488</v>
      </c>
      <c r="O943" s="26">
        <f t="shared" ca="1" si="208"/>
        <v>0.21856999294728008</v>
      </c>
      <c r="P943" s="29">
        <v>0</v>
      </c>
      <c r="R943" s="22">
        <v>45488</v>
      </c>
      <c r="S943" s="26">
        <f t="shared" ca="1" si="209"/>
        <v>0.74947825531978018</v>
      </c>
      <c r="T943" s="29">
        <v>0</v>
      </c>
      <c r="V943" s="22">
        <v>45488</v>
      </c>
      <c r="W943" s="26">
        <f t="shared" ca="1" si="210"/>
        <v>0.82494473052556372</v>
      </c>
      <c r="X943" s="29">
        <v>0</v>
      </c>
      <c r="Z943" s="22">
        <v>45488</v>
      </c>
      <c r="AA943" s="26">
        <f t="shared" ca="1" si="211"/>
        <v>0.2948498142219167</v>
      </c>
      <c r="AB943" s="29">
        <v>0</v>
      </c>
      <c r="AC943"/>
      <c r="AD943" s="25"/>
      <c r="AF943" s="22">
        <v>45488</v>
      </c>
      <c r="AG943" s="26">
        <f t="shared" ca="1" si="212"/>
        <v>0.17444754040137112</v>
      </c>
      <c r="AH943" s="29">
        <v>0</v>
      </c>
      <c r="AJ943" s="22">
        <v>45488</v>
      </c>
      <c r="AK943" s="26">
        <f t="shared" ca="1" si="213"/>
        <v>0.13953114125235755</v>
      </c>
      <c r="AL943" s="29">
        <v>0</v>
      </c>
      <c r="AN943" s="22">
        <v>45488</v>
      </c>
      <c r="AO943" s="26">
        <f t="shared" ca="1" si="214"/>
        <v>0.66739362458177076</v>
      </c>
      <c r="AP943" s="29">
        <v>0</v>
      </c>
      <c r="AR943" s="22">
        <v>45488</v>
      </c>
      <c r="AS943" s="26">
        <f t="shared" ca="1" si="215"/>
        <v>0.96870969857774825</v>
      </c>
      <c r="AT943" s="29">
        <v>0</v>
      </c>
      <c r="AV943" s="22">
        <v>45488</v>
      </c>
      <c r="AW943" s="26">
        <f t="shared" ca="1" si="216"/>
        <v>0.65294556304749307</v>
      </c>
      <c r="AX943" s="29">
        <v>0</v>
      </c>
      <c r="AZ943" s="22">
        <v>45488</v>
      </c>
      <c r="BA943" s="26">
        <f t="shared" ca="1" si="217"/>
        <v>0.82099037803681063</v>
      </c>
      <c r="BB943" s="29">
        <v>0</v>
      </c>
      <c r="BC943"/>
      <c r="BD943" s="25"/>
      <c r="BF943" s="22">
        <v>45488</v>
      </c>
      <c r="BG943" s="26">
        <f t="shared" ca="1" si="218"/>
        <v>0.95364390216733907</v>
      </c>
      <c r="BH943" s="29">
        <v>0</v>
      </c>
      <c r="BJ943" s="22">
        <v>45488</v>
      </c>
      <c r="BK943" s="26">
        <f t="shared" ca="1" si="219"/>
        <v>0.37192976605077299</v>
      </c>
      <c r="BL943" s="29">
        <v>0</v>
      </c>
      <c r="BN943" s="22">
        <v>45488</v>
      </c>
      <c r="BO943" s="26">
        <f t="shared" ca="1" si="220"/>
        <v>0.7038057051550507</v>
      </c>
      <c r="BP943" s="29">
        <v>0</v>
      </c>
      <c r="BR943" s="22">
        <v>45488</v>
      </c>
      <c r="BS943" s="26">
        <f t="shared" ca="1" si="221"/>
        <v>0.22065184505990088</v>
      </c>
      <c r="BT943" s="29">
        <v>0</v>
      </c>
      <c r="BV943" s="22">
        <v>45488</v>
      </c>
      <c r="BW943" s="26">
        <f t="shared" ca="1" si="222"/>
        <v>0.21604153862697062</v>
      </c>
      <c r="BX943" s="29">
        <v>0</v>
      </c>
    </row>
    <row r="944" spans="2:76" ht="12.75" x14ac:dyDescent="0.2">
      <c r="B944" s="22">
        <v>45489</v>
      </c>
      <c r="C944" s="26">
        <f t="shared" ca="1" si="205"/>
        <v>0.94710448874707043</v>
      </c>
      <c r="D944" s="29">
        <v>0</v>
      </c>
      <c r="F944" s="22"/>
      <c r="G944" s="26">
        <f t="shared" ca="1" si="206"/>
        <v>0.87258738558022453</v>
      </c>
      <c r="H944" s="29">
        <v>0</v>
      </c>
      <c r="J944" s="22">
        <v>45489</v>
      </c>
      <c r="K944" s="26">
        <f t="shared" ca="1" si="207"/>
        <v>0.41540021897927992</v>
      </c>
      <c r="L944" s="29">
        <v>0</v>
      </c>
      <c r="N944" s="22">
        <v>45489</v>
      </c>
      <c r="O944" s="26">
        <f t="shared" ca="1" si="208"/>
        <v>0.22628406412670909</v>
      </c>
      <c r="P944" s="29">
        <v>0</v>
      </c>
      <c r="R944" s="22">
        <v>45489</v>
      </c>
      <c r="S944" s="26">
        <f t="shared" ca="1" si="209"/>
        <v>0.19675664753501132</v>
      </c>
      <c r="T944" s="29">
        <v>0</v>
      </c>
      <c r="V944" s="22">
        <v>45489</v>
      </c>
      <c r="W944" s="26">
        <f t="shared" ca="1" si="210"/>
        <v>0.90218283056393223</v>
      </c>
      <c r="X944" s="29">
        <v>0</v>
      </c>
      <c r="Z944" s="22">
        <v>45489</v>
      </c>
      <c r="AA944" s="26">
        <f t="shared" ca="1" si="211"/>
        <v>3.4642732462124126E-2</v>
      </c>
      <c r="AB944" s="29">
        <v>0</v>
      </c>
      <c r="AC944"/>
      <c r="AD944" s="25"/>
      <c r="AF944" s="22">
        <v>45489</v>
      </c>
      <c r="AG944" s="26">
        <f t="shared" ca="1" si="212"/>
        <v>0.1950203876130151</v>
      </c>
      <c r="AH944" s="29">
        <v>0</v>
      </c>
      <c r="AJ944" s="22">
        <v>45489</v>
      </c>
      <c r="AK944" s="26">
        <f t="shared" ca="1" si="213"/>
        <v>0.1460807007854098</v>
      </c>
      <c r="AL944" s="29">
        <v>0</v>
      </c>
      <c r="AN944" s="22">
        <v>45489</v>
      </c>
      <c r="AO944" s="26">
        <f t="shared" ca="1" si="214"/>
        <v>0.66493922745266998</v>
      </c>
      <c r="AP944" s="29">
        <v>0</v>
      </c>
      <c r="AR944" s="22">
        <v>45489</v>
      </c>
      <c r="AS944" s="26">
        <f t="shared" ca="1" si="215"/>
        <v>0.69473906973188448</v>
      </c>
      <c r="AT944" s="29">
        <v>0</v>
      </c>
      <c r="AV944" s="22">
        <v>45489</v>
      </c>
      <c r="AW944" s="26">
        <f t="shared" ca="1" si="216"/>
        <v>0.4762512163585424</v>
      </c>
      <c r="AX944" s="29">
        <v>0</v>
      </c>
      <c r="AZ944" s="22">
        <v>45489</v>
      </c>
      <c r="BA944" s="26">
        <f t="shared" ca="1" si="217"/>
        <v>2.6059424790101038E-2</v>
      </c>
      <c r="BB944" s="29">
        <v>0</v>
      </c>
      <c r="BC944"/>
      <c r="BD944" s="25"/>
      <c r="BF944" s="22">
        <v>45489</v>
      </c>
      <c r="BG944" s="26">
        <f t="shared" ca="1" si="218"/>
        <v>6.6414759347801833E-2</v>
      </c>
      <c r="BH944" s="29">
        <v>0</v>
      </c>
      <c r="BJ944" s="22">
        <v>45489</v>
      </c>
      <c r="BK944" s="26">
        <f t="shared" ca="1" si="219"/>
        <v>0.84417927744114107</v>
      </c>
      <c r="BL944" s="29">
        <v>0</v>
      </c>
      <c r="BN944" s="22">
        <v>45489</v>
      </c>
      <c r="BO944" s="26">
        <f t="shared" ca="1" si="220"/>
        <v>0.1337214415886544</v>
      </c>
      <c r="BP944" s="29">
        <v>0</v>
      </c>
      <c r="BR944" s="22">
        <v>45489</v>
      </c>
      <c r="BS944" s="26">
        <f t="shared" ca="1" si="221"/>
        <v>0.60578253746018551</v>
      </c>
      <c r="BT944" s="29">
        <v>0</v>
      </c>
      <c r="BV944" s="22">
        <v>45489</v>
      </c>
      <c r="BW944" s="26">
        <f t="shared" ca="1" si="222"/>
        <v>0.15275192067325838</v>
      </c>
      <c r="BX944" s="29">
        <v>0</v>
      </c>
    </row>
    <row r="945" spans="2:77" ht="12.75" x14ac:dyDescent="0.2">
      <c r="B945" s="22">
        <v>45490</v>
      </c>
      <c r="C945" s="26">
        <f t="shared" ca="1" si="205"/>
        <v>0.80452358287233139</v>
      </c>
      <c r="D945" s="29">
        <v>0</v>
      </c>
      <c r="F945" s="22"/>
      <c r="G945" s="26">
        <f t="shared" ca="1" si="206"/>
        <v>0.54531831146606269</v>
      </c>
      <c r="H945" s="29">
        <v>0</v>
      </c>
      <c r="J945" s="22">
        <v>45490</v>
      </c>
      <c r="K945" s="26">
        <f t="shared" ca="1" si="207"/>
        <v>7.2935344924206613E-2</v>
      </c>
      <c r="L945" s="29">
        <v>0</v>
      </c>
      <c r="N945" s="22">
        <v>45490</v>
      </c>
      <c r="O945" s="26">
        <f t="shared" ca="1" si="208"/>
        <v>0.59498131755442607</v>
      </c>
      <c r="P945" s="29">
        <v>0</v>
      </c>
      <c r="R945" s="22">
        <v>45490</v>
      </c>
      <c r="S945" s="26">
        <f t="shared" ca="1" si="209"/>
        <v>0.21545974199978446</v>
      </c>
      <c r="T945" s="29">
        <v>0</v>
      </c>
      <c r="V945" s="22">
        <v>45490</v>
      </c>
      <c r="W945" s="26">
        <f t="shared" ca="1" si="210"/>
        <v>0.13619410111653207</v>
      </c>
      <c r="X945" s="29">
        <v>0</v>
      </c>
      <c r="Z945" s="22">
        <v>45490</v>
      </c>
      <c r="AA945" s="26">
        <f t="shared" ca="1" si="211"/>
        <v>0.45612671335342214</v>
      </c>
      <c r="AB945" s="29">
        <v>0</v>
      </c>
      <c r="AC945"/>
      <c r="AD945" s="25"/>
      <c r="AF945" s="22">
        <v>45490</v>
      </c>
      <c r="AG945" s="26">
        <f t="shared" ca="1" si="212"/>
        <v>0.86946358904610843</v>
      </c>
      <c r="AH945" s="29">
        <v>0</v>
      </c>
      <c r="AJ945" s="22">
        <v>45490</v>
      </c>
      <c r="AK945" s="26">
        <f t="shared" ca="1" si="213"/>
        <v>9.7108398027800247E-2</v>
      </c>
      <c r="AL945" s="29">
        <v>0</v>
      </c>
      <c r="AN945" s="22">
        <v>45490</v>
      </c>
      <c r="AO945" s="26">
        <f t="shared" ca="1" si="214"/>
        <v>0.35806793118595293</v>
      </c>
      <c r="AP945" s="29">
        <v>0</v>
      </c>
      <c r="AR945" s="22">
        <v>45490</v>
      </c>
      <c r="AS945" s="26">
        <f t="shared" ca="1" si="215"/>
        <v>0.90287557774050353</v>
      </c>
      <c r="AT945" s="29">
        <v>0</v>
      </c>
      <c r="AV945" s="22">
        <v>45490</v>
      </c>
      <c r="AW945" s="26">
        <f t="shared" ca="1" si="216"/>
        <v>0.27158313586319294</v>
      </c>
      <c r="AX945" s="29">
        <v>0</v>
      </c>
      <c r="AZ945" s="22">
        <v>45490</v>
      </c>
      <c r="BA945" s="26">
        <f t="shared" ca="1" si="217"/>
        <v>0.48436535302568007</v>
      </c>
      <c r="BB945" s="29">
        <v>0</v>
      </c>
      <c r="BC945"/>
      <c r="BD945" s="25"/>
      <c r="BF945" s="22">
        <v>45490</v>
      </c>
      <c r="BG945" s="26">
        <f t="shared" ca="1" si="218"/>
        <v>0.31306555627136712</v>
      </c>
      <c r="BH945" s="29">
        <v>0</v>
      </c>
      <c r="BJ945" s="22">
        <v>45490</v>
      </c>
      <c r="BK945" s="26">
        <f t="shared" ca="1" si="219"/>
        <v>0.91820071205272791</v>
      </c>
      <c r="BL945" s="29">
        <v>0</v>
      </c>
      <c r="BN945" s="22">
        <v>45490</v>
      </c>
      <c r="BO945" s="26">
        <f t="shared" ca="1" si="220"/>
        <v>0.59003094956160129</v>
      </c>
      <c r="BP945" s="29">
        <v>0</v>
      </c>
      <c r="BR945" s="22">
        <v>45490</v>
      </c>
      <c r="BS945" s="26">
        <f t="shared" ca="1" si="221"/>
        <v>0.72840185703093063</v>
      </c>
      <c r="BT945" s="29">
        <v>0</v>
      </c>
      <c r="BV945" s="22">
        <v>45490</v>
      </c>
      <c r="BW945" s="26">
        <f t="shared" ca="1" si="222"/>
        <v>0.37922335416665787</v>
      </c>
      <c r="BX945" s="29">
        <v>0</v>
      </c>
    </row>
    <row r="946" spans="2:77" ht="12.75" x14ac:dyDescent="0.2">
      <c r="B946" s="22">
        <v>45491</v>
      </c>
      <c r="C946" s="26">
        <f t="shared" ca="1" si="205"/>
        <v>0.70750531389287952</v>
      </c>
      <c r="D946" s="29">
        <v>0</v>
      </c>
      <c r="F946" s="22"/>
      <c r="G946" s="26">
        <f t="shared" ca="1" si="206"/>
        <v>0.61735021932203693</v>
      </c>
      <c r="H946" s="29">
        <v>0</v>
      </c>
      <c r="J946" s="22">
        <v>45491</v>
      </c>
      <c r="K946" s="26">
        <f t="shared" ca="1" si="207"/>
        <v>0.77454729909114162</v>
      </c>
      <c r="L946" s="29">
        <v>0</v>
      </c>
      <c r="N946" s="22">
        <v>45491</v>
      </c>
      <c r="O946" s="26">
        <f t="shared" ca="1" si="208"/>
        <v>0.20623575642085745</v>
      </c>
      <c r="P946" s="29">
        <v>0</v>
      </c>
      <c r="R946" s="22">
        <v>45491</v>
      </c>
      <c r="S946" s="26">
        <f t="shared" ca="1" si="209"/>
        <v>0.35275897189981364</v>
      </c>
      <c r="T946" s="29">
        <v>0</v>
      </c>
      <c r="V946" s="22">
        <v>45491</v>
      </c>
      <c r="W946" s="26">
        <f t="shared" ca="1" si="210"/>
        <v>0.14440735191993259</v>
      </c>
      <c r="X946" s="29">
        <v>0</v>
      </c>
      <c r="Z946" s="22">
        <v>45491</v>
      </c>
      <c r="AA946" s="26">
        <f t="shared" ca="1" si="211"/>
        <v>0.22407405147441972</v>
      </c>
      <c r="AB946" s="29">
        <v>0</v>
      </c>
      <c r="AC946"/>
      <c r="AD946" s="25"/>
      <c r="AF946" s="22">
        <v>45491</v>
      </c>
      <c r="AG946" s="26">
        <f t="shared" ca="1" si="212"/>
        <v>0.43552047827459106</v>
      </c>
      <c r="AH946" s="29">
        <v>0</v>
      </c>
      <c r="AJ946" s="22">
        <v>45491</v>
      </c>
      <c r="AK946" s="26">
        <f t="shared" ca="1" si="213"/>
        <v>0.18894773451598246</v>
      </c>
      <c r="AL946" s="29">
        <v>0</v>
      </c>
      <c r="AN946" s="22">
        <v>45491</v>
      </c>
      <c r="AO946" s="26">
        <f t="shared" ca="1" si="214"/>
        <v>0.60517701859665618</v>
      </c>
      <c r="AP946" s="29">
        <v>0</v>
      </c>
      <c r="AR946" s="22">
        <v>45491</v>
      </c>
      <c r="AS946" s="26">
        <f t="shared" ca="1" si="215"/>
        <v>0.67311578497039593</v>
      </c>
      <c r="AT946" s="29">
        <v>0</v>
      </c>
      <c r="AV946" s="22">
        <v>45491</v>
      </c>
      <c r="AW946" s="26">
        <f t="shared" ca="1" si="216"/>
        <v>0.84571361507396559</v>
      </c>
      <c r="AX946" s="29">
        <v>0</v>
      </c>
      <c r="AZ946" s="22">
        <v>45491</v>
      </c>
      <c r="BA946" s="26">
        <f t="shared" ca="1" si="217"/>
        <v>0.55455955047306005</v>
      </c>
      <c r="BB946" s="29">
        <v>0</v>
      </c>
      <c r="BC946"/>
      <c r="BD946" s="25"/>
      <c r="BF946" s="22">
        <v>45491</v>
      </c>
      <c r="BG946" s="26">
        <f t="shared" ca="1" si="218"/>
        <v>0.40774223649084607</v>
      </c>
      <c r="BH946" s="29">
        <v>0</v>
      </c>
      <c r="BJ946" s="22">
        <v>45491</v>
      </c>
      <c r="BK946" s="26">
        <f t="shared" ca="1" si="219"/>
        <v>2.9451602312222658E-2</v>
      </c>
      <c r="BL946" s="29">
        <v>0</v>
      </c>
      <c r="BN946" s="22">
        <v>45491</v>
      </c>
      <c r="BO946" s="26">
        <f t="shared" ca="1" si="220"/>
        <v>0.96660251874467762</v>
      </c>
      <c r="BP946" s="29">
        <v>0</v>
      </c>
      <c r="BR946" s="22">
        <v>45491</v>
      </c>
      <c r="BS946" s="26">
        <f t="shared" ca="1" si="221"/>
        <v>0.24838306858202597</v>
      </c>
      <c r="BT946" s="29">
        <v>0</v>
      </c>
      <c r="BV946" s="22">
        <v>45491</v>
      </c>
      <c r="BW946" s="26">
        <f t="shared" ca="1" si="222"/>
        <v>0.49777829109880156</v>
      </c>
      <c r="BX946" s="29">
        <v>0</v>
      </c>
    </row>
    <row r="947" spans="2:77" ht="12.75" x14ac:dyDescent="0.2">
      <c r="B947" s="22">
        <v>45492</v>
      </c>
      <c r="C947" s="26">
        <f t="shared" ca="1" si="205"/>
        <v>4.7793726070608944E-2</v>
      </c>
      <c r="D947" s="29">
        <v>0</v>
      </c>
      <c r="F947" s="22"/>
      <c r="G947" s="26">
        <f t="shared" ca="1" si="206"/>
        <v>0.91552836663315584</v>
      </c>
      <c r="H947" s="29">
        <v>0</v>
      </c>
      <c r="J947" s="22">
        <v>45492</v>
      </c>
      <c r="K947" s="26">
        <f t="shared" ca="1" si="207"/>
        <v>0.14569238024397224</v>
      </c>
      <c r="L947" s="29">
        <v>0</v>
      </c>
      <c r="N947" s="22">
        <v>45492</v>
      </c>
      <c r="O947" s="26">
        <f t="shared" ca="1" si="208"/>
        <v>0.24438982074996429</v>
      </c>
      <c r="P947" s="29">
        <v>0</v>
      </c>
      <c r="R947" s="22">
        <v>45492</v>
      </c>
      <c r="S947" s="26">
        <f t="shared" ca="1" si="209"/>
        <v>0.85659269623681222</v>
      </c>
      <c r="T947" s="29">
        <v>0</v>
      </c>
      <c r="V947" s="22">
        <v>45492</v>
      </c>
      <c r="W947" s="26">
        <f t="shared" ca="1" si="210"/>
        <v>0.44579314822126115</v>
      </c>
      <c r="X947" s="29">
        <v>0</v>
      </c>
      <c r="Z947" s="22">
        <v>45492</v>
      </c>
      <c r="AA947" s="26">
        <f t="shared" ca="1" si="211"/>
        <v>0.20359153538102648</v>
      </c>
      <c r="AB947" s="29">
        <v>0</v>
      </c>
      <c r="AC947"/>
      <c r="AD947" s="25"/>
      <c r="AF947" s="22">
        <v>45492</v>
      </c>
      <c r="AG947" s="26">
        <f t="shared" ca="1" si="212"/>
        <v>0.45227683491712289</v>
      </c>
      <c r="AH947" s="29">
        <v>0</v>
      </c>
      <c r="AJ947" s="22">
        <v>45492</v>
      </c>
      <c r="AK947" s="26">
        <f t="shared" ca="1" si="213"/>
        <v>0.43922250828589238</v>
      </c>
      <c r="AL947" s="29">
        <v>0</v>
      </c>
      <c r="AN947" s="22">
        <v>45492</v>
      </c>
      <c r="AO947" s="26">
        <f t="shared" ca="1" si="214"/>
        <v>0.46467839121955523</v>
      </c>
      <c r="AP947" s="29">
        <v>0</v>
      </c>
      <c r="AR947" s="22">
        <v>45492</v>
      </c>
      <c r="AS947" s="26">
        <f t="shared" ca="1" si="215"/>
        <v>0.1828010227850011</v>
      </c>
      <c r="AT947" s="29">
        <v>0</v>
      </c>
      <c r="AV947" s="22">
        <v>45492</v>
      </c>
      <c r="AW947" s="26">
        <f t="shared" ca="1" si="216"/>
        <v>0.41904696587089996</v>
      </c>
      <c r="AX947" s="29">
        <v>0</v>
      </c>
      <c r="AZ947" s="22">
        <v>45492</v>
      </c>
      <c r="BA947" s="26">
        <f t="shared" ca="1" si="217"/>
        <v>0.59302819827714182</v>
      </c>
      <c r="BB947" s="29">
        <v>0</v>
      </c>
      <c r="BC947"/>
      <c r="BD947" s="25"/>
      <c r="BF947" s="22">
        <v>45492</v>
      </c>
      <c r="BG947" s="26">
        <f t="shared" ca="1" si="218"/>
        <v>0.47229588094258523</v>
      </c>
      <c r="BH947" s="29">
        <v>0</v>
      </c>
      <c r="BJ947" s="22">
        <v>45492</v>
      </c>
      <c r="BK947" s="26">
        <f t="shared" ca="1" si="219"/>
        <v>1.9520124756502333E-2</v>
      </c>
      <c r="BL947" s="29">
        <v>0</v>
      </c>
      <c r="BN947" s="22">
        <v>45492</v>
      </c>
      <c r="BO947" s="26">
        <f t="shared" ca="1" si="220"/>
        <v>1.056654782371691E-2</v>
      </c>
      <c r="BP947" s="29">
        <v>0</v>
      </c>
      <c r="BR947" s="22">
        <v>45492</v>
      </c>
      <c r="BS947" s="26">
        <f t="shared" ca="1" si="221"/>
        <v>0.24651438694872663</v>
      </c>
      <c r="BT947" s="29">
        <v>0</v>
      </c>
      <c r="BV947" s="22">
        <v>45492</v>
      </c>
      <c r="BW947" s="26">
        <f t="shared" ca="1" si="222"/>
        <v>0.27097110649644385</v>
      </c>
      <c r="BX947" s="29">
        <v>0</v>
      </c>
    </row>
    <row r="948" spans="2:77" ht="12.75" x14ac:dyDescent="0.2">
      <c r="B948" s="22">
        <v>45493</v>
      </c>
      <c r="C948" s="26">
        <f t="shared" ca="1" si="205"/>
        <v>0.87706167305970584</v>
      </c>
      <c r="D948" s="29">
        <v>0</v>
      </c>
      <c r="F948" s="22"/>
      <c r="G948" s="26">
        <f t="shared" ca="1" si="206"/>
        <v>0.15362548384413854</v>
      </c>
      <c r="H948" s="29">
        <v>0</v>
      </c>
      <c r="J948" s="22">
        <v>45493</v>
      </c>
      <c r="K948" s="26">
        <f t="shared" ca="1" si="207"/>
        <v>0.1148620704469232</v>
      </c>
      <c r="L948" s="29">
        <v>0</v>
      </c>
      <c r="N948" s="22">
        <v>45493</v>
      </c>
      <c r="O948" s="26">
        <f t="shared" ca="1" si="208"/>
        <v>0.64273313544969335</v>
      </c>
      <c r="P948" s="29">
        <v>0</v>
      </c>
      <c r="R948" s="22">
        <v>45493</v>
      </c>
      <c r="S948" s="26">
        <f t="shared" ca="1" si="209"/>
        <v>0.32279411954689463</v>
      </c>
      <c r="T948" s="29">
        <v>0</v>
      </c>
      <c r="V948" s="22">
        <v>45493</v>
      </c>
      <c r="W948" s="26">
        <f t="shared" ca="1" si="210"/>
        <v>0.13040627634574109</v>
      </c>
      <c r="X948" s="29">
        <v>0</v>
      </c>
      <c r="Z948" s="22">
        <v>45493</v>
      </c>
      <c r="AA948" s="26">
        <f t="shared" ca="1" si="211"/>
        <v>0.4009849979987623</v>
      </c>
      <c r="AB948" s="29">
        <v>0</v>
      </c>
      <c r="AC948"/>
      <c r="AD948" s="25"/>
      <c r="AF948" s="22">
        <v>45493</v>
      </c>
      <c r="AG948" s="26">
        <f t="shared" ca="1" si="212"/>
        <v>0.5209133572874548</v>
      </c>
      <c r="AH948" s="29">
        <v>0</v>
      </c>
      <c r="AJ948" s="22">
        <v>45493</v>
      </c>
      <c r="AK948" s="26">
        <f t="shared" ca="1" si="213"/>
        <v>0.13361494413035313</v>
      </c>
      <c r="AL948" s="29">
        <v>0</v>
      </c>
      <c r="AN948" s="22">
        <v>45493</v>
      </c>
      <c r="AO948" s="26">
        <f t="shared" ca="1" si="214"/>
        <v>0.63003389367451157</v>
      </c>
      <c r="AP948" s="29">
        <v>0</v>
      </c>
      <c r="AR948" s="22">
        <v>45493</v>
      </c>
      <c r="AS948" s="26">
        <f t="shared" ca="1" si="215"/>
        <v>0.12990301166449825</v>
      </c>
      <c r="AT948" s="29">
        <v>0</v>
      </c>
      <c r="AV948" s="22">
        <v>45493</v>
      </c>
      <c r="AW948" s="26">
        <f t="shared" ca="1" si="216"/>
        <v>0.62383253337167677</v>
      </c>
      <c r="AX948" s="29">
        <v>0</v>
      </c>
      <c r="AZ948" s="22">
        <v>45493</v>
      </c>
      <c r="BA948" s="26">
        <f t="shared" ca="1" si="217"/>
        <v>0.25445725652326534</v>
      </c>
      <c r="BB948" s="29">
        <v>0</v>
      </c>
      <c r="BC948"/>
      <c r="BD948" s="25"/>
      <c r="BF948" s="22">
        <v>45493</v>
      </c>
      <c r="BG948" s="26">
        <f t="shared" ca="1" si="218"/>
        <v>0.4530428167104632</v>
      </c>
      <c r="BH948" s="29">
        <v>0</v>
      </c>
      <c r="BJ948" s="22">
        <v>45493</v>
      </c>
      <c r="BK948" s="26">
        <f t="shared" ca="1" si="219"/>
        <v>0.12607097045746829</v>
      </c>
      <c r="BL948" s="29">
        <v>0</v>
      </c>
      <c r="BN948" s="22">
        <v>45493</v>
      </c>
      <c r="BO948" s="26">
        <f t="shared" ca="1" si="220"/>
        <v>0.78299153035061297</v>
      </c>
      <c r="BP948" s="29">
        <v>0</v>
      </c>
      <c r="BR948" s="22">
        <v>45493</v>
      </c>
      <c r="BS948" s="26">
        <f t="shared" ca="1" si="221"/>
        <v>0.27213746253498161</v>
      </c>
      <c r="BT948" s="29">
        <v>0</v>
      </c>
      <c r="BV948" s="22">
        <v>45493</v>
      </c>
      <c r="BW948" s="26">
        <f t="shared" ca="1" si="222"/>
        <v>0.83749105344290153</v>
      </c>
      <c r="BX948" s="29">
        <v>0</v>
      </c>
    </row>
    <row r="949" spans="2:77" ht="12.75" x14ac:dyDescent="0.2">
      <c r="B949" s="22">
        <v>45494</v>
      </c>
      <c r="C949" s="26">
        <f t="shared" ca="1" si="205"/>
        <v>0.21302365924905553</v>
      </c>
      <c r="D949" s="29">
        <v>0</v>
      </c>
      <c r="F949" s="22"/>
      <c r="G949" s="26">
        <f t="shared" ca="1" si="206"/>
        <v>0.50928127186812433</v>
      </c>
      <c r="H949" s="29">
        <v>0</v>
      </c>
      <c r="J949" s="22">
        <v>45494</v>
      </c>
      <c r="K949" s="26">
        <f t="shared" ca="1" si="207"/>
        <v>0.43421997740216911</v>
      </c>
      <c r="L949" s="29">
        <v>0</v>
      </c>
      <c r="N949" s="22">
        <v>45494</v>
      </c>
      <c r="O949" s="26">
        <f t="shared" ca="1" si="208"/>
        <v>0.62183855732584237</v>
      </c>
      <c r="P949" s="29">
        <v>0</v>
      </c>
      <c r="R949" s="22">
        <v>45494</v>
      </c>
      <c r="S949" s="26">
        <f t="shared" ca="1" si="209"/>
        <v>0.19631795841873456</v>
      </c>
      <c r="T949" s="29">
        <v>0</v>
      </c>
      <c r="V949" s="22">
        <v>45494</v>
      </c>
      <c r="W949" s="26">
        <f t="shared" ca="1" si="210"/>
        <v>0.59961249317343535</v>
      </c>
      <c r="X949" s="29">
        <v>0</v>
      </c>
      <c r="Z949" s="22">
        <v>45494</v>
      </c>
      <c r="AA949" s="26">
        <f t="shared" ca="1" si="211"/>
        <v>0.73060580728123259</v>
      </c>
      <c r="AB949" s="29">
        <v>0</v>
      </c>
      <c r="AC949"/>
      <c r="AD949" s="25"/>
      <c r="AF949" s="22">
        <v>45494</v>
      </c>
      <c r="AG949" s="26">
        <f t="shared" ca="1" si="212"/>
        <v>0.29072015964206588</v>
      </c>
      <c r="AH949" s="29">
        <v>0</v>
      </c>
      <c r="AJ949" s="22">
        <v>45494</v>
      </c>
      <c r="AK949" s="26">
        <f t="shared" ca="1" si="213"/>
        <v>0.63460088318560837</v>
      </c>
      <c r="AL949" s="29">
        <v>0</v>
      </c>
      <c r="AN949" s="22">
        <v>45494</v>
      </c>
      <c r="AO949" s="26">
        <f t="shared" ca="1" si="214"/>
        <v>0.31915439409958146</v>
      </c>
      <c r="AP949" s="29">
        <v>0</v>
      </c>
      <c r="AR949" s="22">
        <v>45494</v>
      </c>
      <c r="AS949" s="26">
        <f t="shared" ca="1" si="215"/>
        <v>0.15342818974552541</v>
      </c>
      <c r="AT949" s="29">
        <v>0</v>
      </c>
      <c r="AV949" s="22">
        <v>45494</v>
      </c>
      <c r="AW949" s="26">
        <f t="shared" ca="1" si="216"/>
        <v>0.50709650652884186</v>
      </c>
      <c r="AX949" s="29">
        <v>0</v>
      </c>
      <c r="AZ949" s="22">
        <v>45494</v>
      </c>
      <c r="BA949" s="26">
        <f t="shared" ca="1" si="217"/>
        <v>0.45346763462094808</v>
      </c>
      <c r="BB949" s="29">
        <v>0</v>
      </c>
      <c r="BC949"/>
      <c r="BD949" s="25"/>
      <c r="BF949" s="22">
        <v>45494</v>
      </c>
      <c r="BG949" s="26">
        <f t="shared" ca="1" si="218"/>
        <v>0.74667203985142216</v>
      </c>
      <c r="BH949" s="29">
        <v>0</v>
      </c>
      <c r="BJ949" s="22">
        <v>45494</v>
      </c>
      <c r="BK949" s="26">
        <f t="shared" ca="1" si="219"/>
        <v>0.53717847610051017</v>
      </c>
      <c r="BL949" s="29">
        <v>0</v>
      </c>
      <c r="BN949" s="22">
        <v>45494</v>
      </c>
      <c r="BO949" s="26">
        <f t="shared" ca="1" si="220"/>
        <v>0.84405139301296084</v>
      </c>
      <c r="BP949" s="29">
        <v>0</v>
      </c>
      <c r="BR949" s="22">
        <v>45494</v>
      </c>
      <c r="BS949" s="26">
        <f t="shared" ca="1" si="221"/>
        <v>0.28749004876514361</v>
      </c>
      <c r="BT949" s="29">
        <v>0</v>
      </c>
      <c r="BV949" s="22">
        <v>45494</v>
      </c>
      <c r="BW949" s="26">
        <f t="shared" ca="1" si="222"/>
        <v>0.43023999352543951</v>
      </c>
      <c r="BX949" s="29">
        <v>0</v>
      </c>
    </row>
    <row r="950" spans="2:77" ht="12.75" x14ac:dyDescent="0.2">
      <c r="B950" s="22">
        <v>45495</v>
      </c>
      <c r="C950" s="26">
        <f t="shared" ca="1" si="205"/>
        <v>0.14666999823750781</v>
      </c>
      <c r="D950" s="29">
        <v>0</v>
      </c>
      <c r="F950" s="22"/>
      <c r="G950" s="26">
        <f t="shared" ca="1" si="206"/>
        <v>0.18318185510593143</v>
      </c>
      <c r="H950" s="29">
        <v>0</v>
      </c>
      <c r="J950" s="22">
        <v>45495</v>
      </c>
      <c r="K950" s="26">
        <f t="shared" ca="1" si="207"/>
        <v>0.93485470760324518</v>
      </c>
      <c r="L950" s="29">
        <v>0</v>
      </c>
      <c r="N950" s="22">
        <v>45495</v>
      </c>
      <c r="O950" s="26">
        <f t="shared" ca="1" si="208"/>
        <v>0.76699684165584281</v>
      </c>
      <c r="P950" s="29">
        <v>0</v>
      </c>
      <c r="R950" s="22">
        <v>45495</v>
      </c>
      <c r="S950" s="26">
        <f t="shared" ca="1" si="209"/>
        <v>0.11491996448660802</v>
      </c>
      <c r="T950" s="29">
        <v>0</v>
      </c>
      <c r="V950" s="22">
        <v>45495</v>
      </c>
      <c r="W950" s="26">
        <f t="shared" ca="1" si="210"/>
        <v>0.22705368433566475</v>
      </c>
      <c r="X950" s="29">
        <v>0</v>
      </c>
      <c r="Z950" s="22">
        <v>45495</v>
      </c>
      <c r="AA950" s="26">
        <f t="shared" ca="1" si="211"/>
        <v>0.70027138166911707</v>
      </c>
      <c r="AB950" s="29">
        <v>0</v>
      </c>
      <c r="AC950"/>
      <c r="AD950" s="25"/>
      <c r="AF950" s="22">
        <v>45495</v>
      </c>
      <c r="AG950" s="26">
        <f t="shared" ca="1" si="212"/>
        <v>0.99637057782483796</v>
      </c>
      <c r="AH950" s="29">
        <v>0</v>
      </c>
      <c r="AJ950" s="22">
        <v>45495</v>
      </c>
      <c r="AK950" s="26">
        <f t="shared" ca="1" si="213"/>
        <v>0.83440767410227812</v>
      </c>
      <c r="AL950" s="29">
        <v>0</v>
      </c>
      <c r="AN950" s="22">
        <v>45495</v>
      </c>
      <c r="AO950" s="26">
        <f t="shared" ca="1" si="214"/>
        <v>0.71175525995849587</v>
      </c>
      <c r="AP950" s="29">
        <v>0</v>
      </c>
      <c r="AR950" s="22">
        <v>45495</v>
      </c>
      <c r="AS950" s="26">
        <f t="shared" ca="1" si="215"/>
        <v>0.94045821532864149</v>
      </c>
      <c r="AT950" s="29">
        <v>0</v>
      </c>
      <c r="AV950" s="22">
        <v>45495</v>
      </c>
      <c r="AW950" s="26">
        <f t="shared" ca="1" si="216"/>
        <v>0.57497000960931099</v>
      </c>
      <c r="AX950" s="29">
        <v>0</v>
      </c>
      <c r="AZ950" s="22">
        <v>45495</v>
      </c>
      <c r="BA950" s="26">
        <f t="shared" ca="1" si="217"/>
        <v>0.69071290529303264</v>
      </c>
      <c r="BB950" s="29">
        <v>0</v>
      </c>
      <c r="BC950"/>
      <c r="BD950" s="25"/>
      <c r="BF950" s="22">
        <v>45495</v>
      </c>
      <c r="BG950" s="26">
        <f t="shared" ca="1" si="218"/>
        <v>0.39599211808995416</v>
      </c>
      <c r="BH950" s="29">
        <v>0</v>
      </c>
      <c r="BJ950" s="22">
        <v>45495</v>
      </c>
      <c r="BK950" s="26">
        <f t="shared" ca="1" si="219"/>
        <v>0.77758936619482211</v>
      </c>
      <c r="BL950" s="29">
        <v>0</v>
      </c>
      <c r="BN950" s="22">
        <v>45495</v>
      </c>
      <c r="BO950" s="26">
        <f t="shared" ca="1" si="220"/>
        <v>0.35821924486033518</v>
      </c>
      <c r="BP950" s="29">
        <v>0</v>
      </c>
      <c r="BR950" s="22">
        <v>45495</v>
      </c>
      <c r="BS950" s="26">
        <f t="shared" ca="1" si="221"/>
        <v>0.63955535193118795</v>
      </c>
      <c r="BT950" s="29">
        <v>0</v>
      </c>
      <c r="BV950" s="22">
        <v>45495</v>
      </c>
      <c r="BW950" s="26">
        <f t="shared" ca="1" si="222"/>
        <v>0.36341929957355068</v>
      </c>
      <c r="BX950" s="29">
        <v>0</v>
      </c>
    </row>
    <row r="951" spans="2:77" ht="12.75" x14ac:dyDescent="0.2">
      <c r="B951" s="22">
        <v>45496</v>
      </c>
      <c r="C951" s="26">
        <f t="shared" ca="1" si="205"/>
        <v>0.95432554055128116</v>
      </c>
      <c r="D951" s="29">
        <v>0</v>
      </c>
      <c r="F951" s="22"/>
      <c r="G951" s="26">
        <f t="shared" ca="1" si="206"/>
        <v>0.70717273293432148</v>
      </c>
      <c r="H951" s="29">
        <v>0</v>
      </c>
      <c r="J951" s="22">
        <v>45496</v>
      </c>
      <c r="K951" s="26">
        <f t="shared" ca="1" si="207"/>
        <v>0.94400471702397748</v>
      </c>
      <c r="L951" s="29">
        <v>0</v>
      </c>
      <c r="N951" s="22">
        <v>45496</v>
      </c>
      <c r="O951" s="26">
        <f t="shared" ca="1" si="208"/>
        <v>0.33796400496592405</v>
      </c>
      <c r="P951" s="29">
        <v>0</v>
      </c>
      <c r="R951" s="22">
        <v>45496</v>
      </c>
      <c r="S951" s="26">
        <f t="shared" ca="1" si="209"/>
        <v>0.73962179694296992</v>
      </c>
      <c r="T951" s="29">
        <v>0</v>
      </c>
      <c r="V951" s="22">
        <v>45496</v>
      </c>
      <c r="W951" s="26">
        <f t="shared" ca="1" si="210"/>
        <v>0.78626598149774152</v>
      </c>
      <c r="X951" s="29">
        <v>0</v>
      </c>
      <c r="Z951" s="22">
        <v>45496</v>
      </c>
      <c r="AA951" s="26">
        <f t="shared" ca="1" si="211"/>
        <v>0.21485830407487372</v>
      </c>
      <c r="AB951" s="29">
        <v>0</v>
      </c>
      <c r="AC951"/>
      <c r="AD951" s="25"/>
      <c r="AF951" s="22">
        <v>45496</v>
      </c>
      <c r="AG951" s="26">
        <f t="shared" ca="1" si="212"/>
        <v>0.64549339408305995</v>
      </c>
      <c r="AH951" s="29">
        <v>0</v>
      </c>
      <c r="AJ951" s="22">
        <v>45496</v>
      </c>
      <c r="AK951" s="26">
        <f t="shared" ca="1" si="213"/>
        <v>0.37107800610198705</v>
      </c>
      <c r="AL951" s="29">
        <v>0</v>
      </c>
      <c r="AN951" s="22">
        <v>45496</v>
      </c>
      <c r="AO951" s="26">
        <f t="shared" ca="1" si="214"/>
        <v>0.38625801622410649</v>
      </c>
      <c r="AP951" s="29">
        <v>0</v>
      </c>
      <c r="AR951" s="22">
        <v>45496</v>
      </c>
      <c r="AS951" s="26">
        <f t="shared" ca="1" si="215"/>
        <v>0.64913456810383408</v>
      </c>
      <c r="AT951" s="29">
        <v>0</v>
      </c>
      <c r="AV951" s="22">
        <v>45496</v>
      </c>
      <c r="AW951" s="26">
        <f t="shared" ca="1" si="216"/>
        <v>0.3490197786913658</v>
      </c>
      <c r="AX951" s="29">
        <v>0</v>
      </c>
      <c r="AZ951" s="22">
        <v>45496</v>
      </c>
      <c r="BA951" s="26">
        <f t="shared" ca="1" si="217"/>
        <v>0.53092105946993962</v>
      </c>
      <c r="BB951" s="29">
        <v>0</v>
      </c>
      <c r="BC951"/>
      <c r="BD951" s="25"/>
      <c r="BF951" s="22">
        <v>45496</v>
      </c>
      <c r="BG951" s="26">
        <f t="shared" ca="1" si="218"/>
        <v>0.985311668330215</v>
      </c>
      <c r="BH951" s="29">
        <v>0</v>
      </c>
      <c r="BJ951" s="22">
        <v>45496</v>
      </c>
      <c r="BK951" s="26">
        <f t="shared" ca="1" si="219"/>
        <v>0.8706926301970096</v>
      </c>
      <c r="BL951" s="29">
        <v>0</v>
      </c>
      <c r="BN951" s="22">
        <v>45496</v>
      </c>
      <c r="BO951" s="26">
        <f t="shared" ca="1" si="220"/>
        <v>0.7313771785879245</v>
      </c>
      <c r="BP951" s="29">
        <v>0</v>
      </c>
      <c r="BR951" s="22">
        <v>45496</v>
      </c>
      <c r="BS951" s="26">
        <f t="shared" ca="1" si="221"/>
        <v>0.79940912750822657</v>
      </c>
      <c r="BT951" s="29">
        <v>0</v>
      </c>
      <c r="BV951" s="22">
        <v>45496</v>
      </c>
      <c r="BW951" s="26">
        <f t="shared" ca="1" si="222"/>
        <v>0.52508987620858216</v>
      </c>
      <c r="BX951" s="29">
        <v>0</v>
      </c>
    </row>
    <row r="952" spans="2:77" ht="12.75" x14ac:dyDescent="0.2">
      <c r="B952" s="22">
        <v>45497</v>
      </c>
      <c r="C952" s="26">
        <f t="shared" ca="1" si="205"/>
        <v>0.50211485102591114</v>
      </c>
      <c r="D952" s="29">
        <v>0</v>
      </c>
      <c r="F952" s="22"/>
      <c r="G952" s="26">
        <f t="shared" ca="1" si="206"/>
        <v>0.87991312842818958</v>
      </c>
      <c r="H952" s="29">
        <v>0</v>
      </c>
      <c r="J952" s="22">
        <v>45497</v>
      </c>
      <c r="K952" s="26">
        <f t="shared" ca="1" si="207"/>
        <v>0.12909586847137877</v>
      </c>
      <c r="L952" s="29">
        <v>0</v>
      </c>
      <c r="N952" s="22">
        <v>45497</v>
      </c>
      <c r="O952" s="26">
        <f t="shared" ca="1" si="208"/>
        <v>0.21281141536640624</v>
      </c>
      <c r="P952" s="29">
        <v>0</v>
      </c>
      <c r="R952" s="22">
        <v>45497</v>
      </c>
      <c r="S952" s="26">
        <f t="shared" ca="1" si="209"/>
        <v>0.48447196372995538</v>
      </c>
      <c r="T952" s="29">
        <v>0</v>
      </c>
      <c r="V952" s="22">
        <v>45497</v>
      </c>
      <c r="W952" s="26">
        <f t="shared" ca="1" si="210"/>
        <v>0.90825565733309144</v>
      </c>
      <c r="X952" s="29">
        <v>0</v>
      </c>
      <c r="Z952" s="22">
        <v>45497</v>
      </c>
      <c r="AA952" s="26">
        <f t="shared" ca="1" si="211"/>
        <v>0.60223861065835693</v>
      </c>
      <c r="AB952" s="29">
        <v>0</v>
      </c>
      <c r="AC952"/>
      <c r="AD952" s="25"/>
      <c r="AF952" s="22">
        <v>45497</v>
      </c>
      <c r="AG952" s="26">
        <f t="shared" ca="1" si="212"/>
        <v>0.1916336791039982</v>
      </c>
      <c r="AH952" s="29">
        <v>0</v>
      </c>
      <c r="AJ952" s="22">
        <v>45497</v>
      </c>
      <c r="AK952" s="26">
        <f t="shared" ca="1" si="213"/>
        <v>0.6540456503863652</v>
      </c>
      <c r="AL952" s="29">
        <v>0</v>
      </c>
      <c r="AN952" s="22">
        <v>45497</v>
      </c>
      <c r="AO952" s="26">
        <f t="shared" ca="1" si="214"/>
        <v>0.72459456312514658</v>
      </c>
      <c r="AP952" s="29">
        <v>0</v>
      </c>
      <c r="AR952" s="22">
        <v>45497</v>
      </c>
      <c r="AS952" s="26">
        <f t="shared" ca="1" si="215"/>
        <v>0.65225096524913051</v>
      </c>
      <c r="AT952" s="29">
        <v>0</v>
      </c>
      <c r="AV952" s="22">
        <v>45497</v>
      </c>
      <c r="AW952" s="26">
        <f t="shared" ca="1" si="216"/>
        <v>0.79045408785686821</v>
      </c>
      <c r="AX952" s="29">
        <v>0</v>
      </c>
      <c r="AZ952" s="22">
        <v>45497</v>
      </c>
      <c r="BA952" s="26">
        <f t="shared" ca="1" si="217"/>
        <v>8.7590509442874609E-2</v>
      </c>
      <c r="BB952" s="29">
        <v>0</v>
      </c>
      <c r="BC952"/>
      <c r="BD952" s="25"/>
      <c r="BF952" s="22">
        <v>45497</v>
      </c>
      <c r="BG952" s="26">
        <f t="shared" ca="1" si="218"/>
        <v>0.10084609763033747</v>
      </c>
      <c r="BH952" s="29">
        <v>0</v>
      </c>
      <c r="BJ952" s="22">
        <v>45497</v>
      </c>
      <c r="BK952" s="26">
        <f t="shared" ca="1" si="219"/>
        <v>0.43931776836631531</v>
      </c>
      <c r="BL952" s="29">
        <v>0</v>
      </c>
      <c r="BN952" s="22">
        <v>45497</v>
      </c>
      <c r="BO952" s="26">
        <f t="shared" ca="1" si="220"/>
        <v>0.50417276098363606</v>
      </c>
      <c r="BP952" s="29">
        <v>0</v>
      </c>
      <c r="BR952" s="22">
        <v>45497</v>
      </c>
      <c r="BS952" s="26">
        <f t="shared" ca="1" si="221"/>
        <v>0.83992513299774763</v>
      </c>
      <c r="BT952" s="29">
        <v>0</v>
      </c>
      <c r="BV952" s="22">
        <v>45497</v>
      </c>
      <c r="BW952" s="26">
        <f t="shared" ca="1" si="222"/>
        <v>2.8991061962462261E-2</v>
      </c>
      <c r="BX952" s="29">
        <v>0</v>
      </c>
    </row>
    <row r="953" spans="2:77" ht="12.75" x14ac:dyDescent="0.2">
      <c r="B953" s="22">
        <v>45498</v>
      </c>
      <c r="C953" s="26">
        <f t="shared" ca="1" si="205"/>
        <v>0.65428850564228846</v>
      </c>
      <c r="D953" s="29">
        <v>0</v>
      </c>
      <c r="F953" s="22"/>
      <c r="G953" s="26">
        <f t="shared" ca="1" si="206"/>
        <v>0.54647387972184558</v>
      </c>
      <c r="H953" s="29">
        <v>0</v>
      </c>
      <c r="J953" s="22">
        <v>45498</v>
      </c>
      <c r="K953" s="26">
        <f t="shared" ca="1" si="207"/>
        <v>0.57631071505301878</v>
      </c>
      <c r="L953" s="29">
        <v>0</v>
      </c>
      <c r="N953" s="22">
        <v>45498</v>
      </c>
      <c r="O953" s="26">
        <f t="shared" ca="1" si="208"/>
        <v>9.8361628665554424E-2</v>
      </c>
      <c r="P953" s="29">
        <v>0</v>
      </c>
      <c r="R953" s="22">
        <v>45498</v>
      </c>
      <c r="S953" s="26">
        <f t="shared" ca="1" si="209"/>
        <v>9.807706851498843E-2</v>
      </c>
      <c r="T953" s="29">
        <v>0</v>
      </c>
      <c r="V953" s="22">
        <v>45498</v>
      </c>
      <c r="W953" s="26">
        <f t="shared" ca="1" si="210"/>
        <v>0.85851033774699892</v>
      </c>
      <c r="X953" s="29">
        <v>0</v>
      </c>
      <c r="Z953" s="22">
        <v>45498</v>
      </c>
      <c r="AA953" s="26">
        <f t="shared" ca="1" si="211"/>
        <v>0.11592904657319547</v>
      </c>
      <c r="AB953" s="29">
        <v>0</v>
      </c>
      <c r="AC953"/>
      <c r="AD953" s="25"/>
      <c r="AF953" s="22">
        <v>45498</v>
      </c>
      <c r="AG953" s="26">
        <f t="shared" ca="1" si="212"/>
        <v>0.89497345571160625</v>
      </c>
      <c r="AH953" s="29">
        <v>0</v>
      </c>
      <c r="AJ953" s="22">
        <v>45498</v>
      </c>
      <c r="AK953" s="26">
        <f t="shared" ca="1" si="213"/>
        <v>0.99402991027756504</v>
      </c>
      <c r="AL953" s="29">
        <v>0</v>
      </c>
      <c r="AN953" s="22">
        <v>45498</v>
      </c>
      <c r="AO953" s="26">
        <f t="shared" ca="1" si="214"/>
        <v>0.56776033831196326</v>
      </c>
      <c r="AP953" s="29">
        <v>0</v>
      </c>
      <c r="AR953" s="22">
        <v>45498</v>
      </c>
      <c r="AS953" s="26">
        <f t="shared" ca="1" si="215"/>
        <v>0.37026012349930693</v>
      </c>
      <c r="AT953" s="29">
        <v>0</v>
      </c>
      <c r="AV953" s="22">
        <v>45498</v>
      </c>
      <c r="AW953" s="26">
        <f t="shared" ca="1" si="216"/>
        <v>9.6899634972615889E-2</v>
      </c>
      <c r="AX953" s="29">
        <v>0</v>
      </c>
      <c r="AZ953" s="22">
        <v>45498</v>
      </c>
      <c r="BA953" s="26">
        <f t="shared" ca="1" si="217"/>
        <v>0.18634441655683254</v>
      </c>
      <c r="BB953" s="29">
        <v>0</v>
      </c>
      <c r="BC953"/>
      <c r="BD953" s="25"/>
      <c r="BF953" s="22">
        <v>45498</v>
      </c>
      <c r="BG953" s="26">
        <f t="shared" ca="1" si="218"/>
        <v>0.66919565167718564</v>
      </c>
      <c r="BH953" s="29">
        <v>0</v>
      </c>
      <c r="BJ953" s="22">
        <v>45498</v>
      </c>
      <c r="BK953" s="26">
        <f t="shared" ca="1" si="219"/>
        <v>9.4895674442187161E-2</v>
      </c>
      <c r="BL953" s="29">
        <v>0</v>
      </c>
      <c r="BN953" s="22">
        <v>45498</v>
      </c>
      <c r="BO953" s="26">
        <f t="shared" ca="1" si="220"/>
        <v>0.29991262474375047</v>
      </c>
      <c r="BP953" s="29">
        <v>0</v>
      </c>
      <c r="BR953" s="22">
        <v>45498</v>
      </c>
      <c r="BS953" s="26">
        <f t="shared" ca="1" si="221"/>
        <v>0.79710498082141001</v>
      </c>
      <c r="BT953" s="29">
        <v>0</v>
      </c>
      <c r="BV953" s="22">
        <v>45498</v>
      </c>
      <c r="BW953" s="26">
        <f t="shared" ca="1" si="222"/>
        <v>0.95059534793733569</v>
      </c>
      <c r="BX953" s="29">
        <v>0</v>
      </c>
    </row>
    <row r="954" spans="2:77" ht="12.75" x14ac:dyDescent="0.2">
      <c r="B954" s="22">
        <v>45499</v>
      </c>
      <c r="C954" s="26">
        <f t="shared" ca="1" si="205"/>
        <v>1.652444589068458E-2</v>
      </c>
      <c r="D954" s="29">
        <v>0</v>
      </c>
      <c r="F954" s="22"/>
      <c r="G954" s="26">
        <f t="shared" ca="1" si="206"/>
        <v>0.83633659896481549</v>
      </c>
      <c r="H954" s="29">
        <v>0</v>
      </c>
      <c r="J954" s="22">
        <v>45499</v>
      </c>
      <c r="K954" s="26">
        <f t="shared" ca="1" si="207"/>
        <v>0.32183867241583564</v>
      </c>
      <c r="L954" s="29">
        <v>0</v>
      </c>
      <c r="N954" s="22">
        <v>45499</v>
      </c>
      <c r="O954" s="26">
        <f t="shared" ca="1" si="208"/>
        <v>5.1506605187225052E-2</v>
      </c>
      <c r="P954" s="29">
        <v>0</v>
      </c>
      <c r="R954" s="22">
        <v>45499</v>
      </c>
      <c r="S954" s="26">
        <f t="shared" ca="1" si="209"/>
        <v>0.58136712922505895</v>
      </c>
      <c r="T954" s="29">
        <v>0</v>
      </c>
      <c r="V954" s="22">
        <v>45499</v>
      </c>
      <c r="W954" s="26">
        <f t="shared" ca="1" si="210"/>
        <v>0.10811772600969749</v>
      </c>
      <c r="X954" s="29">
        <v>0</v>
      </c>
      <c r="Z954" s="22">
        <v>45499</v>
      </c>
      <c r="AA954" s="26">
        <f t="shared" ca="1" si="211"/>
        <v>1.618887439950778E-2</v>
      </c>
      <c r="AB954" s="29">
        <v>0</v>
      </c>
      <c r="AC954"/>
      <c r="AD954" s="25"/>
      <c r="AF954" s="22">
        <v>45499</v>
      </c>
      <c r="AG954" s="26">
        <f t="shared" ca="1" si="212"/>
        <v>0.84497415432048995</v>
      </c>
      <c r="AH954" s="29">
        <v>0</v>
      </c>
      <c r="AJ954" s="22">
        <v>45499</v>
      </c>
      <c r="AK954" s="26">
        <f t="shared" ca="1" si="213"/>
        <v>0.85406287368391398</v>
      </c>
      <c r="AL954" s="29">
        <v>0</v>
      </c>
      <c r="AN954" s="22">
        <v>45499</v>
      </c>
      <c r="AO954" s="26">
        <f t="shared" ca="1" si="214"/>
        <v>0.34044375202154731</v>
      </c>
      <c r="AP954" s="29">
        <v>0</v>
      </c>
      <c r="AR954" s="22">
        <v>45499</v>
      </c>
      <c r="AS954" s="26">
        <f t="shared" ca="1" si="215"/>
        <v>0.26509790117717835</v>
      </c>
      <c r="AT954" s="29">
        <v>0</v>
      </c>
      <c r="AV954" s="22">
        <v>45499</v>
      </c>
      <c r="AW954" s="26">
        <f t="shared" ca="1" si="216"/>
        <v>0.15166182089450297</v>
      </c>
      <c r="AX954" s="29">
        <v>0</v>
      </c>
      <c r="AZ954" s="22">
        <v>45499</v>
      </c>
      <c r="BA954" s="26">
        <f t="shared" ca="1" si="217"/>
        <v>0.73525225809799322</v>
      </c>
      <c r="BB954" s="29">
        <v>0</v>
      </c>
      <c r="BC954"/>
      <c r="BD954" s="25"/>
      <c r="BF954" s="22">
        <v>45499</v>
      </c>
      <c r="BG954" s="26">
        <f t="shared" ca="1" si="218"/>
        <v>0.79520993459130929</v>
      </c>
      <c r="BH954" s="29">
        <v>0</v>
      </c>
      <c r="BJ954" s="22">
        <v>45499</v>
      </c>
      <c r="BK954" s="26">
        <f t="shared" ca="1" si="219"/>
        <v>0.82343375482781556</v>
      </c>
      <c r="BL954" s="29">
        <v>0</v>
      </c>
      <c r="BN954" s="22">
        <v>45499</v>
      </c>
      <c r="BO954" s="26">
        <f t="shared" ca="1" si="220"/>
        <v>0.53467438116082711</v>
      </c>
      <c r="BP954" s="29">
        <v>0</v>
      </c>
      <c r="BR954" s="22">
        <v>45499</v>
      </c>
      <c r="BS954" s="26">
        <f t="shared" ca="1" si="221"/>
        <v>0.20631040651886534</v>
      </c>
      <c r="BT954" s="29">
        <v>0</v>
      </c>
      <c r="BV954" s="22">
        <v>45499</v>
      </c>
      <c r="BW954" s="26">
        <f t="shared" ca="1" si="222"/>
        <v>0.46921926237414557</v>
      </c>
      <c r="BX954" s="29">
        <v>0</v>
      </c>
    </row>
    <row r="955" spans="2:77" ht="12.75" x14ac:dyDescent="0.2">
      <c r="B955" s="22">
        <v>45500</v>
      </c>
      <c r="C955" s="26">
        <f t="shared" ca="1" si="205"/>
        <v>0.82776592760947243</v>
      </c>
      <c r="D955" s="29">
        <v>0</v>
      </c>
      <c r="F955" s="22"/>
      <c r="G955" s="26">
        <f t="shared" ca="1" si="206"/>
        <v>0.26896293656249015</v>
      </c>
      <c r="H955" s="29">
        <v>0</v>
      </c>
      <c r="J955" s="22">
        <v>45500</v>
      </c>
      <c r="K955" s="26">
        <f t="shared" ca="1" si="207"/>
        <v>0.65048640098457633</v>
      </c>
      <c r="L955" s="29">
        <v>0</v>
      </c>
      <c r="N955" s="22">
        <v>45500</v>
      </c>
      <c r="O955" s="26">
        <f t="shared" ca="1" si="208"/>
        <v>0.44173332174090274</v>
      </c>
      <c r="P955" s="29">
        <v>0</v>
      </c>
      <c r="R955" s="22">
        <v>45500</v>
      </c>
      <c r="S955" s="26">
        <f t="shared" ca="1" si="209"/>
        <v>0.55908615357377223</v>
      </c>
      <c r="T955" s="29">
        <v>0</v>
      </c>
      <c r="V955" s="22">
        <v>45500</v>
      </c>
      <c r="W955" s="26">
        <f t="shared" ca="1" si="210"/>
        <v>0.83357198358724083</v>
      </c>
      <c r="X955" s="29">
        <v>0</v>
      </c>
      <c r="Z955" s="22">
        <v>45500</v>
      </c>
      <c r="AA955" s="26">
        <f t="shared" ca="1" si="211"/>
        <v>0.28362001161768313</v>
      </c>
      <c r="AB955" s="29">
        <v>0</v>
      </c>
      <c r="AC955"/>
      <c r="AD955" s="25"/>
      <c r="AF955" s="22">
        <v>45500</v>
      </c>
      <c r="AG955" s="26">
        <f t="shared" ca="1" si="212"/>
        <v>0.77271546729630169</v>
      </c>
      <c r="AH955" s="29">
        <v>0</v>
      </c>
      <c r="AJ955" s="22">
        <v>45500</v>
      </c>
      <c r="AK955" s="26">
        <f t="shared" ca="1" si="213"/>
        <v>0.39360091528200647</v>
      </c>
      <c r="AL955" s="29">
        <v>0</v>
      </c>
      <c r="AN955" s="22">
        <v>45500</v>
      </c>
      <c r="AO955" s="26">
        <f t="shared" ca="1" si="214"/>
        <v>0.73088483309668162</v>
      </c>
      <c r="AP955" s="29">
        <v>0</v>
      </c>
      <c r="AR955" s="22">
        <v>45500</v>
      </c>
      <c r="AS955" s="26">
        <f t="shared" ca="1" si="215"/>
        <v>0.43651856664025046</v>
      </c>
      <c r="AT955" s="29">
        <v>0</v>
      </c>
      <c r="AV955" s="22">
        <v>45500</v>
      </c>
      <c r="AW955" s="26">
        <f t="shared" ca="1" si="216"/>
        <v>0.51669268982436889</v>
      </c>
      <c r="AX955" s="29">
        <v>0</v>
      </c>
      <c r="AZ955" s="22">
        <v>45500</v>
      </c>
      <c r="BA955" s="26">
        <f t="shared" ca="1" si="217"/>
        <v>0.88677619658525508</v>
      </c>
      <c r="BB955" s="29">
        <v>0</v>
      </c>
      <c r="BC955"/>
      <c r="BD955" s="25"/>
      <c r="BF955" s="22">
        <v>45500</v>
      </c>
      <c r="BG955" s="26">
        <f t="shared" ca="1" si="218"/>
        <v>0.45280957074472927</v>
      </c>
      <c r="BH955" s="29">
        <v>0</v>
      </c>
      <c r="BJ955" s="22">
        <v>45500</v>
      </c>
      <c r="BK955" s="26">
        <f t="shared" ca="1" si="219"/>
        <v>0.99505944774537358</v>
      </c>
      <c r="BL955" s="29">
        <v>0</v>
      </c>
      <c r="BN955" s="22">
        <v>45500</v>
      </c>
      <c r="BO955" s="26">
        <f t="shared" ca="1" si="220"/>
        <v>0.56465278556935439</v>
      </c>
      <c r="BP955" s="29">
        <v>0</v>
      </c>
      <c r="BR955" s="22">
        <v>45500</v>
      </c>
      <c r="BS955" s="26">
        <f t="shared" ca="1" si="221"/>
        <v>0.83661990140658504</v>
      </c>
      <c r="BT955" s="29">
        <v>0</v>
      </c>
      <c r="BV955" s="22">
        <v>45500</v>
      </c>
      <c r="BW955" s="26">
        <f t="shared" ca="1" si="222"/>
        <v>0.60528554895925846</v>
      </c>
      <c r="BX955" s="29">
        <v>0</v>
      </c>
    </row>
    <row r="956" spans="2:77" ht="12.75" x14ac:dyDescent="0.2">
      <c r="B956" s="22">
        <v>45501</v>
      </c>
      <c r="C956" s="26">
        <f t="shared" ca="1" si="205"/>
        <v>0.57873698936456164</v>
      </c>
      <c r="D956" s="29">
        <v>0</v>
      </c>
      <c r="F956" s="22"/>
      <c r="G956" s="26">
        <f t="shared" ca="1" si="206"/>
        <v>0.99449241617608042</v>
      </c>
      <c r="H956" s="29">
        <v>0</v>
      </c>
      <c r="J956" s="22">
        <v>45501</v>
      </c>
      <c r="K956" s="26">
        <f t="shared" ca="1" si="207"/>
        <v>4.7722064350738669E-2</v>
      </c>
      <c r="L956" s="29">
        <v>0</v>
      </c>
      <c r="N956" s="22">
        <v>45501</v>
      </c>
      <c r="O956" s="26">
        <f t="shared" ca="1" si="208"/>
        <v>0.40584701308337245</v>
      </c>
      <c r="P956" s="29">
        <v>0</v>
      </c>
      <c r="R956" s="22">
        <v>45501</v>
      </c>
      <c r="S956" s="26">
        <f t="shared" ca="1" si="209"/>
        <v>0.7245189716083823</v>
      </c>
      <c r="T956" s="29">
        <v>0</v>
      </c>
      <c r="V956" s="22">
        <v>45501</v>
      </c>
      <c r="W956" s="26">
        <f t="shared" ca="1" si="210"/>
        <v>0.61949970716400338</v>
      </c>
      <c r="X956" s="29">
        <v>0</v>
      </c>
      <c r="Z956" s="22">
        <v>45501</v>
      </c>
      <c r="AA956" s="26">
        <f t="shared" ca="1" si="211"/>
        <v>0.95533923811636701</v>
      </c>
      <c r="AB956" s="29">
        <v>0</v>
      </c>
      <c r="AC956"/>
      <c r="AD956" s="25"/>
      <c r="AF956" s="22">
        <v>45501</v>
      </c>
      <c r="AG956" s="26">
        <f t="shared" ca="1" si="212"/>
        <v>0.32623617512650926</v>
      </c>
      <c r="AH956" s="29">
        <v>0</v>
      </c>
      <c r="AJ956" s="22">
        <v>45501</v>
      </c>
      <c r="AK956" s="26">
        <f t="shared" ca="1" si="213"/>
        <v>0.42221976478986856</v>
      </c>
      <c r="AL956" s="29">
        <v>0</v>
      </c>
      <c r="AN956" s="22">
        <v>45501</v>
      </c>
      <c r="AO956" s="26">
        <f t="shared" ca="1" si="214"/>
        <v>0.19171552307614437</v>
      </c>
      <c r="AP956" s="29">
        <v>0</v>
      </c>
      <c r="AR956" s="22">
        <v>45501</v>
      </c>
      <c r="AS956" s="26">
        <f t="shared" ca="1" si="215"/>
        <v>0.8345401964556165</v>
      </c>
      <c r="AT956" s="29">
        <v>0</v>
      </c>
      <c r="AV956" s="22">
        <v>45501</v>
      </c>
      <c r="AW956" s="26">
        <f t="shared" ca="1" si="216"/>
        <v>0.51696765495852548</v>
      </c>
      <c r="AX956" s="29">
        <v>0</v>
      </c>
      <c r="AZ956" s="22">
        <v>45501</v>
      </c>
      <c r="BA956" s="26">
        <f t="shared" ca="1" si="217"/>
        <v>0.65736335074433605</v>
      </c>
      <c r="BB956" s="29">
        <v>0</v>
      </c>
      <c r="BC956"/>
      <c r="BD956" s="25"/>
      <c r="BF956" s="22">
        <v>45501</v>
      </c>
      <c r="BG956" s="26">
        <f t="shared" ca="1" si="218"/>
        <v>0.13660464926035043</v>
      </c>
      <c r="BH956" s="29">
        <v>0</v>
      </c>
      <c r="BJ956" s="22">
        <v>45501</v>
      </c>
      <c r="BK956" s="26">
        <f t="shared" ca="1" si="219"/>
        <v>0.59416019886772675</v>
      </c>
      <c r="BL956" s="29">
        <v>0</v>
      </c>
      <c r="BN956" s="22">
        <v>45501</v>
      </c>
      <c r="BO956" s="26">
        <f t="shared" ca="1" si="220"/>
        <v>0.24655259748207803</v>
      </c>
      <c r="BP956" s="29">
        <v>0</v>
      </c>
      <c r="BR956" s="22">
        <v>45501</v>
      </c>
      <c r="BS956" s="26">
        <f t="shared" ca="1" si="221"/>
        <v>0.88639126355423259</v>
      </c>
      <c r="BT956" s="29">
        <v>0</v>
      </c>
      <c r="BV956" s="22">
        <v>45501</v>
      </c>
      <c r="BW956" s="26">
        <f t="shared" ca="1" si="222"/>
        <v>0.86968456277783079</v>
      </c>
      <c r="BX956" s="29">
        <v>0</v>
      </c>
    </row>
    <row r="957" spans="2:77" ht="12.75" x14ac:dyDescent="0.2">
      <c r="B957" s="22">
        <v>45502</v>
      </c>
      <c r="C957" s="26">
        <f t="shared" ca="1" si="205"/>
        <v>0.98516113140226202</v>
      </c>
      <c r="D957" s="29">
        <v>0</v>
      </c>
      <c r="F957" s="22"/>
      <c r="G957" s="26">
        <f t="shared" ca="1" si="206"/>
        <v>0.22680510946397736</v>
      </c>
      <c r="H957" s="29">
        <v>0</v>
      </c>
      <c r="J957" s="22">
        <v>45502</v>
      </c>
      <c r="K957" s="26">
        <f t="shared" ca="1" si="207"/>
        <v>0.47821458060556798</v>
      </c>
      <c r="L957" s="29">
        <v>0</v>
      </c>
      <c r="N957" s="22">
        <v>45502</v>
      </c>
      <c r="O957" s="26">
        <f t="shared" ca="1" si="208"/>
        <v>0.97992961771072085</v>
      </c>
      <c r="P957" s="29">
        <v>0</v>
      </c>
      <c r="R957" s="22">
        <v>45502</v>
      </c>
      <c r="S957" s="26">
        <f t="shared" ca="1" si="209"/>
        <v>0.35684876231416951</v>
      </c>
      <c r="T957" s="29">
        <v>0</v>
      </c>
      <c r="V957" s="22">
        <v>45502</v>
      </c>
      <c r="W957" s="26">
        <f t="shared" ca="1" si="210"/>
        <v>0.9184400079241376</v>
      </c>
      <c r="X957" s="29">
        <v>0</v>
      </c>
      <c r="Z957" s="22">
        <v>45502</v>
      </c>
      <c r="AA957" s="26">
        <f t="shared" ca="1" si="211"/>
        <v>0.75042344446840437</v>
      </c>
      <c r="AB957" s="29">
        <v>0</v>
      </c>
      <c r="AC957"/>
      <c r="AD957" s="25"/>
      <c r="AF957" s="22">
        <v>45502</v>
      </c>
      <c r="AG957" s="26">
        <f t="shared" ca="1" si="212"/>
        <v>0.84431563254253661</v>
      </c>
      <c r="AH957" s="29">
        <v>0</v>
      </c>
      <c r="AJ957" s="22">
        <v>45502</v>
      </c>
      <c r="AK957" s="26">
        <f t="shared" ca="1" si="213"/>
        <v>2.2834818110553101E-2</v>
      </c>
      <c r="AL957" s="29">
        <v>0</v>
      </c>
      <c r="AN957" s="22">
        <v>45502</v>
      </c>
      <c r="AO957" s="26">
        <f t="shared" ca="1" si="214"/>
        <v>0.27586277351434874</v>
      </c>
      <c r="AP957" s="29">
        <v>0</v>
      </c>
      <c r="AR957" s="22">
        <v>45502</v>
      </c>
      <c r="AS957" s="26">
        <f t="shared" ca="1" si="215"/>
        <v>0.90280250099590453</v>
      </c>
      <c r="AT957" s="29">
        <v>0</v>
      </c>
      <c r="AV957" s="22">
        <v>45502</v>
      </c>
      <c r="AW957" s="26">
        <f t="shared" ca="1" si="216"/>
        <v>0.58232008570023996</v>
      </c>
      <c r="AX957" s="29">
        <v>0</v>
      </c>
      <c r="AZ957" s="22">
        <v>45502</v>
      </c>
      <c r="BA957" s="26">
        <f t="shared" ca="1" si="217"/>
        <v>0.88025674235224016</v>
      </c>
      <c r="BB957" s="29">
        <v>0</v>
      </c>
      <c r="BC957"/>
      <c r="BD957" s="25"/>
      <c r="BF957" s="22">
        <v>45502</v>
      </c>
      <c r="BG957" s="26">
        <f t="shared" ca="1" si="218"/>
        <v>0.13227609938385698</v>
      </c>
      <c r="BH957" s="29">
        <v>0</v>
      </c>
      <c r="BJ957" s="22">
        <v>45502</v>
      </c>
      <c r="BK957" s="26">
        <f t="shared" ca="1" si="219"/>
        <v>0.45667670947521</v>
      </c>
      <c r="BL957" s="29">
        <v>0</v>
      </c>
      <c r="BN957" s="22">
        <v>45502</v>
      </c>
      <c r="BO957" s="26">
        <f t="shared" ca="1" si="220"/>
        <v>0.66208233156722018</v>
      </c>
      <c r="BP957" s="29">
        <v>0</v>
      </c>
      <c r="BR957" s="22">
        <v>45502</v>
      </c>
      <c r="BS957" s="26">
        <f t="shared" ca="1" si="221"/>
        <v>0.72134338738562331</v>
      </c>
      <c r="BT957" s="29">
        <v>0</v>
      </c>
      <c r="BV957" s="22">
        <v>45502</v>
      </c>
      <c r="BW957" s="26">
        <f t="shared" ca="1" si="222"/>
        <v>0.27636567809956469</v>
      </c>
      <c r="BX957" s="29">
        <v>0</v>
      </c>
    </row>
    <row r="958" spans="2:77" ht="12.75" x14ac:dyDescent="0.2">
      <c r="B958" s="22">
        <v>45503</v>
      </c>
      <c r="C958" s="26">
        <f t="shared" ca="1" si="205"/>
        <v>0.70737832141599799</v>
      </c>
      <c r="D958" s="29">
        <v>0</v>
      </c>
      <c r="F958" s="22"/>
      <c r="G958" s="26">
        <f t="shared" ca="1" si="206"/>
        <v>5.3413384479651826E-2</v>
      </c>
      <c r="H958" s="29">
        <v>0</v>
      </c>
      <c r="J958" s="22">
        <v>45503</v>
      </c>
      <c r="K958" s="26">
        <f t="shared" ca="1" si="207"/>
        <v>0.71620136728691253</v>
      </c>
      <c r="L958" s="29">
        <v>0</v>
      </c>
      <c r="N958" s="22">
        <v>45503</v>
      </c>
      <c r="O958" s="26">
        <f t="shared" ca="1" si="208"/>
        <v>0.68026513599088678</v>
      </c>
      <c r="P958" s="29">
        <v>0</v>
      </c>
      <c r="R958" s="22">
        <v>45503</v>
      </c>
      <c r="S958" s="26">
        <f t="shared" ca="1" si="209"/>
        <v>0.50722662304834265</v>
      </c>
      <c r="T958" s="29">
        <v>0</v>
      </c>
      <c r="V958" s="22">
        <v>45503</v>
      </c>
      <c r="W958" s="26">
        <f t="shared" ca="1" si="210"/>
        <v>7.4162996916569357E-2</v>
      </c>
      <c r="X958" s="29">
        <v>0</v>
      </c>
      <c r="Z958" s="22">
        <v>45503</v>
      </c>
      <c r="AA958" s="26">
        <f t="shared" ca="1" si="211"/>
        <v>0.91166710511204929</v>
      </c>
      <c r="AB958" s="29">
        <v>0</v>
      </c>
      <c r="AC958"/>
      <c r="AD958" s="25"/>
      <c r="AF958" s="22">
        <v>45503</v>
      </c>
      <c r="AG958" s="26">
        <f t="shared" ca="1" si="212"/>
        <v>0.94888443085111818</v>
      </c>
      <c r="AH958" s="29">
        <v>0</v>
      </c>
      <c r="AJ958" s="22">
        <v>45503</v>
      </c>
      <c r="AK958" s="26">
        <f t="shared" ca="1" si="213"/>
        <v>0.29401806268584563</v>
      </c>
      <c r="AL958" s="29">
        <v>0</v>
      </c>
      <c r="AN958" s="22">
        <v>45503</v>
      </c>
      <c r="AO958" s="26">
        <f t="shared" ca="1" si="214"/>
        <v>0.5097537016864585</v>
      </c>
      <c r="AP958" s="29">
        <v>0</v>
      </c>
      <c r="AR958" s="22">
        <v>45503</v>
      </c>
      <c r="AS958" s="26">
        <f t="shared" ca="1" si="215"/>
        <v>9.3704865219095934E-2</v>
      </c>
      <c r="AT958" s="29">
        <v>0</v>
      </c>
      <c r="AV958" s="22">
        <v>45503</v>
      </c>
      <c r="AW958" s="26">
        <f t="shared" ca="1" si="216"/>
        <v>0.46188955278122923</v>
      </c>
      <c r="AX958" s="29">
        <v>0</v>
      </c>
      <c r="AZ958" s="22">
        <v>45503</v>
      </c>
      <c r="BA958" s="26">
        <f t="shared" ca="1" si="217"/>
        <v>0.46373872365081725</v>
      </c>
      <c r="BB958" s="29">
        <v>0</v>
      </c>
      <c r="BC958"/>
      <c r="BD958" s="25"/>
      <c r="BF958" s="22">
        <v>45503</v>
      </c>
      <c r="BG958" s="26">
        <f t="shared" ca="1" si="218"/>
        <v>0.82740807363699642</v>
      </c>
      <c r="BH958" s="29">
        <v>0</v>
      </c>
      <c r="BJ958" s="22">
        <v>45503</v>
      </c>
      <c r="BK958" s="26">
        <f t="shared" ca="1" si="219"/>
        <v>0.52174718631598915</v>
      </c>
      <c r="BL958" s="29">
        <v>0</v>
      </c>
      <c r="BN958" s="22">
        <v>45503</v>
      </c>
      <c r="BO958" s="26">
        <f t="shared" ca="1" si="220"/>
        <v>0.22861844312443336</v>
      </c>
      <c r="BP958" s="29">
        <v>0</v>
      </c>
      <c r="BR958" s="22">
        <v>45503</v>
      </c>
      <c r="BS958" s="26">
        <f t="shared" ca="1" si="221"/>
        <v>0.43843069447853045</v>
      </c>
      <c r="BT958" s="29">
        <v>0</v>
      </c>
      <c r="BV958" s="22">
        <v>45503</v>
      </c>
      <c r="BW958" s="26">
        <f t="shared" ca="1" si="222"/>
        <v>0.53303798263569868</v>
      </c>
      <c r="BX958" s="29">
        <v>0</v>
      </c>
    </row>
    <row r="959" spans="2:77" ht="12.75" x14ac:dyDescent="0.2">
      <c r="B959" s="22">
        <v>45504</v>
      </c>
      <c r="C959" s="26">
        <f t="shared" ca="1" si="205"/>
        <v>0.32859446226043254</v>
      </c>
      <c r="D959" s="29">
        <v>0</v>
      </c>
      <c r="E959">
        <v>376</v>
      </c>
      <c r="F959" s="22"/>
      <c r="G959" s="26">
        <f t="shared" ca="1" si="206"/>
        <v>0.84627671705192054</v>
      </c>
      <c r="H959" s="29">
        <v>0</v>
      </c>
      <c r="I959">
        <v>332</v>
      </c>
      <c r="J959" s="22">
        <v>45504</v>
      </c>
      <c r="K959" s="26">
        <f t="shared" ca="1" si="207"/>
        <v>0.7009000974512164</v>
      </c>
      <c r="L959" s="29">
        <v>0</v>
      </c>
      <c r="M959">
        <v>757</v>
      </c>
      <c r="N959" s="22">
        <v>45504</v>
      </c>
      <c r="O959" s="26">
        <f t="shared" ca="1" si="208"/>
        <v>0.23027668133312007</v>
      </c>
      <c r="P959" s="29">
        <v>0</v>
      </c>
      <c r="Q959">
        <v>1165</v>
      </c>
      <c r="R959" s="22">
        <v>45504</v>
      </c>
      <c r="S959" s="26">
        <f t="shared" ca="1" si="209"/>
        <v>0.65136762246090529</v>
      </c>
      <c r="T959" s="29">
        <v>0</v>
      </c>
      <c r="U959">
        <v>709</v>
      </c>
      <c r="V959" s="22">
        <v>45504</v>
      </c>
      <c r="W959" s="26">
        <f t="shared" ca="1" si="210"/>
        <v>0.9061374982740843</v>
      </c>
      <c r="X959" s="29">
        <v>0</v>
      </c>
      <c r="Y959">
        <v>1160</v>
      </c>
      <c r="Z959" s="22">
        <v>45504</v>
      </c>
      <c r="AA959" s="26">
        <f t="shared" ca="1" si="211"/>
        <v>0.86799289630497245</v>
      </c>
      <c r="AB959" s="29">
        <v>0</v>
      </c>
      <c r="AC959">
        <v>1345</v>
      </c>
      <c r="AD959" s="25"/>
      <c r="AF959" s="22">
        <v>45504</v>
      </c>
      <c r="AG959" s="26">
        <f t="shared" ca="1" si="212"/>
        <v>0.32732900825794653</v>
      </c>
      <c r="AH959" s="29">
        <v>0</v>
      </c>
      <c r="AI959">
        <v>1498</v>
      </c>
      <c r="AJ959" s="22">
        <v>45504</v>
      </c>
      <c r="AK959" s="26">
        <f t="shared" ca="1" si="213"/>
        <v>0.97355433063606589</v>
      </c>
      <c r="AL959" s="29">
        <v>0</v>
      </c>
      <c r="AM959">
        <v>981</v>
      </c>
      <c r="AN959" s="22">
        <v>45504</v>
      </c>
      <c r="AO959" s="26">
        <f t="shared" ca="1" si="214"/>
        <v>0.91761847049912026</v>
      </c>
      <c r="AP959" s="29">
        <v>0</v>
      </c>
      <c r="AQ959">
        <v>772</v>
      </c>
      <c r="AR959" s="22">
        <v>45504</v>
      </c>
      <c r="AS959" s="26">
        <f t="shared" ca="1" si="215"/>
        <v>4.9754543964047215E-2</v>
      </c>
      <c r="AT959" s="29">
        <v>0</v>
      </c>
      <c r="AU959">
        <v>865</v>
      </c>
      <c r="AV959" s="22">
        <v>45504</v>
      </c>
      <c r="AW959" s="26">
        <f t="shared" ca="1" si="216"/>
        <v>0.6034966075790178</v>
      </c>
      <c r="AX959" s="29">
        <v>0</v>
      </c>
      <c r="AY959">
        <v>870</v>
      </c>
      <c r="AZ959" s="22">
        <v>45504</v>
      </c>
      <c r="BA959" s="26">
        <f t="shared" ca="1" si="217"/>
        <v>0.70233029452303186</v>
      </c>
      <c r="BB959" s="29">
        <v>0</v>
      </c>
      <c r="BC959">
        <v>892</v>
      </c>
      <c r="BD959" s="25"/>
      <c r="BF959" s="22">
        <v>45504</v>
      </c>
      <c r="BG959" s="26">
        <f t="shared" ca="1" si="218"/>
        <v>0.42725260623892491</v>
      </c>
      <c r="BH959" s="29">
        <v>0</v>
      </c>
      <c r="BI959">
        <v>1065</v>
      </c>
      <c r="BJ959" s="22">
        <v>45504</v>
      </c>
      <c r="BK959" s="26">
        <f t="shared" ca="1" si="219"/>
        <v>0.45505287827431984</v>
      </c>
      <c r="BL959" s="29">
        <v>0</v>
      </c>
      <c r="BM959">
        <v>776</v>
      </c>
      <c r="BN959" s="22">
        <v>45504</v>
      </c>
      <c r="BO959" s="26">
        <f t="shared" ca="1" si="220"/>
        <v>0.26277892701649108</v>
      </c>
      <c r="BP959" s="29">
        <v>0</v>
      </c>
      <c r="BQ959">
        <v>721</v>
      </c>
      <c r="BR959" s="22">
        <v>45504</v>
      </c>
      <c r="BS959" s="26">
        <f t="shared" ca="1" si="221"/>
        <v>0.89486111542364233</v>
      </c>
      <c r="BT959" s="29">
        <v>0</v>
      </c>
      <c r="BU959">
        <v>848</v>
      </c>
      <c r="BV959" s="22">
        <v>45504</v>
      </c>
      <c r="BW959" s="26">
        <f t="shared" ca="1" si="222"/>
        <v>0.74434402410771783</v>
      </c>
      <c r="BX959" s="29">
        <v>0</v>
      </c>
      <c r="BY959">
        <v>951</v>
      </c>
    </row>
    <row r="960" spans="2:77" ht="12.75" x14ac:dyDescent="0.2">
      <c r="B960" s="22">
        <v>45505</v>
      </c>
      <c r="C960" s="26">
        <f t="shared" ca="1" si="205"/>
        <v>9.7469624005724231E-2</v>
      </c>
      <c r="D960" s="29">
        <v>0</v>
      </c>
      <c r="F960" s="22"/>
      <c r="G960" s="26">
        <f t="shared" ca="1" si="206"/>
        <v>0.87150710320514968</v>
      </c>
      <c r="H960" s="29">
        <v>0</v>
      </c>
      <c r="I960">
        <v>0</v>
      </c>
      <c r="J960" s="22">
        <v>45505</v>
      </c>
      <c r="K960" s="26">
        <f t="shared" ca="1" si="207"/>
        <v>0.75919760495092159</v>
      </c>
      <c r="L960" s="29">
        <v>0</v>
      </c>
      <c r="N960" s="22">
        <v>45505</v>
      </c>
      <c r="O960" s="26">
        <f t="shared" ca="1" si="208"/>
        <v>0.30463151076218931</v>
      </c>
      <c r="P960" s="29">
        <v>0</v>
      </c>
      <c r="R960" s="22">
        <v>45505</v>
      </c>
      <c r="S960" s="26">
        <f t="shared" ca="1" si="209"/>
        <v>0.63024181704334736</v>
      </c>
      <c r="T960" s="29">
        <v>0</v>
      </c>
      <c r="V960" s="22">
        <v>45505</v>
      </c>
      <c r="W960" s="26">
        <f t="shared" ca="1" si="210"/>
        <v>0.2245928841348156</v>
      </c>
      <c r="X960" s="29">
        <v>0</v>
      </c>
      <c r="Z960" s="22">
        <v>45505</v>
      </c>
      <c r="AA960" s="26">
        <f t="shared" ca="1" si="211"/>
        <v>0.56374450800973963</v>
      </c>
      <c r="AB960" s="29">
        <v>0</v>
      </c>
      <c r="AC960"/>
      <c r="AD960" s="25"/>
      <c r="AF960" s="22">
        <v>45505</v>
      </c>
      <c r="AG960" s="26">
        <f t="shared" ca="1" si="212"/>
        <v>0.40032416496814194</v>
      </c>
      <c r="AH960" s="29">
        <v>0</v>
      </c>
      <c r="AJ960" s="22">
        <v>45505</v>
      </c>
      <c r="AK960" s="26">
        <f t="shared" ca="1" si="213"/>
        <v>0.7562715691357268</v>
      </c>
      <c r="AL960" s="29">
        <v>0</v>
      </c>
      <c r="AN960" s="22">
        <v>45505</v>
      </c>
      <c r="AO960" s="26">
        <f t="shared" ca="1" si="214"/>
        <v>0.70450762610320938</v>
      </c>
      <c r="AP960" s="29">
        <v>0</v>
      </c>
      <c r="AR960" s="22">
        <v>45505</v>
      </c>
      <c r="AS960" s="26">
        <f t="shared" ca="1" si="215"/>
        <v>0.23454355918631276</v>
      </c>
      <c r="AT960" s="29">
        <v>0</v>
      </c>
      <c r="AV960" s="22">
        <v>45505</v>
      </c>
      <c r="AW960" s="26">
        <f t="shared" ca="1" si="216"/>
        <v>0.84562598635170827</v>
      </c>
      <c r="AX960" s="29">
        <v>0</v>
      </c>
      <c r="AZ960" s="22">
        <v>45505</v>
      </c>
      <c r="BA960" s="26">
        <f t="shared" ca="1" si="217"/>
        <v>0.6202094211786553</v>
      </c>
      <c r="BB960" s="29">
        <v>0</v>
      </c>
      <c r="BC960"/>
      <c r="BD960" s="25"/>
      <c r="BF960" s="22">
        <v>45505</v>
      </c>
      <c r="BG960" s="26">
        <f t="shared" ca="1" si="218"/>
        <v>0.97292219337099939</v>
      </c>
      <c r="BH960" s="29">
        <v>0</v>
      </c>
      <c r="BJ960" s="22">
        <v>45505</v>
      </c>
      <c r="BK960" s="26">
        <f t="shared" ca="1" si="219"/>
        <v>0.36080970297022541</v>
      </c>
      <c r="BL960" s="29">
        <v>0</v>
      </c>
      <c r="BN960" s="22">
        <v>45505</v>
      </c>
      <c r="BO960" s="26">
        <f t="shared" ca="1" si="220"/>
        <v>0.56784925050203106</v>
      </c>
      <c r="BP960" s="29">
        <v>0</v>
      </c>
      <c r="BR960" s="22">
        <v>45505</v>
      </c>
      <c r="BS960" s="26">
        <f t="shared" ca="1" si="221"/>
        <v>0.1728702715499949</v>
      </c>
      <c r="BT960" s="29">
        <v>0</v>
      </c>
      <c r="BV960" s="22">
        <v>45505</v>
      </c>
      <c r="BW960" s="26">
        <f t="shared" ca="1" si="222"/>
        <v>0.38721525720407235</v>
      </c>
      <c r="BX960" s="29">
        <v>0</v>
      </c>
    </row>
    <row r="961" spans="2:76" ht="12.75" x14ac:dyDescent="0.2">
      <c r="B961" s="22">
        <v>45506</v>
      </c>
      <c r="C961" s="26">
        <f t="shared" ca="1" si="205"/>
        <v>0.20024834619201104</v>
      </c>
      <c r="D961" s="29">
        <v>0</v>
      </c>
      <c r="F961" s="22"/>
      <c r="G961" s="26">
        <f t="shared" ca="1" si="206"/>
        <v>0.41895065105491758</v>
      </c>
      <c r="H961" s="29">
        <v>0</v>
      </c>
      <c r="J961" s="22">
        <v>45506</v>
      </c>
      <c r="K961" s="26">
        <f t="shared" ca="1" si="207"/>
        <v>0.23181542039691128</v>
      </c>
      <c r="L961" s="29">
        <v>0</v>
      </c>
      <c r="N961" s="22">
        <v>45506</v>
      </c>
      <c r="O961" s="26">
        <f t="shared" ca="1" si="208"/>
        <v>0.81045144028006388</v>
      </c>
      <c r="P961" s="29">
        <v>0</v>
      </c>
      <c r="R961" s="22">
        <v>45506</v>
      </c>
      <c r="S961" s="26">
        <f t="shared" ca="1" si="209"/>
        <v>0.95449076506048158</v>
      </c>
      <c r="T961" s="29">
        <v>0</v>
      </c>
      <c r="V961" s="22">
        <v>45506</v>
      </c>
      <c r="W961" s="26">
        <f t="shared" ca="1" si="210"/>
        <v>5.0818676814569086E-2</v>
      </c>
      <c r="X961" s="29">
        <v>0</v>
      </c>
      <c r="Z961" s="22">
        <v>45506</v>
      </c>
      <c r="AA961" s="26">
        <f t="shared" ca="1" si="211"/>
        <v>0.21769199894364011</v>
      </c>
      <c r="AB961" s="29">
        <v>0</v>
      </c>
      <c r="AC961"/>
      <c r="AD961" s="25"/>
      <c r="AF961" s="22">
        <v>45506</v>
      </c>
      <c r="AG961" s="26">
        <f t="shared" ca="1" si="212"/>
        <v>0.75942977680893031</v>
      </c>
      <c r="AH961" s="29">
        <v>0</v>
      </c>
      <c r="AJ961" s="22">
        <v>45506</v>
      </c>
      <c r="AK961" s="26">
        <f t="shared" ca="1" si="213"/>
        <v>0.75802999089248613</v>
      </c>
      <c r="AL961" s="29">
        <v>0</v>
      </c>
      <c r="AN961" s="22">
        <v>45506</v>
      </c>
      <c r="AO961" s="26">
        <f t="shared" ca="1" si="214"/>
        <v>0.94413626113598503</v>
      </c>
      <c r="AP961" s="29">
        <v>0</v>
      </c>
      <c r="AR961" s="22">
        <v>45506</v>
      </c>
      <c r="AS961" s="26">
        <f t="shared" ca="1" si="215"/>
        <v>3.2148679770668487E-2</v>
      </c>
      <c r="AT961" s="29">
        <v>0</v>
      </c>
      <c r="AV961" s="22">
        <v>45506</v>
      </c>
      <c r="AW961" s="26">
        <f t="shared" ca="1" si="216"/>
        <v>0.28673065326693614</v>
      </c>
      <c r="AX961" s="29">
        <v>0</v>
      </c>
      <c r="AZ961" s="22">
        <v>45506</v>
      </c>
      <c r="BA961" s="26">
        <f t="shared" ca="1" si="217"/>
        <v>0.8152863635263764</v>
      </c>
      <c r="BB961" s="29">
        <v>0</v>
      </c>
      <c r="BC961"/>
      <c r="BD961" s="25"/>
      <c r="BF961" s="22">
        <v>45506</v>
      </c>
      <c r="BG961" s="26">
        <f t="shared" ca="1" si="218"/>
        <v>0.36132767950066724</v>
      </c>
      <c r="BH961" s="29">
        <v>0</v>
      </c>
      <c r="BJ961" s="22">
        <v>45506</v>
      </c>
      <c r="BK961" s="26">
        <f t="shared" ca="1" si="219"/>
        <v>0.12783980252395355</v>
      </c>
      <c r="BL961" s="29">
        <v>0</v>
      </c>
      <c r="BN961" s="22">
        <v>45506</v>
      </c>
      <c r="BO961" s="26">
        <f t="shared" ca="1" si="220"/>
        <v>0.30777281482148844</v>
      </c>
      <c r="BP961" s="29">
        <v>0</v>
      </c>
      <c r="BR961" s="22">
        <v>45506</v>
      </c>
      <c r="BS961" s="26">
        <f t="shared" ca="1" si="221"/>
        <v>0.73270515833108008</v>
      </c>
      <c r="BT961" s="29">
        <v>0</v>
      </c>
      <c r="BV961" s="22">
        <v>45506</v>
      </c>
      <c r="BW961" s="26">
        <f t="shared" ca="1" si="222"/>
        <v>0.44291974526429967</v>
      </c>
      <c r="BX961" s="29">
        <v>0</v>
      </c>
    </row>
    <row r="962" spans="2:76" ht="12.75" x14ac:dyDescent="0.2">
      <c r="B962" s="22">
        <v>45507</v>
      </c>
      <c r="C962" s="26">
        <f t="shared" ca="1" si="205"/>
        <v>0.60723641672715301</v>
      </c>
      <c r="D962" s="29">
        <v>0</v>
      </c>
      <c r="F962" s="22"/>
      <c r="G962" s="26">
        <f t="shared" ca="1" si="206"/>
        <v>0.78423606109872224</v>
      </c>
      <c r="H962" s="29">
        <v>0</v>
      </c>
      <c r="J962" s="22">
        <v>45507</v>
      </c>
      <c r="K962" s="26">
        <f t="shared" ca="1" si="207"/>
        <v>0.84493652525558782</v>
      </c>
      <c r="L962" s="29">
        <v>0</v>
      </c>
      <c r="N962" s="22">
        <v>45507</v>
      </c>
      <c r="O962" s="26">
        <f t="shared" ca="1" si="208"/>
        <v>5.9935324365900322E-2</v>
      </c>
      <c r="P962" s="29">
        <v>0</v>
      </c>
      <c r="R962" s="22">
        <v>45507</v>
      </c>
      <c r="S962" s="26">
        <f t="shared" ca="1" si="209"/>
        <v>0.38137065948212834</v>
      </c>
      <c r="T962" s="29">
        <v>0</v>
      </c>
      <c r="V962" s="22">
        <v>45507</v>
      </c>
      <c r="W962" s="26">
        <f t="shared" ca="1" si="210"/>
        <v>0.20808142724937573</v>
      </c>
      <c r="X962" s="29">
        <v>0</v>
      </c>
      <c r="Z962" s="22">
        <v>45507</v>
      </c>
      <c r="AA962" s="26">
        <f t="shared" ca="1" si="211"/>
        <v>0.83859731016820627</v>
      </c>
      <c r="AB962" s="29">
        <v>0</v>
      </c>
      <c r="AC962"/>
      <c r="AD962" s="25"/>
      <c r="AF962" s="22">
        <v>45507</v>
      </c>
      <c r="AG962" s="26">
        <f t="shared" ca="1" si="212"/>
        <v>0.86944111545081837</v>
      </c>
      <c r="AH962" s="29">
        <v>0</v>
      </c>
      <c r="AJ962" s="22">
        <v>45507</v>
      </c>
      <c r="AK962" s="26">
        <f t="shared" ca="1" si="213"/>
        <v>0.23050069564496178</v>
      </c>
      <c r="AL962" s="29">
        <v>0</v>
      </c>
      <c r="AN962" s="22">
        <v>45507</v>
      </c>
      <c r="AO962" s="26">
        <f t="shared" ca="1" si="214"/>
        <v>0.37582712036933463</v>
      </c>
      <c r="AP962" s="29">
        <v>0</v>
      </c>
      <c r="AR962" s="22">
        <v>45507</v>
      </c>
      <c r="AS962" s="26">
        <f t="shared" ca="1" si="215"/>
        <v>0.79022249758298113</v>
      </c>
      <c r="AT962" s="29">
        <v>0</v>
      </c>
      <c r="AV962" s="22">
        <v>45507</v>
      </c>
      <c r="AW962" s="26">
        <f t="shared" ca="1" si="216"/>
        <v>0.59541451428307324</v>
      </c>
      <c r="AX962" s="29">
        <v>0</v>
      </c>
      <c r="AZ962" s="22">
        <v>45507</v>
      </c>
      <c r="BA962" s="26">
        <f t="shared" ca="1" si="217"/>
        <v>8.3343634771589903E-2</v>
      </c>
      <c r="BB962" s="29">
        <v>0</v>
      </c>
      <c r="BC962"/>
      <c r="BD962" s="25"/>
      <c r="BF962" s="22">
        <v>45507</v>
      </c>
      <c r="BG962" s="26">
        <f t="shared" ca="1" si="218"/>
        <v>0.90221760194193756</v>
      </c>
      <c r="BH962" s="29">
        <v>0</v>
      </c>
      <c r="BJ962" s="22">
        <v>45507</v>
      </c>
      <c r="BK962" s="26">
        <f t="shared" ca="1" si="219"/>
        <v>0.34933120294042164</v>
      </c>
      <c r="BL962" s="29">
        <v>0</v>
      </c>
      <c r="BN962" s="22">
        <v>45507</v>
      </c>
      <c r="BO962" s="26">
        <f t="shared" ca="1" si="220"/>
        <v>0.61115848874197698</v>
      </c>
      <c r="BP962" s="29">
        <v>0</v>
      </c>
      <c r="BR962" s="22">
        <v>45507</v>
      </c>
      <c r="BS962" s="26">
        <f t="shared" ca="1" si="221"/>
        <v>0.60963462873902274</v>
      </c>
      <c r="BT962" s="29">
        <v>0</v>
      </c>
      <c r="BV962" s="22">
        <v>45507</v>
      </c>
      <c r="BW962" s="26">
        <f t="shared" ca="1" si="222"/>
        <v>0.21397342259641272</v>
      </c>
      <c r="BX962" s="29">
        <v>0</v>
      </c>
    </row>
    <row r="963" spans="2:76" ht="12.75" x14ac:dyDescent="0.2">
      <c r="B963" s="22">
        <v>45508</v>
      </c>
      <c r="C963" s="26">
        <f t="shared" ca="1" si="205"/>
        <v>0.16410884366090983</v>
      </c>
      <c r="D963" s="29">
        <v>0</v>
      </c>
      <c r="F963" s="22"/>
      <c r="G963" s="26">
        <f t="shared" ca="1" si="206"/>
        <v>0.51435513336446148</v>
      </c>
      <c r="H963" s="29">
        <v>0</v>
      </c>
      <c r="J963" s="22">
        <v>45508</v>
      </c>
      <c r="K963" s="26">
        <f t="shared" ca="1" si="207"/>
        <v>0.86196501331130249</v>
      </c>
      <c r="L963" s="29">
        <v>0</v>
      </c>
      <c r="N963" s="22">
        <v>45508</v>
      </c>
      <c r="O963" s="26">
        <f t="shared" ca="1" si="208"/>
        <v>0.75829135704861117</v>
      </c>
      <c r="P963" s="29">
        <v>0</v>
      </c>
      <c r="R963" s="22">
        <v>45508</v>
      </c>
      <c r="S963" s="26">
        <f t="shared" ca="1" si="209"/>
        <v>0.15216805636263087</v>
      </c>
      <c r="T963" s="29">
        <v>0</v>
      </c>
      <c r="V963" s="22">
        <v>45508</v>
      </c>
      <c r="W963" s="26">
        <f t="shared" ca="1" si="210"/>
        <v>0.9468956166064173</v>
      </c>
      <c r="X963" s="29">
        <v>0</v>
      </c>
      <c r="Z963" s="22">
        <v>45508</v>
      </c>
      <c r="AA963" s="26">
        <f t="shared" ca="1" si="211"/>
        <v>0.40421323281792787</v>
      </c>
      <c r="AB963" s="29">
        <v>0</v>
      </c>
      <c r="AC963"/>
      <c r="AD963" s="25"/>
      <c r="AF963" s="22">
        <v>45508</v>
      </c>
      <c r="AG963" s="26">
        <f t="shared" ca="1" si="212"/>
        <v>0.76159436125715974</v>
      </c>
      <c r="AH963" s="29">
        <v>0</v>
      </c>
      <c r="AJ963" s="22">
        <v>45508</v>
      </c>
      <c r="AK963" s="26">
        <f t="shared" ca="1" si="213"/>
        <v>0.51317370664481698</v>
      </c>
      <c r="AL963" s="29">
        <v>0</v>
      </c>
      <c r="AN963" s="22">
        <v>45508</v>
      </c>
      <c r="AO963" s="26">
        <f t="shared" ca="1" si="214"/>
        <v>0.76080172011024261</v>
      </c>
      <c r="AP963" s="29">
        <v>0</v>
      </c>
      <c r="AR963" s="22">
        <v>45508</v>
      </c>
      <c r="AS963" s="26">
        <f t="shared" ca="1" si="215"/>
        <v>0.18144232705118502</v>
      </c>
      <c r="AT963" s="29">
        <v>0</v>
      </c>
      <c r="AV963" s="22">
        <v>45508</v>
      </c>
      <c r="AW963" s="26">
        <f t="shared" ca="1" si="216"/>
        <v>0.40905393229568232</v>
      </c>
      <c r="AX963" s="29">
        <v>0</v>
      </c>
      <c r="AZ963" s="22">
        <v>45508</v>
      </c>
      <c r="BA963" s="26">
        <f t="shared" ca="1" si="217"/>
        <v>6.3989711989988818E-2</v>
      </c>
      <c r="BB963" s="29">
        <v>0</v>
      </c>
      <c r="BC963"/>
      <c r="BD963" s="25"/>
      <c r="BF963" s="22">
        <v>45508</v>
      </c>
      <c r="BG963" s="26">
        <f t="shared" ca="1" si="218"/>
        <v>0.68143170466431746</v>
      </c>
      <c r="BH963" s="29">
        <v>0</v>
      </c>
      <c r="BJ963" s="22">
        <v>45508</v>
      </c>
      <c r="BK963" s="26">
        <f t="shared" ca="1" si="219"/>
        <v>0.61857890175397146</v>
      </c>
      <c r="BL963" s="29">
        <v>0</v>
      </c>
      <c r="BN963" s="22">
        <v>45508</v>
      </c>
      <c r="BO963" s="26">
        <f t="shared" ca="1" si="220"/>
        <v>8.3522360182050948E-2</v>
      </c>
      <c r="BP963" s="29">
        <v>0</v>
      </c>
      <c r="BR963" s="22">
        <v>45508</v>
      </c>
      <c r="BS963" s="26">
        <f t="shared" ca="1" si="221"/>
        <v>0.82516799572516575</v>
      </c>
      <c r="BT963" s="29">
        <v>0</v>
      </c>
      <c r="BV963" s="22">
        <v>45508</v>
      </c>
      <c r="BW963" s="26">
        <f t="shared" ca="1" si="222"/>
        <v>0.81359571734420855</v>
      </c>
      <c r="BX963" s="29">
        <v>0</v>
      </c>
    </row>
    <row r="964" spans="2:76" ht="12.75" x14ac:dyDescent="0.2">
      <c r="B964" s="22">
        <v>45509</v>
      </c>
      <c r="C964" s="26">
        <f t="shared" ca="1" si="205"/>
        <v>0.56984888717598847</v>
      </c>
      <c r="D964" s="29">
        <v>0</v>
      </c>
      <c r="F964" s="22"/>
      <c r="G964" s="26">
        <f t="shared" ca="1" si="206"/>
        <v>0.87049857379253459</v>
      </c>
      <c r="H964" s="29">
        <v>0</v>
      </c>
      <c r="J964" s="22">
        <v>45509</v>
      </c>
      <c r="K964" s="26">
        <f t="shared" ca="1" si="207"/>
        <v>5.3133929311004136E-2</v>
      </c>
      <c r="L964" s="29">
        <v>0</v>
      </c>
      <c r="N964" s="22">
        <v>45509</v>
      </c>
      <c r="O964" s="26">
        <f t="shared" ca="1" si="208"/>
        <v>5.6686940146467246E-2</v>
      </c>
      <c r="P964" s="29">
        <v>0</v>
      </c>
      <c r="R964" s="22">
        <v>45509</v>
      </c>
      <c r="S964" s="26">
        <f t="shared" ca="1" si="209"/>
        <v>0.19069493025416506</v>
      </c>
      <c r="T964" s="29">
        <v>0</v>
      </c>
      <c r="V964" s="22">
        <v>45509</v>
      </c>
      <c r="W964" s="26">
        <f t="shared" ca="1" si="210"/>
        <v>0.66201562080852405</v>
      </c>
      <c r="X964" s="29">
        <v>0</v>
      </c>
      <c r="Z964" s="22">
        <v>45509</v>
      </c>
      <c r="AA964" s="26">
        <f t="shared" ca="1" si="211"/>
        <v>0.52736847994558034</v>
      </c>
      <c r="AB964" s="29">
        <v>0</v>
      </c>
      <c r="AC964"/>
      <c r="AD964" s="25"/>
      <c r="AF964" s="22">
        <v>45509</v>
      </c>
      <c r="AG964" s="26">
        <f t="shared" ca="1" si="212"/>
        <v>0.53324384130414115</v>
      </c>
      <c r="AH964" s="29">
        <v>0</v>
      </c>
      <c r="AJ964" s="22">
        <v>45509</v>
      </c>
      <c r="AK964" s="26">
        <f t="shared" ca="1" si="213"/>
        <v>0.6471183436572282</v>
      </c>
      <c r="AL964" s="29">
        <v>0</v>
      </c>
      <c r="AN964" s="22">
        <v>45509</v>
      </c>
      <c r="AO964" s="26">
        <f t="shared" ca="1" si="214"/>
        <v>0.14932372865522381</v>
      </c>
      <c r="AP964" s="29">
        <v>0</v>
      </c>
      <c r="AR964" s="22">
        <v>45509</v>
      </c>
      <c r="AS964" s="26">
        <f t="shared" ca="1" si="215"/>
        <v>0.53065852040216033</v>
      </c>
      <c r="AT964" s="29">
        <v>0</v>
      </c>
      <c r="AV964" s="22">
        <v>45509</v>
      </c>
      <c r="AW964" s="26">
        <f t="shared" ca="1" si="216"/>
        <v>9.8127959414899379E-2</v>
      </c>
      <c r="AX964" s="29">
        <v>0</v>
      </c>
      <c r="AZ964" s="22">
        <v>45509</v>
      </c>
      <c r="BA964" s="26">
        <f t="shared" ca="1" si="217"/>
        <v>6.8342237919611803E-2</v>
      </c>
      <c r="BB964" s="29">
        <v>0</v>
      </c>
      <c r="BC964"/>
      <c r="BD964" s="25"/>
      <c r="BF964" s="22">
        <v>45509</v>
      </c>
      <c r="BG964" s="26">
        <f t="shared" ca="1" si="218"/>
        <v>0.66960581612307113</v>
      </c>
      <c r="BH964" s="29">
        <v>0</v>
      </c>
      <c r="BJ964" s="22">
        <v>45509</v>
      </c>
      <c r="BK964" s="26">
        <f t="shared" ca="1" si="219"/>
        <v>0.36874394784600661</v>
      </c>
      <c r="BL964" s="29">
        <v>0</v>
      </c>
      <c r="BN964" s="22">
        <v>45509</v>
      </c>
      <c r="BO964" s="26">
        <f t="shared" ca="1" si="220"/>
        <v>0.41763942460637549</v>
      </c>
      <c r="BP964" s="29">
        <v>0</v>
      </c>
      <c r="BR964" s="22">
        <v>45509</v>
      </c>
      <c r="BS964" s="26">
        <f t="shared" ca="1" si="221"/>
        <v>0.35734623268520593</v>
      </c>
      <c r="BT964" s="29">
        <v>0</v>
      </c>
      <c r="BV964" s="22">
        <v>45509</v>
      </c>
      <c r="BW964" s="26">
        <f t="shared" ca="1" si="222"/>
        <v>0.32425473746499855</v>
      </c>
      <c r="BX964" s="29">
        <v>0</v>
      </c>
    </row>
    <row r="965" spans="2:76" ht="12.75" x14ac:dyDescent="0.2">
      <c r="B965" s="22">
        <v>45510</v>
      </c>
      <c r="C965" s="26">
        <f t="shared" ca="1" si="205"/>
        <v>0.79515626051294941</v>
      </c>
      <c r="D965" s="29">
        <v>0</v>
      </c>
      <c r="F965" s="22"/>
      <c r="G965" s="26">
        <f t="shared" ca="1" si="206"/>
        <v>0.48939909517577374</v>
      </c>
      <c r="H965" s="29">
        <v>0</v>
      </c>
      <c r="J965" s="22">
        <v>45510</v>
      </c>
      <c r="K965" s="26">
        <f t="shared" ca="1" si="207"/>
        <v>0.32782236805743592</v>
      </c>
      <c r="L965" s="29">
        <v>0</v>
      </c>
      <c r="N965" s="22">
        <v>45510</v>
      </c>
      <c r="O965" s="26">
        <f t="shared" ca="1" si="208"/>
        <v>0.17846718977551967</v>
      </c>
      <c r="P965" s="29">
        <v>0</v>
      </c>
      <c r="R965" s="22">
        <v>45510</v>
      </c>
      <c r="S965" s="26">
        <f t="shared" ca="1" si="209"/>
        <v>0.39514685976567021</v>
      </c>
      <c r="T965" s="29">
        <v>0</v>
      </c>
      <c r="V965" s="22">
        <v>45510</v>
      </c>
      <c r="W965" s="26">
        <f t="shared" ca="1" si="210"/>
        <v>0.65441285748984002</v>
      </c>
      <c r="X965" s="29">
        <v>0</v>
      </c>
      <c r="Z965" s="22">
        <v>45510</v>
      </c>
      <c r="AA965" s="26">
        <f t="shared" ca="1" si="211"/>
        <v>0.34630440505639382</v>
      </c>
      <c r="AB965" s="29">
        <v>0</v>
      </c>
      <c r="AC965"/>
      <c r="AD965" s="25"/>
      <c r="AF965" s="22">
        <v>45510</v>
      </c>
      <c r="AG965" s="26">
        <f t="shared" ca="1" si="212"/>
        <v>0.71156973144107993</v>
      </c>
      <c r="AH965" s="29">
        <v>0</v>
      </c>
      <c r="AJ965" s="22">
        <v>45510</v>
      </c>
      <c r="AK965" s="26">
        <f t="shared" ca="1" si="213"/>
        <v>6.3359104017961299E-2</v>
      </c>
      <c r="AL965" s="29">
        <v>0</v>
      </c>
      <c r="AN965" s="22">
        <v>45510</v>
      </c>
      <c r="AO965" s="26">
        <f t="shared" ca="1" si="214"/>
        <v>0.38444258934128361</v>
      </c>
      <c r="AP965" s="29">
        <v>0</v>
      </c>
      <c r="AR965" s="22">
        <v>45510</v>
      </c>
      <c r="AS965" s="26">
        <f t="shared" ca="1" si="215"/>
        <v>0.21438733242312535</v>
      </c>
      <c r="AT965" s="29">
        <v>0</v>
      </c>
      <c r="AV965" s="22">
        <v>45510</v>
      </c>
      <c r="AW965" s="26">
        <f t="shared" ca="1" si="216"/>
        <v>0.99219612429562953</v>
      </c>
      <c r="AX965" s="29">
        <v>0</v>
      </c>
      <c r="AZ965" s="22">
        <v>45510</v>
      </c>
      <c r="BA965" s="26">
        <f t="shared" ca="1" si="217"/>
        <v>0.46883797134844707</v>
      </c>
      <c r="BB965" s="29">
        <v>0</v>
      </c>
      <c r="BC965"/>
      <c r="BD965" s="25"/>
      <c r="BF965" s="22">
        <v>45510</v>
      </c>
      <c r="BG965" s="26">
        <f t="shared" ca="1" si="218"/>
        <v>0.20869791636650337</v>
      </c>
      <c r="BH965" s="29">
        <v>0</v>
      </c>
      <c r="BJ965" s="22">
        <v>45510</v>
      </c>
      <c r="BK965" s="26">
        <f t="shared" ca="1" si="219"/>
        <v>0.85715705477117698</v>
      </c>
      <c r="BL965" s="29">
        <v>0</v>
      </c>
      <c r="BN965" s="22">
        <v>45510</v>
      </c>
      <c r="BO965" s="26">
        <f t="shared" ca="1" si="220"/>
        <v>0.19001885753103243</v>
      </c>
      <c r="BP965" s="29">
        <v>0</v>
      </c>
      <c r="BR965" s="22">
        <v>45510</v>
      </c>
      <c r="BS965" s="26">
        <f t="shared" ca="1" si="221"/>
        <v>0.13248536598793781</v>
      </c>
      <c r="BT965" s="29">
        <v>0</v>
      </c>
      <c r="BV965" s="22">
        <v>45510</v>
      </c>
      <c r="BW965" s="26">
        <f t="shared" ca="1" si="222"/>
        <v>1.9963959802466791E-2</v>
      </c>
      <c r="BX965" s="29">
        <v>0</v>
      </c>
    </row>
    <row r="966" spans="2:76" ht="12.75" x14ac:dyDescent="0.2">
      <c r="B966" s="22">
        <v>45511</v>
      </c>
      <c r="C966" s="26">
        <f t="shared" ca="1" si="205"/>
        <v>3.5598496070067931E-2</v>
      </c>
      <c r="D966" s="29">
        <v>0</v>
      </c>
      <c r="F966" s="22"/>
      <c r="G966" s="26">
        <f t="shared" ca="1" si="206"/>
        <v>0.76741097878934117</v>
      </c>
      <c r="H966" s="29">
        <v>0</v>
      </c>
      <c r="J966" s="22">
        <v>45511</v>
      </c>
      <c r="K966" s="26">
        <f t="shared" ca="1" si="207"/>
        <v>0.22900274710720159</v>
      </c>
      <c r="L966" s="29">
        <v>0</v>
      </c>
      <c r="N966" s="22">
        <v>45511</v>
      </c>
      <c r="O966" s="26">
        <f t="shared" ca="1" si="208"/>
        <v>0.798474570971902</v>
      </c>
      <c r="P966" s="29">
        <v>0</v>
      </c>
      <c r="R966" s="22">
        <v>45511</v>
      </c>
      <c r="S966" s="26">
        <f t="shared" ca="1" si="209"/>
        <v>0.11033060422123941</v>
      </c>
      <c r="T966" s="29">
        <v>0</v>
      </c>
      <c r="V966" s="22">
        <v>45511</v>
      </c>
      <c r="W966" s="26">
        <f t="shared" ca="1" si="210"/>
        <v>0.10400412065953957</v>
      </c>
      <c r="X966" s="29">
        <v>0</v>
      </c>
      <c r="Z966" s="22">
        <v>45511</v>
      </c>
      <c r="AA966" s="26">
        <f t="shared" ca="1" si="211"/>
        <v>0.67551497565337193</v>
      </c>
      <c r="AB966" s="29">
        <v>0</v>
      </c>
      <c r="AC966"/>
      <c r="AD966" s="25"/>
      <c r="AF966" s="22">
        <v>45511</v>
      </c>
      <c r="AG966" s="26">
        <f t="shared" ca="1" si="212"/>
        <v>0.8145985139470403</v>
      </c>
      <c r="AH966" s="29">
        <v>0</v>
      </c>
      <c r="AJ966" s="22">
        <v>45511</v>
      </c>
      <c r="AK966" s="26">
        <f t="shared" ca="1" si="213"/>
        <v>0.66645939897451634</v>
      </c>
      <c r="AL966" s="29">
        <v>0</v>
      </c>
      <c r="AN966" s="22">
        <v>45511</v>
      </c>
      <c r="AO966" s="26">
        <f t="shared" ca="1" si="214"/>
        <v>0.56839406290052819</v>
      </c>
      <c r="AP966" s="29">
        <v>0</v>
      </c>
      <c r="AR966" s="22">
        <v>45511</v>
      </c>
      <c r="AS966" s="26">
        <f t="shared" ca="1" si="215"/>
        <v>0.20270738865580817</v>
      </c>
      <c r="AT966" s="29">
        <v>0</v>
      </c>
      <c r="AV966" s="22">
        <v>45511</v>
      </c>
      <c r="AW966" s="26">
        <f t="shared" ca="1" si="216"/>
        <v>0.11460341157600906</v>
      </c>
      <c r="AX966" s="29">
        <v>0</v>
      </c>
      <c r="AZ966" s="22">
        <v>45511</v>
      </c>
      <c r="BA966" s="26">
        <f t="shared" ca="1" si="217"/>
        <v>1.7366665846429319E-2</v>
      </c>
      <c r="BB966" s="29">
        <v>0</v>
      </c>
      <c r="BC966"/>
      <c r="BD966" s="25"/>
      <c r="BF966" s="22">
        <v>45511</v>
      </c>
      <c r="BG966" s="26">
        <f t="shared" ca="1" si="218"/>
        <v>0.33218934447865645</v>
      </c>
      <c r="BH966" s="29">
        <v>0</v>
      </c>
      <c r="BJ966" s="22">
        <v>45511</v>
      </c>
      <c r="BK966" s="26">
        <f t="shared" ca="1" si="219"/>
        <v>0.86356301590709894</v>
      </c>
      <c r="BL966" s="29">
        <v>0</v>
      </c>
      <c r="BN966" s="22">
        <v>45511</v>
      </c>
      <c r="BO966" s="26">
        <f t="shared" ca="1" si="220"/>
        <v>0.77336626721780943</v>
      </c>
      <c r="BP966" s="29">
        <v>0</v>
      </c>
      <c r="BR966" s="22">
        <v>45511</v>
      </c>
      <c r="BS966" s="26">
        <f t="shared" ca="1" si="221"/>
        <v>0.91233166113837028</v>
      </c>
      <c r="BT966" s="29">
        <v>0</v>
      </c>
      <c r="BV966" s="22">
        <v>45511</v>
      </c>
      <c r="BW966" s="26">
        <f t="shared" ca="1" si="222"/>
        <v>0.18296015789106379</v>
      </c>
      <c r="BX966" s="29">
        <v>0</v>
      </c>
    </row>
    <row r="967" spans="2:76" ht="12.75" x14ac:dyDescent="0.2">
      <c r="B967" s="22">
        <v>45512</v>
      </c>
      <c r="C967" s="26">
        <f t="shared" ca="1" si="205"/>
        <v>0.26332730452074171</v>
      </c>
      <c r="D967" s="29">
        <v>0</v>
      </c>
      <c r="F967" s="22"/>
      <c r="G967" s="26">
        <f t="shared" ca="1" si="206"/>
        <v>0.26450889617486617</v>
      </c>
      <c r="H967" s="29">
        <v>0</v>
      </c>
      <c r="J967" s="22">
        <v>45512</v>
      </c>
      <c r="K967" s="26">
        <f t="shared" ca="1" si="207"/>
        <v>0.41313920994805586</v>
      </c>
      <c r="L967" s="29">
        <v>0</v>
      </c>
      <c r="N967" s="22">
        <v>45512</v>
      </c>
      <c r="O967" s="26">
        <f t="shared" ca="1" si="208"/>
        <v>0.8555126394207766</v>
      </c>
      <c r="P967" s="29">
        <v>0</v>
      </c>
      <c r="R967" s="22">
        <v>45512</v>
      </c>
      <c r="S967" s="26">
        <f t="shared" ca="1" si="209"/>
        <v>0.55348611897043132</v>
      </c>
      <c r="T967" s="29">
        <v>0</v>
      </c>
      <c r="V967" s="22">
        <v>45512</v>
      </c>
      <c r="W967" s="26">
        <f t="shared" ca="1" si="210"/>
        <v>0.5662276280929126</v>
      </c>
      <c r="X967" s="29">
        <v>0</v>
      </c>
      <c r="Z967" s="22">
        <v>45512</v>
      </c>
      <c r="AA967" s="26">
        <f t="shared" ca="1" si="211"/>
        <v>0.5379978387758847</v>
      </c>
      <c r="AB967" s="29">
        <v>0</v>
      </c>
      <c r="AC967"/>
      <c r="AD967" s="25"/>
      <c r="AF967" s="22">
        <v>45512</v>
      </c>
      <c r="AG967" s="26">
        <f t="shared" ca="1" si="212"/>
        <v>0.9498010563955136</v>
      </c>
      <c r="AH967" s="29">
        <v>0</v>
      </c>
      <c r="AJ967" s="22">
        <v>45512</v>
      </c>
      <c r="AK967" s="26">
        <f t="shared" ca="1" si="213"/>
        <v>0.4419454044061486</v>
      </c>
      <c r="AL967" s="29">
        <v>0</v>
      </c>
      <c r="AN967" s="22">
        <v>45512</v>
      </c>
      <c r="AO967" s="26">
        <f t="shared" ca="1" si="214"/>
        <v>0.51273286958681297</v>
      </c>
      <c r="AP967" s="29">
        <v>0</v>
      </c>
      <c r="AR967" s="22">
        <v>45512</v>
      </c>
      <c r="AS967" s="26">
        <f t="shared" ca="1" si="215"/>
        <v>0.92929322285530758</v>
      </c>
      <c r="AT967" s="29">
        <v>0</v>
      </c>
      <c r="AV967" s="22">
        <v>45512</v>
      </c>
      <c r="AW967" s="26">
        <f t="shared" ca="1" si="216"/>
        <v>0.28344747730048603</v>
      </c>
      <c r="AX967" s="29">
        <v>0</v>
      </c>
      <c r="AZ967" s="22">
        <v>45512</v>
      </c>
      <c r="BA967" s="26">
        <f t="shared" ca="1" si="217"/>
        <v>0.85580179213067731</v>
      </c>
      <c r="BB967" s="29">
        <v>0</v>
      </c>
      <c r="BC967"/>
      <c r="BD967" s="25"/>
      <c r="BF967" s="22">
        <v>45512</v>
      </c>
      <c r="BG967" s="26">
        <f t="shared" ca="1" si="218"/>
        <v>3.9116079522796832E-2</v>
      </c>
      <c r="BH967" s="29">
        <v>0</v>
      </c>
      <c r="BJ967" s="22">
        <v>45512</v>
      </c>
      <c r="BK967" s="26">
        <f t="shared" ca="1" si="219"/>
        <v>0.89135493135322164</v>
      </c>
      <c r="BL967" s="29">
        <v>0</v>
      </c>
      <c r="BN967" s="22">
        <v>45512</v>
      </c>
      <c r="BO967" s="26">
        <f t="shared" ca="1" si="220"/>
        <v>0.78611195914227039</v>
      </c>
      <c r="BP967" s="29">
        <v>0</v>
      </c>
      <c r="BR967" s="22">
        <v>45512</v>
      </c>
      <c r="BS967" s="26">
        <f t="shared" ca="1" si="221"/>
        <v>0.92002895929562556</v>
      </c>
      <c r="BT967" s="29">
        <v>0</v>
      </c>
      <c r="BV967" s="22">
        <v>45512</v>
      </c>
      <c r="BW967" s="26">
        <f t="shared" ca="1" si="222"/>
        <v>0.15117429144411632</v>
      </c>
      <c r="BX967" s="29">
        <v>0</v>
      </c>
    </row>
    <row r="968" spans="2:76" ht="12.75" x14ac:dyDescent="0.2">
      <c r="B968" s="22">
        <v>45513</v>
      </c>
      <c r="C968" s="26">
        <f t="shared" ca="1" si="205"/>
        <v>0.45270132508267469</v>
      </c>
      <c r="D968" s="29">
        <v>0</v>
      </c>
      <c r="F968" s="22"/>
      <c r="G968" s="26">
        <f t="shared" ca="1" si="206"/>
        <v>0.57014664959659112</v>
      </c>
      <c r="H968" s="29">
        <v>0</v>
      </c>
      <c r="J968" s="22">
        <v>45513</v>
      </c>
      <c r="K968" s="26">
        <f t="shared" ca="1" si="207"/>
        <v>0.75122609576552113</v>
      </c>
      <c r="L968" s="29">
        <v>0</v>
      </c>
      <c r="N968" s="22">
        <v>45513</v>
      </c>
      <c r="O968" s="26">
        <f t="shared" ca="1" si="208"/>
        <v>0.84625521660825442</v>
      </c>
      <c r="P968" s="29">
        <v>0</v>
      </c>
      <c r="R968" s="22">
        <v>45513</v>
      </c>
      <c r="S968" s="26">
        <f t="shared" ca="1" si="209"/>
        <v>0.65517476665809604</v>
      </c>
      <c r="T968" s="29">
        <v>0</v>
      </c>
      <c r="V968" s="22">
        <v>45513</v>
      </c>
      <c r="W968" s="26">
        <f t="shared" ca="1" si="210"/>
        <v>0.11472871925742334</v>
      </c>
      <c r="X968" s="29">
        <v>0</v>
      </c>
      <c r="Z968" s="22">
        <v>45513</v>
      </c>
      <c r="AA968" s="26">
        <f t="shared" ca="1" si="211"/>
        <v>0.73334143161600962</v>
      </c>
      <c r="AB968" s="29">
        <v>0</v>
      </c>
      <c r="AC968"/>
      <c r="AD968" s="25"/>
      <c r="AF968" s="22">
        <v>45513</v>
      </c>
      <c r="AG968" s="26">
        <f t="shared" ca="1" si="212"/>
        <v>0.45337551245906027</v>
      </c>
      <c r="AH968" s="29">
        <v>0</v>
      </c>
      <c r="AJ968" s="22">
        <v>45513</v>
      </c>
      <c r="AK968" s="26">
        <f t="shared" ca="1" si="213"/>
        <v>0.42841112244194257</v>
      </c>
      <c r="AL968" s="29">
        <v>0</v>
      </c>
      <c r="AN968" s="22">
        <v>45513</v>
      </c>
      <c r="AO968" s="26">
        <f t="shared" ca="1" si="214"/>
        <v>0.10431326325355572</v>
      </c>
      <c r="AP968" s="29">
        <v>0</v>
      </c>
      <c r="AR968" s="22">
        <v>45513</v>
      </c>
      <c r="AS968" s="26">
        <f t="shared" ca="1" si="215"/>
        <v>0.97244858550091506</v>
      </c>
      <c r="AT968" s="29">
        <v>0</v>
      </c>
      <c r="AV968" s="22">
        <v>45513</v>
      </c>
      <c r="AW968" s="26">
        <f t="shared" ca="1" si="216"/>
        <v>0.70930272045687015</v>
      </c>
      <c r="AX968" s="29">
        <v>0</v>
      </c>
      <c r="AZ968" s="22">
        <v>45513</v>
      </c>
      <c r="BA968" s="26">
        <f t="shared" ca="1" si="217"/>
        <v>0.68003799483638716</v>
      </c>
      <c r="BB968" s="29">
        <v>0</v>
      </c>
      <c r="BC968"/>
      <c r="BD968" s="25"/>
      <c r="BF968" s="22">
        <v>45513</v>
      </c>
      <c r="BG968" s="26">
        <f t="shared" ca="1" si="218"/>
        <v>0.90437113253002899</v>
      </c>
      <c r="BH968" s="29">
        <v>0</v>
      </c>
      <c r="BJ968" s="22">
        <v>45513</v>
      </c>
      <c r="BK968" s="26">
        <f t="shared" ca="1" si="219"/>
        <v>0.13872229303974326</v>
      </c>
      <c r="BL968" s="29">
        <v>0</v>
      </c>
      <c r="BN968" s="22">
        <v>45513</v>
      </c>
      <c r="BO968" s="26">
        <f t="shared" ca="1" si="220"/>
        <v>0.58252364676594171</v>
      </c>
      <c r="BP968" s="29">
        <v>0</v>
      </c>
      <c r="BR968" s="22">
        <v>45513</v>
      </c>
      <c r="BS968" s="26">
        <f t="shared" ca="1" si="221"/>
        <v>0.54637968029324535</v>
      </c>
      <c r="BT968" s="29">
        <v>0</v>
      </c>
      <c r="BV968" s="22">
        <v>45513</v>
      </c>
      <c r="BW968" s="26">
        <f t="shared" ca="1" si="222"/>
        <v>0.36675379345240711</v>
      </c>
      <c r="BX968" s="29">
        <v>0</v>
      </c>
    </row>
    <row r="969" spans="2:76" ht="12.75" x14ac:dyDescent="0.2">
      <c r="B969" s="22">
        <v>45514</v>
      </c>
      <c r="C969" s="26">
        <f t="shared" ca="1" si="205"/>
        <v>0.1535041777764109</v>
      </c>
      <c r="D969" s="29">
        <v>0</v>
      </c>
      <c r="F969" s="22"/>
      <c r="G969" s="26">
        <f t="shared" ca="1" si="206"/>
        <v>0.9142156767612174</v>
      </c>
      <c r="H969" s="29">
        <v>0</v>
      </c>
      <c r="J969" s="22">
        <v>45514</v>
      </c>
      <c r="K969" s="26">
        <f t="shared" ca="1" si="207"/>
        <v>0.74728127628186769</v>
      </c>
      <c r="L969" s="29">
        <v>0</v>
      </c>
      <c r="N969" s="22">
        <v>45514</v>
      </c>
      <c r="O969" s="26">
        <f t="shared" ca="1" si="208"/>
        <v>0.73820843768580113</v>
      </c>
      <c r="P969" s="29">
        <v>0</v>
      </c>
      <c r="R969" s="22">
        <v>45514</v>
      </c>
      <c r="S969" s="26">
        <f t="shared" ca="1" si="209"/>
        <v>2.879108438521738E-2</v>
      </c>
      <c r="T969" s="29">
        <v>0</v>
      </c>
      <c r="V969" s="22">
        <v>45514</v>
      </c>
      <c r="W969" s="26">
        <f t="shared" ca="1" si="210"/>
        <v>0.90338862014078269</v>
      </c>
      <c r="X969" s="29">
        <v>0</v>
      </c>
      <c r="Z969" s="22">
        <v>45514</v>
      </c>
      <c r="AA969" s="26">
        <f t="shared" ca="1" si="211"/>
        <v>0.96920905993824713</v>
      </c>
      <c r="AB969" s="29">
        <v>0</v>
      </c>
      <c r="AC969"/>
      <c r="AD969" s="25"/>
      <c r="AF969" s="22">
        <v>45514</v>
      </c>
      <c r="AG969" s="26">
        <f t="shared" ca="1" si="212"/>
        <v>0.51532756460208506</v>
      </c>
      <c r="AH969" s="29">
        <v>0</v>
      </c>
      <c r="AJ969" s="22">
        <v>45514</v>
      </c>
      <c r="AK969" s="26">
        <f t="shared" ca="1" si="213"/>
        <v>0.22870687834413328</v>
      </c>
      <c r="AL969" s="29">
        <v>0</v>
      </c>
      <c r="AN969" s="22">
        <v>45514</v>
      </c>
      <c r="AO969" s="26">
        <f t="shared" ca="1" si="214"/>
        <v>0.21027589125754698</v>
      </c>
      <c r="AP969" s="29">
        <v>0</v>
      </c>
      <c r="AR969" s="22">
        <v>45514</v>
      </c>
      <c r="AS969" s="26">
        <f t="shared" ca="1" si="215"/>
        <v>0.12726389649664616</v>
      </c>
      <c r="AT969" s="29">
        <v>0</v>
      </c>
      <c r="AV969" s="22">
        <v>45514</v>
      </c>
      <c r="AW969" s="26">
        <f t="shared" ca="1" si="216"/>
        <v>0.59286174776718958</v>
      </c>
      <c r="AX969" s="29">
        <v>0</v>
      </c>
      <c r="AZ969" s="22">
        <v>45514</v>
      </c>
      <c r="BA969" s="26">
        <f t="shared" ca="1" si="217"/>
        <v>0.75907105026155586</v>
      </c>
      <c r="BB969" s="29">
        <v>0</v>
      </c>
      <c r="BC969"/>
      <c r="BD969" s="25"/>
      <c r="BF969" s="22">
        <v>45514</v>
      </c>
      <c r="BG969" s="26">
        <f t="shared" ca="1" si="218"/>
        <v>0.13063138823908016</v>
      </c>
      <c r="BH969" s="29">
        <v>0</v>
      </c>
      <c r="BJ969" s="22">
        <v>45514</v>
      </c>
      <c r="BK969" s="26">
        <f t="shared" ca="1" si="219"/>
        <v>0.53560500839427161</v>
      </c>
      <c r="BL969" s="29">
        <v>0</v>
      </c>
      <c r="BN969" s="22">
        <v>45514</v>
      </c>
      <c r="BO969" s="26">
        <f t="shared" ca="1" si="220"/>
        <v>7.4688525463980637E-2</v>
      </c>
      <c r="BP969" s="29">
        <v>0</v>
      </c>
      <c r="BR969" s="22">
        <v>45514</v>
      </c>
      <c r="BS969" s="26">
        <f t="shared" ca="1" si="221"/>
        <v>0.48371927619263899</v>
      </c>
      <c r="BT969" s="29">
        <v>0</v>
      </c>
      <c r="BV969" s="22">
        <v>45514</v>
      </c>
      <c r="BW969" s="26">
        <f t="shared" ca="1" si="222"/>
        <v>0.15938504909392726</v>
      </c>
      <c r="BX969" s="29">
        <v>0</v>
      </c>
    </row>
    <row r="970" spans="2:76" ht="12.75" x14ac:dyDescent="0.2">
      <c r="B970" s="22">
        <v>45515</v>
      </c>
      <c r="C970" s="26">
        <f t="shared" ca="1" si="205"/>
        <v>0.50845372159569857</v>
      </c>
      <c r="D970" s="29">
        <v>0</v>
      </c>
      <c r="F970" s="22"/>
      <c r="G970" s="26">
        <f t="shared" ca="1" si="206"/>
        <v>0.98962143159656946</v>
      </c>
      <c r="H970" s="29">
        <v>0</v>
      </c>
      <c r="J970" s="22">
        <v>45515</v>
      </c>
      <c r="K970" s="26">
        <f t="shared" ca="1" si="207"/>
        <v>0.70481348327413518</v>
      </c>
      <c r="L970" s="29">
        <v>0</v>
      </c>
      <c r="N970" s="22">
        <v>45515</v>
      </c>
      <c r="O970" s="26">
        <f t="shared" ca="1" si="208"/>
        <v>0.63819305827069905</v>
      </c>
      <c r="P970" s="29">
        <v>0</v>
      </c>
      <c r="R970" s="22">
        <v>45515</v>
      </c>
      <c r="S970" s="26">
        <f t="shared" ca="1" si="209"/>
        <v>0.15115123784022677</v>
      </c>
      <c r="T970" s="29">
        <v>0</v>
      </c>
      <c r="V970" s="22">
        <v>45515</v>
      </c>
      <c r="W970" s="26">
        <f t="shared" ca="1" si="210"/>
        <v>0.76539097429900271</v>
      </c>
      <c r="X970" s="29">
        <v>0</v>
      </c>
      <c r="Z970" s="22">
        <v>45515</v>
      </c>
      <c r="AA970" s="26">
        <f t="shared" ca="1" si="211"/>
        <v>0.28783802740654596</v>
      </c>
      <c r="AB970" s="29">
        <v>0</v>
      </c>
      <c r="AC970"/>
      <c r="AD970" s="25"/>
      <c r="AF970" s="22">
        <v>45515</v>
      </c>
      <c r="AG970" s="26">
        <f t="shared" ca="1" si="212"/>
        <v>0.69375233498619215</v>
      </c>
      <c r="AH970" s="29">
        <v>0</v>
      </c>
      <c r="AJ970" s="22">
        <v>45515</v>
      </c>
      <c r="AK970" s="26">
        <f t="shared" ca="1" si="213"/>
        <v>0.95625495853704801</v>
      </c>
      <c r="AL970" s="29">
        <v>0</v>
      </c>
      <c r="AN970" s="22">
        <v>45515</v>
      </c>
      <c r="AO970" s="26">
        <f t="shared" ca="1" si="214"/>
        <v>0.42479179377319964</v>
      </c>
      <c r="AP970" s="29">
        <v>0</v>
      </c>
      <c r="AR970" s="22">
        <v>45515</v>
      </c>
      <c r="AS970" s="26">
        <f t="shared" ca="1" si="215"/>
        <v>0.65484013150697817</v>
      </c>
      <c r="AT970" s="29">
        <v>0</v>
      </c>
      <c r="AV970" s="22">
        <v>45515</v>
      </c>
      <c r="AW970" s="26">
        <f t="shared" ca="1" si="216"/>
        <v>0.71955798539394722</v>
      </c>
      <c r="AX970" s="29">
        <v>0</v>
      </c>
      <c r="AZ970" s="22">
        <v>45515</v>
      </c>
      <c r="BA970" s="26">
        <f t="shared" ca="1" si="217"/>
        <v>0.10203334811054265</v>
      </c>
      <c r="BB970" s="29">
        <v>0</v>
      </c>
      <c r="BC970"/>
      <c r="BD970" s="25"/>
      <c r="BF970" s="22">
        <v>45515</v>
      </c>
      <c r="BG970" s="26">
        <f t="shared" ca="1" si="218"/>
        <v>0.37692787517494153</v>
      </c>
      <c r="BH970" s="29">
        <v>0</v>
      </c>
      <c r="BJ970" s="22">
        <v>45515</v>
      </c>
      <c r="BK970" s="26">
        <f t="shared" ca="1" si="219"/>
        <v>7.4626802111256052E-2</v>
      </c>
      <c r="BL970" s="29">
        <v>0</v>
      </c>
      <c r="BN970" s="22">
        <v>45515</v>
      </c>
      <c r="BO970" s="26">
        <f t="shared" ca="1" si="220"/>
        <v>0.75016170213425692</v>
      </c>
      <c r="BP970" s="29">
        <v>0</v>
      </c>
      <c r="BR970" s="22">
        <v>45515</v>
      </c>
      <c r="BS970" s="26">
        <f t="shared" ca="1" si="221"/>
        <v>0.62229864059538154</v>
      </c>
      <c r="BT970" s="29">
        <v>0</v>
      </c>
      <c r="BV970" s="22">
        <v>45515</v>
      </c>
      <c r="BW970" s="26">
        <f t="shared" ca="1" si="222"/>
        <v>0.24433599083087032</v>
      </c>
      <c r="BX970" s="29">
        <v>0</v>
      </c>
    </row>
    <row r="971" spans="2:76" ht="12.75" x14ac:dyDescent="0.2">
      <c r="B971" s="22">
        <v>45516</v>
      </c>
      <c r="C971" s="26">
        <f t="shared" ca="1" si="205"/>
        <v>0.34551178360887935</v>
      </c>
      <c r="D971" s="29">
        <v>0</v>
      </c>
      <c r="F971" s="22"/>
      <c r="G971" s="26">
        <f t="shared" ca="1" si="206"/>
        <v>0.62702737402451358</v>
      </c>
      <c r="H971" s="29">
        <v>0</v>
      </c>
      <c r="J971" s="22">
        <v>45516</v>
      </c>
      <c r="K971" s="26">
        <f t="shared" ca="1" si="207"/>
        <v>0.9010296511530822</v>
      </c>
      <c r="L971" s="29">
        <v>0</v>
      </c>
      <c r="N971" s="22">
        <v>45516</v>
      </c>
      <c r="O971" s="26">
        <f t="shared" ca="1" si="208"/>
        <v>0.24404268773453697</v>
      </c>
      <c r="P971" s="29">
        <v>0</v>
      </c>
      <c r="R971" s="22">
        <v>45516</v>
      </c>
      <c r="S971" s="26">
        <f t="shared" ca="1" si="209"/>
        <v>0.85126995399515348</v>
      </c>
      <c r="T971" s="29">
        <v>0</v>
      </c>
      <c r="V971" s="22">
        <v>45516</v>
      </c>
      <c r="W971" s="26">
        <f t="shared" ca="1" si="210"/>
        <v>0.4702616064886691</v>
      </c>
      <c r="X971" s="29">
        <v>0</v>
      </c>
      <c r="Z971" s="22">
        <v>45516</v>
      </c>
      <c r="AA971" s="26">
        <f t="shared" ca="1" si="211"/>
        <v>0.32287748670185334</v>
      </c>
      <c r="AB971" s="29">
        <v>0</v>
      </c>
      <c r="AC971"/>
      <c r="AD971" s="25"/>
      <c r="AF971" s="22">
        <v>45516</v>
      </c>
      <c r="AG971" s="26">
        <f t="shared" ca="1" si="212"/>
        <v>0.61750614005637505</v>
      </c>
      <c r="AH971" s="29">
        <v>0</v>
      </c>
      <c r="AJ971" s="22">
        <v>45516</v>
      </c>
      <c r="AK971" s="26">
        <f t="shared" ca="1" si="213"/>
        <v>0.78618487165169804</v>
      </c>
      <c r="AL971" s="29">
        <v>0</v>
      </c>
      <c r="AN971" s="22">
        <v>45516</v>
      </c>
      <c r="AO971" s="26">
        <f t="shared" ca="1" si="214"/>
        <v>0.83833395430222035</v>
      </c>
      <c r="AP971" s="29">
        <v>0</v>
      </c>
      <c r="AR971" s="22">
        <v>45516</v>
      </c>
      <c r="AS971" s="26">
        <f t="shared" ca="1" si="215"/>
        <v>0.69154008007835843</v>
      </c>
      <c r="AT971" s="29">
        <v>0</v>
      </c>
      <c r="AV971" s="22">
        <v>45516</v>
      </c>
      <c r="AW971" s="26">
        <f t="shared" ca="1" si="216"/>
        <v>0.64213629458154065</v>
      </c>
      <c r="AX971" s="29">
        <v>0</v>
      </c>
      <c r="AZ971" s="22">
        <v>45516</v>
      </c>
      <c r="BA971" s="26">
        <f t="shared" ca="1" si="217"/>
        <v>0.4553718169573292</v>
      </c>
      <c r="BB971" s="29">
        <v>0</v>
      </c>
      <c r="BC971"/>
      <c r="BD971" s="25"/>
      <c r="BF971" s="22">
        <v>45516</v>
      </c>
      <c r="BG971" s="26">
        <f t="shared" ca="1" si="218"/>
        <v>0.96205724281332516</v>
      </c>
      <c r="BH971" s="29">
        <v>0</v>
      </c>
      <c r="BJ971" s="22">
        <v>45516</v>
      </c>
      <c r="BK971" s="26">
        <f t="shared" ca="1" si="219"/>
        <v>0.22985203093527584</v>
      </c>
      <c r="BL971" s="29">
        <v>0</v>
      </c>
      <c r="BN971" s="22">
        <v>45516</v>
      </c>
      <c r="BO971" s="26">
        <f t="shared" ca="1" si="220"/>
        <v>0.49344679200454644</v>
      </c>
      <c r="BP971" s="29">
        <v>0</v>
      </c>
      <c r="BR971" s="22">
        <v>45516</v>
      </c>
      <c r="BS971" s="26">
        <f t="shared" ca="1" si="221"/>
        <v>0.69195753292846496</v>
      </c>
      <c r="BT971" s="29">
        <v>0</v>
      </c>
      <c r="BV971" s="22">
        <v>45516</v>
      </c>
      <c r="BW971" s="26">
        <f t="shared" ca="1" si="222"/>
        <v>0.42530442957548642</v>
      </c>
      <c r="BX971" s="29">
        <v>0</v>
      </c>
    </row>
    <row r="972" spans="2:76" ht="12.75" x14ac:dyDescent="0.2">
      <c r="B972" s="22">
        <v>45517</v>
      </c>
      <c r="C972" s="26">
        <f t="shared" ca="1" si="205"/>
        <v>0.79851487633974438</v>
      </c>
      <c r="D972" s="29">
        <v>0</v>
      </c>
      <c r="F972" s="22"/>
      <c r="G972" s="26">
        <f t="shared" ca="1" si="206"/>
        <v>0.84312760974887835</v>
      </c>
      <c r="H972" s="29">
        <v>0</v>
      </c>
      <c r="J972" s="22">
        <v>45517</v>
      </c>
      <c r="K972" s="26">
        <f t="shared" ca="1" si="207"/>
        <v>0.8093140077308959</v>
      </c>
      <c r="L972" s="29">
        <v>0</v>
      </c>
      <c r="N972" s="22">
        <v>45517</v>
      </c>
      <c r="O972" s="26">
        <f t="shared" ca="1" si="208"/>
        <v>0.34063564210147712</v>
      </c>
      <c r="P972" s="29">
        <v>0</v>
      </c>
      <c r="R972" s="22">
        <v>45517</v>
      </c>
      <c r="S972" s="26">
        <f t="shared" ca="1" si="209"/>
        <v>0.35246207743104496</v>
      </c>
      <c r="T972" s="29">
        <v>0</v>
      </c>
      <c r="V972" s="22">
        <v>45517</v>
      </c>
      <c r="W972" s="26">
        <f t="shared" ca="1" si="210"/>
        <v>0.89038376518016571</v>
      </c>
      <c r="X972" s="29">
        <v>0</v>
      </c>
      <c r="Z972" s="22">
        <v>45517</v>
      </c>
      <c r="AA972" s="26">
        <f t="shared" ca="1" si="211"/>
        <v>0.72711904228924129</v>
      </c>
      <c r="AB972" s="29">
        <v>0</v>
      </c>
      <c r="AC972"/>
      <c r="AD972" s="25"/>
      <c r="AF972" s="22">
        <v>45517</v>
      </c>
      <c r="AG972" s="26">
        <f t="shared" ca="1" si="212"/>
        <v>0.28559365654872293</v>
      </c>
      <c r="AH972" s="29">
        <v>0</v>
      </c>
      <c r="AJ972" s="22">
        <v>45517</v>
      </c>
      <c r="AK972" s="26">
        <f t="shared" ca="1" si="213"/>
        <v>0.31156810215821795</v>
      </c>
      <c r="AL972" s="29">
        <v>0</v>
      </c>
      <c r="AN972" s="22">
        <v>45517</v>
      </c>
      <c r="AO972" s="26">
        <f t="shared" ca="1" si="214"/>
        <v>3.6336781540421192E-2</v>
      </c>
      <c r="AP972" s="29">
        <v>0</v>
      </c>
      <c r="AR972" s="22">
        <v>45517</v>
      </c>
      <c r="AS972" s="26">
        <f t="shared" ca="1" si="215"/>
        <v>0.36727349848016111</v>
      </c>
      <c r="AT972" s="29">
        <v>0</v>
      </c>
      <c r="AV972" s="22">
        <v>45517</v>
      </c>
      <c r="AW972" s="26">
        <f t="shared" ca="1" si="216"/>
        <v>6.5938655835143578E-2</v>
      </c>
      <c r="AX972" s="29">
        <v>0</v>
      </c>
      <c r="AZ972" s="22">
        <v>45517</v>
      </c>
      <c r="BA972" s="26">
        <f t="shared" ca="1" si="217"/>
        <v>0.79754278356688191</v>
      </c>
      <c r="BB972" s="29">
        <v>0</v>
      </c>
      <c r="BC972"/>
      <c r="BD972" s="25"/>
      <c r="BF972" s="22">
        <v>45517</v>
      </c>
      <c r="BG972" s="26">
        <f t="shared" ca="1" si="218"/>
        <v>0.98135947269563073</v>
      </c>
      <c r="BH972" s="29">
        <v>0</v>
      </c>
      <c r="BJ972" s="22">
        <v>45517</v>
      </c>
      <c r="BK972" s="26">
        <f t="shared" ca="1" si="219"/>
        <v>0.32924202117546975</v>
      </c>
      <c r="BL972" s="29">
        <v>0</v>
      </c>
      <c r="BN972" s="22">
        <v>45517</v>
      </c>
      <c r="BO972" s="26">
        <f t="shared" ca="1" si="220"/>
        <v>0.65030721239523048</v>
      </c>
      <c r="BP972" s="29">
        <v>0</v>
      </c>
      <c r="BR972" s="22">
        <v>45517</v>
      </c>
      <c r="BS972" s="26">
        <f t="shared" ca="1" si="221"/>
        <v>3.4590011834999768E-2</v>
      </c>
      <c r="BT972" s="29">
        <v>0</v>
      </c>
      <c r="BV972" s="22">
        <v>45517</v>
      </c>
      <c r="BW972" s="26">
        <f t="shared" ca="1" si="222"/>
        <v>0.47321354136150651</v>
      </c>
      <c r="BX972" s="29">
        <v>0</v>
      </c>
    </row>
    <row r="973" spans="2:76" ht="12.75" x14ac:dyDescent="0.2">
      <c r="B973" s="22">
        <v>45518</v>
      </c>
      <c r="C973" s="26">
        <f t="shared" ca="1" si="205"/>
        <v>0.83969123789794675</v>
      </c>
      <c r="D973" s="29">
        <v>0</v>
      </c>
      <c r="F973" s="22"/>
      <c r="G973" s="26">
        <f t="shared" ca="1" si="206"/>
        <v>0.60938852549369305</v>
      </c>
      <c r="H973" s="29">
        <v>0</v>
      </c>
      <c r="J973" s="22">
        <v>45518</v>
      </c>
      <c r="K973" s="26">
        <f t="shared" ca="1" si="207"/>
        <v>0.58313868471289054</v>
      </c>
      <c r="L973" s="29">
        <v>0</v>
      </c>
      <c r="N973" s="22">
        <v>45518</v>
      </c>
      <c r="O973" s="26">
        <f t="shared" ca="1" si="208"/>
        <v>0.74592470880251693</v>
      </c>
      <c r="P973" s="29">
        <v>0</v>
      </c>
      <c r="R973" s="22">
        <v>45518</v>
      </c>
      <c r="S973" s="26">
        <f t="shared" ca="1" si="209"/>
        <v>0.60623210458129506</v>
      </c>
      <c r="T973" s="29">
        <v>0</v>
      </c>
      <c r="V973" s="22">
        <v>45518</v>
      </c>
      <c r="W973" s="26">
        <f t="shared" ca="1" si="210"/>
        <v>0.46734351797288964</v>
      </c>
      <c r="X973" s="29">
        <v>0</v>
      </c>
      <c r="Z973" s="22">
        <v>45518</v>
      </c>
      <c r="AA973" s="26">
        <f t="shared" ca="1" si="211"/>
        <v>0.57046303915855612</v>
      </c>
      <c r="AB973" s="29">
        <v>0</v>
      </c>
      <c r="AC973"/>
      <c r="AD973" s="25"/>
      <c r="AF973" s="22">
        <v>45518</v>
      </c>
      <c r="AG973" s="26">
        <f t="shared" ca="1" si="212"/>
        <v>0.96384188383790925</v>
      </c>
      <c r="AH973" s="29">
        <v>0</v>
      </c>
      <c r="AJ973" s="22">
        <v>45518</v>
      </c>
      <c r="AK973" s="26">
        <f t="shared" ca="1" si="213"/>
        <v>0.77680767786897786</v>
      </c>
      <c r="AL973" s="29">
        <v>0</v>
      </c>
      <c r="AN973" s="22">
        <v>45518</v>
      </c>
      <c r="AO973" s="26">
        <f t="shared" ca="1" si="214"/>
        <v>0.29383122189031974</v>
      </c>
      <c r="AP973" s="29">
        <v>0</v>
      </c>
      <c r="AR973" s="22">
        <v>45518</v>
      </c>
      <c r="AS973" s="26">
        <f t="shared" ca="1" si="215"/>
        <v>0.54380321970887724</v>
      </c>
      <c r="AT973" s="29">
        <v>0</v>
      </c>
      <c r="AV973" s="22">
        <v>45518</v>
      </c>
      <c r="AW973" s="26">
        <f t="shared" ca="1" si="216"/>
        <v>0.34750188780687641</v>
      </c>
      <c r="AX973" s="29">
        <v>0</v>
      </c>
      <c r="AZ973" s="22">
        <v>45518</v>
      </c>
      <c r="BA973" s="26">
        <f t="shared" ca="1" si="217"/>
        <v>0.95111864318405626</v>
      </c>
      <c r="BB973" s="29">
        <v>0</v>
      </c>
      <c r="BC973"/>
      <c r="BD973" s="25"/>
      <c r="BF973" s="22">
        <v>45518</v>
      </c>
      <c r="BG973" s="26">
        <f t="shared" ca="1" si="218"/>
        <v>0.28074948200888983</v>
      </c>
      <c r="BH973" s="29">
        <v>0</v>
      </c>
      <c r="BJ973" s="22">
        <v>45518</v>
      </c>
      <c r="BK973" s="26">
        <f t="shared" ca="1" si="219"/>
        <v>0.4877672689178939</v>
      </c>
      <c r="BL973" s="29">
        <v>0</v>
      </c>
      <c r="BN973" s="22">
        <v>45518</v>
      </c>
      <c r="BO973" s="26">
        <f t="shared" ca="1" si="220"/>
        <v>5.2889440503666618E-2</v>
      </c>
      <c r="BP973" s="29">
        <v>0</v>
      </c>
      <c r="BR973" s="22">
        <v>45518</v>
      </c>
      <c r="BS973" s="26">
        <f t="shared" ca="1" si="221"/>
        <v>0.46108522453615086</v>
      </c>
      <c r="BT973" s="29">
        <v>0</v>
      </c>
      <c r="BV973" s="22">
        <v>45518</v>
      </c>
      <c r="BW973" s="26">
        <f t="shared" ca="1" si="222"/>
        <v>0.13484638790902514</v>
      </c>
      <c r="BX973" s="29">
        <v>0</v>
      </c>
    </row>
    <row r="974" spans="2:76" ht="12.75" x14ac:dyDescent="0.2">
      <c r="B974" s="22">
        <v>45519</v>
      </c>
      <c r="C974" s="26">
        <f t="shared" ca="1" si="205"/>
        <v>0.3994974177952878</v>
      </c>
      <c r="D974" s="29">
        <v>0</v>
      </c>
      <c r="F974" s="22"/>
      <c r="G974" s="26">
        <f t="shared" ca="1" si="206"/>
        <v>0.13885038219209245</v>
      </c>
      <c r="H974" s="29">
        <v>0</v>
      </c>
      <c r="J974" s="22">
        <v>45519</v>
      </c>
      <c r="K974" s="26">
        <f t="shared" ca="1" si="207"/>
        <v>0.54749729945160042</v>
      </c>
      <c r="L974" s="29">
        <v>0</v>
      </c>
      <c r="N974" s="22">
        <v>45519</v>
      </c>
      <c r="O974" s="26">
        <f t="shared" ca="1" si="208"/>
        <v>0.93337331200284801</v>
      </c>
      <c r="P974" s="29">
        <v>0</v>
      </c>
      <c r="R974" s="22">
        <v>45519</v>
      </c>
      <c r="S974" s="26">
        <f t="shared" ca="1" si="209"/>
        <v>0.65434358174705065</v>
      </c>
      <c r="T974" s="29">
        <v>0</v>
      </c>
      <c r="V974" s="22">
        <v>45519</v>
      </c>
      <c r="W974" s="26">
        <f t="shared" ca="1" si="210"/>
        <v>0.73369443982242699</v>
      </c>
      <c r="X974" s="29">
        <v>0</v>
      </c>
      <c r="Z974" s="22">
        <v>45519</v>
      </c>
      <c r="AA974" s="26">
        <f t="shared" ca="1" si="211"/>
        <v>0.15075270512741756</v>
      </c>
      <c r="AB974" s="29">
        <v>0</v>
      </c>
      <c r="AC974"/>
      <c r="AD974" s="25"/>
      <c r="AF974" s="22">
        <v>45519</v>
      </c>
      <c r="AG974" s="26">
        <f t="shared" ca="1" si="212"/>
        <v>9.1608617683743954E-2</v>
      </c>
      <c r="AH974" s="29">
        <v>0</v>
      </c>
      <c r="AJ974" s="22">
        <v>45519</v>
      </c>
      <c r="AK974" s="26">
        <f t="shared" ca="1" si="213"/>
        <v>2.9480002370726233E-2</v>
      </c>
      <c r="AL974" s="29">
        <v>0</v>
      </c>
      <c r="AN974" s="22">
        <v>45519</v>
      </c>
      <c r="AO974" s="26">
        <f t="shared" ca="1" si="214"/>
        <v>8.3658051969760061E-2</v>
      </c>
      <c r="AP974" s="29">
        <v>0</v>
      </c>
      <c r="AR974" s="22">
        <v>45519</v>
      </c>
      <c r="AS974" s="26">
        <f t="shared" ca="1" si="215"/>
        <v>0.38835864869305281</v>
      </c>
      <c r="AT974" s="29">
        <v>0</v>
      </c>
      <c r="AV974" s="22">
        <v>45519</v>
      </c>
      <c r="AW974" s="26">
        <f t="shared" ca="1" si="216"/>
        <v>0.90554245887293738</v>
      </c>
      <c r="AX974" s="29">
        <v>0</v>
      </c>
      <c r="AZ974" s="22">
        <v>45519</v>
      </c>
      <c r="BA974" s="26">
        <f t="shared" ca="1" si="217"/>
        <v>0.43174157864539242</v>
      </c>
      <c r="BB974" s="29">
        <v>0</v>
      </c>
      <c r="BC974"/>
      <c r="BD974" s="25"/>
      <c r="BF974" s="22">
        <v>45519</v>
      </c>
      <c r="BG974" s="26">
        <f t="shared" ca="1" si="218"/>
        <v>0.71097289141133768</v>
      </c>
      <c r="BH974" s="29">
        <v>0</v>
      </c>
      <c r="BJ974" s="22">
        <v>45519</v>
      </c>
      <c r="BK974" s="26">
        <f t="shared" ca="1" si="219"/>
        <v>0.51909179056247845</v>
      </c>
      <c r="BL974" s="29">
        <v>0</v>
      </c>
      <c r="BN974" s="22">
        <v>45519</v>
      </c>
      <c r="BO974" s="26">
        <f t="shared" ca="1" si="220"/>
        <v>0.97244295969172834</v>
      </c>
      <c r="BP974" s="29">
        <v>0</v>
      </c>
      <c r="BR974" s="22">
        <v>45519</v>
      </c>
      <c r="BS974" s="26">
        <f t="shared" ca="1" si="221"/>
        <v>4.5823274964280625E-3</v>
      </c>
      <c r="BT974" s="29">
        <v>0</v>
      </c>
      <c r="BV974" s="22">
        <v>45519</v>
      </c>
      <c r="BW974" s="26">
        <f t="shared" ca="1" si="222"/>
        <v>0.65170122793545582</v>
      </c>
      <c r="BX974" s="29">
        <v>0</v>
      </c>
    </row>
    <row r="975" spans="2:76" ht="12.75" x14ac:dyDescent="0.2">
      <c r="B975" s="22">
        <v>45520</v>
      </c>
      <c r="C975" s="26">
        <f t="shared" ca="1" si="205"/>
        <v>0.65373946960974461</v>
      </c>
      <c r="D975" s="29">
        <v>0</v>
      </c>
      <c r="F975" s="22"/>
      <c r="G975" s="26">
        <f t="shared" ca="1" si="206"/>
        <v>0.51666759223161607</v>
      </c>
      <c r="H975" s="29">
        <v>0</v>
      </c>
      <c r="J975" s="22">
        <v>45520</v>
      </c>
      <c r="K975" s="26">
        <f t="shared" ca="1" si="207"/>
        <v>0.67062416916013023</v>
      </c>
      <c r="L975" s="29">
        <v>0</v>
      </c>
      <c r="N975" s="22">
        <v>45520</v>
      </c>
      <c r="O975" s="26">
        <f t="shared" ca="1" si="208"/>
        <v>7.3819781486893721E-2</v>
      </c>
      <c r="P975" s="29">
        <v>0</v>
      </c>
      <c r="R975" s="22">
        <v>45520</v>
      </c>
      <c r="S975" s="26">
        <f t="shared" ca="1" si="209"/>
        <v>0.9886683872545684</v>
      </c>
      <c r="T975" s="29">
        <v>0</v>
      </c>
      <c r="V975" s="22">
        <v>45520</v>
      </c>
      <c r="W975" s="26">
        <f t="shared" ca="1" si="210"/>
        <v>0.53727191700045684</v>
      </c>
      <c r="X975" s="29">
        <v>0</v>
      </c>
      <c r="Z975" s="22">
        <v>45520</v>
      </c>
      <c r="AA975" s="26">
        <f t="shared" ca="1" si="211"/>
        <v>0.87620002023700871</v>
      </c>
      <c r="AB975" s="29">
        <v>0</v>
      </c>
      <c r="AC975"/>
      <c r="AD975" s="25"/>
      <c r="AF975" s="22">
        <v>45520</v>
      </c>
      <c r="AG975" s="26">
        <f t="shared" ca="1" si="212"/>
        <v>0.42870821473501197</v>
      </c>
      <c r="AH975" s="29">
        <v>0</v>
      </c>
      <c r="AJ975" s="22">
        <v>45520</v>
      </c>
      <c r="AK975" s="26">
        <f t="shared" ca="1" si="213"/>
        <v>0.14652219373714803</v>
      </c>
      <c r="AL975" s="29">
        <v>0</v>
      </c>
      <c r="AN975" s="22">
        <v>45520</v>
      </c>
      <c r="AO975" s="26">
        <f t="shared" ca="1" si="214"/>
        <v>0.25509251202697336</v>
      </c>
      <c r="AP975" s="29">
        <v>0</v>
      </c>
      <c r="AR975" s="22">
        <v>45520</v>
      </c>
      <c r="AS975" s="26">
        <f t="shared" ca="1" si="215"/>
        <v>0.55774194214387751</v>
      </c>
      <c r="AT975" s="29">
        <v>0</v>
      </c>
      <c r="AV975" s="22">
        <v>45520</v>
      </c>
      <c r="AW975" s="26">
        <f t="shared" ca="1" si="216"/>
        <v>0.79920337607031067</v>
      </c>
      <c r="AX975" s="29">
        <v>0</v>
      </c>
      <c r="AZ975" s="22">
        <v>45520</v>
      </c>
      <c r="BA975" s="26">
        <f t="shared" ca="1" si="217"/>
        <v>0.26983076205701761</v>
      </c>
      <c r="BB975" s="29">
        <v>0</v>
      </c>
      <c r="BC975"/>
      <c r="BD975" s="25"/>
      <c r="BF975" s="22">
        <v>45520</v>
      </c>
      <c r="BG975" s="26">
        <f t="shared" ca="1" si="218"/>
        <v>8.6380486040570581E-2</v>
      </c>
      <c r="BH975" s="29">
        <v>0</v>
      </c>
      <c r="BJ975" s="22">
        <v>45520</v>
      </c>
      <c r="BK975" s="26">
        <f t="shared" ca="1" si="219"/>
        <v>0.66658445304331726</v>
      </c>
      <c r="BL975" s="29">
        <v>0</v>
      </c>
      <c r="BN975" s="22">
        <v>45520</v>
      </c>
      <c r="BO975" s="26">
        <f t="shared" ca="1" si="220"/>
        <v>0.72856222315359942</v>
      </c>
      <c r="BP975" s="29">
        <v>0</v>
      </c>
      <c r="BR975" s="22">
        <v>45520</v>
      </c>
      <c r="BS975" s="26">
        <f t="shared" ca="1" si="221"/>
        <v>0.88517193168376018</v>
      </c>
      <c r="BT975" s="29">
        <v>0</v>
      </c>
      <c r="BV975" s="22">
        <v>45520</v>
      </c>
      <c r="BW975" s="26">
        <f t="shared" ca="1" si="222"/>
        <v>0.22819637115349967</v>
      </c>
      <c r="BX975" s="29">
        <v>0</v>
      </c>
    </row>
    <row r="976" spans="2:76" ht="12.75" x14ac:dyDescent="0.2">
      <c r="B976" s="22">
        <v>45521</v>
      </c>
      <c r="C976" s="26">
        <f t="shared" ca="1" si="205"/>
        <v>0.52992860758498983</v>
      </c>
      <c r="D976" s="29">
        <v>0</v>
      </c>
      <c r="F976" s="22"/>
      <c r="G976" s="26">
        <f t="shared" ca="1" si="206"/>
        <v>0.32383647690842576</v>
      </c>
      <c r="H976" s="29">
        <v>0</v>
      </c>
      <c r="J976" s="22">
        <v>45521</v>
      </c>
      <c r="K976" s="26">
        <f t="shared" ca="1" si="207"/>
        <v>9.1075106108944315E-3</v>
      </c>
      <c r="L976" s="29">
        <v>0</v>
      </c>
      <c r="N976" s="22">
        <v>45521</v>
      </c>
      <c r="O976" s="26">
        <f t="shared" ca="1" si="208"/>
        <v>0.79749169224081773</v>
      </c>
      <c r="P976" s="29">
        <v>0</v>
      </c>
      <c r="R976" s="22">
        <v>45521</v>
      </c>
      <c r="S976" s="26">
        <f t="shared" ca="1" si="209"/>
        <v>0.22999106505219225</v>
      </c>
      <c r="T976" s="29">
        <v>0</v>
      </c>
      <c r="V976" s="22">
        <v>45521</v>
      </c>
      <c r="W976" s="26">
        <f t="shared" ca="1" si="210"/>
        <v>0.39172866901667958</v>
      </c>
      <c r="X976" s="29">
        <v>0</v>
      </c>
      <c r="Z976" s="22">
        <v>45521</v>
      </c>
      <c r="AA976" s="26">
        <f t="shared" ca="1" si="211"/>
        <v>0.41718617761597665</v>
      </c>
      <c r="AB976" s="29">
        <v>0</v>
      </c>
      <c r="AC976"/>
      <c r="AD976" s="25"/>
      <c r="AF976" s="22">
        <v>45521</v>
      </c>
      <c r="AG976" s="26">
        <f t="shared" ca="1" si="212"/>
        <v>0.39509341911592177</v>
      </c>
      <c r="AH976" s="29">
        <v>0</v>
      </c>
      <c r="AJ976" s="22">
        <v>45521</v>
      </c>
      <c r="AK976" s="26">
        <f t="shared" ca="1" si="213"/>
        <v>0.48884571710859415</v>
      </c>
      <c r="AL976" s="29">
        <v>0</v>
      </c>
      <c r="AN976" s="22">
        <v>45521</v>
      </c>
      <c r="AO976" s="26">
        <f t="shared" ca="1" si="214"/>
        <v>0.71959675681906798</v>
      </c>
      <c r="AP976" s="29">
        <v>0</v>
      </c>
      <c r="AR976" s="22">
        <v>45521</v>
      </c>
      <c r="AS976" s="26">
        <f t="shared" ca="1" si="215"/>
        <v>0.16887036502023656</v>
      </c>
      <c r="AT976" s="29">
        <v>0</v>
      </c>
      <c r="AV976" s="22">
        <v>45521</v>
      </c>
      <c r="AW976" s="26">
        <f t="shared" ca="1" si="216"/>
        <v>0.36074749870746625</v>
      </c>
      <c r="AX976" s="29">
        <v>0</v>
      </c>
      <c r="AZ976" s="22">
        <v>45521</v>
      </c>
      <c r="BA976" s="26">
        <f t="shared" ca="1" si="217"/>
        <v>4.0389868283700614E-2</v>
      </c>
      <c r="BB976" s="29">
        <v>0</v>
      </c>
      <c r="BC976"/>
      <c r="BD976" s="25"/>
      <c r="BF976" s="22">
        <v>45521</v>
      </c>
      <c r="BG976" s="26">
        <f t="shared" ca="1" si="218"/>
        <v>0.84008492086404341</v>
      </c>
      <c r="BH976" s="29">
        <v>0</v>
      </c>
      <c r="BJ976" s="22">
        <v>45521</v>
      </c>
      <c r="BK976" s="26">
        <f t="shared" ca="1" si="219"/>
        <v>0.99460564843867083</v>
      </c>
      <c r="BL976" s="29">
        <v>0</v>
      </c>
      <c r="BN976" s="22">
        <v>45521</v>
      </c>
      <c r="BO976" s="26">
        <f t="shared" ca="1" si="220"/>
        <v>0.461979165227967</v>
      </c>
      <c r="BP976" s="29">
        <v>0</v>
      </c>
      <c r="BR976" s="22">
        <v>45521</v>
      </c>
      <c r="BS976" s="26">
        <f t="shared" ca="1" si="221"/>
        <v>0.22607478819329374</v>
      </c>
      <c r="BT976" s="29">
        <v>0</v>
      </c>
      <c r="BV976" s="22">
        <v>45521</v>
      </c>
      <c r="BW976" s="26">
        <f t="shared" ca="1" si="222"/>
        <v>0.47736517379167653</v>
      </c>
      <c r="BX976" s="29">
        <v>0</v>
      </c>
    </row>
    <row r="977" spans="2:77" ht="12.75" x14ac:dyDescent="0.2">
      <c r="B977" s="22">
        <v>45522</v>
      </c>
      <c r="C977" s="26">
        <f t="shared" ca="1" si="205"/>
        <v>6.7874656748376894E-2</v>
      </c>
      <c r="D977" s="29">
        <v>0</v>
      </c>
      <c r="F977" s="22"/>
      <c r="G977" s="26">
        <f t="shared" ca="1" si="206"/>
        <v>0.33787092285438014</v>
      </c>
      <c r="H977" s="29">
        <v>0</v>
      </c>
      <c r="J977" s="22">
        <v>45522</v>
      </c>
      <c r="K977" s="26">
        <f t="shared" ca="1" si="207"/>
        <v>0.73331588636869194</v>
      </c>
      <c r="L977" s="29">
        <v>0</v>
      </c>
      <c r="N977" s="22">
        <v>45522</v>
      </c>
      <c r="O977" s="26">
        <f t="shared" ca="1" si="208"/>
        <v>0.46314114141518326</v>
      </c>
      <c r="P977" s="29">
        <v>0</v>
      </c>
      <c r="R977" s="22">
        <v>45522</v>
      </c>
      <c r="S977" s="26">
        <f t="shared" ca="1" si="209"/>
        <v>0.34587640804039754</v>
      </c>
      <c r="T977" s="29">
        <v>0</v>
      </c>
      <c r="V977" s="22">
        <v>45522</v>
      </c>
      <c r="W977" s="26">
        <f t="shared" ca="1" si="210"/>
        <v>0.45306221548233649</v>
      </c>
      <c r="X977" s="29">
        <v>0</v>
      </c>
      <c r="Z977" s="22">
        <v>45522</v>
      </c>
      <c r="AA977" s="26">
        <f t="shared" ca="1" si="211"/>
        <v>0.30320562015412789</v>
      </c>
      <c r="AB977" s="29">
        <v>0</v>
      </c>
      <c r="AC977"/>
      <c r="AD977" s="25"/>
      <c r="AF977" s="22">
        <v>45522</v>
      </c>
      <c r="AG977" s="26">
        <f t="shared" ca="1" si="212"/>
        <v>0.71241260712108212</v>
      </c>
      <c r="AH977" s="29">
        <v>0</v>
      </c>
      <c r="AJ977" s="22">
        <v>45522</v>
      </c>
      <c r="AK977" s="26">
        <f t="shared" ca="1" si="213"/>
        <v>0.73283917391053466</v>
      </c>
      <c r="AL977" s="29">
        <v>0</v>
      </c>
      <c r="AN977" s="22">
        <v>45522</v>
      </c>
      <c r="AO977" s="26">
        <f t="shared" ca="1" si="214"/>
        <v>0.25085334273658522</v>
      </c>
      <c r="AP977" s="29">
        <v>0</v>
      </c>
      <c r="AR977" s="22">
        <v>45522</v>
      </c>
      <c r="AS977" s="26">
        <f t="shared" ca="1" si="215"/>
        <v>1.6058776318711443E-3</v>
      </c>
      <c r="AT977" s="29">
        <v>0</v>
      </c>
      <c r="AV977" s="22">
        <v>45522</v>
      </c>
      <c r="AW977" s="26">
        <f t="shared" ca="1" si="216"/>
        <v>0.82672285936911227</v>
      </c>
      <c r="AX977" s="29">
        <v>0</v>
      </c>
      <c r="AZ977" s="22">
        <v>45522</v>
      </c>
      <c r="BA977" s="26">
        <f t="shared" ca="1" si="217"/>
        <v>0.33043010645221327</v>
      </c>
      <c r="BB977" s="29">
        <v>0</v>
      </c>
      <c r="BC977"/>
      <c r="BD977" s="25"/>
      <c r="BF977" s="22">
        <v>45522</v>
      </c>
      <c r="BG977" s="26">
        <f t="shared" ca="1" si="218"/>
        <v>0.7166887680799453</v>
      </c>
      <c r="BH977" s="29">
        <v>0</v>
      </c>
      <c r="BJ977" s="22">
        <v>45522</v>
      </c>
      <c r="BK977" s="26">
        <f t="shared" ca="1" si="219"/>
        <v>0.11038276289674021</v>
      </c>
      <c r="BL977" s="29">
        <v>0</v>
      </c>
      <c r="BN977" s="22">
        <v>45522</v>
      </c>
      <c r="BO977" s="26">
        <f t="shared" ca="1" si="220"/>
        <v>0.40315131857896325</v>
      </c>
      <c r="BP977" s="29">
        <v>0</v>
      </c>
      <c r="BR977" s="22">
        <v>45522</v>
      </c>
      <c r="BS977" s="26">
        <f t="shared" ca="1" si="221"/>
        <v>0.88787192026372797</v>
      </c>
      <c r="BT977" s="29">
        <v>0</v>
      </c>
      <c r="BV977" s="22">
        <v>45522</v>
      </c>
      <c r="BW977" s="26">
        <f t="shared" ca="1" si="222"/>
        <v>0.36003781728609052</v>
      </c>
      <c r="BX977" s="29">
        <v>0</v>
      </c>
    </row>
    <row r="978" spans="2:77" ht="12.75" x14ac:dyDescent="0.2">
      <c r="B978" s="22">
        <v>45523</v>
      </c>
      <c r="C978" s="26">
        <f t="shared" ca="1" si="205"/>
        <v>0.48906353256571067</v>
      </c>
      <c r="D978" s="29">
        <v>0</v>
      </c>
      <c r="F978" s="22"/>
      <c r="G978" s="26">
        <f t="shared" ca="1" si="206"/>
        <v>0.91142781367151626</v>
      </c>
      <c r="H978" s="29">
        <v>0</v>
      </c>
      <c r="J978" s="22">
        <v>45523</v>
      </c>
      <c r="K978" s="26">
        <f t="shared" ca="1" si="207"/>
        <v>0.11097182647432668</v>
      </c>
      <c r="L978" s="29">
        <v>0</v>
      </c>
      <c r="N978" s="22">
        <v>45523</v>
      </c>
      <c r="O978" s="26">
        <f t="shared" ca="1" si="208"/>
        <v>0.57662105848453915</v>
      </c>
      <c r="P978" s="29">
        <v>0</v>
      </c>
      <c r="R978" s="22">
        <v>45523</v>
      </c>
      <c r="S978" s="26">
        <f t="shared" ca="1" si="209"/>
        <v>0.15039874279117094</v>
      </c>
      <c r="T978" s="29">
        <v>0</v>
      </c>
      <c r="V978" s="22">
        <v>45523</v>
      </c>
      <c r="W978" s="26">
        <f t="shared" ca="1" si="210"/>
        <v>0.36354362672362206</v>
      </c>
      <c r="X978" s="29">
        <v>0</v>
      </c>
      <c r="Z978" s="22">
        <v>45523</v>
      </c>
      <c r="AA978" s="26">
        <f t="shared" ca="1" si="211"/>
        <v>0.62986326059857267</v>
      </c>
      <c r="AB978" s="29">
        <v>0</v>
      </c>
      <c r="AC978"/>
      <c r="AD978" s="25"/>
      <c r="AF978" s="22">
        <v>45523</v>
      </c>
      <c r="AG978" s="26">
        <f t="shared" ca="1" si="212"/>
        <v>0.38480719023633725</v>
      </c>
      <c r="AH978" s="29">
        <v>0</v>
      </c>
      <c r="AJ978" s="22">
        <v>45523</v>
      </c>
      <c r="AK978" s="26">
        <f t="shared" ca="1" si="213"/>
        <v>0.5663758102336548</v>
      </c>
      <c r="AL978" s="29">
        <v>0</v>
      </c>
      <c r="AN978" s="22">
        <v>45523</v>
      </c>
      <c r="AO978" s="26">
        <f t="shared" ca="1" si="214"/>
        <v>0.87676373698460952</v>
      </c>
      <c r="AP978" s="29">
        <v>0</v>
      </c>
      <c r="AR978" s="22">
        <v>45523</v>
      </c>
      <c r="AS978" s="26">
        <f t="shared" ca="1" si="215"/>
        <v>6.0626618584033287E-2</v>
      </c>
      <c r="AT978" s="29">
        <v>0</v>
      </c>
      <c r="AV978" s="22">
        <v>45523</v>
      </c>
      <c r="AW978" s="26">
        <f t="shared" ca="1" si="216"/>
        <v>0.15794226997600169</v>
      </c>
      <c r="AX978" s="29">
        <v>0</v>
      </c>
      <c r="AZ978" s="22">
        <v>45523</v>
      </c>
      <c r="BA978" s="26">
        <f t="shared" ca="1" si="217"/>
        <v>0.44999421729522093</v>
      </c>
      <c r="BB978" s="29">
        <v>0</v>
      </c>
      <c r="BC978"/>
      <c r="BD978" s="25"/>
      <c r="BF978" s="22">
        <v>45523</v>
      </c>
      <c r="BG978" s="26">
        <f t="shared" ca="1" si="218"/>
        <v>9.6213480238086402E-2</v>
      </c>
      <c r="BH978" s="29">
        <v>0</v>
      </c>
      <c r="BJ978" s="22">
        <v>45523</v>
      </c>
      <c r="BK978" s="26">
        <f t="shared" ca="1" si="219"/>
        <v>9.1250707800524467E-2</v>
      </c>
      <c r="BL978" s="29">
        <v>0</v>
      </c>
      <c r="BN978" s="22">
        <v>45523</v>
      </c>
      <c r="BO978" s="26">
        <f t="shared" ca="1" si="220"/>
        <v>0.56953176933171978</v>
      </c>
      <c r="BP978" s="29">
        <v>0</v>
      </c>
      <c r="BR978" s="22">
        <v>45523</v>
      </c>
      <c r="BS978" s="26">
        <f t="shared" ca="1" si="221"/>
        <v>0.85500852742864797</v>
      </c>
      <c r="BT978" s="29">
        <v>0</v>
      </c>
      <c r="BV978" s="22">
        <v>45523</v>
      </c>
      <c r="BW978" s="26">
        <f t="shared" ca="1" si="222"/>
        <v>0.11890044435832492</v>
      </c>
      <c r="BX978" s="29">
        <v>0</v>
      </c>
    </row>
    <row r="979" spans="2:77" ht="12.75" x14ac:dyDescent="0.2">
      <c r="B979" s="22">
        <v>45524</v>
      </c>
      <c r="C979" s="26">
        <f t="shared" ca="1" si="205"/>
        <v>0.50686433520124319</v>
      </c>
      <c r="D979" s="29">
        <v>0</v>
      </c>
      <c r="F979" s="22"/>
      <c r="G979" s="26">
        <f t="shared" ca="1" si="206"/>
        <v>0.44936089912586175</v>
      </c>
      <c r="H979" s="29">
        <v>0</v>
      </c>
      <c r="J979" s="22">
        <v>45524</v>
      </c>
      <c r="K979" s="26">
        <f t="shared" ca="1" si="207"/>
        <v>0.18544565428940163</v>
      </c>
      <c r="L979" s="29">
        <v>0</v>
      </c>
      <c r="N979" s="22">
        <v>45524</v>
      </c>
      <c r="O979" s="26">
        <f t="shared" ca="1" si="208"/>
        <v>0.78514271665596091</v>
      </c>
      <c r="P979" s="29">
        <v>0</v>
      </c>
      <c r="R979" s="22">
        <v>45524</v>
      </c>
      <c r="S979" s="26">
        <f t="shared" ca="1" si="209"/>
        <v>0.71762988511774506</v>
      </c>
      <c r="T979" s="29">
        <v>0</v>
      </c>
      <c r="V979" s="22">
        <v>45524</v>
      </c>
      <c r="W979" s="26">
        <f t="shared" ca="1" si="210"/>
        <v>6.6461846895462307E-2</v>
      </c>
      <c r="X979" s="29">
        <v>0</v>
      </c>
      <c r="Z979" s="22">
        <v>45524</v>
      </c>
      <c r="AA979" s="26">
        <f t="shared" ca="1" si="211"/>
        <v>0.85128930794171098</v>
      </c>
      <c r="AB979" s="29">
        <v>0</v>
      </c>
      <c r="AC979"/>
      <c r="AD979" s="25"/>
      <c r="AF979" s="22">
        <v>45524</v>
      </c>
      <c r="AG979" s="26">
        <f t="shared" ca="1" si="212"/>
        <v>6.0297356843232452E-2</v>
      </c>
      <c r="AH979" s="29">
        <v>0</v>
      </c>
      <c r="AJ979" s="22">
        <v>45524</v>
      </c>
      <c r="AK979" s="26">
        <f t="shared" ca="1" si="213"/>
        <v>7.6570340951103932E-2</v>
      </c>
      <c r="AL979" s="29">
        <v>0</v>
      </c>
      <c r="AN979" s="22">
        <v>45524</v>
      </c>
      <c r="AO979" s="26">
        <f t="shared" ca="1" si="214"/>
        <v>5.690259651270646E-2</v>
      </c>
      <c r="AP979" s="29">
        <v>0</v>
      </c>
      <c r="AR979" s="22">
        <v>45524</v>
      </c>
      <c r="AS979" s="26">
        <f t="shared" ca="1" si="215"/>
        <v>0.48111509677477604</v>
      </c>
      <c r="AT979" s="29">
        <v>0</v>
      </c>
      <c r="AV979" s="22">
        <v>45524</v>
      </c>
      <c r="AW979" s="26">
        <f t="shared" ca="1" si="216"/>
        <v>0.85099669290195512</v>
      </c>
      <c r="AX979" s="29">
        <v>0</v>
      </c>
      <c r="AZ979" s="22">
        <v>45524</v>
      </c>
      <c r="BA979" s="26">
        <f t="shared" ca="1" si="217"/>
        <v>0.9848035247867909</v>
      </c>
      <c r="BB979" s="29">
        <v>0</v>
      </c>
      <c r="BC979"/>
      <c r="BD979" s="25"/>
      <c r="BF979" s="22">
        <v>45524</v>
      </c>
      <c r="BG979" s="26">
        <f t="shared" ca="1" si="218"/>
        <v>0.41330876805243799</v>
      </c>
      <c r="BH979" s="29">
        <v>0</v>
      </c>
      <c r="BJ979" s="22">
        <v>45524</v>
      </c>
      <c r="BK979" s="26">
        <f t="shared" ca="1" si="219"/>
        <v>0.39982274932290984</v>
      </c>
      <c r="BL979" s="29">
        <v>0</v>
      </c>
      <c r="BN979" s="22">
        <v>45524</v>
      </c>
      <c r="BO979" s="26">
        <f t="shared" ca="1" si="220"/>
        <v>0.6069186835141146</v>
      </c>
      <c r="BP979" s="29">
        <v>0</v>
      </c>
      <c r="BR979" s="22">
        <v>45524</v>
      </c>
      <c r="BS979" s="26">
        <f t="shared" ca="1" si="221"/>
        <v>0.71779269022388148</v>
      </c>
      <c r="BT979" s="29">
        <v>0</v>
      </c>
      <c r="BV979" s="22">
        <v>45524</v>
      </c>
      <c r="BW979" s="26">
        <f t="shared" ca="1" si="222"/>
        <v>0.48176077143880325</v>
      </c>
      <c r="BX979" s="29">
        <v>0</v>
      </c>
    </row>
    <row r="980" spans="2:77" ht="12.75" x14ac:dyDescent="0.2">
      <c r="B980" s="22">
        <v>45525</v>
      </c>
      <c r="C980" s="26">
        <f t="shared" ref="C980:C1043" ca="1" si="241">RAND()</f>
        <v>0.16030402726405757</v>
      </c>
      <c r="D980" s="29">
        <v>0</v>
      </c>
      <c r="F980" s="22"/>
      <c r="G980" s="26">
        <f t="shared" ca="1" si="206"/>
        <v>0.40658258228441546</v>
      </c>
      <c r="H980" s="29">
        <v>0</v>
      </c>
      <c r="J980" s="22">
        <v>45525</v>
      </c>
      <c r="K980" s="26">
        <f t="shared" ca="1" si="207"/>
        <v>0.65161969259342523</v>
      </c>
      <c r="L980" s="29">
        <v>0</v>
      </c>
      <c r="N980" s="22">
        <v>45525</v>
      </c>
      <c r="O980" s="26">
        <f t="shared" ca="1" si="208"/>
        <v>0.7900533914412502</v>
      </c>
      <c r="P980" s="29">
        <v>0</v>
      </c>
      <c r="R980" s="22">
        <v>45525</v>
      </c>
      <c r="S980" s="26">
        <f t="shared" ca="1" si="209"/>
        <v>0.47806198941810052</v>
      </c>
      <c r="T980" s="29">
        <v>0</v>
      </c>
      <c r="V980" s="22">
        <v>45525</v>
      </c>
      <c r="W980" s="26">
        <f t="shared" ca="1" si="210"/>
        <v>9.2013066718563796E-2</v>
      </c>
      <c r="X980" s="29">
        <v>0</v>
      </c>
      <c r="Z980" s="22">
        <v>45525</v>
      </c>
      <c r="AA980" s="26">
        <f t="shared" ca="1" si="211"/>
        <v>0.20398173928760854</v>
      </c>
      <c r="AB980" s="29">
        <v>0</v>
      </c>
      <c r="AC980"/>
      <c r="AD980" s="25"/>
      <c r="AF980" s="22">
        <v>45525</v>
      </c>
      <c r="AG980" s="26">
        <f t="shared" ca="1" si="212"/>
        <v>0.30114951451240568</v>
      </c>
      <c r="AH980" s="29">
        <v>0</v>
      </c>
      <c r="AJ980" s="22">
        <v>45525</v>
      </c>
      <c r="AK980" s="26">
        <f t="shared" ca="1" si="213"/>
        <v>0.5811137387517844</v>
      </c>
      <c r="AL980" s="29">
        <v>0</v>
      </c>
      <c r="AN980" s="22">
        <v>45525</v>
      </c>
      <c r="AO980" s="26">
        <f t="shared" ca="1" si="214"/>
        <v>0.37894939383736348</v>
      </c>
      <c r="AP980" s="29">
        <v>0</v>
      </c>
      <c r="AR980" s="22">
        <v>45525</v>
      </c>
      <c r="AS980" s="26">
        <f t="shared" ca="1" si="215"/>
        <v>8.3211871570832319E-2</v>
      </c>
      <c r="AT980" s="29">
        <v>0</v>
      </c>
      <c r="AV980" s="22">
        <v>45525</v>
      </c>
      <c r="AW980" s="26">
        <f t="shared" ca="1" si="216"/>
        <v>0.99675111251638615</v>
      </c>
      <c r="AX980" s="29">
        <v>0</v>
      </c>
      <c r="AZ980" s="22">
        <v>45525</v>
      </c>
      <c r="BA980" s="26">
        <f t="shared" ca="1" si="217"/>
        <v>0.85766798669016775</v>
      </c>
      <c r="BB980" s="29">
        <v>0</v>
      </c>
      <c r="BC980"/>
      <c r="BD980" s="25"/>
      <c r="BF980" s="22">
        <v>45525</v>
      </c>
      <c r="BG980" s="26">
        <f t="shared" ca="1" si="218"/>
        <v>0.77248226442702839</v>
      </c>
      <c r="BH980" s="29">
        <v>0</v>
      </c>
      <c r="BJ980" s="22">
        <v>45525</v>
      </c>
      <c r="BK980" s="26">
        <f t="shared" ca="1" si="219"/>
        <v>0.94392254691308153</v>
      </c>
      <c r="BL980" s="29">
        <v>0</v>
      </c>
      <c r="BN980" s="22">
        <v>45525</v>
      </c>
      <c r="BO980" s="26">
        <f t="shared" ca="1" si="220"/>
        <v>0.28212603232063937</v>
      </c>
      <c r="BP980" s="29">
        <v>0</v>
      </c>
      <c r="BR980" s="22">
        <v>45525</v>
      </c>
      <c r="BS980" s="26">
        <f t="shared" ca="1" si="221"/>
        <v>0.50970727418956474</v>
      </c>
      <c r="BT980" s="29">
        <v>0</v>
      </c>
      <c r="BV980" s="22">
        <v>45525</v>
      </c>
      <c r="BW980" s="26">
        <f t="shared" ca="1" si="222"/>
        <v>0.78179205923182737</v>
      </c>
      <c r="BX980" s="29">
        <v>0</v>
      </c>
    </row>
    <row r="981" spans="2:77" ht="12.75" x14ac:dyDescent="0.2">
      <c r="B981" s="22">
        <v>45526</v>
      </c>
      <c r="C981" s="26">
        <f t="shared" ca="1" si="241"/>
        <v>0.45904310408723881</v>
      </c>
      <c r="D981" s="29">
        <v>0</v>
      </c>
      <c r="F981" s="22"/>
      <c r="G981" s="26">
        <f t="shared" ca="1" si="206"/>
        <v>1.6888060229750534E-2</v>
      </c>
      <c r="H981" s="29">
        <v>0</v>
      </c>
      <c r="J981" s="22">
        <v>45526</v>
      </c>
      <c r="K981" s="26">
        <f t="shared" ca="1" si="207"/>
        <v>0.81108178957064003</v>
      </c>
      <c r="L981" s="29">
        <v>0</v>
      </c>
      <c r="N981" s="22">
        <v>45526</v>
      </c>
      <c r="O981" s="26">
        <f t="shared" ca="1" si="208"/>
        <v>0.88591492735196042</v>
      </c>
      <c r="P981" s="29">
        <v>0</v>
      </c>
      <c r="R981" s="22">
        <v>45526</v>
      </c>
      <c r="S981" s="26">
        <f t="shared" ca="1" si="209"/>
        <v>0.62478232540219358</v>
      </c>
      <c r="T981" s="29">
        <v>0</v>
      </c>
      <c r="V981" s="22">
        <v>45526</v>
      </c>
      <c r="W981" s="26">
        <f t="shared" ca="1" si="210"/>
        <v>0.94230270340623112</v>
      </c>
      <c r="X981" s="29">
        <v>0</v>
      </c>
      <c r="Z981" s="22">
        <v>45526</v>
      </c>
      <c r="AA981" s="26">
        <f t="shared" ca="1" si="211"/>
        <v>0.31572275334013755</v>
      </c>
      <c r="AB981" s="29">
        <v>0</v>
      </c>
      <c r="AC981"/>
      <c r="AD981" s="25"/>
      <c r="AF981" s="22">
        <v>45526</v>
      </c>
      <c r="AG981" s="26">
        <f t="shared" ca="1" si="212"/>
        <v>0.25963989399675336</v>
      </c>
      <c r="AH981" s="29">
        <v>0</v>
      </c>
      <c r="AJ981" s="22">
        <v>45526</v>
      </c>
      <c r="AK981" s="26">
        <f t="shared" ca="1" si="213"/>
        <v>0.30596407085928601</v>
      </c>
      <c r="AL981" s="29">
        <v>0</v>
      </c>
      <c r="AN981" s="22">
        <v>45526</v>
      </c>
      <c r="AO981" s="26">
        <f t="shared" ca="1" si="214"/>
        <v>0.39771460966971428</v>
      </c>
      <c r="AP981" s="29">
        <v>0</v>
      </c>
      <c r="AR981" s="22">
        <v>45526</v>
      </c>
      <c r="AS981" s="26">
        <f t="shared" ca="1" si="215"/>
        <v>0.90982721493294161</v>
      </c>
      <c r="AT981" s="29">
        <v>0</v>
      </c>
      <c r="AV981" s="22">
        <v>45526</v>
      </c>
      <c r="AW981" s="26">
        <f t="shared" ca="1" si="216"/>
        <v>0.24030715129264879</v>
      </c>
      <c r="AX981" s="29">
        <v>0</v>
      </c>
      <c r="AZ981" s="22">
        <v>45526</v>
      </c>
      <c r="BA981" s="26">
        <f t="shared" ca="1" si="217"/>
        <v>0.26037834179988639</v>
      </c>
      <c r="BB981" s="29">
        <v>0</v>
      </c>
      <c r="BC981"/>
      <c r="BD981" s="25"/>
      <c r="BF981" s="22">
        <v>45526</v>
      </c>
      <c r="BG981" s="26">
        <f t="shared" ca="1" si="218"/>
        <v>0.44987614005865717</v>
      </c>
      <c r="BH981" s="29">
        <v>0</v>
      </c>
      <c r="BJ981" s="22">
        <v>45526</v>
      </c>
      <c r="BK981" s="26">
        <f t="shared" ca="1" si="219"/>
        <v>0.18961829852179979</v>
      </c>
      <c r="BL981" s="29">
        <v>0</v>
      </c>
      <c r="BN981" s="22">
        <v>45526</v>
      </c>
      <c r="BO981" s="26">
        <f t="shared" ca="1" si="220"/>
        <v>0.97860953944183093</v>
      </c>
      <c r="BP981" s="29">
        <v>0</v>
      </c>
      <c r="BR981" s="22">
        <v>45526</v>
      </c>
      <c r="BS981" s="26">
        <f t="shared" ca="1" si="221"/>
        <v>0.56926090274569829</v>
      </c>
      <c r="BT981" s="29">
        <v>0</v>
      </c>
      <c r="BV981" s="22">
        <v>45526</v>
      </c>
      <c r="BW981" s="26">
        <f t="shared" ca="1" si="222"/>
        <v>2.8291992843568314E-2</v>
      </c>
      <c r="BX981" s="29">
        <v>0</v>
      </c>
    </row>
    <row r="982" spans="2:77" ht="12.75" x14ac:dyDescent="0.2">
      <c r="B982" s="22">
        <v>45527</v>
      </c>
      <c r="C982" s="26">
        <f t="shared" ca="1" si="241"/>
        <v>0.92530639531148662</v>
      </c>
      <c r="D982" s="29">
        <v>0</v>
      </c>
      <c r="F982" s="22"/>
      <c r="G982" s="26">
        <f t="shared" ca="1" si="206"/>
        <v>0.78421809199010473</v>
      </c>
      <c r="H982" s="29">
        <v>0</v>
      </c>
      <c r="J982" s="22">
        <v>45527</v>
      </c>
      <c r="K982" s="26">
        <f t="shared" ca="1" si="207"/>
        <v>0.73367389477283596</v>
      </c>
      <c r="L982" s="29">
        <v>0</v>
      </c>
      <c r="N982" s="22">
        <v>45527</v>
      </c>
      <c r="O982" s="26">
        <f t="shared" ca="1" si="208"/>
        <v>7.3289370172103796E-2</v>
      </c>
      <c r="P982" s="29">
        <v>0</v>
      </c>
      <c r="R982" s="22">
        <v>45527</v>
      </c>
      <c r="S982" s="26">
        <f t="shared" ca="1" si="209"/>
        <v>0.41658252613078306</v>
      </c>
      <c r="T982" s="29">
        <v>0</v>
      </c>
      <c r="V982" s="22">
        <v>45527</v>
      </c>
      <c r="W982" s="26">
        <f t="shared" ca="1" si="210"/>
        <v>0.29387861322172082</v>
      </c>
      <c r="X982" s="29">
        <v>0</v>
      </c>
      <c r="Z982" s="22">
        <v>45527</v>
      </c>
      <c r="AA982" s="26">
        <f t="shared" ca="1" si="211"/>
        <v>0.44635276497396026</v>
      </c>
      <c r="AB982" s="29">
        <v>0</v>
      </c>
      <c r="AC982"/>
      <c r="AD982" s="25"/>
      <c r="AF982" s="22">
        <v>45527</v>
      </c>
      <c r="AG982" s="26">
        <f t="shared" ca="1" si="212"/>
        <v>0.3558773559444417</v>
      </c>
      <c r="AH982" s="29">
        <v>0</v>
      </c>
      <c r="AJ982" s="22">
        <v>45527</v>
      </c>
      <c r="AK982" s="26">
        <f t="shared" ca="1" si="213"/>
        <v>0.47181572929324489</v>
      </c>
      <c r="AL982" s="29">
        <v>0</v>
      </c>
      <c r="AN982" s="22">
        <v>45527</v>
      </c>
      <c r="AO982" s="26">
        <f t="shared" ca="1" si="214"/>
        <v>0.14429573651108829</v>
      </c>
      <c r="AP982" s="29">
        <v>0</v>
      </c>
      <c r="AR982" s="22">
        <v>45527</v>
      </c>
      <c r="AS982" s="26">
        <f t="shared" ca="1" si="215"/>
        <v>0.78185836239789297</v>
      </c>
      <c r="AT982" s="29">
        <v>0</v>
      </c>
      <c r="AV982" s="22">
        <v>45527</v>
      </c>
      <c r="AW982" s="26">
        <f t="shared" ca="1" si="216"/>
        <v>0.57597184227805742</v>
      </c>
      <c r="AX982" s="29">
        <v>0</v>
      </c>
      <c r="AZ982" s="22">
        <v>45527</v>
      </c>
      <c r="BA982" s="26">
        <f t="shared" ca="1" si="217"/>
        <v>0.63235458675236222</v>
      </c>
      <c r="BB982" s="29">
        <v>0</v>
      </c>
      <c r="BC982"/>
      <c r="BD982" s="25"/>
      <c r="BF982" s="22">
        <v>45527</v>
      </c>
      <c r="BG982" s="26">
        <f t="shared" ca="1" si="218"/>
        <v>0.17733102864528083</v>
      </c>
      <c r="BH982" s="29">
        <v>0</v>
      </c>
      <c r="BJ982" s="22">
        <v>45527</v>
      </c>
      <c r="BK982" s="26">
        <f t="shared" ca="1" si="219"/>
        <v>0.78671988065603393</v>
      </c>
      <c r="BL982" s="29">
        <v>0</v>
      </c>
      <c r="BN982" s="22">
        <v>45527</v>
      </c>
      <c r="BO982" s="26">
        <f t="shared" ca="1" si="220"/>
        <v>0.97992828544935917</v>
      </c>
      <c r="BP982" s="29">
        <v>0</v>
      </c>
      <c r="BR982" s="22">
        <v>45527</v>
      </c>
      <c r="BS982" s="26">
        <f t="shared" ca="1" si="221"/>
        <v>0.15209055766265667</v>
      </c>
      <c r="BT982" s="29">
        <v>0</v>
      </c>
      <c r="BV982" s="22">
        <v>45527</v>
      </c>
      <c r="BW982" s="26">
        <f t="shared" ca="1" si="222"/>
        <v>0.75996504543043653</v>
      </c>
      <c r="BX982" s="29">
        <v>0</v>
      </c>
    </row>
    <row r="983" spans="2:77" ht="12.75" x14ac:dyDescent="0.2">
      <c r="B983" s="22">
        <v>45528</v>
      </c>
      <c r="C983" s="26">
        <f t="shared" ca="1" si="241"/>
        <v>0.28483425947399432</v>
      </c>
      <c r="D983" s="29">
        <v>0</v>
      </c>
      <c r="F983" s="22"/>
      <c r="G983" s="26">
        <f t="shared" ca="1" si="206"/>
        <v>0.14335614398781271</v>
      </c>
      <c r="H983" s="29">
        <v>0</v>
      </c>
      <c r="J983" s="22">
        <v>45528</v>
      </c>
      <c r="K983" s="26">
        <f t="shared" ca="1" si="207"/>
        <v>0.45055423716157295</v>
      </c>
      <c r="L983" s="29">
        <v>0</v>
      </c>
      <c r="N983" s="22">
        <v>45528</v>
      </c>
      <c r="O983" s="26">
        <f t="shared" ca="1" si="208"/>
        <v>0.53884725764742214</v>
      </c>
      <c r="P983" s="29">
        <v>0</v>
      </c>
      <c r="R983" s="22">
        <v>45528</v>
      </c>
      <c r="S983" s="26">
        <f t="shared" ca="1" si="209"/>
        <v>0.56930191110046335</v>
      </c>
      <c r="T983" s="29">
        <v>0</v>
      </c>
      <c r="V983" s="22">
        <v>45528</v>
      </c>
      <c r="W983" s="26">
        <f t="shared" ca="1" si="210"/>
        <v>0.56102970532482788</v>
      </c>
      <c r="X983" s="29">
        <v>0</v>
      </c>
      <c r="Z983" s="22">
        <v>45528</v>
      </c>
      <c r="AA983" s="26">
        <f t="shared" ca="1" si="211"/>
        <v>0.42140461352863312</v>
      </c>
      <c r="AB983" s="29">
        <v>0</v>
      </c>
      <c r="AC983"/>
      <c r="AD983" s="25"/>
      <c r="AF983" s="22">
        <v>45528</v>
      </c>
      <c r="AG983" s="26">
        <f t="shared" ca="1" si="212"/>
        <v>0.51857678983505962</v>
      </c>
      <c r="AH983" s="29">
        <v>0</v>
      </c>
      <c r="AJ983" s="22">
        <v>45528</v>
      </c>
      <c r="AK983" s="26">
        <f t="shared" ca="1" si="213"/>
        <v>0.29615780816487047</v>
      </c>
      <c r="AL983" s="29">
        <v>0</v>
      </c>
      <c r="AN983" s="22">
        <v>45528</v>
      </c>
      <c r="AO983" s="26">
        <f t="shared" ca="1" si="214"/>
        <v>8.2980931714825235E-2</v>
      </c>
      <c r="AP983" s="29">
        <v>0</v>
      </c>
      <c r="AR983" s="22">
        <v>45528</v>
      </c>
      <c r="AS983" s="26">
        <f t="shared" ca="1" si="215"/>
        <v>0.59187387523303214</v>
      </c>
      <c r="AT983" s="29">
        <v>0</v>
      </c>
      <c r="AV983" s="22">
        <v>45528</v>
      </c>
      <c r="AW983" s="26">
        <f t="shared" ca="1" si="216"/>
        <v>0.61046666563560459</v>
      </c>
      <c r="AX983" s="29">
        <v>0</v>
      </c>
      <c r="AZ983" s="22">
        <v>45528</v>
      </c>
      <c r="BA983" s="26">
        <f t="shared" ca="1" si="217"/>
        <v>0.93242272858508413</v>
      </c>
      <c r="BB983" s="29">
        <v>0</v>
      </c>
      <c r="BC983"/>
      <c r="BD983" s="25"/>
      <c r="BF983" s="22">
        <v>45528</v>
      </c>
      <c r="BG983" s="26">
        <f t="shared" ca="1" si="218"/>
        <v>0.96204018965172866</v>
      </c>
      <c r="BH983" s="29">
        <v>0</v>
      </c>
      <c r="BJ983" s="22">
        <v>45528</v>
      </c>
      <c r="BK983" s="26">
        <f t="shared" ca="1" si="219"/>
        <v>0.12187331088506925</v>
      </c>
      <c r="BL983" s="29">
        <v>0</v>
      </c>
      <c r="BN983" s="22">
        <v>45528</v>
      </c>
      <c r="BO983" s="26">
        <f t="shared" ca="1" si="220"/>
        <v>0.39659524473556762</v>
      </c>
      <c r="BP983" s="29">
        <v>0</v>
      </c>
      <c r="BR983" s="22">
        <v>45528</v>
      </c>
      <c r="BS983" s="26">
        <f t="shared" ca="1" si="221"/>
        <v>0.37872915271682117</v>
      </c>
      <c r="BT983" s="29">
        <v>0</v>
      </c>
      <c r="BV983" s="22">
        <v>45528</v>
      </c>
      <c r="BW983" s="26">
        <f t="shared" ca="1" si="222"/>
        <v>0.95189145515161389</v>
      </c>
      <c r="BX983" s="29">
        <v>0</v>
      </c>
    </row>
    <row r="984" spans="2:77" ht="12.75" x14ac:dyDescent="0.2">
      <c r="B984" s="22">
        <v>45529</v>
      </c>
      <c r="C984" s="26">
        <f t="shared" ca="1" si="241"/>
        <v>0.55885585863783838</v>
      </c>
      <c r="D984" s="29">
        <v>0</v>
      </c>
      <c r="F984" s="22"/>
      <c r="G984" s="26">
        <f t="shared" ca="1" si="206"/>
        <v>1.202040396512416E-2</v>
      </c>
      <c r="H984" s="29">
        <v>0</v>
      </c>
      <c r="J984" s="22">
        <v>45529</v>
      </c>
      <c r="K984" s="26">
        <f t="shared" ca="1" si="207"/>
        <v>0.99796843470000074</v>
      </c>
      <c r="L984" s="29">
        <v>0</v>
      </c>
      <c r="N984" s="22">
        <v>45529</v>
      </c>
      <c r="O984" s="26">
        <f t="shared" ca="1" si="208"/>
        <v>0.52198171059565535</v>
      </c>
      <c r="P984" s="29">
        <v>0</v>
      </c>
      <c r="R984" s="22">
        <v>45529</v>
      </c>
      <c r="S984" s="26">
        <f t="shared" ca="1" si="209"/>
        <v>0.97884598191480576</v>
      </c>
      <c r="T984" s="29">
        <v>0</v>
      </c>
      <c r="V984" s="22">
        <v>45529</v>
      </c>
      <c r="W984" s="26">
        <f t="shared" ca="1" si="210"/>
        <v>9.9512058438932849E-2</v>
      </c>
      <c r="X984" s="29">
        <v>0</v>
      </c>
      <c r="Z984" s="22">
        <v>45529</v>
      </c>
      <c r="AA984" s="26">
        <f t="shared" ca="1" si="211"/>
        <v>0.54362943344838333</v>
      </c>
      <c r="AB984" s="29">
        <v>0</v>
      </c>
      <c r="AC984"/>
      <c r="AD984" s="25"/>
      <c r="AF984" s="22">
        <v>45529</v>
      </c>
      <c r="AG984" s="26">
        <f t="shared" ca="1" si="212"/>
        <v>0.73302205186583036</v>
      </c>
      <c r="AH984" s="29">
        <v>0</v>
      </c>
      <c r="AJ984" s="22">
        <v>45529</v>
      </c>
      <c r="AK984" s="26">
        <f t="shared" ca="1" si="213"/>
        <v>0.39028192045850152</v>
      </c>
      <c r="AL984" s="29">
        <v>0</v>
      </c>
      <c r="AN984" s="22">
        <v>45529</v>
      </c>
      <c r="AO984" s="26">
        <f t="shared" ca="1" si="214"/>
        <v>0.48772247096264043</v>
      </c>
      <c r="AP984" s="29">
        <v>0</v>
      </c>
      <c r="AR984" s="22">
        <v>45529</v>
      </c>
      <c r="AS984" s="26">
        <f t="shared" ca="1" si="215"/>
        <v>0.36268740313089298</v>
      </c>
      <c r="AT984" s="29">
        <v>0</v>
      </c>
      <c r="AV984" s="22">
        <v>45529</v>
      </c>
      <c r="AW984" s="26">
        <f t="shared" ca="1" si="216"/>
        <v>0.30222295766722695</v>
      </c>
      <c r="AX984" s="29">
        <v>0</v>
      </c>
      <c r="AZ984" s="22">
        <v>45529</v>
      </c>
      <c r="BA984" s="26">
        <f t="shared" ca="1" si="217"/>
        <v>0.87937386803200968</v>
      </c>
      <c r="BB984" s="29">
        <v>0</v>
      </c>
      <c r="BC984"/>
      <c r="BD984" s="25"/>
      <c r="BF984" s="22">
        <v>45529</v>
      </c>
      <c r="BG984" s="26">
        <f t="shared" ca="1" si="218"/>
        <v>0.29735796748787946</v>
      </c>
      <c r="BH984" s="29">
        <v>0</v>
      </c>
      <c r="BJ984" s="22">
        <v>45529</v>
      </c>
      <c r="BK984" s="26">
        <f t="shared" ca="1" si="219"/>
        <v>0.34399543184816783</v>
      </c>
      <c r="BL984" s="29">
        <v>0</v>
      </c>
      <c r="BN984" s="22">
        <v>45529</v>
      </c>
      <c r="BO984" s="26">
        <f t="shared" ca="1" si="220"/>
        <v>0.6519105209349243</v>
      </c>
      <c r="BP984" s="29">
        <v>0</v>
      </c>
      <c r="BR984" s="22">
        <v>45529</v>
      </c>
      <c r="BS984" s="26">
        <f t="shared" ca="1" si="221"/>
        <v>0.99965730791050589</v>
      </c>
      <c r="BT984" s="29">
        <v>0</v>
      </c>
      <c r="BV984" s="22">
        <v>45529</v>
      </c>
      <c r="BW984" s="26">
        <f t="shared" ca="1" si="222"/>
        <v>0.8746387210407871</v>
      </c>
      <c r="BX984" s="29">
        <v>0</v>
      </c>
    </row>
    <row r="985" spans="2:77" ht="12.75" x14ac:dyDescent="0.2">
      <c r="B985" s="22">
        <v>45530</v>
      </c>
      <c r="C985" s="26">
        <f t="shared" ca="1" si="241"/>
        <v>0.78567175766714392</v>
      </c>
      <c r="D985" s="29">
        <v>0</v>
      </c>
      <c r="F985" s="22"/>
      <c r="G985" s="26">
        <f t="shared" ca="1" si="206"/>
        <v>0.16065411277589758</v>
      </c>
      <c r="H985" s="29">
        <v>0</v>
      </c>
      <c r="J985" s="22">
        <v>45530</v>
      </c>
      <c r="K985" s="26">
        <f t="shared" ca="1" si="207"/>
        <v>0.99894219587135835</v>
      </c>
      <c r="L985" s="29">
        <v>0</v>
      </c>
      <c r="N985" s="22">
        <v>45530</v>
      </c>
      <c r="O985" s="26">
        <f t="shared" ca="1" si="208"/>
        <v>0.9509063853724693</v>
      </c>
      <c r="P985" s="29">
        <v>0</v>
      </c>
      <c r="R985" s="22">
        <v>45530</v>
      </c>
      <c r="S985" s="26">
        <f t="shared" ca="1" si="209"/>
        <v>0.54175325274472474</v>
      </c>
      <c r="T985" s="29">
        <v>0</v>
      </c>
      <c r="V985" s="22">
        <v>45530</v>
      </c>
      <c r="W985" s="26">
        <f t="shared" ca="1" si="210"/>
        <v>0.15424685495368351</v>
      </c>
      <c r="X985" s="29">
        <v>0</v>
      </c>
      <c r="Z985" s="22">
        <v>45530</v>
      </c>
      <c r="AA985" s="26">
        <f t="shared" ca="1" si="211"/>
        <v>0.48065264874203106</v>
      </c>
      <c r="AB985" s="29">
        <v>0</v>
      </c>
      <c r="AC985"/>
      <c r="AD985" s="25"/>
      <c r="AF985" s="22">
        <v>45530</v>
      </c>
      <c r="AG985" s="26">
        <f t="shared" ca="1" si="212"/>
        <v>0.55081949144983533</v>
      </c>
      <c r="AH985" s="29">
        <v>0</v>
      </c>
      <c r="AJ985" s="22">
        <v>45530</v>
      </c>
      <c r="AK985" s="26">
        <f t="shared" ca="1" si="213"/>
        <v>0.77672468928698635</v>
      </c>
      <c r="AL985" s="29">
        <v>0</v>
      </c>
      <c r="AN985" s="22">
        <v>45530</v>
      </c>
      <c r="AO985" s="26">
        <f t="shared" ca="1" si="214"/>
        <v>0.66018659641899746</v>
      </c>
      <c r="AP985" s="29">
        <v>0</v>
      </c>
      <c r="AR985" s="22">
        <v>45530</v>
      </c>
      <c r="AS985" s="26">
        <f t="shared" ca="1" si="215"/>
        <v>0.89834620474883442</v>
      </c>
      <c r="AT985" s="29">
        <v>0</v>
      </c>
      <c r="AV985" s="22">
        <v>45530</v>
      </c>
      <c r="AW985" s="26">
        <f t="shared" ca="1" si="216"/>
        <v>0.2954320708773116</v>
      </c>
      <c r="AX985" s="29">
        <v>0</v>
      </c>
      <c r="AZ985" s="22">
        <v>45530</v>
      </c>
      <c r="BA985" s="26">
        <f t="shared" ca="1" si="217"/>
        <v>0.12509826808073954</v>
      </c>
      <c r="BB985" s="29">
        <v>0</v>
      </c>
      <c r="BC985"/>
      <c r="BD985" s="25"/>
      <c r="BF985" s="22">
        <v>45530</v>
      </c>
      <c r="BG985" s="26">
        <f t="shared" ca="1" si="218"/>
        <v>0.75027545208176927</v>
      </c>
      <c r="BH985" s="29">
        <v>0</v>
      </c>
      <c r="BJ985" s="22">
        <v>45530</v>
      </c>
      <c r="BK985" s="26">
        <f t="shared" ca="1" si="219"/>
        <v>8.4558202557384332E-2</v>
      </c>
      <c r="BL985" s="29">
        <v>0</v>
      </c>
      <c r="BN985" s="22">
        <v>45530</v>
      </c>
      <c r="BO985" s="26">
        <f t="shared" ca="1" si="220"/>
        <v>0.42153728624542841</v>
      </c>
      <c r="BP985" s="29">
        <v>0</v>
      </c>
      <c r="BR985" s="22">
        <v>45530</v>
      </c>
      <c r="BS985" s="26">
        <f t="shared" ca="1" si="221"/>
        <v>0.44055597513722711</v>
      </c>
      <c r="BT985" s="29">
        <v>0</v>
      </c>
      <c r="BV985" s="22">
        <v>45530</v>
      </c>
      <c r="BW985" s="26">
        <f t="shared" ca="1" si="222"/>
        <v>0.73879824756678902</v>
      </c>
      <c r="BX985" s="29">
        <v>0</v>
      </c>
    </row>
    <row r="986" spans="2:77" ht="12.75" x14ac:dyDescent="0.2">
      <c r="B986" s="22">
        <v>45531</v>
      </c>
      <c r="C986" s="26">
        <f t="shared" ca="1" si="241"/>
        <v>0.35438131147721974</v>
      </c>
      <c r="D986" s="29">
        <v>0</v>
      </c>
      <c r="F986" s="22"/>
      <c r="G986" s="26">
        <f t="shared" ca="1" si="206"/>
        <v>0.7453269380926314</v>
      </c>
      <c r="H986" s="29">
        <v>0</v>
      </c>
      <c r="J986" s="22">
        <v>45531</v>
      </c>
      <c r="K986" s="26">
        <f t="shared" ca="1" si="207"/>
        <v>0.56903895626925738</v>
      </c>
      <c r="L986" s="29">
        <v>0</v>
      </c>
      <c r="N986" s="22">
        <v>45531</v>
      </c>
      <c r="O986" s="26">
        <f t="shared" ca="1" si="208"/>
        <v>0.56157996387155762</v>
      </c>
      <c r="P986" s="29">
        <v>0</v>
      </c>
      <c r="R986" s="22">
        <v>45531</v>
      </c>
      <c r="S986" s="26">
        <f t="shared" ca="1" si="209"/>
        <v>0.18895156702190008</v>
      </c>
      <c r="T986" s="29">
        <v>0</v>
      </c>
      <c r="V986" s="22">
        <v>45531</v>
      </c>
      <c r="W986" s="26">
        <f t="shared" ca="1" si="210"/>
        <v>0.69285129201468754</v>
      </c>
      <c r="X986" s="29">
        <v>0</v>
      </c>
      <c r="Z986" s="22">
        <v>45531</v>
      </c>
      <c r="AA986" s="26">
        <f t="shared" ca="1" si="211"/>
        <v>0.30918220305756761</v>
      </c>
      <c r="AB986" s="29">
        <v>0</v>
      </c>
      <c r="AC986"/>
      <c r="AD986" s="25"/>
      <c r="AF986" s="22">
        <v>45531</v>
      </c>
      <c r="AG986" s="26">
        <f t="shared" ca="1" si="212"/>
        <v>0.85232156200852593</v>
      </c>
      <c r="AH986" s="29">
        <v>0</v>
      </c>
      <c r="AJ986" s="22">
        <v>45531</v>
      </c>
      <c r="AK986" s="26">
        <f t="shared" ca="1" si="213"/>
        <v>0.21949341308425163</v>
      </c>
      <c r="AL986" s="29">
        <v>0</v>
      </c>
      <c r="AN986" s="22">
        <v>45531</v>
      </c>
      <c r="AO986" s="26">
        <f t="shared" ca="1" si="214"/>
        <v>0.39666510184101433</v>
      </c>
      <c r="AP986" s="29">
        <v>0</v>
      </c>
      <c r="AR986" s="22">
        <v>45531</v>
      </c>
      <c r="AS986" s="26">
        <f t="shared" ca="1" si="215"/>
        <v>3.5036355559461052E-2</v>
      </c>
      <c r="AT986" s="29">
        <v>0</v>
      </c>
      <c r="AV986" s="22">
        <v>45531</v>
      </c>
      <c r="AW986" s="26">
        <f t="shared" ca="1" si="216"/>
        <v>0.39247292439239279</v>
      </c>
      <c r="AX986" s="29">
        <v>0</v>
      </c>
      <c r="AZ986" s="22">
        <v>45531</v>
      </c>
      <c r="BA986" s="26">
        <f t="shared" ca="1" si="217"/>
        <v>0.38589341227934959</v>
      </c>
      <c r="BB986" s="29">
        <v>0</v>
      </c>
      <c r="BC986"/>
      <c r="BD986" s="25"/>
      <c r="BF986" s="22">
        <v>45531</v>
      </c>
      <c r="BG986" s="26">
        <f t="shared" ca="1" si="218"/>
        <v>0.63488180569601016</v>
      </c>
      <c r="BH986" s="29">
        <v>0</v>
      </c>
      <c r="BJ986" s="22">
        <v>45531</v>
      </c>
      <c r="BK986" s="26">
        <f t="shared" ca="1" si="219"/>
        <v>0.70064429365807146</v>
      </c>
      <c r="BL986" s="29">
        <v>0</v>
      </c>
      <c r="BN986" s="22">
        <v>45531</v>
      </c>
      <c r="BO986" s="26">
        <f t="shared" ca="1" si="220"/>
        <v>0.95175589741958222</v>
      </c>
      <c r="BP986" s="29">
        <v>0</v>
      </c>
      <c r="BR986" s="22">
        <v>45531</v>
      </c>
      <c r="BS986" s="26">
        <f t="shared" ca="1" si="221"/>
        <v>4.4664707012688876E-2</v>
      </c>
      <c r="BT986" s="29">
        <v>0</v>
      </c>
      <c r="BV986" s="22">
        <v>45531</v>
      </c>
      <c r="BW986" s="26">
        <f t="shared" ca="1" si="222"/>
        <v>0.46364849112043005</v>
      </c>
      <c r="BX986" s="29">
        <v>0</v>
      </c>
    </row>
    <row r="987" spans="2:77" ht="12.75" x14ac:dyDescent="0.2">
      <c r="B987" s="22">
        <v>45532</v>
      </c>
      <c r="C987" s="26">
        <f t="shared" ca="1" si="241"/>
        <v>0.62924678938696887</v>
      </c>
      <c r="D987" s="29">
        <v>0</v>
      </c>
      <c r="F987" s="22"/>
      <c r="G987" s="26">
        <f t="shared" ca="1" si="206"/>
        <v>0.90638716909272743</v>
      </c>
      <c r="H987" s="29">
        <v>0</v>
      </c>
      <c r="J987" s="22">
        <v>45532</v>
      </c>
      <c r="K987" s="26">
        <f t="shared" ca="1" si="207"/>
        <v>0.50488285302088398</v>
      </c>
      <c r="L987" s="29">
        <v>0</v>
      </c>
      <c r="N987" s="22">
        <v>45532</v>
      </c>
      <c r="O987" s="26">
        <f t="shared" ca="1" si="208"/>
        <v>0.96996851979105592</v>
      </c>
      <c r="P987" s="29">
        <v>0</v>
      </c>
      <c r="R987" s="22">
        <v>45532</v>
      </c>
      <c r="S987" s="26">
        <f t="shared" ca="1" si="209"/>
        <v>0.27195095101427869</v>
      </c>
      <c r="T987" s="29">
        <v>0</v>
      </c>
      <c r="V987" s="22">
        <v>45532</v>
      </c>
      <c r="W987" s="26">
        <f t="shared" ca="1" si="210"/>
        <v>0.9805705213901954</v>
      </c>
      <c r="X987" s="29">
        <v>0</v>
      </c>
      <c r="Z987" s="22">
        <v>45532</v>
      </c>
      <c r="AA987" s="26">
        <f t="shared" ca="1" si="211"/>
        <v>0.34688140396168232</v>
      </c>
      <c r="AB987" s="29">
        <v>0</v>
      </c>
      <c r="AC987"/>
      <c r="AD987" s="25"/>
      <c r="AF987" s="22">
        <v>45532</v>
      </c>
      <c r="AG987" s="26">
        <f t="shared" ca="1" si="212"/>
        <v>0.20305307328915734</v>
      </c>
      <c r="AH987" s="29">
        <v>0</v>
      </c>
      <c r="AJ987" s="22">
        <v>45532</v>
      </c>
      <c r="AK987" s="26">
        <f t="shared" ca="1" si="213"/>
        <v>0.63721178377528687</v>
      </c>
      <c r="AL987" s="29">
        <v>0</v>
      </c>
      <c r="AN987" s="22">
        <v>45532</v>
      </c>
      <c r="AO987" s="26">
        <f t="shared" ca="1" si="214"/>
        <v>0.91235048773170457</v>
      </c>
      <c r="AP987" s="29">
        <v>0</v>
      </c>
      <c r="AR987" s="22">
        <v>45532</v>
      </c>
      <c r="AS987" s="26">
        <f t="shared" ca="1" si="215"/>
        <v>0.26077601985769849</v>
      </c>
      <c r="AT987" s="29">
        <v>0</v>
      </c>
      <c r="AV987" s="22">
        <v>45532</v>
      </c>
      <c r="AW987" s="26">
        <f t="shared" ca="1" si="216"/>
        <v>0.53677673157090533</v>
      </c>
      <c r="AX987" s="29">
        <v>0</v>
      </c>
      <c r="AZ987" s="22">
        <v>45532</v>
      </c>
      <c r="BA987" s="26">
        <f t="shared" ca="1" si="217"/>
        <v>6.3291257540089019E-3</v>
      </c>
      <c r="BB987" s="29">
        <v>0</v>
      </c>
      <c r="BC987"/>
      <c r="BD987" s="25"/>
      <c r="BF987" s="22">
        <v>45532</v>
      </c>
      <c r="BG987" s="26">
        <f t="shared" ca="1" si="218"/>
        <v>0.92170986061183802</v>
      </c>
      <c r="BH987" s="29">
        <v>0</v>
      </c>
      <c r="BJ987" s="22">
        <v>45532</v>
      </c>
      <c r="BK987" s="26">
        <f t="shared" ca="1" si="219"/>
        <v>0.28189525612473121</v>
      </c>
      <c r="BL987" s="29">
        <v>0</v>
      </c>
      <c r="BN987" s="22">
        <v>45532</v>
      </c>
      <c r="BO987" s="26">
        <f t="shared" ca="1" si="220"/>
        <v>0.17986109195298339</v>
      </c>
      <c r="BP987" s="29">
        <v>0</v>
      </c>
      <c r="BR987" s="22">
        <v>45532</v>
      </c>
      <c r="BS987" s="26">
        <f t="shared" ca="1" si="221"/>
        <v>0.76452999310962877</v>
      </c>
      <c r="BT987" s="29">
        <v>0</v>
      </c>
      <c r="BV987" s="22">
        <v>45532</v>
      </c>
      <c r="BW987" s="26">
        <f t="shared" ca="1" si="222"/>
        <v>0.66628873558997503</v>
      </c>
      <c r="BX987" s="29">
        <v>0</v>
      </c>
    </row>
    <row r="988" spans="2:77" ht="12.75" x14ac:dyDescent="0.2">
      <c r="B988" s="22">
        <v>45533</v>
      </c>
      <c r="C988" s="26">
        <f t="shared" ca="1" si="241"/>
        <v>0.95789990328962671</v>
      </c>
      <c r="D988" s="29">
        <v>0</v>
      </c>
      <c r="F988" s="22"/>
      <c r="G988" s="26">
        <f t="shared" ca="1" si="206"/>
        <v>0.8773335821816316</v>
      </c>
      <c r="H988" s="29">
        <v>0</v>
      </c>
      <c r="J988" s="22">
        <v>45533</v>
      </c>
      <c r="K988" s="26">
        <f t="shared" ca="1" si="207"/>
        <v>0.70572030869286184</v>
      </c>
      <c r="L988" s="29">
        <v>0</v>
      </c>
      <c r="N988" s="22">
        <v>45533</v>
      </c>
      <c r="O988" s="26">
        <f t="shared" ca="1" si="208"/>
        <v>0.27969184831801475</v>
      </c>
      <c r="P988" s="29">
        <v>0</v>
      </c>
      <c r="R988" s="22">
        <v>45533</v>
      </c>
      <c r="S988" s="26">
        <f t="shared" ca="1" si="209"/>
        <v>7.0638984436656505E-2</v>
      </c>
      <c r="T988" s="29">
        <v>0</v>
      </c>
      <c r="V988" s="22">
        <v>45533</v>
      </c>
      <c r="W988" s="26">
        <f t="shared" ca="1" si="210"/>
        <v>0.21437009669373264</v>
      </c>
      <c r="X988" s="29">
        <v>0</v>
      </c>
      <c r="Z988" s="22">
        <v>45533</v>
      </c>
      <c r="AA988" s="26">
        <f t="shared" ca="1" si="211"/>
        <v>0.45175725684741808</v>
      </c>
      <c r="AB988" s="29">
        <v>0</v>
      </c>
      <c r="AC988"/>
      <c r="AD988" s="25"/>
      <c r="AF988" s="22">
        <v>45533</v>
      </c>
      <c r="AG988" s="26">
        <f t="shared" ca="1" si="212"/>
        <v>0.78011961409724595</v>
      </c>
      <c r="AH988" s="29">
        <v>0</v>
      </c>
      <c r="AJ988" s="22">
        <v>45533</v>
      </c>
      <c r="AK988" s="26">
        <f t="shared" ca="1" si="213"/>
        <v>0.62732256210813775</v>
      </c>
      <c r="AL988" s="29">
        <v>0</v>
      </c>
      <c r="AN988" s="22">
        <v>45533</v>
      </c>
      <c r="AO988" s="26">
        <f t="shared" ca="1" si="214"/>
        <v>0.42353551423137048</v>
      </c>
      <c r="AP988" s="29">
        <v>0</v>
      </c>
      <c r="AR988" s="22">
        <v>45533</v>
      </c>
      <c r="AS988" s="26">
        <f t="shared" ca="1" si="215"/>
        <v>9.842418797283603E-2</v>
      </c>
      <c r="AT988" s="29">
        <v>0</v>
      </c>
      <c r="AV988" s="22">
        <v>45533</v>
      </c>
      <c r="AW988" s="26">
        <f t="shared" ca="1" si="216"/>
        <v>0.29328024700740063</v>
      </c>
      <c r="AX988" s="29">
        <v>0</v>
      </c>
      <c r="AZ988" s="22">
        <v>45533</v>
      </c>
      <c r="BA988" s="26">
        <f t="shared" ca="1" si="217"/>
        <v>6.8465726027280516E-2</v>
      </c>
      <c r="BB988" s="29">
        <v>0</v>
      </c>
      <c r="BC988"/>
      <c r="BD988" s="25"/>
      <c r="BF988" s="22">
        <v>45533</v>
      </c>
      <c r="BG988" s="26">
        <f t="shared" ca="1" si="218"/>
        <v>0.42602212872800993</v>
      </c>
      <c r="BH988" s="29">
        <v>0</v>
      </c>
      <c r="BJ988" s="22">
        <v>45533</v>
      </c>
      <c r="BK988" s="26">
        <f t="shared" ca="1" si="219"/>
        <v>0.47949592238334549</v>
      </c>
      <c r="BL988" s="29">
        <v>0</v>
      </c>
      <c r="BN988" s="22">
        <v>45533</v>
      </c>
      <c r="BO988" s="26">
        <f t="shared" ca="1" si="220"/>
        <v>0.78944822875388243</v>
      </c>
      <c r="BP988" s="29">
        <v>0</v>
      </c>
      <c r="BR988" s="22">
        <v>45533</v>
      </c>
      <c r="BS988" s="26">
        <f t="shared" ca="1" si="221"/>
        <v>0.51696081559728002</v>
      </c>
      <c r="BT988" s="29">
        <v>0</v>
      </c>
      <c r="BV988" s="22">
        <v>45533</v>
      </c>
      <c r="BW988" s="26">
        <f t="shared" ca="1" si="222"/>
        <v>0.38998409346717045</v>
      </c>
      <c r="BX988" s="29">
        <v>0</v>
      </c>
    </row>
    <row r="989" spans="2:77" ht="12.75" x14ac:dyDescent="0.2">
      <c r="B989" s="22">
        <v>45534</v>
      </c>
      <c r="C989" s="26">
        <f t="shared" ca="1" si="241"/>
        <v>4.4709918785024727E-2</v>
      </c>
      <c r="D989" s="29">
        <v>0</v>
      </c>
      <c r="F989" s="22"/>
      <c r="G989" s="26">
        <f t="shared" ca="1" si="206"/>
        <v>0.40756210044092611</v>
      </c>
      <c r="H989" s="29">
        <v>0</v>
      </c>
      <c r="J989" s="22">
        <v>45534</v>
      </c>
      <c r="K989" s="26">
        <f t="shared" ca="1" si="207"/>
        <v>0.72948321374213732</v>
      </c>
      <c r="L989" s="29">
        <v>0</v>
      </c>
      <c r="N989" s="22">
        <v>45534</v>
      </c>
      <c r="O989" s="26">
        <f t="shared" ca="1" si="208"/>
        <v>0.17631046411149942</v>
      </c>
      <c r="P989" s="29">
        <v>0</v>
      </c>
      <c r="R989" s="22">
        <v>45534</v>
      </c>
      <c r="S989" s="26">
        <f t="shared" ca="1" si="209"/>
        <v>0.82843093455004879</v>
      </c>
      <c r="T989" s="29">
        <v>0</v>
      </c>
      <c r="V989" s="22">
        <v>45534</v>
      </c>
      <c r="W989" s="26">
        <f t="shared" ca="1" si="210"/>
        <v>0.85401281026175757</v>
      </c>
      <c r="X989" s="29">
        <v>0</v>
      </c>
      <c r="Z989" s="22">
        <v>45534</v>
      </c>
      <c r="AA989" s="26">
        <f t="shared" ca="1" si="211"/>
        <v>0.48164639006820165</v>
      </c>
      <c r="AB989" s="29">
        <v>0</v>
      </c>
      <c r="AC989"/>
      <c r="AD989" s="25"/>
      <c r="AF989" s="22">
        <v>45534</v>
      </c>
      <c r="AG989" s="26">
        <f t="shared" ca="1" si="212"/>
        <v>0.18470892113940141</v>
      </c>
      <c r="AH989" s="29">
        <v>0</v>
      </c>
      <c r="AJ989" s="22">
        <v>45534</v>
      </c>
      <c r="AK989" s="26">
        <f t="shared" ca="1" si="213"/>
        <v>0.24992393528436507</v>
      </c>
      <c r="AL989" s="29">
        <v>0</v>
      </c>
      <c r="AN989" s="22">
        <v>45534</v>
      </c>
      <c r="AO989" s="26">
        <f t="shared" ca="1" si="214"/>
        <v>0.5674013715579157</v>
      </c>
      <c r="AP989" s="29">
        <v>0</v>
      </c>
      <c r="AR989" s="22">
        <v>45534</v>
      </c>
      <c r="AS989" s="26">
        <f t="shared" ca="1" si="215"/>
        <v>0.54282073977435485</v>
      </c>
      <c r="AT989" s="29">
        <v>0</v>
      </c>
      <c r="AV989" s="22">
        <v>45534</v>
      </c>
      <c r="AW989" s="26">
        <f t="shared" ca="1" si="216"/>
        <v>0.60050508747562314</v>
      </c>
      <c r="AX989" s="29">
        <v>0</v>
      </c>
      <c r="AZ989" s="22">
        <v>45534</v>
      </c>
      <c r="BA989" s="26">
        <f t="shared" ca="1" si="217"/>
        <v>0.134882111781914</v>
      </c>
      <c r="BB989" s="29">
        <v>0</v>
      </c>
      <c r="BC989"/>
      <c r="BD989" s="25"/>
      <c r="BF989" s="22">
        <v>45534</v>
      </c>
      <c r="BG989" s="26">
        <f t="shared" ca="1" si="218"/>
        <v>0.94321576776978788</v>
      </c>
      <c r="BH989" s="29">
        <v>0</v>
      </c>
      <c r="BJ989" s="22">
        <v>45534</v>
      </c>
      <c r="BK989" s="26">
        <f t="shared" ca="1" si="219"/>
        <v>0.17153855109907634</v>
      </c>
      <c r="BL989" s="29">
        <v>0</v>
      </c>
      <c r="BN989" s="22">
        <v>45534</v>
      </c>
      <c r="BO989" s="26">
        <f t="shared" ca="1" si="220"/>
        <v>0.55247267379519538</v>
      </c>
      <c r="BP989" s="29">
        <v>0</v>
      </c>
      <c r="BR989" s="22">
        <v>45534</v>
      </c>
      <c r="BS989" s="26">
        <f t="shared" ca="1" si="221"/>
        <v>0.23946377214345138</v>
      </c>
      <c r="BT989" s="29">
        <v>0</v>
      </c>
      <c r="BV989" s="22">
        <v>45534</v>
      </c>
      <c r="BW989" s="26">
        <f t="shared" ca="1" si="222"/>
        <v>0.75809636832665273</v>
      </c>
      <c r="BX989" s="29">
        <v>0</v>
      </c>
    </row>
    <row r="990" spans="2:77" ht="12.75" x14ac:dyDescent="0.2">
      <c r="B990" s="22">
        <v>45535</v>
      </c>
      <c r="C990" s="26">
        <f t="shared" ca="1" si="241"/>
        <v>0.35210418405034583</v>
      </c>
      <c r="D990" s="29">
        <f t="shared" ref="D990:D1035" ca="1" si="242">ROUNDUP(_xlfn.NORM.INV(C990,C$10,C$12),0)</f>
        <v>68</v>
      </c>
      <c r="E990">
        <v>113</v>
      </c>
      <c r="F990" s="22"/>
      <c r="G990" s="26">
        <f t="shared" ca="1" si="206"/>
        <v>0.56452251390352959</v>
      </c>
      <c r="H990" s="29">
        <f t="shared" ref="H990:H1035" ca="1" si="243">ROUNDUP(_xlfn.NORM.INV(G990,G$10,G$12),0)</f>
        <v>218</v>
      </c>
      <c r="I990">
        <v>55</v>
      </c>
      <c r="J990" s="22">
        <v>45535</v>
      </c>
      <c r="K990" s="26">
        <f t="shared" ca="1" si="207"/>
        <v>8.9228263794667306E-2</v>
      </c>
      <c r="L990" s="29">
        <f t="shared" ref="L990:L1035" ca="1" si="244">ROUNDUP(_xlfn.NORM.INV(K990,K$10,K$12),0)</f>
        <v>137</v>
      </c>
      <c r="M990">
        <v>159</v>
      </c>
      <c r="N990" s="22">
        <v>45535</v>
      </c>
      <c r="O990" s="26">
        <f t="shared" ca="1" si="208"/>
        <v>0.33321698140384548</v>
      </c>
      <c r="P990" s="29">
        <f t="shared" ref="P990:P1035" ca="1" si="245">ROUNDUP(_xlfn.NORM.INV(O990,O$10,O$12),0)</f>
        <v>223</v>
      </c>
      <c r="Q990">
        <v>227</v>
      </c>
      <c r="R990" s="22">
        <v>45535</v>
      </c>
      <c r="S990" s="26">
        <f t="shared" ca="1" si="209"/>
        <v>0.24392092953014366</v>
      </c>
      <c r="T990" s="29">
        <f t="shared" ref="T990:T1035" ca="1" si="246">ROUNDUP(_xlfn.NORM.INV(S990,S$10,S$12),0)</f>
        <v>133</v>
      </c>
      <c r="U990">
        <v>165</v>
      </c>
      <c r="V990" s="22">
        <v>45535</v>
      </c>
      <c r="W990" s="26">
        <f t="shared" ca="1" si="210"/>
        <v>0.58343491881858367</v>
      </c>
      <c r="X990" s="29">
        <f t="shared" ref="X990:X1035" ca="1" si="247">ROUNDUP(_xlfn.NORM.INV(W990,W$10,W$12),0)</f>
        <v>229</v>
      </c>
      <c r="Y990">
        <v>212</v>
      </c>
      <c r="Z990" s="22">
        <v>45535</v>
      </c>
      <c r="AA990" s="26">
        <f t="shared" ca="1" si="211"/>
        <v>0.41493027727131515</v>
      </c>
      <c r="AB990" s="29">
        <f t="shared" ref="AB990:AB1035" ca="1" si="248">ROUNDUP(_xlfn.NORM.INV(AA990,AA$10,AA$12),0)</f>
        <v>267</v>
      </c>
      <c r="AC990">
        <v>268</v>
      </c>
      <c r="AD990" s="25"/>
      <c r="AF990" s="22">
        <v>45535</v>
      </c>
      <c r="AG990" s="26">
        <f t="shared" ca="1" si="212"/>
        <v>0.85415872772303925</v>
      </c>
      <c r="AH990" s="29">
        <f t="shared" ref="AH990:AH1035" ca="1" si="249">ROUNDUP(_xlfn.NORM.INV(AG990,AG$10,AG$12),0)</f>
        <v>419</v>
      </c>
      <c r="AI990">
        <v>366</v>
      </c>
      <c r="AJ990" s="22">
        <v>45535</v>
      </c>
      <c r="AK990" s="26">
        <f t="shared" ca="1" si="213"/>
        <v>0.97470846477927497</v>
      </c>
      <c r="AL990" s="29">
        <f t="shared" ref="AL990:AL1035" ca="1" si="250">ROUNDUP(_xlfn.NORM.INV(AK990,AK$10,AK$12),0)</f>
        <v>274</v>
      </c>
      <c r="AM990">
        <v>153</v>
      </c>
      <c r="AN990" s="22">
        <v>45535</v>
      </c>
      <c r="AO990" s="26">
        <f t="shared" ca="1" si="214"/>
        <v>0.70797785950324077</v>
      </c>
      <c r="AP990" s="29">
        <f t="shared" ref="AP990:AP1035" ca="1" si="251">ROUNDUP(_xlfn.NORM.INV(AO990,AO$10,AO$12),0)</f>
        <v>169</v>
      </c>
      <c r="AQ990">
        <v>202</v>
      </c>
      <c r="AR990" s="22">
        <v>45535</v>
      </c>
      <c r="AS990" s="26">
        <f t="shared" ca="1" si="215"/>
        <v>0.3890827571973976</v>
      </c>
      <c r="AT990" s="29">
        <f t="shared" ref="AT990:AT1035" ca="1" si="252">ROUNDUP(_xlfn.NORM.INV(AS990,AS$10,AS$12),0)</f>
        <v>201</v>
      </c>
      <c r="AU990">
        <v>206</v>
      </c>
      <c r="AV990" s="22">
        <v>45535</v>
      </c>
      <c r="AW990" s="26">
        <f t="shared" ca="1" si="216"/>
        <v>0.8806904540180055</v>
      </c>
      <c r="AX990" s="29">
        <f t="shared" ref="AX990:AX1035" ca="1" si="253">ROUNDUP(_xlfn.NORM.INV(AW990,AW$10,AW$12),0)</f>
        <v>252</v>
      </c>
      <c r="AY990">
        <v>199</v>
      </c>
      <c r="AZ990" s="22">
        <v>45535</v>
      </c>
      <c r="BA990" s="26">
        <f t="shared" ca="1" si="217"/>
        <v>0.81435512869447824</v>
      </c>
      <c r="BB990" s="29">
        <f t="shared" ref="BB990:BB1035" ca="1" si="254">ROUNDUP(_xlfn.NORM.INV(BA990,BA$10,BA$12),0)</f>
        <v>223</v>
      </c>
      <c r="BC990">
        <v>137</v>
      </c>
      <c r="BD990" s="25"/>
      <c r="BF990" s="22">
        <v>45535</v>
      </c>
      <c r="BG990" s="26">
        <f t="shared" ca="1" si="218"/>
        <v>0.8536267687593766</v>
      </c>
      <c r="BH990" s="29">
        <f t="shared" ref="BH990:BH1035" ca="1" si="255">ROUNDUP(_xlfn.NORM.INV(BG990,BG$10,BG$12),0)</f>
        <v>205</v>
      </c>
      <c r="BI990">
        <v>109</v>
      </c>
      <c r="BJ990" s="22">
        <v>45535</v>
      </c>
      <c r="BK990" s="26">
        <f t="shared" ca="1" si="219"/>
        <v>7.6206469081236961E-3</v>
      </c>
      <c r="BL990" s="29">
        <f t="shared" ref="BL990:BL1035" ca="1" si="256">ROUNDUP(_xlfn.NORM.INV(BK990,BK$10,BK$12),0)</f>
        <v>59</v>
      </c>
      <c r="BM990">
        <v>127</v>
      </c>
      <c r="BN990" s="22">
        <v>45535</v>
      </c>
      <c r="BO990" s="26">
        <f t="shared" ca="1" si="220"/>
        <v>0.30950936255263728</v>
      </c>
      <c r="BP990" s="29">
        <f t="shared" ref="BP990:BP1035" ca="1" si="257">ROUNDUP(_xlfn.NORM.INV(BO990,BO$10,BO$12),0)</f>
        <v>114</v>
      </c>
      <c r="BQ990">
        <v>145</v>
      </c>
      <c r="BR990" s="22">
        <v>45535</v>
      </c>
      <c r="BS990" s="26">
        <f t="shared" ca="1" si="221"/>
        <v>0.13377955470589531</v>
      </c>
      <c r="BT990" s="29">
        <f t="shared" ref="BT990:BT1035" ca="1" si="258">ROUNDUP(_xlfn.NORM.INV(BS990,BS$10,BS$12),0)</f>
        <v>123</v>
      </c>
      <c r="BU990">
        <v>133</v>
      </c>
      <c r="BV990" s="22">
        <v>45535</v>
      </c>
      <c r="BW990" s="26">
        <f t="shared" ca="1" si="222"/>
        <v>0.96204658757515871</v>
      </c>
      <c r="BX990" s="29">
        <f t="shared" ref="BX990:BX1035" ca="1" si="259">ROUNDUP(_xlfn.NORM.INV(BW990,BW$10,BW$12),0)</f>
        <v>271</v>
      </c>
      <c r="BY990">
        <v>215</v>
      </c>
    </row>
    <row r="991" spans="2:77" ht="12.75" x14ac:dyDescent="0.2">
      <c r="B991" s="22">
        <v>45536</v>
      </c>
      <c r="C991" s="26">
        <f t="shared" ca="1" si="241"/>
        <v>0.69790389185688984</v>
      </c>
      <c r="D991" s="29">
        <f ca="1">ROUNDUP(_xlfn.NORM.INV(C990,C$10,C$12),0)</f>
        <v>68</v>
      </c>
      <c r="F991" s="22"/>
      <c r="G991" s="26">
        <f t="shared" ca="1" si="206"/>
        <v>0.70335424276785841</v>
      </c>
      <c r="H991" s="29">
        <f ca="1">ROUNDUP(_xlfn.NORM.INV(G990,G$10,G$12),0)</f>
        <v>218</v>
      </c>
      <c r="I991">
        <v>0</v>
      </c>
      <c r="J991" s="22">
        <v>45536</v>
      </c>
      <c r="K991" s="26">
        <f t="shared" ca="1" si="207"/>
        <v>0.71809368840571719</v>
      </c>
      <c r="L991" s="29">
        <f ca="1">ROUNDUP(_xlfn.NORM.INV(K990,K$10,K$12),0)</f>
        <v>137</v>
      </c>
      <c r="N991" s="22">
        <v>45536</v>
      </c>
      <c r="O991" s="26">
        <f t="shared" ca="1" si="208"/>
        <v>0.6958464917999424</v>
      </c>
      <c r="P991" s="29">
        <f ca="1">ROUNDUP(_xlfn.NORM.INV(O990,O$10,O$12),0)</f>
        <v>223</v>
      </c>
      <c r="R991" s="22">
        <v>45536</v>
      </c>
      <c r="S991" s="26">
        <f t="shared" ca="1" si="209"/>
        <v>0.18241131481586137</v>
      </c>
      <c r="T991" s="29">
        <f ca="1">ROUNDUP(_xlfn.NORM.INV(S990,S$10,S$12),0)</f>
        <v>133</v>
      </c>
      <c r="V991" s="22">
        <v>45536</v>
      </c>
      <c r="W991" s="26">
        <f t="shared" ca="1" si="210"/>
        <v>0.20725549036428392</v>
      </c>
      <c r="X991" s="29">
        <f ca="1">ROUNDUP(_xlfn.NORM.INV(W990,W$10,W$12),0)</f>
        <v>229</v>
      </c>
      <c r="Z991" s="22">
        <v>45536</v>
      </c>
      <c r="AA991" s="26">
        <f t="shared" ca="1" si="211"/>
        <v>0.29632668129703754</v>
      </c>
      <c r="AB991" s="29">
        <f ca="1">ROUNDUP(_xlfn.NORM.INV(AA990,AA$10,AA$12),0)</f>
        <v>267</v>
      </c>
      <c r="AC991"/>
      <c r="AD991" s="25"/>
      <c r="AF991" s="22">
        <v>45536</v>
      </c>
      <c r="AG991" s="26">
        <f t="shared" ca="1" si="212"/>
        <v>0.68171468623283338</v>
      </c>
      <c r="AH991" s="29">
        <f ca="1">ROUNDUP(_xlfn.NORM.INV(AG990,AG$10,AG$12),0)</f>
        <v>419</v>
      </c>
      <c r="AJ991" s="22">
        <v>45536</v>
      </c>
      <c r="AK991" s="26">
        <f t="shared" ca="1" si="213"/>
        <v>0.56171965320276507</v>
      </c>
      <c r="AL991" s="29">
        <f ca="1">ROUNDUP(_xlfn.NORM.INV(AK990,AK$10,AK$12),0)</f>
        <v>274</v>
      </c>
      <c r="AN991" s="22">
        <v>45536</v>
      </c>
      <c r="AO991" s="26">
        <f t="shared" ca="1" si="214"/>
        <v>0.51265082232833403</v>
      </c>
      <c r="AP991" s="29">
        <f ca="1">ROUNDUP(_xlfn.NORM.INV(AO990,AO$10,AO$12),0)</f>
        <v>169</v>
      </c>
      <c r="AR991" s="22">
        <v>45536</v>
      </c>
      <c r="AS991" s="26">
        <f t="shared" ca="1" si="215"/>
        <v>0.57544432863192363</v>
      </c>
      <c r="AT991" s="29">
        <f ca="1">ROUNDUP(_xlfn.NORM.INV(AS990,AS$10,AS$12),0)</f>
        <v>201</v>
      </c>
      <c r="AV991" s="22">
        <v>45536</v>
      </c>
      <c r="AW991" s="26">
        <f t="shared" ca="1" si="216"/>
        <v>0.40261316896556731</v>
      </c>
      <c r="AX991" s="29">
        <f ca="1">ROUNDUP(_xlfn.NORM.INV(AW990,AW$10,AW$12),0)</f>
        <v>252</v>
      </c>
      <c r="AZ991" s="22">
        <v>45536</v>
      </c>
      <c r="BA991" s="26">
        <f t="shared" ca="1" si="217"/>
        <v>0.58656850055273568</v>
      </c>
      <c r="BB991" s="29">
        <f ca="1">ROUNDUP(_xlfn.NORM.INV(BA990,BA$10,BA$12),0)</f>
        <v>223</v>
      </c>
      <c r="BC991"/>
      <c r="BD991" s="25"/>
      <c r="BF991" s="22">
        <v>45536</v>
      </c>
      <c r="BG991" s="26">
        <f t="shared" ca="1" si="218"/>
        <v>0.20670815543857324</v>
      </c>
      <c r="BH991" s="29">
        <f ca="1">ROUNDUP(_xlfn.NORM.INV(BG990,BG$10,BG$12),0)</f>
        <v>205</v>
      </c>
      <c r="BJ991" s="22">
        <v>45536</v>
      </c>
      <c r="BK991" s="26">
        <f t="shared" ca="1" si="219"/>
        <v>0.84686821331942397</v>
      </c>
      <c r="BL991" s="29">
        <f ca="1">ROUNDUP(_xlfn.NORM.INV(BK990,BK$10,BK$12),0)</f>
        <v>59</v>
      </c>
      <c r="BN991" s="22">
        <v>45536</v>
      </c>
      <c r="BO991" s="26">
        <f t="shared" ca="1" si="220"/>
        <v>0.57541883448260656</v>
      </c>
      <c r="BP991" s="29">
        <f ca="1">ROUNDUP(_xlfn.NORM.INV(BO990,BO$10,BO$12),0)</f>
        <v>114</v>
      </c>
      <c r="BR991" s="22">
        <v>45536</v>
      </c>
      <c r="BS991" s="26">
        <f t="shared" ca="1" si="221"/>
        <v>0.37250037075950826</v>
      </c>
      <c r="BT991" s="29">
        <f ca="1">ROUNDUP(_xlfn.NORM.INV(BS990,BS$10,BS$12),0)</f>
        <v>123</v>
      </c>
      <c r="BV991" s="22">
        <v>45536</v>
      </c>
      <c r="BW991" s="26">
        <f t="shared" ca="1" si="222"/>
        <v>0.28454985264269272</v>
      </c>
      <c r="BX991" s="29">
        <f ca="1">ROUNDUP(_xlfn.NORM.INV(BW990,BW$10,BW$12),0)</f>
        <v>271</v>
      </c>
    </row>
    <row r="992" spans="2:77" ht="12.75" x14ac:dyDescent="0.2">
      <c r="B992" s="22">
        <v>45537</v>
      </c>
      <c r="C992" s="26">
        <f t="shared" ca="1" si="241"/>
        <v>0.73538385416710417</v>
      </c>
      <c r="D992" s="29">
        <f t="shared" ca="1" si="242"/>
        <v>88</v>
      </c>
      <c r="F992" s="22"/>
      <c r="G992" s="26">
        <f t="shared" ca="1" si="206"/>
        <v>0.6954890669689231</v>
      </c>
      <c r="H992" s="29">
        <f t="shared" ca="1" si="243"/>
        <v>223</v>
      </c>
      <c r="J992" s="22">
        <v>45537</v>
      </c>
      <c r="K992" s="26">
        <f t="shared" ca="1" si="207"/>
        <v>0.46499048065533211</v>
      </c>
      <c r="L992" s="29">
        <f t="shared" ca="1" si="244"/>
        <v>150</v>
      </c>
      <c r="N992" s="22">
        <v>45537</v>
      </c>
      <c r="O992" s="26">
        <f t="shared" ca="1" si="208"/>
        <v>0.25686438756492969</v>
      </c>
      <c r="P992" s="29">
        <f t="shared" ca="1" si="245"/>
        <v>220</v>
      </c>
      <c r="R992" s="22">
        <v>45537</v>
      </c>
      <c r="S992" s="26">
        <f t="shared" ca="1" si="209"/>
        <v>0.81333916801504302</v>
      </c>
      <c r="T992" s="29">
        <f t="shared" ca="1" si="246"/>
        <v>147</v>
      </c>
      <c r="V992" s="22">
        <v>45537</v>
      </c>
      <c r="W992" s="26">
        <f t="shared" ca="1" si="210"/>
        <v>0.44290572458899036</v>
      </c>
      <c r="X992" s="29">
        <f t="shared" ca="1" si="247"/>
        <v>223</v>
      </c>
      <c r="Z992" s="22">
        <v>45537</v>
      </c>
      <c r="AA992" s="26">
        <f t="shared" ca="1" si="211"/>
        <v>0.7974560060601219</v>
      </c>
      <c r="AB992" s="29">
        <f t="shared" ca="1" si="248"/>
        <v>285</v>
      </c>
      <c r="AC992"/>
      <c r="AD992" s="25"/>
      <c r="AF992" s="22">
        <v>45537</v>
      </c>
      <c r="AG992" s="26">
        <f t="shared" ca="1" si="212"/>
        <v>0.5709790887727354</v>
      </c>
      <c r="AH992" s="29">
        <f t="shared" ca="1" si="249"/>
        <v>343</v>
      </c>
      <c r="AJ992" s="22">
        <v>45537</v>
      </c>
      <c r="AK992" s="26">
        <f t="shared" ca="1" si="213"/>
        <v>0.6149090922972158</v>
      </c>
      <c r="AL992" s="29">
        <f t="shared" ca="1" si="250"/>
        <v>194</v>
      </c>
      <c r="AN992" s="22">
        <v>45537</v>
      </c>
      <c r="AO992" s="26">
        <f t="shared" ca="1" si="214"/>
        <v>3.0023333091522386E-2</v>
      </c>
      <c r="AP992" s="29">
        <f t="shared" ca="1" si="251"/>
        <v>74</v>
      </c>
      <c r="AR992" s="22">
        <v>45537</v>
      </c>
      <c r="AS992" s="26">
        <f t="shared" ca="1" si="215"/>
        <v>0.37321869429429799</v>
      </c>
      <c r="AT992" s="29">
        <f t="shared" ca="1" si="252"/>
        <v>199</v>
      </c>
      <c r="AV992" s="22">
        <v>45537</v>
      </c>
      <c r="AW992" s="26">
        <f t="shared" ca="1" si="216"/>
        <v>9.7084391561701455E-3</v>
      </c>
      <c r="AX992" s="29">
        <f t="shared" ca="1" si="253"/>
        <v>73</v>
      </c>
      <c r="AZ992" s="22">
        <v>45537</v>
      </c>
      <c r="BA992" s="26">
        <f t="shared" ca="1" si="217"/>
        <v>1.2631785507121962E-2</v>
      </c>
      <c r="BB992" s="29">
        <f t="shared" ca="1" si="254"/>
        <v>73</v>
      </c>
      <c r="BC992"/>
      <c r="BD992" s="25"/>
      <c r="BF992" s="22">
        <v>45537</v>
      </c>
      <c r="BG992" s="26">
        <f t="shared" ca="1" si="218"/>
        <v>0.77468399357988693</v>
      </c>
      <c r="BH992" s="29">
        <f t="shared" ca="1" si="255"/>
        <v>192</v>
      </c>
      <c r="BJ992" s="22">
        <v>45537</v>
      </c>
      <c r="BK992" s="26">
        <f t="shared" ca="1" si="219"/>
        <v>0.21499033484584984</v>
      </c>
      <c r="BL992" s="29">
        <f t="shared" ca="1" si="256"/>
        <v>130</v>
      </c>
      <c r="BN992" s="22">
        <v>45537</v>
      </c>
      <c r="BO992" s="26">
        <f t="shared" ca="1" si="220"/>
        <v>0.23201484890539881</v>
      </c>
      <c r="BP992" s="29">
        <f t="shared" ca="1" si="257"/>
        <v>106</v>
      </c>
      <c r="BR992" s="22">
        <v>45537</v>
      </c>
      <c r="BS992" s="26">
        <f t="shared" ca="1" si="221"/>
        <v>0.87710833442619063</v>
      </c>
      <c r="BT992" s="29">
        <f t="shared" ca="1" si="258"/>
        <v>228</v>
      </c>
      <c r="BV992" s="22">
        <v>45537</v>
      </c>
      <c r="BW992" s="26">
        <f t="shared" ca="1" si="222"/>
        <v>0.17200172530508195</v>
      </c>
      <c r="BX992" s="29">
        <f t="shared" ca="1" si="259"/>
        <v>138</v>
      </c>
    </row>
    <row r="993" spans="2:76" ht="12.75" x14ac:dyDescent="0.2">
      <c r="B993" s="22">
        <v>45538</v>
      </c>
      <c r="C993" s="26">
        <f t="shared" ca="1" si="241"/>
        <v>0.68636399897303291</v>
      </c>
      <c r="D993" s="29">
        <f t="shared" ca="1" si="242"/>
        <v>85</v>
      </c>
      <c r="F993" s="22"/>
      <c r="G993" s="26">
        <f t="shared" ca="1" si="206"/>
        <v>0.92641526175761846</v>
      </c>
      <c r="H993" s="29">
        <f t="shared" ca="1" si="243"/>
        <v>237</v>
      </c>
      <c r="J993" s="22">
        <v>45538</v>
      </c>
      <c r="K993" s="26">
        <f t="shared" ca="1" si="207"/>
        <v>0.6628421013792356</v>
      </c>
      <c r="L993" s="29">
        <f t="shared" ca="1" si="244"/>
        <v>155</v>
      </c>
      <c r="N993" s="22">
        <v>45538</v>
      </c>
      <c r="O993" s="26">
        <f t="shared" ca="1" si="208"/>
        <v>0.42088708923366658</v>
      </c>
      <c r="P993" s="29">
        <f t="shared" ca="1" si="245"/>
        <v>227</v>
      </c>
      <c r="R993" s="22">
        <v>45538</v>
      </c>
      <c r="S993" s="26">
        <f t="shared" ca="1" si="209"/>
        <v>0.97194027485068268</v>
      </c>
      <c r="T993" s="29">
        <f t="shared" ca="1" si="246"/>
        <v>157</v>
      </c>
      <c r="V993" s="22">
        <v>45538</v>
      </c>
      <c r="W993" s="26">
        <f t="shared" ca="1" si="210"/>
        <v>0.12570085072142134</v>
      </c>
      <c r="X993" s="29">
        <f t="shared" ca="1" si="247"/>
        <v>208</v>
      </c>
      <c r="Z993" s="22">
        <v>45538</v>
      </c>
      <c r="AA993" s="26">
        <f t="shared" ca="1" si="211"/>
        <v>0.71809051646958455</v>
      </c>
      <c r="AB993" s="29">
        <f t="shared" ca="1" si="248"/>
        <v>281</v>
      </c>
      <c r="AC993"/>
      <c r="AD993" s="25"/>
      <c r="AF993" s="22">
        <v>45538</v>
      </c>
      <c r="AG993" s="26">
        <f t="shared" ca="1" si="212"/>
        <v>3.3543659021402772E-2</v>
      </c>
      <c r="AH993" s="29">
        <f t="shared" ca="1" si="249"/>
        <v>168</v>
      </c>
      <c r="AJ993" s="22">
        <v>45538</v>
      </c>
      <c r="AK993" s="26">
        <f t="shared" ca="1" si="213"/>
        <v>0.14834509883886537</v>
      </c>
      <c r="AL993" s="29">
        <f t="shared" ca="1" si="250"/>
        <v>130</v>
      </c>
      <c r="AN993" s="22">
        <v>45538</v>
      </c>
      <c r="AO993" s="26">
        <f t="shared" ca="1" si="214"/>
        <v>0.19285504679747456</v>
      </c>
      <c r="AP993" s="29">
        <f t="shared" ca="1" si="251"/>
        <v>114</v>
      </c>
      <c r="AR993" s="22">
        <v>45538</v>
      </c>
      <c r="AS993" s="26">
        <f t="shared" ca="1" si="215"/>
        <v>0.69899028204940461</v>
      </c>
      <c r="AT993" s="29">
        <f t="shared" ca="1" si="252"/>
        <v>247</v>
      </c>
      <c r="AV993" s="22">
        <v>45538</v>
      </c>
      <c r="AW993" s="26">
        <f t="shared" ca="1" si="216"/>
        <v>0.65548154050639251</v>
      </c>
      <c r="AX993" s="29">
        <f t="shared" ca="1" si="253"/>
        <v>213</v>
      </c>
      <c r="AZ993" s="22">
        <v>45538</v>
      </c>
      <c r="BA993" s="26">
        <f t="shared" ca="1" si="217"/>
        <v>0.81395863156234916</v>
      </c>
      <c r="BB993" s="29">
        <f t="shared" ca="1" si="254"/>
        <v>223</v>
      </c>
      <c r="BC993"/>
      <c r="BD993" s="25"/>
      <c r="BF993" s="22">
        <v>45538</v>
      </c>
      <c r="BG993" s="26">
        <f t="shared" ca="1" si="218"/>
        <v>0.39280166603802358</v>
      </c>
      <c r="BH993" s="29">
        <f t="shared" ca="1" si="255"/>
        <v>149</v>
      </c>
      <c r="BJ993" s="22">
        <v>45538</v>
      </c>
      <c r="BK993" s="26">
        <f t="shared" ca="1" si="219"/>
        <v>3.6553456955907393E-2</v>
      </c>
      <c r="BL993" s="29">
        <f t="shared" ca="1" si="256"/>
        <v>86</v>
      </c>
      <c r="BN993" s="22">
        <v>45538</v>
      </c>
      <c r="BO993" s="26">
        <f t="shared" ca="1" si="220"/>
        <v>0.19868387941028587</v>
      </c>
      <c r="BP993" s="29">
        <f t="shared" ca="1" si="257"/>
        <v>102</v>
      </c>
      <c r="BR993" s="22">
        <v>45538</v>
      </c>
      <c r="BS993" s="26">
        <f t="shared" ca="1" si="221"/>
        <v>0.18737279628001102</v>
      </c>
      <c r="BT993" s="29">
        <f t="shared" ca="1" si="258"/>
        <v>133</v>
      </c>
      <c r="BV993" s="22">
        <v>45538</v>
      </c>
      <c r="BW993" s="26">
        <f t="shared" ca="1" si="222"/>
        <v>0.73270876414198816</v>
      </c>
      <c r="BX993" s="29">
        <f t="shared" ca="1" si="259"/>
        <v>214</v>
      </c>
    </row>
    <row r="994" spans="2:76" ht="12.75" x14ac:dyDescent="0.2">
      <c r="B994" s="22">
        <v>45539</v>
      </c>
      <c r="C994" s="26">
        <f t="shared" ca="1" si="241"/>
        <v>0.85043793846648497</v>
      </c>
      <c r="D994" s="29">
        <f t="shared" ca="1" si="242"/>
        <v>96</v>
      </c>
      <c r="F994" s="22"/>
      <c r="G994" s="26">
        <f t="shared" ref="G994:G1057" ca="1" si="260">RAND()</f>
        <v>0.34728930702418781</v>
      </c>
      <c r="H994" s="29">
        <f t="shared" ca="1" si="243"/>
        <v>210</v>
      </c>
      <c r="J994" s="22">
        <v>45539</v>
      </c>
      <c r="K994" s="26">
        <f t="shared" ref="K994:K1057" ca="1" si="261">RAND()</f>
        <v>0.9758772720511637</v>
      </c>
      <c r="L994" s="29">
        <f t="shared" ca="1" si="244"/>
        <v>170</v>
      </c>
      <c r="N994" s="22">
        <v>45539</v>
      </c>
      <c r="O994" s="26">
        <f t="shared" ref="O994:O1057" ca="1" si="262">RAND()</f>
        <v>0.32857936919603625</v>
      </c>
      <c r="P994" s="29">
        <f t="shared" ca="1" si="245"/>
        <v>223</v>
      </c>
      <c r="R994" s="22">
        <v>45539</v>
      </c>
      <c r="S994" s="26">
        <f t="shared" ref="S994:S1057" ca="1" si="263">RAND()</f>
        <v>0.92430639050065311</v>
      </c>
      <c r="T994" s="29">
        <f t="shared" ca="1" si="246"/>
        <v>153</v>
      </c>
      <c r="V994" s="22">
        <v>45539</v>
      </c>
      <c r="W994" s="26">
        <f t="shared" ref="W994:W1057" ca="1" si="264">RAND()</f>
        <v>0.4589856073769244</v>
      </c>
      <c r="X994" s="29">
        <f t="shared" ca="1" si="247"/>
        <v>224</v>
      </c>
      <c r="Z994" s="22">
        <v>45539</v>
      </c>
      <c r="AA994" s="26">
        <f t="shared" ref="AA994:AA1057" ca="1" si="265">RAND()</f>
        <v>0.37742939618576188</v>
      </c>
      <c r="AB994" s="29">
        <f t="shared" ca="1" si="248"/>
        <v>265</v>
      </c>
      <c r="AC994"/>
      <c r="AD994" s="25"/>
      <c r="AF994" s="22">
        <v>45539</v>
      </c>
      <c r="AG994" s="26">
        <f t="shared" ref="AG994:AG1057" ca="1" si="266">RAND()</f>
        <v>0.43286361757965708</v>
      </c>
      <c r="AH994" s="29">
        <f t="shared" ca="1" si="249"/>
        <v>313</v>
      </c>
      <c r="AJ994" s="22">
        <v>45539</v>
      </c>
      <c r="AK994" s="26">
        <f t="shared" ref="AK994:AK1057" ca="1" si="267">RAND()</f>
        <v>6.9299467176575646E-3</v>
      </c>
      <c r="AL994" s="29">
        <f t="shared" ca="1" si="250"/>
        <v>62</v>
      </c>
      <c r="AN994" s="22">
        <v>45539</v>
      </c>
      <c r="AO994" s="26">
        <f t="shared" ref="AO994:AO1057" ca="1" si="268">RAND()</f>
        <v>0.51848815958910943</v>
      </c>
      <c r="AP994" s="29">
        <f t="shared" ca="1" si="251"/>
        <v>149</v>
      </c>
      <c r="AR994" s="22">
        <v>45539</v>
      </c>
      <c r="AS994" s="26">
        <f t="shared" ref="AS994:AS1057" ca="1" si="269">RAND()</f>
        <v>0.17691726446442035</v>
      </c>
      <c r="AT994" s="29">
        <f t="shared" ca="1" si="252"/>
        <v>164</v>
      </c>
      <c r="AV994" s="22">
        <v>45539</v>
      </c>
      <c r="AW994" s="26">
        <f t="shared" ref="AW994:AW1057" ca="1" si="270">RAND()</f>
        <v>0.74009318405287905</v>
      </c>
      <c r="AX994" s="29">
        <f t="shared" ca="1" si="253"/>
        <v>225</v>
      </c>
      <c r="AZ994" s="22">
        <v>45539</v>
      </c>
      <c r="BA994" s="26">
        <f t="shared" ref="BA994:BA1057" ca="1" si="271">RAND()</f>
        <v>0.70509036435164119</v>
      </c>
      <c r="BB994" s="29">
        <f t="shared" ca="1" si="254"/>
        <v>206</v>
      </c>
      <c r="BC994"/>
      <c r="BD994" s="25"/>
      <c r="BF994" s="22">
        <v>45539</v>
      </c>
      <c r="BG994" s="26">
        <f t="shared" ref="BG994:BG1057" ca="1" si="272">RAND()</f>
        <v>0.35184867202793535</v>
      </c>
      <c r="BH994" s="29">
        <f t="shared" ca="1" si="255"/>
        <v>144</v>
      </c>
      <c r="BJ994" s="22">
        <v>45539</v>
      </c>
      <c r="BK994" s="26">
        <f t="shared" ref="BK994:BK1057" ca="1" si="273">RAND()</f>
        <v>0.71260349319438498</v>
      </c>
      <c r="BL994" s="29">
        <f t="shared" ca="1" si="256"/>
        <v>190</v>
      </c>
      <c r="BN994" s="22">
        <v>45539</v>
      </c>
      <c r="BO994" s="26">
        <f t="shared" ref="BO994:BO1057" ca="1" si="274">RAND()</f>
        <v>0.98140001675766431</v>
      </c>
      <c r="BP994" s="29">
        <f t="shared" ca="1" si="257"/>
        <v>204</v>
      </c>
      <c r="BR994" s="22">
        <v>45539</v>
      </c>
      <c r="BS994" s="26">
        <f t="shared" ref="BS994:BS1057" ca="1" si="275">RAND()</f>
        <v>0.48429000326684812</v>
      </c>
      <c r="BT994" s="29">
        <f t="shared" ca="1" si="258"/>
        <v>172</v>
      </c>
      <c r="BV994" s="22">
        <v>45539</v>
      </c>
      <c r="BW994" s="26">
        <f t="shared" ref="BW994:BW1057" ca="1" si="276">RAND()</f>
        <v>0.5204359100642677</v>
      </c>
      <c r="BX994" s="29">
        <f t="shared" ca="1" si="259"/>
        <v>186</v>
      </c>
    </row>
    <row r="995" spans="2:76" ht="12.75" x14ac:dyDescent="0.2">
      <c r="B995" s="22">
        <v>45540</v>
      </c>
      <c r="C995" s="26">
        <f t="shared" ca="1" si="241"/>
        <v>0.55688221731064647</v>
      </c>
      <c r="D995" s="29">
        <f t="shared" ca="1" si="242"/>
        <v>78</v>
      </c>
      <c r="F995" s="22"/>
      <c r="G995" s="26">
        <f t="shared" ca="1" si="260"/>
        <v>0.30275852922531432</v>
      </c>
      <c r="H995" s="29">
        <f t="shared" ca="1" si="243"/>
        <v>208</v>
      </c>
      <c r="J995" s="22">
        <v>45540</v>
      </c>
      <c r="K995" s="26">
        <f t="shared" ca="1" si="261"/>
        <v>0.90233679163339797</v>
      </c>
      <c r="L995" s="29">
        <f t="shared" ca="1" si="244"/>
        <v>163</v>
      </c>
      <c r="N995" s="22">
        <v>45540</v>
      </c>
      <c r="O995" s="26">
        <f t="shared" ca="1" si="262"/>
        <v>0.63204102455882794</v>
      </c>
      <c r="P995" s="29">
        <f t="shared" ca="1" si="245"/>
        <v>235</v>
      </c>
      <c r="R995" s="22">
        <v>45540</v>
      </c>
      <c r="S995" s="26">
        <f t="shared" ca="1" si="263"/>
        <v>0.48103922573357505</v>
      </c>
      <c r="T995" s="29">
        <f t="shared" ca="1" si="246"/>
        <v>139</v>
      </c>
      <c r="V995" s="22">
        <v>45540</v>
      </c>
      <c r="W995" s="26">
        <f t="shared" ca="1" si="264"/>
        <v>0.9407715975672627</v>
      </c>
      <c r="X995" s="29">
        <f t="shared" ca="1" si="247"/>
        <v>249</v>
      </c>
      <c r="Z995" s="22">
        <v>45540</v>
      </c>
      <c r="AA995" s="26">
        <f t="shared" ca="1" si="265"/>
        <v>0.15190663560051476</v>
      </c>
      <c r="AB995" s="29">
        <f t="shared" ca="1" si="248"/>
        <v>252</v>
      </c>
      <c r="AC995"/>
      <c r="AD995" s="25"/>
      <c r="AF995" s="22">
        <v>45540</v>
      </c>
      <c r="AG995" s="26">
        <f t="shared" ca="1" si="266"/>
        <v>0.39180020301971619</v>
      </c>
      <c r="AH995" s="29">
        <f t="shared" ca="1" si="249"/>
        <v>304</v>
      </c>
      <c r="AJ995" s="22">
        <v>45540</v>
      </c>
      <c r="AK995" s="26">
        <f t="shared" ca="1" si="267"/>
        <v>9.81074473830581E-2</v>
      </c>
      <c r="AL995" s="29">
        <f t="shared" ca="1" si="250"/>
        <v>118</v>
      </c>
      <c r="AN995" s="22">
        <v>45540</v>
      </c>
      <c r="AO995" s="26">
        <f t="shared" ca="1" si="268"/>
        <v>0.15716023038599347</v>
      </c>
      <c r="AP995" s="29">
        <f t="shared" ca="1" si="251"/>
        <v>108</v>
      </c>
      <c r="AR995" s="22">
        <v>45540</v>
      </c>
      <c r="AS995" s="26">
        <f t="shared" ca="1" si="269"/>
        <v>0.17250186318578464</v>
      </c>
      <c r="AT995" s="29">
        <f t="shared" ca="1" si="252"/>
        <v>163</v>
      </c>
      <c r="AV995" s="22">
        <v>45540</v>
      </c>
      <c r="AW995" s="26">
        <f t="shared" ca="1" si="270"/>
        <v>0.19465005535917457</v>
      </c>
      <c r="AX995" s="29">
        <f t="shared" ca="1" si="253"/>
        <v>148</v>
      </c>
      <c r="AZ995" s="22">
        <v>45540</v>
      </c>
      <c r="BA995" s="26">
        <f t="shared" ca="1" si="271"/>
        <v>1.8541159957488507E-2</v>
      </c>
      <c r="BB995" s="29">
        <f t="shared" ca="1" si="254"/>
        <v>80</v>
      </c>
      <c r="BC995"/>
      <c r="BD995" s="25"/>
      <c r="BF995" s="22">
        <v>45540</v>
      </c>
      <c r="BG995" s="26">
        <f t="shared" ca="1" si="272"/>
        <v>0.58135097547882431</v>
      </c>
      <c r="BH995" s="29">
        <f t="shared" ca="1" si="255"/>
        <v>169</v>
      </c>
      <c r="BJ995" s="22">
        <v>45540</v>
      </c>
      <c r="BK995" s="26">
        <f t="shared" ca="1" si="273"/>
        <v>0.61617704129068784</v>
      </c>
      <c r="BL995" s="29">
        <f t="shared" ca="1" si="256"/>
        <v>178</v>
      </c>
      <c r="BN995" s="22">
        <v>45540</v>
      </c>
      <c r="BO995" s="26">
        <f t="shared" ca="1" si="274"/>
        <v>0.8041335455945039</v>
      </c>
      <c r="BP995" s="29">
        <f t="shared" ca="1" si="257"/>
        <v>161</v>
      </c>
      <c r="BR995" s="22">
        <v>45540</v>
      </c>
      <c r="BS995" s="26">
        <f t="shared" ca="1" si="275"/>
        <v>0.42180956467955055</v>
      </c>
      <c r="BT995" s="29">
        <f t="shared" ca="1" si="258"/>
        <v>165</v>
      </c>
      <c r="BV995" s="22">
        <v>45540</v>
      </c>
      <c r="BW995" s="26">
        <f t="shared" ca="1" si="276"/>
        <v>0.17253445314565863</v>
      </c>
      <c r="BX995" s="29">
        <f t="shared" ca="1" si="259"/>
        <v>138</v>
      </c>
    </row>
    <row r="996" spans="2:76" ht="12.75" x14ac:dyDescent="0.2">
      <c r="B996" s="22">
        <v>45541</v>
      </c>
      <c r="C996" s="26">
        <f t="shared" ca="1" si="241"/>
        <v>0.17889789999258243</v>
      </c>
      <c r="D996" s="29">
        <f t="shared" ca="1" si="242"/>
        <v>57</v>
      </c>
      <c r="F996" s="22"/>
      <c r="G996" s="26">
        <f t="shared" ca="1" si="260"/>
        <v>0.46940465504860551</v>
      </c>
      <c r="H996" s="29">
        <f t="shared" ca="1" si="243"/>
        <v>215</v>
      </c>
      <c r="J996" s="22">
        <v>45541</v>
      </c>
      <c r="K996" s="26">
        <f t="shared" ca="1" si="261"/>
        <v>0.1782552455909594</v>
      </c>
      <c r="L996" s="29">
        <f t="shared" ca="1" si="244"/>
        <v>141</v>
      </c>
      <c r="N996" s="22">
        <v>45541</v>
      </c>
      <c r="O996" s="26">
        <f t="shared" ca="1" si="262"/>
        <v>0.50567624990718163</v>
      </c>
      <c r="P996" s="29">
        <f t="shared" ca="1" si="245"/>
        <v>230</v>
      </c>
      <c r="R996" s="22">
        <v>45541</v>
      </c>
      <c r="S996" s="26">
        <f t="shared" ca="1" si="263"/>
        <v>0.4633833104435624</v>
      </c>
      <c r="T996" s="29">
        <f t="shared" ca="1" si="246"/>
        <v>138</v>
      </c>
      <c r="V996" s="22">
        <v>45541</v>
      </c>
      <c r="W996" s="26">
        <f t="shared" ca="1" si="264"/>
        <v>0.80023997249331169</v>
      </c>
      <c r="X996" s="29">
        <f t="shared" ca="1" si="247"/>
        <v>238</v>
      </c>
      <c r="Z996" s="22">
        <v>45541</v>
      </c>
      <c r="AA996" s="26">
        <f t="shared" ca="1" si="265"/>
        <v>0.4188860552271938</v>
      </c>
      <c r="AB996" s="29">
        <f t="shared" ca="1" si="248"/>
        <v>267</v>
      </c>
      <c r="AC996"/>
      <c r="AD996" s="25"/>
      <c r="AF996" s="22">
        <v>45541</v>
      </c>
      <c r="AG996" s="26">
        <f t="shared" ca="1" si="266"/>
        <v>6.5014776684301112E-2</v>
      </c>
      <c r="AH996" s="29">
        <f t="shared" ca="1" si="249"/>
        <v>195</v>
      </c>
      <c r="AJ996" s="22">
        <v>45541</v>
      </c>
      <c r="AK996" s="26">
        <f t="shared" ca="1" si="267"/>
        <v>0.94567835677589762</v>
      </c>
      <c r="AL996" s="29">
        <f t="shared" ca="1" si="250"/>
        <v>257</v>
      </c>
      <c r="AN996" s="22">
        <v>45541</v>
      </c>
      <c r="AO996" s="26">
        <f t="shared" ca="1" si="268"/>
        <v>0.9088297666344477</v>
      </c>
      <c r="AP996" s="29">
        <f t="shared" ca="1" si="251"/>
        <v>200</v>
      </c>
      <c r="AR996" s="22">
        <v>45541</v>
      </c>
      <c r="AS996" s="26">
        <f t="shared" ca="1" si="269"/>
        <v>0.21158303812158608</v>
      </c>
      <c r="AT996" s="29">
        <f t="shared" ca="1" si="252"/>
        <v>171</v>
      </c>
      <c r="AV996" s="22">
        <v>45541</v>
      </c>
      <c r="AW996" s="26">
        <f t="shared" ca="1" si="270"/>
        <v>0.20607499719696998</v>
      </c>
      <c r="AX996" s="29">
        <f t="shared" ca="1" si="253"/>
        <v>150</v>
      </c>
      <c r="AZ996" s="22">
        <v>45541</v>
      </c>
      <c r="BA996" s="26">
        <f t="shared" ca="1" si="271"/>
        <v>0.71516846956225977</v>
      </c>
      <c r="BB996" s="29">
        <f t="shared" ca="1" si="254"/>
        <v>208</v>
      </c>
      <c r="BC996"/>
      <c r="BD996" s="25"/>
      <c r="BF996" s="22">
        <v>45541</v>
      </c>
      <c r="BG996" s="26">
        <f t="shared" ca="1" si="272"/>
        <v>0.76854331113565677</v>
      </c>
      <c r="BH996" s="29">
        <f t="shared" ca="1" si="255"/>
        <v>191</v>
      </c>
      <c r="BJ996" s="22">
        <v>45541</v>
      </c>
      <c r="BK996" s="26">
        <f t="shared" ca="1" si="273"/>
        <v>0.3331596498847067</v>
      </c>
      <c r="BL996" s="29">
        <f t="shared" ca="1" si="256"/>
        <v>146</v>
      </c>
      <c r="BN996" s="22">
        <v>45541</v>
      </c>
      <c r="BO996" s="26">
        <f t="shared" ca="1" si="274"/>
        <v>0.74868607849093416</v>
      </c>
      <c r="BP996" s="29">
        <f t="shared" ca="1" si="257"/>
        <v>155</v>
      </c>
      <c r="BR996" s="22">
        <v>45541</v>
      </c>
      <c r="BS996" s="26">
        <f t="shared" ca="1" si="275"/>
        <v>0.52290870012018975</v>
      </c>
      <c r="BT996" s="29">
        <f t="shared" ca="1" si="258"/>
        <v>177</v>
      </c>
      <c r="BV996" s="22">
        <v>45541</v>
      </c>
      <c r="BW996" s="26">
        <f t="shared" ca="1" si="276"/>
        <v>0.12062138596444438</v>
      </c>
      <c r="BX996" s="29">
        <f t="shared" ca="1" si="259"/>
        <v>127</v>
      </c>
    </row>
    <row r="997" spans="2:76" ht="12.75" x14ac:dyDescent="0.2">
      <c r="B997" s="22">
        <v>45542</v>
      </c>
      <c r="C997" s="26">
        <f t="shared" ca="1" si="241"/>
        <v>0.20482008818839947</v>
      </c>
      <c r="D997" s="29">
        <f t="shared" ca="1" si="242"/>
        <v>59</v>
      </c>
      <c r="F997" s="22"/>
      <c r="G997" s="26">
        <f t="shared" ca="1" si="260"/>
        <v>1.8984985148544631E-3</v>
      </c>
      <c r="H997" s="29">
        <f t="shared" ca="1" si="243"/>
        <v>174</v>
      </c>
      <c r="J997" s="22">
        <v>45542</v>
      </c>
      <c r="K997" s="26">
        <f t="shared" ca="1" si="261"/>
        <v>2.4411320268066694E-2</v>
      </c>
      <c r="L997" s="29">
        <f t="shared" ca="1" si="244"/>
        <v>131</v>
      </c>
      <c r="N997" s="22">
        <v>45542</v>
      </c>
      <c r="O997" s="26">
        <f t="shared" ca="1" si="262"/>
        <v>0.57453195790555811</v>
      </c>
      <c r="P997" s="29">
        <f t="shared" ca="1" si="245"/>
        <v>233</v>
      </c>
      <c r="R997" s="22">
        <v>45542</v>
      </c>
      <c r="S997" s="26">
        <f t="shared" ca="1" si="263"/>
        <v>0.81269062172044881</v>
      </c>
      <c r="T997" s="29">
        <f t="shared" ca="1" si="246"/>
        <v>147</v>
      </c>
      <c r="V997" s="22">
        <v>45542</v>
      </c>
      <c r="W997" s="26">
        <f t="shared" ca="1" si="264"/>
        <v>0.70307618672735883</v>
      </c>
      <c r="X997" s="29">
        <f t="shared" ca="1" si="247"/>
        <v>233</v>
      </c>
      <c r="Z997" s="22">
        <v>45542</v>
      </c>
      <c r="AA997" s="26">
        <f t="shared" ca="1" si="265"/>
        <v>0.7369840953897302</v>
      </c>
      <c r="AB997" s="29">
        <f t="shared" ca="1" si="248"/>
        <v>282</v>
      </c>
      <c r="AC997"/>
      <c r="AD997" s="25"/>
      <c r="AF997" s="22">
        <v>45542</v>
      </c>
      <c r="AG997" s="26">
        <f t="shared" ca="1" si="266"/>
        <v>0.11594084795513615</v>
      </c>
      <c r="AH997" s="29">
        <f t="shared" ca="1" si="249"/>
        <v>223</v>
      </c>
      <c r="AJ997" s="22">
        <v>45542</v>
      </c>
      <c r="AK997" s="26">
        <f t="shared" ca="1" si="267"/>
        <v>0.24432406922716277</v>
      </c>
      <c r="AL997" s="29">
        <f t="shared" ca="1" si="250"/>
        <v>147</v>
      </c>
      <c r="AN997" s="22">
        <v>45542</v>
      </c>
      <c r="AO997" s="26">
        <f t="shared" ca="1" si="268"/>
        <v>0.36548107450836187</v>
      </c>
      <c r="AP997" s="29">
        <f t="shared" ca="1" si="251"/>
        <v>134</v>
      </c>
      <c r="AR997" s="22">
        <v>45542</v>
      </c>
      <c r="AS997" s="26">
        <f t="shared" ca="1" si="269"/>
        <v>0.47614128015273571</v>
      </c>
      <c r="AT997" s="29">
        <f t="shared" ca="1" si="252"/>
        <v>214</v>
      </c>
      <c r="AV997" s="22">
        <v>45542</v>
      </c>
      <c r="AW997" s="26">
        <f t="shared" ca="1" si="270"/>
        <v>0.35707179035468173</v>
      </c>
      <c r="AX997" s="29">
        <f t="shared" ca="1" si="253"/>
        <v>173</v>
      </c>
      <c r="AZ997" s="22">
        <v>45542</v>
      </c>
      <c r="BA997" s="26">
        <f t="shared" ca="1" si="271"/>
        <v>0.29117633515494279</v>
      </c>
      <c r="BB997" s="29">
        <f t="shared" ca="1" si="254"/>
        <v>154</v>
      </c>
      <c r="BC997"/>
      <c r="BD997" s="25"/>
      <c r="BF997" s="22">
        <v>45542</v>
      </c>
      <c r="BG997" s="26">
        <f t="shared" ca="1" si="272"/>
        <v>0.80534110948357684</v>
      </c>
      <c r="BH997" s="29">
        <f t="shared" ca="1" si="255"/>
        <v>197</v>
      </c>
      <c r="BJ997" s="22">
        <v>45542</v>
      </c>
      <c r="BK997" s="26">
        <f t="shared" ca="1" si="273"/>
        <v>0.3800892153150599</v>
      </c>
      <c r="BL997" s="29">
        <f t="shared" ca="1" si="256"/>
        <v>152</v>
      </c>
      <c r="BN997" s="22">
        <v>45542</v>
      </c>
      <c r="BO997" s="26">
        <f t="shared" ca="1" si="274"/>
        <v>0.23682964950776475</v>
      </c>
      <c r="BP997" s="29">
        <f t="shared" ca="1" si="257"/>
        <v>106</v>
      </c>
      <c r="BR997" s="22">
        <v>45542</v>
      </c>
      <c r="BS997" s="26">
        <f t="shared" ca="1" si="275"/>
        <v>0.881346742781002</v>
      </c>
      <c r="BT997" s="29">
        <f t="shared" ca="1" si="258"/>
        <v>229</v>
      </c>
      <c r="BV997" s="22">
        <v>45542</v>
      </c>
      <c r="BW997" s="26">
        <f t="shared" ca="1" si="276"/>
        <v>7.3065567589582381E-2</v>
      </c>
      <c r="BX997" s="29">
        <f t="shared" ca="1" si="259"/>
        <v>113</v>
      </c>
    </row>
    <row r="998" spans="2:76" ht="12.75" x14ac:dyDescent="0.2">
      <c r="B998" s="22">
        <v>45543</v>
      </c>
      <c r="C998" s="26">
        <f t="shared" ca="1" si="241"/>
        <v>0.7164790501702073</v>
      </c>
      <c r="D998" s="29">
        <f t="shared" ca="1" si="242"/>
        <v>87</v>
      </c>
      <c r="F998" s="22"/>
      <c r="G998" s="26">
        <f t="shared" ca="1" si="260"/>
        <v>0.13089696799412309</v>
      </c>
      <c r="H998" s="29">
        <f t="shared" ca="1" si="243"/>
        <v>200</v>
      </c>
      <c r="J998" s="22">
        <v>45543</v>
      </c>
      <c r="K998" s="26">
        <f t="shared" ca="1" si="261"/>
        <v>0.32348561051242941</v>
      </c>
      <c r="L998" s="29">
        <f t="shared" ca="1" si="244"/>
        <v>146</v>
      </c>
      <c r="N998" s="22">
        <v>45543</v>
      </c>
      <c r="O998" s="26">
        <f t="shared" ca="1" si="262"/>
        <v>0.10985807479768428</v>
      </c>
      <c r="P998" s="29">
        <f t="shared" ca="1" si="245"/>
        <v>211</v>
      </c>
      <c r="R998" s="22">
        <v>45543</v>
      </c>
      <c r="S998" s="26">
        <f t="shared" ca="1" si="263"/>
        <v>0.39544453809944113</v>
      </c>
      <c r="T998" s="29">
        <f t="shared" ca="1" si="246"/>
        <v>137</v>
      </c>
      <c r="V998" s="22">
        <v>45543</v>
      </c>
      <c r="W998" s="26">
        <f t="shared" ca="1" si="264"/>
        <v>0.99768018120413515</v>
      </c>
      <c r="X998" s="29">
        <f t="shared" ca="1" si="247"/>
        <v>268</v>
      </c>
      <c r="Z998" s="22">
        <v>45543</v>
      </c>
      <c r="AA998" s="26">
        <f t="shared" ca="1" si="265"/>
        <v>0.7220850040194603</v>
      </c>
      <c r="AB998" s="29">
        <f t="shared" ca="1" si="248"/>
        <v>281</v>
      </c>
      <c r="AC998"/>
      <c r="AD998" s="25"/>
      <c r="AF998" s="22">
        <v>45543</v>
      </c>
      <c r="AG998" s="26">
        <f t="shared" ca="1" si="266"/>
        <v>0.32334304335123865</v>
      </c>
      <c r="AH998" s="29">
        <f t="shared" ca="1" si="249"/>
        <v>288</v>
      </c>
      <c r="AJ998" s="22">
        <v>45543</v>
      </c>
      <c r="AK998" s="26">
        <f t="shared" ca="1" si="267"/>
        <v>0.54449758987269281</v>
      </c>
      <c r="AL998" s="29">
        <f t="shared" ca="1" si="250"/>
        <v>186</v>
      </c>
      <c r="AN998" s="22">
        <v>45543</v>
      </c>
      <c r="AO998" s="26">
        <f t="shared" ca="1" si="268"/>
        <v>0.27533655671380219</v>
      </c>
      <c r="AP998" s="29">
        <f t="shared" ca="1" si="251"/>
        <v>124</v>
      </c>
      <c r="AR998" s="22">
        <v>45543</v>
      </c>
      <c r="AS998" s="26">
        <f t="shared" ca="1" si="269"/>
        <v>0.58937834536304157</v>
      </c>
      <c r="AT998" s="29">
        <f t="shared" ca="1" si="252"/>
        <v>230</v>
      </c>
      <c r="AV998" s="22">
        <v>45543</v>
      </c>
      <c r="AW998" s="26">
        <f t="shared" ca="1" si="270"/>
        <v>0.12535774203225325</v>
      </c>
      <c r="AX998" s="29">
        <f t="shared" ca="1" si="253"/>
        <v>133</v>
      </c>
      <c r="AZ998" s="22">
        <v>45543</v>
      </c>
      <c r="BA998" s="26">
        <f t="shared" ca="1" si="271"/>
        <v>0.8348983502212185</v>
      </c>
      <c r="BB998" s="29">
        <f t="shared" ca="1" si="254"/>
        <v>227</v>
      </c>
      <c r="BC998"/>
      <c r="BD998" s="25"/>
      <c r="BF998" s="22">
        <v>45543</v>
      </c>
      <c r="BG998" s="26">
        <f t="shared" ca="1" si="272"/>
        <v>0.4120190568259785</v>
      </c>
      <c r="BH998" s="29">
        <f t="shared" ca="1" si="255"/>
        <v>151</v>
      </c>
      <c r="BJ998" s="22">
        <v>45543</v>
      </c>
      <c r="BK998" s="26">
        <f t="shared" ca="1" si="273"/>
        <v>0.80299287644947015</v>
      </c>
      <c r="BL998" s="29">
        <f t="shared" ca="1" si="256"/>
        <v>202</v>
      </c>
      <c r="BN998" s="22">
        <v>45543</v>
      </c>
      <c r="BO998" s="26">
        <f t="shared" ca="1" si="274"/>
        <v>8.9052371064273217E-2</v>
      </c>
      <c r="BP998" s="29">
        <f t="shared" ca="1" si="257"/>
        <v>84</v>
      </c>
      <c r="BR998" s="22">
        <v>45543</v>
      </c>
      <c r="BS998" s="26">
        <f t="shared" ca="1" si="275"/>
        <v>0.42294838903596088</v>
      </c>
      <c r="BT998" s="29">
        <f t="shared" ca="1" si="258"/>
        <v>165</v>
      </c>
      <c r="BV998" s="22">
        <v>45543</v>
      </c>
      <c r="BW998" s="26">
        <f t="shared" ca="1" si="276"/>
        <v>0.24730213491893049</v>
      </c>
      <c r="BX998" s="29">
        <f t="shared" ca="1" si="259"/>
        <v>151</v>
      </c>
    </row>
    <row r="999" spans="2:76" ht="12.75" x14ac:dyDescent="0.2">
      <c r="B999" s="22">
        <v>45544</v>
      </c>
      <c r="C999" s="26">
        <f t="shared" ca="1" si="241"/>
        <v>0.5404933967657356</v>
      </c>
      <c r="D999" s="29">
        <f t="shared" ca="1" si="242"/>
        <v>78</v>
      </c>
      <c r="F999" s="22"/>
      <c r="G999" s="26">
        <f t="shared" ca="1" si="260"/>
        <v>4.9944031445654069E-2</v>
      </c>
      <c r="H999" s="29">
        <f t="shared" ca="1" si="243"/>
        <v>192</v>
      </c>
      <c r="J999" s="22">
        <v>45544</v>
      </c>
      <c r="K999" s="26">
        <f t="shared" ca="1" si="261"/>
        <v>0.73139641286073864</v>
      </c>
      <c r="L999" s="29">
        <f t="shared" ca="1" si="244"/>
        <v>157</v>
      </c>
      <c r="N999" s="22">
        <v>45544</v>
      </c>
      <c r="O999" s="26">
        <f t="shared" ca="1" si="262"/>
        <v>0.30720766325687621</v>
      </c>
      <c r="P999" s="29">
        <f t="shared" ca="1" si="245"/>
        <v>222</v>
      </c>
      <c r="R999" s="22">
        <v>45544</v>
      </c>
      <c r="S999" s="26">
        <f t="shared" ca="1" si="263"/>
        <v>0.44331600795477399</v>
      </c>
      <c r="T999" s="29">
        <f t="shared" ca="1" si="246"/>
        <v>138</v>
      </c>
      <c r="V999" s="22">
        <v>45544</v>
      </c>
      <c r="W999" s="26">
        <f t="shared" ca="1" si="264"/>
        <v>0.14925130872197945</v>
      </c>
      <c r="X999" s="29">
        <f t="shared" ca="1" si="247"/>
        <v>210</v>
      </c>
      <c r="Z999" s="22">
        <v>45544</v>
      </c>
      <c r="AA999" s="26">
        <f t="shared" ca="1" si="265"/>
        <v>0.17153559347037795</v>
      </c>
      <c r="AB999" s="29">
        <f t="shared" ca="1" si="248"/>
        <v>253</v>
      </c>
      <c r="AC999"/>
      <c r="AD999" s="25"/>
      <c r="AF999" s="22">
        <v>45544</v>
      </c>
      <c r="AG999" s="26">
        <f t="shared" ca="1" si="266"/>
        <v>0.92812282716452421</v>
      </c>
      <c r="AH999" s="29">
        <f t="shared" ca="1" si="249"/>
        <v>455</v>
      </c>
      <c r="AJ999" s="22">
        <v>45544</v>
      </c>
      <c r="AK999" s="26">
        <f t="shared" ca="1" si="267"/>
        <v>0.44074046264439737</v>
      </c>
      <c r="AL999" s="29">
        <f t="shared" ca="1" si="250"/>
        <v>173</v>
      </c>
      <c r="AN999" s="22">
        <v>45544</v>
      </c>
      <c r="AO999" s="26">
        <f t="shared" ca="1" si="268"/>
        <v>8.966419252247837E-2</v>
      </c>
      <c r="AP999" s="29">
        <f t="shared" ca="1" si="251"/>
        <v>95</v>
      </c>
      <c r="AR999" s="22">
        <v>45544</v>
      </c>
      <c r="AS999" s="26">
        <f t="shared" ca="1" si="269"/>
        <v>0.38888446180248526</v>
      </c>
      <c r="AT999" s="29">
        <f t="shared" ca="1" si="252"/>
        <v>201</v>
      </c>
      <c r="AV999" s="22">
        <v>45544</v>
      </c>
      <c r="AW999" s="26">
        <f t="shared" ca="1" si="270"/>
        <v>0.65835747612269768</v>
      </c>
      <c r="AX999" s="29">
        <f t="shared" ca="1" si="253"/>
        <v>213</v>
      </c>
      <c r="AZ999" s="22">
        <v>45544</v>
      </c>
      <c r="BA999" s="26">
        <f t="shared" ca="1" si="271"/>
        <v>0.30160002515096707</v>
      </c>
      <c r="BB999" s="29">
        <f t="shared" ca="1" si="254"/>
        <v>155</v>
      </c>
      <c r="BC999"/>
      <c r="BD999" s="25"/>
      <c r="BF999" s="22">
        <v>45544</v>
      </c>
      <c r="BG999" s="26">
        <f t="shared" ca="1" si="272"/>
        <v>0.39695144216620204</v>
      </c>
      <c r="BH999" s="29">
        <f t="shared" ca="1" si="255"/>
        <v>149</v>
      </c>
      <c r="BJ999" s="22">
        <v>45544</v>
      </c>
      <c r="BK999" s="26">
        <f t="shared" ca="1" si="273"/>
        <v>0.74049237236703935</v>
      </c>
      <c r="BL999" s="29">
        <f t="shared" ca="1" si="256"/>
        <v>193</v>
      </c>
      <c r="BN999" s="22">
        <v>45544</v>
      </c>
      <c r="BO999" s="26">
        <f t="shared" ca="1" si="274"/>
        <v>0.10979662411662927</v>
      </c>
      <c r="BP999" s="29">
        <f t="shared" ca="1" si="257"/>
        <v>89</v>
      </c>
      <c r="BR999" s="22">
        <v>45544</v>
      </c>
      <c r="BS999" s="26">
        <f t="shared" ca="1" si="275"/>
        <v>0.32286324125704169</v>
      </c>
      <c r="BT999" s="29">
        <f t="shared" ca="1" si="258"/>
        <v>153</v>
      </c>
      <c r="BV999" s="22">
        <v>45544</v>
      </c>
      <c r="BW999" s="26">
        <f t="shared" ca="1" si="276"/>
        <v>0.19189692800666969</v>
      </c>
      <c r="BX999" s="29">
        <f t="shared" ca="1" si="259"/>
        <v>141</v>
      </c>
    </row>
    <row r="1000" spans="2:76" ht="12.75" x14ac:dyDescent="0.2">
      <c r="B1000" s="22">
        <v>45545</v>
      </c>
      <c r="C1000" s="26">
        <f t="shared" ca="1" si="241"/>
        <v>0.84179294198668297</v>
      </c>
      <c r="D1000" s="29">
        <f t="shared" ca="1" si="242"/>
        <v>96</v>
      </c>
      <c r="F1000" s="22"/>
      <c r="G1000" s="26">
        <f t="shared" ca="1" si="260"/>
        <v>0.55956340397191717</v>
      </c>
      <c r="H1000" s="29">
        <f t="shared" ca="1" si="243"/>
        <v>218</v>
      </c>
      <c r="J1000" s="22">
        <v>45545</v>
      </c>
      <c r="K1000" s="26">
        <f t="shared" ca="1" si="261"/>
        <v>0.11391143608916765</v>
      </c>
      <c r="L1000" s="29">
        <f t="shared" ca="1" si="244"/>
        <v>138</v>
      </c>
      <c r="N1000" s="22">
        <v>45545</v>
      </c>
      <c r="O1000" s="26">
        <f t="shared" ca="1" si="262"/>
        <v>0.91304795054128474</v>
      </c>
      <c r="P1000" s="29">
        <f t="shared" ca="1" si="245"/>
        <v>251</v>
      </c>
      <c r="R1000" s="22">
        <v>45545</v>
      </c>
      <c r="S1000" s="26">
        <f t="shared" ca="1" si="263"/>
        <v>0.73709931805893758</v>
      </c>
      <c r="T1000" s="29">
        <f t="shared" ca="1" si="246"/>
        <v>145</v>
      </c>
      <c r="V1000" s="22">
        <v>45545</v>
      </c>
      <c r="W1000" s="26">
        <f t="shared" ca="1" si="264"/>
        <v>0.74048981307253403</v>
      </c>
      <c r="X1000" s="29">
        <f t="shared" ca="1" si="247"/>
        <v>235</v>
      </c>
      <c r="Z1000" s="22">
        <v>45545</v>
      </c>
      <c r="AA1000" s="26">
        <f t="shared" ca="1" si="265"/>
        <v>0.15761304482843264</v>
      </c>
      <c r="AB1000" s="29">
        <f t="shared" ca="1" si="248"/>
        <v>252</v>
      </c>
      <c r="AC1000"/>
      <c r="AD1000" s="25"/>
      <c r="AF1000" s="22">
        <v>45545</v>
      </c>
      <c r="AG1000" s="26">
        <f t="shared" ca="1" si="266"/>
        <v>0.79706695969311636</v>
      </c>
      <c r="AH1000" s="29">
        <f t="shared" ca="1" si="249"/>
        <v>400</v>
      </c>
      <c r="AJ1000" s="22">
        <v>45545</v>
      </c>
      <c r="AK1000" s="26">
        <f t="shared" ca="1" si="267"/>
        <v>0.80129835279218586</v>
      </c>
      <c r="AL1000" s="29">
        <f t="shared" ca="1" si="250"/>
        <v>221</v>
      </c>
      <c r="AN1000" s="22">
        <v>45545</v>
      </c>
      <c r="AO1000" s="26">
        <f t="shared" ca="1" si="268"/>
        <v>0.45577339755162738</v>
      </c>
      <c r="AP1000" s="29">
        <f t="shared" ca="1" si="251"/>
        <v>143</v>
      </c>
      <c r="AR1000" s="22">
        <v>45545</v>
      </c>
      <c r="AS1000" s="26">
        <f t="shared" ca="1" si="269"/>
        <v>0.75217090157603994</v>
      </c>
      <c r="AT1000" s="29">
        <f t="shared" ca="1" si="252"/>
        <v>257</v>
      </c>
      <c r="AV1000" s="22">
        <v>45545</v>
      </c>
      <c r="AW1000" s="26">
        <f t="shared" ca="1" si="270"/>
        <v>0.24601889591755977</v>
      </c>
      <c r="AX1000" s="29">
        <f t="shared" ca="1" si="253"/>
        <v>157</v>
      </c>
      <c r="AZ1000" s="22">
        <v>45545</v>
      </c>
      <c r="BA1000" s="26">
        <f t="shared" ca="1" si="271"/>
        <v>0.23015509451525229</v>
      </c>
      <c r="BB1000" s="29">
        <f t="shared" ca="1" si="254"/>
        <v>145</v>
      </c>
      <c r="BC1000"/>
      <c r="BD1000" s="25"/>
      <c r="BF1000" s="22">
        <v>45545</v>
      </c>
      <c r="BG1000" s="26">
        <f t="shared" ca="1" si="272"/>
        <v>0.28858919999633126</v>
      </c>
      <c r="BH1000" s="29">
        <f t="shared" ca="1" si="255"/>
        <v>136</v>
      </c>
      <c r="BJ1000" s="22">
        <v>45545</v>
      </c>
      <c r="BK1000" s="26">
        <f t="shared" ca="1" si="273"/>
        <v>6.5965050831004235E-2</v>
      </c>
      <c r="BL1000" s="29">
        <f t="shared" ca="1" si="256"/>
        <v>99</v>
      </c>
      <c r="BN1000" s="22">
        <v>45545</v>
      </c>
      <c r="BO1000" s="26">
        <f t="shared" ca="1" si="274"/>
        <v>0.62743399581521875</v>
      </c>
      <c r="BP1000" s="29">
        <f t="shared" ca="1" si="257"/>
        <v>143</v>
      </c>
      <c r="BR1000" s="22">
        <v>45545</v>
      </c>
      <c r="BS1000" s="26">
        <f t="shared" ca="1" si="275"/>
        <v>0.24011993323933045</v>
      </c>
      <c r="BT1000" s="29">
        <f t="shared" ca="1" si="258"/>
        <v>141</v>
      </c>
      <c r="BV1000" s="22">
        <v>45545</v>
      </c>
      <c r="BW1000" s="26">
        <f t="shared" ca="1" si="276"/>
        <v>4.5588160697311308E-2</v>
      </c>
      <c r="BX1000" s="29">
        <f t="shared" ca="1" si="259"/>
        <v>101</v>
      </c>
    </row>
    <row r="1001" spans="2:76" ht="12.75" x14ac:dyDescent="0.2">
      <c r="B1001" s="22">
        <v>45546</v>
      </c>
      <c r="C1001" s="26">
        <f t="shared" ca="1" si="241"/>
        <v>0.78097001248510345</v>
      </c>
      <c r="D1001" s="29">
        <f t="shared" ca="1" si="242"/>
        <v>91</v>
      </c>
      <c r="F1001" s="22"/>
      <c r="G1001" s="26">
        <f t="shared" ca="1" si="260"/>
        <v>0.61603408379065838</v>
      </c>
      <c r="H1001" s="29">
        <f t="shared" ca="1" si="243"/>
        <v>220</v>
      </c>
      <c r="J1001" s="22">
        <v>45546</v>
      </c>
      <c r="K1001" s="26">
        <f t="shared" ca="1" si="261"/>
        <v>0.69500459573761186</v>
      </c>
      <c r="L1001" s="29">
        <f t="shared" ca="1" si="244"/>
        <v>156</v>
      </c>
      <c r="N1001" s="22">
        <v>45546</v>
      </c>
      <c r="O1001" s="26">
        <f t="shared" ca="1" si="262"/>
        <v>0.27963563769554733</v>
      </c>
      <c r="P1001" s="29">
        <f t="shared" ca="1" si="245"/>
        <v>221</v>
      </c>
      <c r="R1001" s="22">
        <v>45546</v>
      </c>
      <c r="S1001" s="26">
        <f t="shared" ca="1" si="263"/>
        <v>0.66955556561027119</v>
      </c>
      <c r="T1001" s="29">
        <f t="shared" ca="1" si="246"/>
        <v>143</v>
      </c>
      <c r="V1001" s="22">
        <v>45546</v>
      </c>
      <c r="W1001" s="26">
        <f t="shared" ca="1" si="264"/>
        <v>0.52641900648457085</v>
      </c>
      <c r="X1001" s="29">
        <f t="shared" ca="1" si="247"/>
        <v>226</v>
      </c>
      <c r="Z1001" s="22">
        <v>45546</v>
      </c>
      <c r="AA1001" s="26">
        <f t="shared" ca="1" si="265"/>
        <v>0.697767840108382</v>
      </c>
      <c r="AB1001" s="29">
        <f t="shared" ca="1" si="248"/>
        <v>280</v>
      </c>
      <c r="AC1001"/>
      <c r="AD1001" s="25"/>
      <c r="AF1001" s="22">
        <v>45546</v>
      </c>
      <c r="AG1001" s="26">
        <f t="shared" ca="1" si="266"/>
        <v>0.21016990309257577</v>
      </c>
      <c r="AH1001" s="29">
        <f t="shared" ca="1" si="249"/>
        <v>257</v>
      </c>
      <c r="AJ1001" s="22">
        <v>45546</v>
      </c>
      <c r="AK1001" s="26">
        <f t="shared" ca="1" si="267"/>
        <v>0.39657322533563899</v>
      </c>
      <c r="AL1001" s="29">
        <f t="shared" ca="1" si="250"/>
        <v>168</v>
      </c>
      <c r="AN1001" s="22">
        <v>45546</v>
      </c>
      <c r="AO1001" s="26">
        <f t="shared" ca="1" si="268"/>
        <v>0.75751650760220279</v>
      </c>
      <c r="AP1001" s="29">
        <f t="shared" ca="1" si="251"/>
        <v>175</v>
      </c>
      <c r="AR1001" s="22">
        <v>45546</v>
      </c>
      <c r="AS1001" s="26">
        <f t="shared" ca="1" si="269"/>
        <v>0.57456170190892508</v>
      </c>
      <c r="AT1001" s="29">
        <f t="shared" ca="1" si="252"/>
        <v>228</v>
      </c>
      <c r="AV1001" s="22">
        <v>45546</v>
      </c>
      <c r="AW1001" s="26">
        <f t="shared" ca="1" si="270"/>
        <v>0.80543286413764792</v>
      </c>
      <c r="AX1001" s="29">
        <f t="shared" ca="1" si="253"/>
        <v>236</v>
      </c>
      <c r="AZ1001" s="22">
        <v>45546</v>
      </c>
      <c r="BA1001" s="26">
        <f t="shared" ca="1" si="271"/>
        <v>0.76108520485422604</v>
      </c>
      <c r="BB1001" s="29">
        <f t="shared" ca="1" si="254"/>
        <v>214</v>
      </c>
      <c r="BC1001"/>
      <c r="BD1001" s="25"/>
      <c r="BF1001" s="22">
        <v>45546</v>
      </c>
      <c r="BG1001" s="26">
        <f t="shared" ca="1" si="272"/>
        <v>0.65923949254740477</v>
      </c>
      <c r="BH1001" s="29">
        <f t="shared" ca="1" si="255"/>
        <v>178</v>
      </c>
      <c r="BJ1001" s="22">
        <v>45546</v>
      </c>
      <c r="BK1001" s="26">
        <f t="shared" ca="1" si="273"/>
        <v>0.37384558502176313</v>
      </c>
      <c r="BL1001" s="29">
        <f t="shared" ca="1" si="256"/>
        <v>151</v>
      </c>
      <c r="BN1001" s="22">
        <v>45546</v>
      </c>
      <c r="BO1001" s="26">
        <f t="shared" ca="1" si="274"/>
        <v>0.47276167609218522</v>
      </c>
      <c r="BP1001" s="29">
        <f t="shared" ca="1" si="257"/>
        <v>129</v>
      </c>
      <c r="BR1001" s="22">
        <v>45546</v>
      </c>
      <c r="BS1001" s="26">
        <f t="shared" ca="1" si="275"/>
        <v>0.605202371798363</v>
      </c>
      <c r="BT1001" s="29">
        <f t="shared" ca="1" si="258"/>
        <v>186</v>
      </c>
      <c r="BV1001" s="22">
        <v>45546</v>
      </c>
      <c r="BW1001" s="26">
        <f t="shared" ca="1" si="276"/>
        <v>0.5252076798681381</v>
      </c>
      <c r="BX1001" s="29">
        <f t="shared" ca="1" si="259"/>
        <v>187</v>
      </c>
    </row>
    <row r="1002" spans="2:76" ht="12.75" x14ac:dyDescent="0.2">
      <c r="B1002" s="22">
        <v>45547</v>
      </c>
      <c r="C1002" s="26">
        <f t="shared" ca="1" si="241"/>
        <v>0.88605325525213319</v>
      </c>
      <c r="D1002" s="29">
        <f t="shared" ca="1" si="242"/>
        <v>100</v>
      </c>
      <c r="F1002" s="22"/>
      <c r="G1002" s="26">
        <f t="shared" ca="1" si="260"/>
        <v>0.74517543220795157</v>
      </c>
      <c r="H1002" s="29">
        <f t="shared" ca="1" si="243"/>
        <v>225</v>
      </c>
      <c r="J1002" s="22">
        <v>45547</v>
      </c>
      <c r="K1002" s="26">
        <f t="shared" ca="1" si="261"/>
        <v>0.68795256468581267</v>
      </c>
      <c r="L1002" s="29">
        <f t="shared" ca="1" si="244"/>
        <v>155</v>
      </c>
      <c r="N1002" s="22">
        <v>45547</v>
      </c>
      <c r="O1002" s="26">
        <f t="shared" ca="1" si="262"/>
        <v>0.61975072560235289</v>
      </c>
      <c r="P1002" s="29">
        <f t="shared" ca="1" si="245"/>
        <v>235</v>
      </c>
      <c r="R1002" s="22">
        <v>45547</v>
      </c>
      <c r="S1002" s="26">
        <f t="shared" ca="1" si="263"/>
        <v>0.16943317830549975</v>
      </c>
      <c r="T1002" s="29">
        <f t="shared" ca="1" si="246"/>
        <v>130</v>
      </c>
      <c r="V1002" s="22">
        <v>45547</v>
      </c>
      <c r="W1002" s="26">
        <f t="shared" ca="1" si="264"/>
        <v>0.45432257777647445</v>
      </c>
      <c r="X1002" s="29">
        <f t="shared" ca="1" si="247"/>
        <v>224</v>
      </c>
      <c r="Z1002" s="22">
        <v>45547</v>
      </c>
      <c r="AA1002" s="26">
        <f t="shared" ca="1" si="265"/>
        <v>0.61016096606508519</v>
      </c>
      <c r="AB1002" s="29">
        <f t="shared" ca="1" si="248"/>
        <v>276</v>
      </c>
      <c r="AC1002"/>
      <c r="AD1002" s="25"/>
      <c r="AF1002" s="22">
        <v>45547</v>
      </c>
      <c r="AG1002" s="26">
        <f t="shared" ca="1" si="266"/>
        <v>0.46083928669085339</v>
      </c>
      <c r="AH1002" s="29">
        <f t="shared" ca="1" si="249"/>
        <v>319</v>
      </c>
      <c r="AJ1002" s="22">
        <v>45547</v>
      </c>
      <c r="AK1002" s="26">
        <f t="shared" ca="1" si="267"/>
        <v>0.96209471134019531</v>
      </c>
      <c r="AL1002" s="29">
        <f t="shared" ca="1" si="250"/>
        <v>266</v>
      </c>
      <c r="AN1002" s="22">
        <v>45547</v>
      </c>
      <c r="AO1002" s="26">
        <f t="shared" ca="1" si="268"/>
        <v>0.26240831543743393</v>
      </c>
      <c r="AP1002" s="29">
        <f t="shared" ca="1" si="251"/>
        <v>123</v>
      </c>
      <c r="AR1002" s="22">
        <v>45547</v>
      </c>
      <c r="AS1002" s="26">
        <f t="shared" ca="1" si="269"/>
        <v>0.52536711799248981</v>
      </c>
      <c r="AT1002" s="29">
        <f t="shared" ca="1" si="252"/>
        <v>221</v>
      </c>
      <c r="AV1002" s="22">
        <v>45547</v>
      </c>
      <c r="AW1002" s="26">
        <f t="shared" ca="1" si="270"/>
        <v>0.11146358610935958</v>
      </c>
      <c r="AX1002" s="29">
        <f t="shared" ca="1" si="253"/>
        <v>130</v>
      </c>
      <c r="AZ1002" s="22">
        <v>45547</v>
      </c>
      <c r="BA1002" s="26">
        <f t="shared" ca="1" si="271"/>
        <v>0.78822661338378164</v>
      </c>
      <c r="BB1002" s="29">
        <f t="shared" ca="1" si="254"/>
        <v>219</v>
      </c>
      <c r="BC1002"/>
      <c r="BD1002" s="25"/>
      <c r="BF1002" s="22">
        <v>45547</v>
      </c>
      <c r="BG1002" s="26">
        <f t="shared" ca="1" si="272"/>
        <v>6.0704137029962024E-2</v>
      </c>
      <c r="BH1002" s="29">
        <f t="shared" ca="1" si="255"/>
        <v>94</v>
      </c>
      <c r="BJ1002" s="22">
        <v>45547</v>
      </c>
      <c r="BK1002" s="26">
        <f t="shared" ca="1" si="273"/>
        <v>0.98791081657027635</v>
      </c>
      <c r="BL1002" s="29">
        <f t="shared" ca="1" si="256"/>
        <v>264</v>
      </c>
      <c r="BN1002" s="22">
        <v>45547</v>
      </c>
      <c r="BO1002" s="26">
        <f t="shared" ca="1" si="274"/>
        <v>0.8523242901543634</v>
      </c>
      <c r="BP1002" s="29">
        <f t="shared" ca="1" si="257"/>
        <v>168</v>
      </c>
      <c r="BR1002" s="22">
        <v>45547</v>
      </c>
      <c r="BS1002" s="26">
        <f t="shared" ca="1" si="275"/>
        <v>0.61007307135297584</v>
      </c>
      <c r="BT1002" s="29">
        <f t="shared" ca="1" si="258"/>
        <v>187</v>
      </c>
      <c r="BV1002" s="22">
        <v>45547</v>
      </c>
      <c r="BW1002" s="26">
        <f t="shared" ca="1" si="276"/>
        <v>0.10208376443055212</v>
      </c>
      <c r="BX1002" s="29">
        <f t="shared" ca="1" si="259"/>
        <v>122</v>
      </c>
    </row>
    <row r="1003" spans="2:76" ht="12.75" x14ac:dyDescent="0.2">
      <c r="B1003" s="22">
        <v>45548</v>
      </c>
      <c r="C1003" s="26">
        <f t="shared" ca="1" si="241"/>
        <v>7.409638026868004E-3</v>
      </c>
      <c r="D1003" s="29">
        <f t="shared" ca="1" si="242"/>
        <v>27</v>
      </c>
      <c r="F1003" s="22"/>
      <c r="G1003" s="26">
        <f t="shared" ca="1" si="260"/>
        <v>0.47928437460996254</v>
      </c>
      <c r="H1003" s="29">
        <f t="shared" ca="1" si="243"/>
        <v>215</v>
      </c>
      <c r="J1003" s="22">
        <v>45548</v>
      </c>
      <c r="K1003" s="26">
        <f t="shared" ca="1" si="261"/>
        <v>0.25692077598944196</v>
      </c>
      <c r="L1003" s="29">
        <f t="shared" ca="1" si="244"/>
        <v>144</v>
      </c>
      <c r="N1003" s="22">
        <v>45548</v>
      </c>
      <c r="O1003" s="26">
        <f t="shared" ca="1" si="262"/>
        <v>0.48132236366231695</v>
      </c>
      <c r="P1003" s="29">
        <f t="shared" ca="1" si="245"/>
        <v>229</v>
      </c>
      <c r="R1003" s="22">
        <v>45548</v>
      </c>
      <c r="S1003" s="26">
        <f t="shared" ca="1" si="263"/>
        <v>0.66543752147297819</v>
      </c>
      <c r="T1003" s="29">
        <f t="shared" ca="1" si="246"/>
        <v>143</v>
      </c>
      <c r="V1003" s="22">
        <v>45548</v>
      </c>
      <c r="W1003" s="26">
        <f t="shared" ca="1" si="264"/>
        <v>0.41833864930240205</v>
      </c>
      <c r="X1003" s="29">
        <f t="shared" ca="1" si="247"/>
        <v>222</v>
      </c>
      <c r="Z1003" s="22">
        <v>45548</v>
      </c>
      <c r="AA1003" s="26">
        <f t="shared" ca="1" si="265"/>
        <v>0.81318765482215527</v>
      </c>
      <c r="AB1003" s="29">
        <f t="shared" ca="1" si="248"/>
        <v>287</v>
      </c>
      <c r="AC1003"/>
      <c r="AD1003" s="25"/>
      <c r="AF1003" s="22">
        <v>45548</v>
      </c>
      <c r="AG1003" s="26">
        <f t="shared" ca="1" si="266"/>
        <v>0.77459939496215746</v>
      </c>
      <c r="AH1003" s="29">
        <f t="shared" ca="1" si="249"/>
        <v>393</v>
      </c>
      <c r="AJ1003" s="22">
        <v>45548</v>
      </c>
      <c r="AK1003" s="26">
        <f t="shared" ca="1" si="267"/>
        <v>0.85677486677215375</v>
      </c>
      <c r="AL1003" s="29">
        <f t="shared" ca="1" si="250"/>
        <v>231</v>
      </c>
      <c r="AN1003" s="22">
        <v>45548</v>
      </c>
      <c r="AO1003" s="26">
        <f t="shared" ca="1" si="268"/>
        <v>0.98837458134604173</v>
      </c>
      <c r="AP1003" s="29">
        <f t="shared" ca="1" si="251"/>
        <v>237</v>
      </c>
      <c r="AR1003" s="22">
        <v>45548</v>
      </c>
      <c r="AS1003" s="26">
        <f t="shared" ca="1" si="269"/>
        <v>0.11364977466721715</v>
      </c>
      <c r="AT1003" s="29">
        <f t="shared" ca="1" si="252"/>
        <v>147</v>
      </c>
      <c r="AV1003" s="22">
        <v>45548</v>
      </c>
      <c r="AW1003" s="26">
        <f t="shared" ca="1" si="270"/>
        <v>3.1907191515733846E-2</v>
      </c>
      <c r="AX1003" s="29">
        <f t="shared" ca="1" si="253"/>
        <v>97</v>
      </c>
      <c r="AZ1003" s="22">
        <v>45548</v>
      </c>
      <c r="BA1003" s="26">
        <f t="shared" ca="1" si="271"/>
        <v>0.79809839102319613</v>
      </c>
      <c r="BB1003" s="29">
        <f t="shared" ca="1" si="254"/>
        <v>220</v>
      </c>
      <c r="BC1003"/>
      <c r="BD1003" s="25"/>
      <c r="BF1003" s="22">
        <v>45548</v>
      </c>
      <c r="BG1003" s="26">
        <f t="shared" ca="1" si="272"/>
        <v>0.28491006315981549</v>
      </c>
      <c r="BH1003" s="29">
        <f t="shared" ca="1" si="255"/>
        <v>136</v>
      </c>
      <c r="BJ1003" s="22">
        <v>45548</v>
      </c>
      <c r="BK1003" s="26">
        <f t="shared" ca="1" si="273"/>
        <v>0.23106766379665566</v>
      </c>
      <c r="BL1003" s="29">
        <f t="shared" ca="1" si="256"/>
        <v>133</v>
      </c>
      <c r="BN1003" s="22">
        <v>45548</v>
      </c>
      <c r="BO1003" s="26">
        <f t="shared" ca="1" si="274"/>
        <v>0.97802885734627298</v>
      </c>
      <c r="BP1003" s="29">
        <f t="shared" ca="1" si="257"/>
        <v>202</v>
      </c>
      <c r="BR1003" s="22">
        <v>45548</v>
      </c>
      <c r="BS1003" s="26">
        <f t="shared" ca="1" si="275"/>
        <v>0.53379152338815039</v>
      </c>
      <c r="BT1003" s="29">
        <f t="shared" ca="1" si="258"/>
        <v>178</v>
      </c>
      <c r="BV1003" s="22">
        <v>45548</v>
      </c>
      <c r="BW1003" s="26">
        <f t="shared" ca="1" si="276"/>
        <v>0.99698985896671066</v>
      </c>
      <c r="BX1003" s="29">
        <f t="shared" ca="1" si="259"/>
        <v>318</v>
      </c>
    </row>
    <row r="1004" spans="2:76" ht="12.75" x14ac:dyDescent="0.2">
      <c r="B1004" s="22">
        <v>45549</v>
      </c>
      <c r="C1004" s="26">
        <f t="shared" ca="1" si="241"/>
        <v>7.2469930576866459E-2</v>
      </c>
      <c r="D1004" s="29">
        <f t="shared" ca="1" si="242"/>
        <v>46</v>
      </c>
      <c r="F1004" s="22"/>
      <c r="G1004" s="26">
        <f t="shared" ca="1" si="260"/>
        <v>0.72452675849634163</v>
      </c>
      <c r="H1004" s="29">
        <f t="shared" ca="1" si="243"/>
        <v>224</v>
      </c>
      <c r="J1004" s="22">
        <v>45549</v>
      </c>
      <c r="K1004" s="26">
        <f t="shared" ca="1" si="261"/>
        <v>4.9718499877844491E-2</v>
      </c>
      <c r="L1004" s="29">
        <f t="shared" ca="1" si="244"/>
        <v>134</v>
      </c>
      <c r="N1004" s="22">
        <v>45549</v>
      </c>
      <c r="O1004" s="26">
        <f t="shared" ca="1" si="262"/>
        <v>0.70145650288149197</v>
      </c>
      <c r="P1004" s="29">
        <f t="shared" ca="1" si="245"/>
        <v>238</v>
      </c>
      <c r="R1004" s="22">
        <v>45549</v>
      </c>
      <c r="S1004" s="26">
        <f t="shared" ca="1" si="263"/>
        <v>0.58815284546028912</v>
      </c>
      <c r="T1004" s="29">
        <f t="shared" ca="1" si="246"/>
        <v>141</v>
      </c>
      <c r="V1004" s="22">
        <v>45549</v>
      </c>
      <c r="W1004" s="26">
        <f t="shared" ca="1" si="264"/>
        <v>0.75970143550425706</v>
      </c>
      <c r="X1004" s="29">
        <f t="shared" ca="1" si="247"/>
        <v>236</v>
      </c>
      <c r="Z1004" s="22">
        <v>45549</v>
      </c>
      <c r="AA1004" s="26">
        <f t="shared" ca="1" si="265"/>
        <v>0.91687159872627588</v>
      </c>
      <c r="AB1004" s="29">
        <f t="shared" ca="1" si="248"/>
        <v>295</v>
      </c>
      <c r="AC1004"/>
      <c r="AD1004" s="25"/>
      <c r="AF1004" s="22">
        <v>45549</v>
      </c>
      <c r="AG1004" s="26">
        <f t="shared" ca="1" si="266"/>
        <v>0.87652478172220982</v>
      </c>
      <c r="AH1004" s="29">
        <f t="shared" ca="1" si="249"/>
        <v>428</v>
      </c>
      <c r="AJ1004" s="22">
        <v>45549</v>
      </c>
      <c r="AK1004" s="26">
        <f t="shared" ca="1" si="267"/>
        <v>0.94007885637168753</v>
      </c>
      <c r="AL1004" s="29">
        <f t="shared" ca="1" si="250"/>
        <v>255</v>
      </c>
      <c r="AN1004" s="22">
        <v>45549</v>
      </c>
      <c r="AO1004" s="26">
        <f t="shared" ca="1" si="268"/>
        <v>0.84157944899529769</v>
      </c>
      <c r="AP1004" s="29">
        <f t="shared" ca="1" si="251"/>
        <v>187</v>
      </c>
      <c r="AR1004" s="22">
        <v>45549</v>
      </c>
      <c r="AS1004" s="26">
        <f t="shared" ca="1" si="269"/>
        <v>0.87834560283564345</v>
      </c>
      <c r="AT1004" s="29">
        <f t="shared" ca="1" si="252"/>
        <v>285</v>
      </c>
      <c r="AV1004" s="22">
        <v>45549</v>
      </c>
      <c r="AW1004" s="26">
        <f t="shared" ca="1" si="270"/>
        <v>0.22022788839954222</v>
      </c>
      <c r="AX1004" s="29">
        <f t="shared" ca="1" si="253"/>
        <v>153</v>
      </c>
      <c r="AZ1004" s="22">
        <v>45549</v>
      </c>
      <c r="BA1004" s="26">
        <f t="shared" ca="1" si="271"/>
        <v>7.7326939990184473E-2</v>
      </c>
      <c r="BB1004" s="29">
        <f t="shared" ca="1" si="254"/>
        <v>112</v>
      </c>
      <c r="BC1004"/>
      <c r="BD1004" s="25"/>
      <c r="BF1004" s="22">
        <v>45549</v>
      </c>
      <c r="BG1004" s="26">
        <f t="shared" ca="1" si="272"/>
        <v>0.37433512828820537</v>
      </c>
      <c r="BH1004" s="29">
        <f t="shared" ca="1" si="255"/>
        <v>146</v>
      </c>
      <c r="BJ1004" s="22">
        <v>45549</v>
      </c>
      <c r="BK1004" s="26">
        <f t="shared" ca="1" si="273"/>
        <v>0.42433066489882632</v>
      </c>
      <c r="BL1004" s="29">
        <f t="shared" ca="1" si="256"/>
        <v>157</v>
      </c>
      <c r="BN1004" s="22">
        <v>45549</v>
      </c>
      <c r="BO1004" s="26">
        <f t="shared" ca="1" si="274"/>
        <v>0.22899039770711915</v>
      </c>
      <c r="BP1004" s="29">
        <f t="shared" ca="1" si="257"/>
        <v>106</v>
      </c>
      <c r="BR1004" s="22">
        <v>45549</v>
      </c>
      <c r="BS1004" s="26">
        <f t="shared" ca="1" si="275"/>
        <v>0.84863351882936178</v>
      </c>
      <c r="BT1004" s="29">
        <f t="shared" ca="1" si="258"/>
        <v>222</v>
      </c>
      <c r="BV1004" s="22">
        <v>45549</v>
      </c>
      <c r="BW1004" s="26">
        <f t="shared" ca="1" si="276"/>
        <v>0.21044664345738706</v>
      </c>
      <c r="BX1004" s="29">
        <f t="shared" ca="1" si="259"/>
        <v>145</v>
      </c>
    </row>
    <row r="1005" spans="2:76" ht="12.75" x14ac:dyDescent="0.2">
      <c r="B1005" s="22">
        <v>45550</v>
      </c>
      <c r="C1005" s="26">
        <f t="shared" ca="1" si="241"/>
        <v>0.81337037279780444</v>
      </c>
      <c r="D1005" s="29">
        <f t="shared" ca="1" si="242"/>
        <v>93</v>
      </c>
      <c r="F1005" s="22"/>
      <c r="G1005" s="26">
        <f t="shared" ca="1" si="260"/>
        <v>0.66803900747335299</v>
      </c>
      <c r="H1005" s="29">
        <f t="shared" ca="1" si="243"/>
        <v>222</v>
      </c>
      <c r="J1005" s="22">
        <v>45550</v>
      </c>
      <c r="K1005" s="26">
        <f t="shared" ca="1" si="261"/>
        <v>0.20456299890767904</v>
      </c>
      <c r="L1005" s="29">
        <f t="shared" ca="1" si="244"/>
        <v>142</v>
      </c>
      <c r="N1005" s="22">
        <v>45550</v>
      </c>
      <c r="O1005" s="26">
        <f t="shared" ca="1" si="262"/>
        <v>0.96891521381993595</v>
      </c>
      <c r="P1005" s="29">
        <f t="shared" ca="1" si="245"/>
        <v>258</v>
      </c>
      <c r="R1005" s="22">
        <v>45550</v>
      </c>
      <c r="S1005" s="26">
        <f t="shared" ca="1" si="263"/>
        <v>0.63293298607760073</v>
      </c>
      <c r="T1005" s="29">
        <f t="shared" ca="1" si="246"/>
        <v>142</v>
      </c>
      <c r="V1005" s="22">
        <v>45550</v>
      </c>
      <c r="W1005" s="26">
        <f t="shared" ca="1" si="264"/>
        <v>6.7847165708626145E-2</v>
      </c>
      <c r="X1005" s="29">
        <f t="shared" ca="1" si="247"/>
        <v>203</v>
      </c>
      <c r="Z1005" s="22">
        <v>45550</v>
      </c>
      <c r="AA1005" s="26">
        <f t="shared" ca="1" si="265"/>
        <v>0.66390829244607008</v>
      </c>
      <c r="AB1005" s="29">
        <f t="shared" ca="1" si="248"/>
        <v>278</v>
      </c>
      <c r="AC1005"/>
      <c r="AD1005" s="25"/>
      <c r="AF1005" s="22">
        <v>45550</v>
      </c>
      <c r="AG1005" s="26">
        <f t="shared" ca="1" si="266"/>
        <v>0.48768814696263163</v>
      </c>
      <c r="AH1005" s="29">
        <f t="shared" ca="1" si="249"/>
        <v>325</v>
      </c>
      <c r="AJ1005" s="22">
        <v>45550</v>
      </c>
      <c r="AK1005" s="26">
        <f t="shared" ca="1" si="267"/>
        <v>0.405416092275104</v>
      </c>
      <c r="AL1005" s="29">
        <f t="shared" ca="1" si="250"/>
        <v>169</v>
      </c>
      <c r="AN1005" s="22">
        <v>45550</v>
      </c>
      <c r="AO1005" s="26">
        <f t="shared" ca="1" si="268"/>
        <v>2.7612548937656967E-2</v>
      </c>
      <c r="AP1005" s="29">
        <f t="shared" ca="1" si="251"/>
        <v>72</v>
      </c>
      <c r="AR1005" s="22">
        <v>45550</v>
      </c>
      <c r="AS1005" s="26">
        <f t="shared" ca="1" si="269"/>
        <v>0.55930810102106532</v>
      </c>
      <c r="AT1005" s="29">
        <f t="shared" ca="1" si="252"/>
        <v>226</v>
      </c>
      <c r="AV1005" s="22">
        <v>45550</v>
      </c>
      <c r="AW1005" s="26">
        <f t="shared" ca="1" si="270"/>
        <v>0.18571211238230445</v>
      </c>
      <c r="AX1005" s="29">
        <f t="shared" ca="1" si="253"/>
        <v>147</v>
      </c>
      <c r="AZ1005" s="22">
        <v>45550</v>
      </c>
      <c r="BA1005" s="26">
        <f t="shared" ca="1" si="271"/>
        <v>0.5613373886424079</v>
      </c>
      <c r="BB1005" s="29">
        <f t="shared" ca="1" si="254"/>
        <v>188</v>
      </c>
      <c r="BC1005"/>
      <c r="BD1005" s="25"/>
      <c r="BF1005" s="22">
        <v>45550</v>
      </c>
      <c r="BG1005" s="26">
        <f t="shared" ca="1" si="272"/>
        <v>0.7379039420199861</v>
      </c>
      <c r="BH1005" s="29">
        <f t="shared" ca="1" si="255"/>
        <v>187</v>
      </c>
      <c r="BJ1005" s="22">
        <v>45550</v>
      </c>
      <c r="BK1005" s="26">
        <f t="shared" ca="1" si="273"/>
        <v>5.8566829322454717E-2</v>
      </c>
      <c r="BL1005" s="29">
        <f t="shared" ca="1" si="256"/>
        <v>96</v>
      </c>
      <c r="BN1005" s="22">
        <v>45550</v>
      </c>
      <c r="BO1005" s="26">
        <f t="shared" ca="1" si="274"/>
        <v>0.59656219344667993</v>
      </c>
      <c r="BP1005" s="29">
        <f t="shared" ca="1" si="257"/>
        <v>140</v>
      </c>
      <c r="BR1005" s="22">
        <v>45550</v>
      </c>
      <c r="BS1005" s="26">
        <f t="shared" ca="1" si="275"/>
        <v>0.29598407011928329</v>
      </c>
      <c r="BT1005" s="29">
        <f t="shared" ca="1" si="258"/>
        <v>149</v>
      </c>
      <c r="BV1005" s="22">
        <v>45550</v>
      </c>
      <c r="BW1005" s="26">
        <f t="shared" ca="1" si="276"/>
        <v>0.70909016572312689</v>
      </c>
      <c r="BX1005" s="29">
        <f t="shared" ca="1" si="259"/>
        <v>211</v>
      </c>
    </row>
    <row r="1006" spans="2:76" ht="12.75" x14ac:dyDescent="0.2">
      <c r="B1006" s="22">
        <v>45551</v>
      </c>
      <c r="C1006" s="26">
        <f t="shared" ca="1" si="241"/>
        <v>0.43074252569855431</v>
      </c>
      <c r="D1006" s="29">
        <f t="shared" ca="1" si="242"/>
        <v>72</v>
      </c>
      <c r="F1006" s="22"/>
      <c r="G1006" s="26">
        <f t="shared" ca="1" si="260"/>
        <v>0.67972493802693146</v>
      </c>
      <c r="H1006" s="29">
        <f t="shared" ca="1" si="243"/>
        <v>223</v>
      </c>
      <c r="J1006" s="22">
        <v>45551</v>
      </c>
      <c r="K1006" s="26">
        <f t="shared" ca="1" si="261"/>
        <v>0.38720518373300128</v>
      </c>
      <c r="L1006" s="29">
        <f t="shared" ca="1" si="244"/>
        <v>148</v>
      </c>
      <c r="N1006" s="22">
        <v>45551</v>
      </c>
      <c r="O1006" s="26">
        <f t="shared" ca="1" si="262"/>
        <v>0.86915464235182405</v>
      </c>
      <c r="P1006" s="29">
        <f t="shared" ca="1" si="245"/>
        <v>247</v>
      </c>
      <c r="R1006" s="22">
        <v>45551</v>
      </c>
      <c r="S1006" s="26">
        <f t="shared" ca="1" si="263"/>
        <v>0.44030129786700234</v>
      </c>
      <c r="T1006" s="29">
        <f t="shared" ca="1" si="246"/>
        <v>138</v>
      </c>
      <c r="V1006" s="22">
        <v>45551</v>
      </c>
      <c r="W1006" s="26">
        <f t="shared" ca="1" si="264"/>
        <v>0.6158687518228867</v>
      </c>
      <c r="X1006" s="29">
        <f t="shared" ca="1" si="247"/>
        <v>230</v>
      </c>
      <c r="Z1006" s="22">
        <v>45551</v>
      </c>
      <c r="AA1006" s="26">
        <f t="shared" ca="1" si="265"/>
        <v>4.5887725181014694E-2</v>
      </c>
      <c r="AB1006" s="29">
        <f t="shared" ca="1" si="248"/>
        <v>240</v>
      </c>
      <c r="AC1006"/>
      <c r="AD1006" s="25"/>
      <c r="AF1006" s="22">
        <v>45551</v>
      </c>
      <c r="AG1006" s="26">
        <f t="shared" ca="1" si="266"/>
        <v>0.77177018535748243</v>
      </c>
      <c r="AH1006" s="29">
        <f t="shared" ca="1" si="249"/>
        <v>392</v>
      </c>
      <c r="AJ1006" s="22">
        <v>45551</v>
      </c>
      <c r="AK1006" s="26">
        <f t="shared" ca="1" si="267"/>
        <v>0.25251561337571093</v>
      </c>
      <c r="AL1006" s="29">
        <f t="shared" ca="1" si="250"/>
        <v>148</v>
      </c>
      <c r="AN1006" s="22">
        <v>45551</v>
      </c>
      <c r="AO1006" s="26">
        <f t="shared" ca="1" si="268"/>
        <v>0.85362636522421476</v>
      </c>
      <c r="AP1006" s="29">
        <f t="shared" ca="1" si="251"/>
        <v>189</v>
      </c>
      <c r="AR1006" s="22">
        <v>45551</v>
      </c>
      <c r="AS1006" s="26">
        <f t="shared" ca="1" si="269"/>
        <v>0.59260792750310731</v>
      </c>
      <c r="AT1006" s="29">
        <f t="shared" ca="1" si="252"/>
        <v>231</v>
      </c>
      <c r="AV1006" s="22">
        <v>45551</v>
      </c>
      <c r="AW1006" s="26">
        <f t="shared" ca="1" si="270"/>
        <v>0.33235307791989821</v>
      </c>
      <c r="AX1006" s="29">
        <f t="shared" ca="1" si="253"/>
        <v>170</v>
      </c>
      <c r="AZ1006" s="22">
        <v>45551</v>
      </c>
      <c r="BA1006" s="26">
        <f t="shared" ca="1" si="271"/>
        <v>0.11434837345573978</v>
      </c>
      <c r="BB1006" s="29">
        <f t="shared" ca="1" si="254"/>
        <v>123</v>
      </c>
      <c r="BC1006"/>
      <c r="BD1006" s="25"/>
      <c r="BF1006" s="22">
        <v>45551</v>
      </c>
      <c r="BG1006" s="26">
        <f t="shared" ca="1" si="272"/>
        <v>0.90648625965655305</v>
      </c>
      <c r="BH1006" s="29">
        <f t="shared" ca="1" si="255"/>
        <v>216</v>
      </c>
      <c r="BJ1006" s="22">
        <v>45551</v>
      </c>
      <c r="BK1006" s="26">
        <f t="shared" ca="1" si="273"/>
        <v>0.86161497677341059</v>
      </c>
      <c r="BL1006" s="29">
        <f t="shared" ca="1" si="256"/>
        <v>213</v>
      </c>
      <c r="BN1006" s="22">
        <v>45551</v>
      </c>
      <c r="BO1006" s="26">
        <f t="shared" ca="1" si="274"/>
        <v>0.75045081992397344</v>
      </c>
      <c r="BP1006" s="29">
        <f t="shared" ca="1" si="257"/>
        <v>155</v>
      </c>
      <c r="BR1006" s="22">
        <v>45551</v>
      </c>
      <c r="BS1006" s="26">
        <f t="shared" ca="1" si="275"/>
        <v>0.9484314495279027</v>
      </c>
      <c r="BT1006" s="29">
        <f t="shared" ca="1" si="258"/>
        <v>249</v>
      </c>
      <c r="BV1006" s="22">
        <v>45551</v>
      </c>
      <c r="BW1006" s="26">
        <f t="shared" ca="1" si="276"/>
        <v>0.52743350134859501</v>
      </c>
      <c r="BX1006" s="29">
        <f t="shared" ca="1" si="259"/>
        <v>187</v>
      </c>
    </row>
    <row r="1007" spans="2:76" ht="12.75" x14ac:dyDescent="0.2">
      <c r="B1007" s="22">
        <v>45552</v>
      </c>
      <c r="C1007" s="26">
        <f t="shared" ca="1" si="241"/>
        <v>0.43123517888696039</v>
      </c>
      <c r="D1007" s="29">
        <f t="shared" ca="1" si="242"/>
        <v>72</v>
      </c>
      <c r="F1007" s="22"/>
      <c r="G1007" s="26">
        <f t="shared" ca="1" si="260"/>
        <v>0.1000080048075197</v>
      </c>
      <c r="H1007" s="29">
        <f t="shared" ca="1" si="243"/>
        <v>197</v>
      </c>
      <c r="J1007" s="22">
        <v>45552</v>
      </c>
      <c r="K1007" s="26">
        <f t="shared" ca="1" si="261"/>
        <v>0.20572374296219909</v>
      </c>
      <c r="L1007" s="29">
        <f t="shared" ca="1" si="244"/>
        <v>142</v>
      </c>
      <c r="N1007" s="22">
        <v>45552</v>
      </c>
      <c r="O1007" s="26">
        <f t="shared" ca="1" si="262"/>
        <v>0.31225248320956767</v>
      </c>
      <c r="P1007" s="29">
        <f t="shared" ca="1" si="245"/>
        <v>222</v>
      </c>
      <c r="R1007" s="22">
        <v>45552</v>
      </c>
      <c r="S1007" s="26">
        <f t="shared" ca="1" si="263"/>
        <v>0.24331195929860916</v>
      </c>
      <c r="T1007" s="29">
        <f t="shared" ca="1" si="246"/>
        <v>133</v>
      </c>
      <c r="V1007" s="22">
        <v>45552</v>
      </c>
      <c r="W1007" s="26">
        <f t="shared" ca="1" si="264"/>
        <v>0.15951252612194844</v>
      </c>
      <c r="X1007" s="29">
        <f t="shared" ca="1" si="247"/>
        <v>211</v>
      </c>
      <c r="Z1007" s="22">
        <v>45552</v>
      </c>
      <c r="AA1007" s="26">
        <f t="shared" ca="1" si="265"/>
        <v>0.89668615690149689</v>
      </c>
      <c r="AB1007" s="29">
        <f t="shared" ca="1" si="248"/>
        <v>293</v>
      </c>
      <c r="AC1007"/>
      <c r="AD1007" s="25"/>
      <c r="AF1007" s="22">
        <v>45552</v>
      </c>
      <c r="AG1007" s="26">
        <f t="shared" ca="1" si="266"/>
        <v>0.52628547138639425</v>
      </c>
      <c r="AH1007" s="29">
        <f t="shared" ca="1" si="249"/>
        <v>333</v>
      </c>
      <c r="AJ1007" s="22">
        <v>45552</v>
      </c>
      <c r="AK1007" s="26">
        <f t="shared" ca="1" si="267"/>
        <v>0.23937923281329876</v>
      </c>
      <c r="AL1007" s="29">
        <f t="shared" ca="1" si="250"/>
        <v>146</v>
      </c>
      <c r="AN1007" s="22">
        <v>45552</v>
      </c>
      <c r="AO1007" s="26">
        <f t="shared" ca="1" si="268"/>
        <v>0.11110777281410544</v>
      </c>
      <c r="AP1007" s="29">
        <f t="shared" ca="1" si="251"/>
        <v>100</v>
      </c>
      <c r="AR1007" s="22">
        <v>45552</v>
      </c>
      <c r="AS1007" s="26">
        <f t="shared" ca="1" si="269"/>
        <v>0.87307975369372282</v>
      </c>
      <c r="AT1007" s="29">
        <f t="shared" ca="1" si="252"/>
        <v>283</v>
      </c>
      <c r="AV1007" s="22">
        <v>45552</v>
      </c>
      <c r="AW1007" s="26">
        <f t="shared" ca="1" si="270"/>
        <v>0.76353476024191391</v>
      </c>
      <c r="AX1007" s="29">
        <f t="shared" ca="1" si="253"/>
        <v>229</v>
      </c>
      <c r="AZ1007" s="22">
        <v>45552</v>
      </c>
      <c r="BA1007" s="26">
        <f t="shared" ca="1" si="271"/>
        <v>0.16244367686674188</v>
      </c>
      <c r="BB1007" s="29">
        <f t="shared" ca="1" si="254"/>
        <v>133</v>
      </c>
      <c r="BC1007"/>
      <c r="BD1007" s="25"/>
      <c r="BF1007" s="22">
        <v>45552</v>
      </c>
      <c r="BG1007" s="26">
        <f t="shared" ca="1" si="272"/>
        <v>0.39319353393481749</v>
      </c>
      <c r="BH1007" s="29">
        <f t="shared" ca="1" si="255"/>
        <v>149</v>
      </c>
      <c r="BJ1007" s="22">
        <v>45552</v>
      </c>
      <c r="BK1007" s="26">
        <f t="shared" ca="1" si="273"/>
        <v>0.5147184264820388</v>
      </c>
      <c r="BL1007" s="29">
        <f t="shared" ca="1" si="256"/>
        <v>167</v>
      </c>
      <c r="BN1007" s="22">
        <v>45552</v>
      </c>
      <c r="BO1007" s="26">
        <f t="shared" ca="1" si="274"/>
        <v>0.24381182758165088</v>
      </c>
      <c r="BP1007" s="29">
        <f t="shared" ca="1" si="257"/>
        <v>107</v>
      </c>
      <c r="BR1007" s="22">
        <v>45552</v>
      </c>
      <c r="BS1007" s="26">
        <f t="shared" ca="1" si="275"/>
        <v>0.46784239836281727</v>
      </c>
      <c r="BT1007" s="29">
        <f t="shared" ca="1" si="258"/>
        <v>170</v>
      </c>
      <c r="BV1007" s="22">
        <v>45552</v>
      </c>
      <c r="BW1007" s="26">
        <f t="shared" ca="1" si="276"/>
        <v>0.27515906125040546</v>
      </c>
      <c r="BX1007" s="29">
        <f t="shared" ca="1" si="259"/>
        <v>155</v>
      </c>
    </row>
    <row r="1008" spans="2:76" ht="12.75" x14ac:dyDescent="0.2">
      <c r="B1008" s="22">
        <v>45553</v>
      </c>
      <c r="C1008" s="26">
        <f t="shared" ca="1" si="241"/>
        <v>0.97687313571099921</v>
      </c>
      <c r="D1008" s="29">
        <f t="shared" ca="1" si="242"/>
        <v>115</v>
      </c>
      <c r="F1008" s="22"/>
      <c r="G1008" s="26">
        <f t="shared" ca="1" si="260"/>
        <v>0.97758373611059524</v>
      </c>
      <c r="H1008" s="29">
        <f t="shared" ca="1" si="243"/>
        <v>245</v>
      </c>
      <c r="J1008" s="22">
        <v>45553</v>
      </c>
      <c r="K1008" s="26">
        <f t="shared" ca="1" si="261"/>
        <v>5.256500447718071E-2</v>
      </c>
      <c r="L1008" s="29">
        <f t="shared" ca="1" si="244"/>
        <v>134</v>
      </c>
      <c r="N1008" s="22">
        <v>45553</v>
      </c>
      <c r="O1008" s="26">
        <f t="shared" ca="1" si="262"/>
        <v>0.79772502581300142</v>
      </c>
      <c r="P1008" s="29">
        <f t="shared" ca="1" si="245"/>
        <v>243</v>
      </c>
      <c r="R1008" s="22">
        <v>45553</v>
      </c>
      <c r="S1008" s="26">
        <f t="shared" ca="1" si="263"/>
        <v>0.44929473161579636</v>
      </c>
      <c r="T1008" s="29">
        <f t="shared" ca="1" si="246"/>
        <v>138</v>
      </c>
      <c r="V1008" s="22">
        <v>45553</v>
      </c>
      <c r="W1008" s="26">
        <f t="shared" ca="1" si="264"/>
        <v>0.79448914874388588</v>
      </c>
      <c r="X1008" s="29">
        <f t="shared" ca="1" si="247"/>
        <v>238</v>
      </c>
      <c r="Z1008" s="22">
        <v>45553</v>
      </c>
      <c r="AA1008" s="26">
        <f t="shared" ca="1" si="265"/>
        <v>0.58767906567436867</v>
      </c>
      <c r="AB1008" s="29">
        <f t="shared" ca="1" si="248"/>
        <v>274</v>
      </c>
      <c r="AC1008"/>
      <c r="AD1008" s="25"/>
      <c r="AF1008" s="22">
        <v>45553</v>
      </c>
      <c r="AG1008" s="26">
        <f t="shared" ca="1" si="266"/>
        <v>0.23082998506397356</v>
      </c>
      <c r="AH1008" s="29">
        <f t="shared" ca="1" si="249"/>
        <v>263</v>
      </c>
      <c r="AJ1008" s="22">
        <v>45553</v>
      </c>
      <c r="AK1008" s="26">
        <f t="shared" ca="1" si="267"/>
        <v>0.55145830473420043</v>
      </c>
      <c r="AL1008" s="29">
        <f t="shared" ca="1" si="250"/>
        <v>187</v>
      </c>
      <c r="AN1008" s="22">
        <v>45553</v>
      </c>
      <c r="AO1008" s="26">
        <f t="shared" ca="1" si="268"/>
        <v>0.45507763449536875</v>
      </c>
      <c r="AP1008" s="29">
        <f t="shared" ca="1" si="251"/>
        <v>143</v>
      </c>
      <c r="AR1008" s="22">
        <v>45553</v>
      </c>
      <c r="AS1008" s="26">
        <f t="shared" ca="1" si="269"/>
        <v>0.20018105375656714</v>
      </c>
      <c r="AT1008" s="29">
        <f t="shared" ca="1" si="252"/>
        <v>169</v>
      </c>
      <c r="AV1008" s="22">
        <v>45553</v>
      </c>
      <c r="AW1008" s="26">
        <f t="shared" ca="1" si="270"/>
        <v>5.0972851784381046E-3</v>
      </c>
      <c r="AX1008" s="29">
        <f t="shared" ca="1" si="253"/>
        <v>61</v>
      </c>
      <c r="AZ1008" s="22">
        <v>45553</v>
      </c>
      <c r="BA1008" s="26">
        <f t="shared" ca="1" si="271"/>
        <v>0.70168981173449596</v>
      </c>
      <c r="BB1008" s="29">
        <f t="shared" ca="1" si="254"/>
        <v>206</v>
      </c>
      <c r="BC1008"/>
      <c r="BD1008" s="25"/>
      <c r="BF1008" s="22">
        <v>45553</v>
      </c>
      <c r="BG1008" s="26">
        <f t="shared" ca="1" si="272"/>
        <v>6.5187488854559716E-2</v>
      </c>
      <c r="BH1008" s="29">
        <f t="shared" ca="1" si="255"/>
        <v>96</v>
      </c>
      <c r="BJ1008" s="22">
        <v>45553</v>
      </c>
      <c r="BK1008" s="26">
        <f t="shared" ca="1" si="273"/>
        <v>0.73843671709511394</v>
      </c>
      <c r="BL1008" s="29">
        <f t="shared" ca="1" si="256"/>
        <v>193</v>
      </c>
      <c r="BN1008" s="22">
        <v>45553</v>
      </c>
      <c r="BO1008" s="26">
        <f t="shared" ca="1" si="274"/>
        <v>0.92375588315244317</v>
      </c>
      <c r="BP1008" s="29">
        <f t="shared" ca="1" si="257"/>
        <v>181</v>
      </c>
      <c r="BR1008" s="22">
        <v>45553</v>
      </c>
      <c r="BS1008" s="26">
        <f t="shared" ca="1" si="275"/>
        <v>0.20656678268121642</v>
      </c>
      <c r="BT1008" s="29">
        <f t="shared" ca="1" si="258"/>
        <v>136</v>
      </c>
      <c r="BV1008" s="22">
        <v>45553</v>
      </c>
      <c r="BW1008" s="26">
        <f t="shared" ca="1" si="276"/>
        <v>0.98714381182411126</v>
      </c>
      <c r="BX1008" s="29">
        <f t="shared" ca="1" si="259"/>
        <v>293</v>
      </c>
    </row>
    <row r="1009" spans="2:77" ht="12.75" x14ac:dyDescent="0.2">
      <c r="B1009" s="22">
        <v>45554</v>
      </c>
      <c r="C1009" s="26">
        <f t="shared" ca="1" si="241"/>
        <v>0.75563400360490418</v>
      </c>
      <c r="D1009" s="29">
        <f t="shared" ca="1" si="242"/>
        <v>89</v>
      </c>
      <c r="F1009" s="22"/>
      <c r="G1009" s="26">
        <f t="shared" ca="1" si="260"/>
        <v>0.29876515006089921</v>
      </c>
      <c r="H1009" s="29">
        <f t="shared" ca="1" si="243"/>
        <v>208</v>
      </c>
      <c r="J1009" s="22">
        <v>45554</v>
      </c>
      <c r="K1009" s="26">
        <f t="shared" ca="1" si="261"/>
        <v>0.79021075372618332</v>
      </c>
      <c r="L1009" s="29">
        <f t="shared" ca="1" si="244"/>
        <v>159</v>
      </c>
      <c r="N1009" s="22">
        <v>45554</v>
      </c>
      <c r="O1009" s="26">
        <f t="shared" ca="1" si="262"/>
        <v>0.89089007950876364</v>
      </c>
      <c r="P1009" s="29">
        <f t="shared" ca="1" si="245"/>
        <v>249</v>
      </c>
      <c r="R1009" s="22">
        <v>45554</v>
      </c>
      <c r="S1009" s="26">
        <f t="shared" ca="1" si="263"/>
        <v>8.7614258267659229E-2</v>
      </c>
      <c r="T1009" s="29">
        <f t="shared" ca="1" si="246"/>
        <v>127</v>
      </c>
      <c r="V1009" s="22">
        <v>45554</v>
      </c>
      <c r="W1009" s="26">
        <f t="shared" ca="1" si="264"/>
        <v>0.66015048370505736</v>
      </c>
      <c r="X1009" s="29">
        <f t="shared" ca="1" si="247"/>
        <v>232</v>
      </c>
      <c r="Z1009" s="22">
        <v>45554</v>
      </c>
      <c r="AA1009" s="26">
        <f t="shared" ca="1" si="265"/>
        <v>0.55189326896810564</v>
      </c>
      <c r="AB1009" s="29">
        <f t="shared" ca="1" si="248"/>
        <v>273</v>
      </c>
      <c r="AC1009"/>
      <c r="AD1009" s="25"/>
      <c r="AF1009" s="22">
        <v>45554</v>
      </c>
      <c r="AG1009" s="26">
        <f t="shared" ca="1" si="266"/>
        <v>0.32855812130157525</v>
      </c>
      <c r="AH1009" s="29">
        <f t="shared" ca="1" si="249"/>
        <v>289</v>
      </c>
      <c r="AJ1009" s="22">
        <v>45554</v>
      </c>
      <c r="AK1009" s="26">
        <f t="shared" ca="1" si="267"/>
        <v>0.87252115627242299</v>
      </c>
      <c r="AL1009" s="29">
        <f t="shared" ca="1" si="250"/>
        <v>235</v>
      </c>
      <c r="AN1009" s="22">
        <v>45554</v>
      </c>
      <c r="AO1009" s="26">
        <f t="shared" ca="1" si="268"/>
        <v>0.10191871770350414</v>
      </c>
      <c r="AP1009" s="29">
        <f t="shared" ca="1" si="251"/>
        <v>98</v>
      </c>
      <c r="AR1009" s="22">
        <v>45554</v>
      </c>
      <c r="AS1009" s="26">
        <f t="shared" ca="1" si="269"/>
        <v>0.66101390553305472</v>
      </c>
      <c r="AT1009" s="29">
        <f t="shared" ca="1" si="252"/>
        <v>241</v>
      </c>
      <c r="AV1009" s="22">
        <v>45554</v>
      </c>
      <c r="AW1009" s="26">
        <f t="shared" ca="1" si="270"/>
        <v>0.61518040368781624</v>
      </c>
      <c r="AX1009" s="29">
        <f t="shared" ca="1" si="253"/>
        <v>207</v>
      </c>
      <c r="AZ1009" s="22">
        <v>45554</v>
      </c>
      <c r="BA1009" s="26">
        <f t="shared" ca="1" si="271"/>
        <v>0.93096171152555285</v>
      </c>
      <c r="BB1009" s="29">
        <f t="shared" ca="1" si="254"/>
        <v>251</v>
      </c>
      <c r="BC1009"/>
      <c r="BD1009" s="25"/>
      <c r="BF1009" s="22">
        <v>45554</v>
      </c>
      <c r="BG1009" s="26">
        <f t="shared" ca="1" si="272"/>
        <v>0.33897395872594194</v>
      </c>
      <c r="BH1009" s="29">
        <f t="shared" ca="1" si="255"/>
        <v>142</v>
      </c>
      <c r="BJ1009" s="22">
        <v>45554</v>
      </c>
      <c r="BK1009" s="26">
        <f t="shared" ca="1" si="273"/>
        <v>0.53846221530154526</v>
      </c>
      <c r="BL1009" s="29">
        <f t="shared" ca="1" si="256"/>
        <v>169</v>
      </c>
      <c r="BN1009" s="22">
        <v>45554</v>
      </c>
      <c r="BO1009" s="26">
        <f t="shared" ca="1" si="274"/>
        <v>0.53397027808941522</v>
      </c>
      <c r="BP1009" s="29">
        <f t="shared" ca="1" si="257"/>
        <v>134</v>
      </c>
      <c r="BR1009" s="22">
        <v>45554</v>
      </c>
      <c r="BS1009" s="26">
        <f t="shared" ca="1" si="275"/>
        <v>0.6146307399551284</v>
      </c>
      <c r="BT1009" s="29">
        <f t="shared" ca="1" si="258"/>
        <v>188</v>
      </c>
      <c r="BV1009" s="22">
        <v>45554</v>
      </c>
      <c r="BW1009" s="26">
        <f t="shared" ca="1" si="276"/>
        <v>0.21807070000758766</v>
      </c>
      <c r="BX1009" s="29">
        <f t="shared" ca="1" si="259"/>
        <v>146</v>
      </c>
    </row>
    <row r="1010" spans="2:77" ht="12.75" x14ac:dyDescent="0.2">
      <c r="B1010" s="22">
        <v>45555</v>
      </c>
      <c r="C1010" s="26">
        <f t="shared" ca="1" si="241"/>
        <v>0.28740113196773032</v>
      </c>
      <c r="D1010" s="29">
        <f t="shared" ca="1" si="242"/>
        <v>64</v>
      </c>
      <c r="F1010" s="22"/>
      <c r="G1010" s="26">
        <f t="shared" ca="1" si="260"/>
        <v>0.86389859481689746</v>
      </c>
      <c r="H1010" s="29">
        <f t="shared" ca="1" si="243"/>
        <v>232</v>
      </c>
      <c r="J1010" s="22">
        <v>45555</v>
      </c>
      <c r="K1010" s="26">
        <f t="shared" ca="1" si="261"/>
        <v>0.20392273663765226</v>
      </c>
      <c r="L1010" s="29">
        <f t="shared" ca="1" si="244"/>
        <v>142</v>
      </c>
      <c r="N1010" s="22">
        <v>45555</v>
      </c>
      <c r="O1010" s="26">
        <f t="shared" ca="1" si="262"/>
        <v>0.97540848073040054</v>
      </c>
      <c r="P1010" s="29">
        <f t="shared" ca="1" si="245"/>
        <v>260</v>
      </c>
      <c r="R1010" s="22">
        <v>45555</v>
      </c>
      <c r="S1010" s="26">
        <f t="shared" ca="1" si="263"/>
        <v>0.87895922050251651</v>
      </c>
      <c r="T1010" s="29">
        <f t="shared" ca="1" si="246"/>
        <v>150</v>
      </c>
      <c r="V1010" s="22">
        <v>45555</v>
      </c>
      <c r="W1010" s="26">
        <f t="shared" ca="1" si="264"/>
        <v>0.89485431475153632</v>
      </c>
      <c r="X1010" s="29">
        <f t="shared" ca="1" si="247"/>
        <v>244</v>
      </c>
      <c r="Z1010" s="22">
        <v>45555</v>
      </c>
      <c r="AA1010" s="26">
        <f t="shared" ca="1" si="265"/>
        <v>0.15661548230068667</v>
      </c>
      <c r="AB1010" s="29">
        <f t="shared" ca="1" si="248"/>
        <v>252</v>
      </c>
      <c r="AC1010"/>
      <c r="AD1010" s="25"/>
      <c r="AF1010" s="22">
        <v>45555</v>
      </c>
      <c r="AG1010" s="26">
        <f t="shared" ca="1" si="266"/>
        <v>0.12787101475235296</v>
      </c>
      <c r="AH1010" s="29">
        <f t="shared" ca="1" si="249"/>
        <v>228</v>
      </c>
      <c r="AJ1010" s="22">
        <v>45555</v>
      </c>
      <c r="AK1010" s="26">
        <f t="shared" ca="1" si="267"/>
        <v>0.96093742401332882</v>
      </c>
      <c r="AL1010" s="29">
        <f t="shared" ca="1" si="250"/>
        <v>265</v>
      </c>
      <c r="AN1010" s="22">
        <v>45555</v>
      </c>
      <c r="AO1010" s="26">
        <f t="shared" ca="1" si="268"/>
        <v>2.2238477643374499E-2</v>
      </c>
      <c r="AP1010" s="29">
        <f t="shared" ca="1" si="251"/>
        <v>69</v>
      </c>
      <c r="AR1010" s="22">
        <v>45555</v>
      </c>
      <c r="AS1010" s="26">
        <f t="shared" ca="1" si="269"/>
        <v>0.13544899933982224</v>
      </c>
      <c r="AT1010" s="29">
        <f t="shared" ca="1" si="252"/>
        <v>154</v>
      </c>
      <c r="AV1010" s="22">
        <v>45555</v>
      </c>
      <c r="AW1010" s="26">
        <f t="shared" ca="1" si="270"/>
        <v>0.43751016984140845</v>
      </c>
      <c r="AX1010" s="29">
        <f t="shared" ca="1" si="253"/>
        <v>184</v>
      </c>
      <c r="AZ1010" s="22">
        <v>45555</v>
      </c>
      <c r="BA1010" s="26">
        <f t="shared" ca="1" si="271"/>
        <v>0.17799752500159183</v>
      </c>
      <c r="BB1010" s="29">
        <f t="shared" ca="1" si="254"/>
        <v>136</v>
      </c>
      <c r="BC1010"/>
      <c r="BD1010" s="25"/>
      <c r="BF1010" s="22">
        <v>45555</v>
      </c>
      <c r="BG1010" s="26">
        <f t="shared" ca="1" si="272"/>
        <v>0.88103106110145424</v>
      </c>
      <c r="BH1010" s="29">
        <f t="shared" ca="1" si="255"/>
        <v>210</v>
      </c>
      <c r="BJ1010" s="22">
        <v>45555</v>
      </c>
      <c r="BK1010" s="26">
        <f t="shared" ca="1" si="273"/>
        <v>0.52672526889364668</v>
      </c>
      <c r="BL1010" s="29">
        <f t="shared" ca="1" si="256"/>
        <v>168</v>
      </c>
      <c r="BN1010" s="22">
        <v>45555</v>
      </c>
      <c r="BO1010" s="26">
        <f t="shared" ca="1" si="274"/>
        <v>0.35070263679818015</v>
      </c>
      <c r="BP1010" s="29">
        <f t="shared" ca="1" si="257"/>
        <v>118</v>
      </c>
      <c r="BR1010" s="22">
        <v>45555</v>
      </c>
      <c r="BS1010" s="26">
        <f t="shared" ca="1" si="275"/>
        <v>0.75297196208764416</v>
      </c>
      <c r="BT1010" s="29">
        <f t="shared" ca="1" si="258"/>
        <v>206</v>
      </c>
      <c r="BV1010" s="22">
        <v>45555</v>
      </c>
      <c r="BW1010" s="26">
        <f t="shared" ca="1" si="276"/>
        <v>0.13357034258640421</v>
      </c>
      <c r="BX1010" s="29">
        <f t="shared" ca="1" si="259"/>
        <v>130</v>
      </c>
    </row>
    <row r="1011" spans="2:77" ht="15.75" customHeight="1" x14ac:dyDescent="0.2">
      <c r="B1011" s="22">
        <v>45556</v>
      </c>
      <c r="C1011" s="26">
        <f t="shared" ca="1" si="241"/>
        <v>0.74354394361841358</v>
      </c>
      <c r="D1011" s="29">
        <f t="shared" ca="1" si="242"/>
        <v>89</v>
      </c>
      <c r="F1011" s="22"/>
      <c r="G1011" s="26">
        <f t="shared" ca="1" si="260"/>
        <v>0.53430705187825656</v>
      </c>
      <c r="H1011" s="29">
        <f t="shared" ca="1" si="243"/>
        <v>217</v>
      </c>
      <c r="J1011" s="22">
        <v>45556</v>
      </c>
      <c r="K1011" s="26">
        <f t="shared" ca="1" si="261"/>
        <v>0.79850997053643069</v>
      </c>
      <c r="L1011" s="29">
        <f t="shared" ca="1" si="244"/>
        <v>159</v>
      </c>
      <c r="N1011" s="22">
        <v>45556</v>
      </c>
      <c r="O1011" s="26">
        <f t="shared" ca="1" si="262"/>
        <v>0.4292998312228864</v>
      </c>
      <c r="P1011" s="29">
        <f t="shared" ca="1" si="245"/>
        <v>227</v>
      </c>
      <c r="R1011" s="22">
        <v>45556</v>
      </c>
      <c r="S1011" s="26">
        <f t="shared" ca="1" si="263"/>
        <v>0.69424135631452855</v>
      </c>
      <c r="T1011" s="29">
        <f t="shared" ca="1" si="246"/>
        <v>144</v>
      </c>
      <c r="V1011" s="22">
        <v>45556</v>
      </c>
      <c r="W1011" s="26">
        <f t="shared" ca="1" si="264"/>
        <v>0.3372140796783365</v>
      </c>
      <c r="X1011" s="29">
        <f t="shared" ca="1" si="247"/>
        <v>219</v>
      </c>
      <c r="Z1011" s="22">
        <v>45556</v>
      </c>
      <c r="AA1011" s="26">
        <f t="shared" ca="1" si="265"/>
        <v>0.26136843351392447</v>
      </c>
      <c r="AB1011" s="29">
        <f t="shared" ca="1" si="248"/>
        <v>259</v>
      </c>
      <c r="AC1011"/>
      <c r="AD1011" s="25"/>
      <c r="AF1011" s="22">
        <v>45556</v>
      </c>
      <c r="AG1011" s="26">
        <f t="shared" ca="1" si="266"/>
        <v>0.55918041488280856</v>
      </c>
      <c r="AH1011" s="29">
        <f t="shared" ca="1" si="249"/>
        <v>340</v>
      </c>
      <c r="AJ1011" s="22">
        <v>45556</v>
      </c>
      <c r="AK1011" s="26">
        <f t="shared" ca="1" si="267"/>
        <v>0.6035696465726661</v>
      </c>
      <c r="AL1011" s="29">
        <f t="shared" ca="1" si="250"/>
        <v>193</v>
      </c>
      <c r="AN1011" s="22">
        <v>45556</v>
      </c>
      <c r="AO1011" s="26">
        <f t="shared" ca="1" si="268"/>
        <v>4.7694038790921711E-2</v>
      </c>
      <c r="AP1011" s="29">
        <f t="shared" ca="1" si="251"/>
        <v>82</v>
      </c>
      <c r="AR1011" s="22">
        <v>45556</v>
      </c>
      <c r="AS1011" s="26">
        <f t="shared" ca="1" si="269"/>
        <v>0.6845870664404915</v>
      </c>
      <c r="AT1011" s="29">
        <f t="shared" ca="1" si="252"/>
        <v>245</v>
      </c>
      <c r="AV1011" s="22">
        <v>45556</v>
      </c>
      <c r="AW1011" s="26">
        <f t="shared" ca="1" si="270"/>
        <v>0.99978305650775368</v>
      </c>
      <c r="AX1011" s="29">
        <f t="shared" ca="1" si="253"/>
        <v>372</v>
      </c>
      <c r="AZ1011" s="22">
        <v>45556</v>
      </c>
      <c r="BA1011" s="26">
        <f t="shared" ca="1" si="271"/>
        <v>0.53167229072021394</v>
      </c>
      <c r="BB1011" s="29">
        <f t="shared" ca="1" si="254"/>
        <v>184</v>
      </c>
      <c r="BC1011"/>
      <c r="BD1011" s="25"/>
      <c r="BF1011" s="22">
        <v>45556</v>
      </c>
      <c r="BG1011" s="26">
        <f t="shared" ca="1" si="272"/>
        <v>0.27919031275497197</v>
      </c>
      <c r="BH1011" s="29">
        <f t="shared" ca="1" si="255"/>
        <v>135</v>
      </c>
      <c r="BJ1011" s="22">
        <v>45556</v>
      </c>
      <c r="BK1011" s="26">
        <f t="shared" ca="1" si="273"/>
        <v>0.81850590897820608</v>
      </c>
      <c r="BL1011" s="29">
        <f t="shared" ca="1" si="256"/>
        <v>205</v>
      </c>
      <c r="BN1011" s="22">
        <v>45556</v>
      </c>
      <c r="BO1011" s="26">
        <f t="shared" ca="1" si="274"/>
        <v>0.36845679935673725</v>
      </c>
      <c r="BP1011" s="29">
        <f t="shared" ca="1" si="257"/>
        <v>120</v>
      </c>
      <c r="BR1011" s="22">
        <v>45556</v>
      </c>
      <c r="BS1011" s="26">
        <f t="shared" ca="1" si="275"/>
        <v>0.17497050218046528</v>
      </c>
      <c r="BT1011" s="29">
        <f t="shared" ca="1" si="258"/>
        <v>131</v>
      </c>
      <c r="BV1011" s="22">
        <v>45556</v>
      </c>
      <c r="BW1011" s="26">
        <f t="shared" ca="1" si="276"/>
        <v>0.60766618562856678</v>
      </c>
      <c r="BX1011" s="29">
        <f t="shared" ca="1" si="259"/>
        <v>197</v>
      </c>
    </row>
    <row r="1012" spans="2:77" ht="15.75" customHeight="1" x14ac:dyDescent="0.2">
      <c r="B1012" s="22">
        <v>45557</v>
      </c>
      <c r="C1012" s="26">
        <f t="shared" ca="1" si="241"/>
        <v>0.10392711679846767</v>
      </c>
      <c r="D1012" s="29">
        <f t="shared" ca="1" si="242"/>
        <v>50</v>
      </c>
      <c r="F1012" s="22"/>
      <c r="G1012" s="26">
        <f t="shared" ca="1" si="260"/>
        <v>0.18684224370605296</v>
      </c>
      <c r="H1012" s="29">
        <f t="shared" ca="1" si="243"/>
        <v>203</v>
      </c>
      <c r="J1012" s="22">
        <v>45557</v>
      </c>
      <c r="K1012" s="26">
        <f t="shared" ca="1" si="261"/>
        <v>0.14172865768866261</v>
      </c>
      <c r="L1012" s="29">
        <f t="shared" ca="1" si="244"/>
        <v>140</v>
      </c>
      <c r="N1012" s="22">
        <v>45557</v>
      </c>
      <c r="O1012" s="26">
        <f t="shared" ca="1" si="262"/>
        <v>0.24809065538618036</v>
      </c>
      <c r="P1012" s="29">
        <f t="shared" ca="1" si="245"/>
        <v>219</v>
      </c>
      <c r="R1012" s="22">
        <v>45557</v>
      </c>
      <c r="S1012" s="26">
        <f t="shared" ca="1" si="263"/>
        <v>0.59743475964274062</v>
      </c>
      <c r="T1012" s="29">
        <f t="shared" ca="1" si="246"/>
        <v>142</v>
      </c>
      <c r="V1012" s="22">
        <v>45557</v>
      </c>
      <c r="W1012" s="26">
        <f t="shared" ca="1" si="264"/>
        <v>0.2345312385792615</v>
      </c>
      <c r="X1012" s="29">
        <f t="shared" ca="1" si="247"/>
        <v>215</v>
      </c>
      <c r="Z1012" s="22">
        <v>45557</v>
      </c>
      <c r="AA1012" s="26">
        <f t="shared" ca="1" si="265"/>
        <v>0.27499641283367704</v>
      </c>
      <c r="AB1012" s="29">
        <f t="shared" ca="1" si="248"/>
        <v>260</v>
      </c>
      <c r="AC1012"/>
      <c r="AD1012" s="25"/>
      <c r="AF1012" s="22">
        <v>45557</v>
      </c>
      <c r="AG1012" s="26">
        <f t="shared" ca="1" si="266"/>
        <v>0.43366701197457669</v>
      </c>
      <c r="AH1012" s="29">
        <f t="shared" ca="1" si="249"/>
        <v>313</v>
      </c>
      <c r="AJ1012" s="22">
        <v>45557</v>
      </c>
      <c r="AK1012" s="26">
        <f t="shared" ca="1" si="267"/>
        <v>0.30275889901751807</v>
      </c>
      <c r="AL1012" s="29">
        <f t="shared" ca="1" si="250"/>
        <v>156</v>
      </c>
      <c r="AN1012" s="22">
        <v>45557</v>
      </c>
      <c r="AO1012" s="26">
        <f t="shared" ca="1" si="268"/>
        <v>0.40367379512704837</v>
      </c>
      <c r="AP1012" s="29">
        <f t="shared" ca="1" si="251"/>
        <v>138</v>
      </c>
      <c r="AR1012" s="22">
        <v>45557</v>
      </c>
      <c r="AS1012" s="26">
        <f t="shared" ca="1" si="269"/>
        <v>0.53990856611012927</v>
      </c>
      <c r="AT1012" s="29">
        <f t="shared" ca="1" si="252"/>
        <v>223</v>
      </c>
      <c r="AV1012" s="22">
        <v>45557</v>
      </c>
      <c r="AW1012" s="26">
        <f t="shared" ca="1" si="270"/>
        <v>0.93585685725163381</v>
      </c>
      <c r="AX1012" s="29">
        <f t="shared" ca="1" si="253"/>
        <v>270</v>
      </c>
      <c r="AZ1012" s="22">
        <v>45557</v>
      </c>
      <c r="BA1012" s="26">
        <f t="shared" ca="1" si="271"/>
        <v>2.0098933501955685E-2</v>
      </c>
      <c r="BB1012" s="29">
        <f t="shared" ca="1" si="254"/>
        <v>82</v>
      </c>
      <c r="BC1012"/>
      <c r="BD1012" s="25"/>
      <c r="BF1012" s="22">
        <v>45557</v>
      </c>
      <c r="BG1012" s="26">
        <f t="shared" ca="1" si="272"/>
        <v>0.73642382173172882</v>
      </c>
      <c r="BH1012" s="29">
        <f t="shared" ca="1" si="255"/>
        <v>187</v>
      </c>
      <c r="BJ1012" s="22">
        <v>45557</v>
      </c>
      <c r="BK1012" s="26">
        <f t="shared" ca="1" si="273"/>
        <v>0.36336737249980344</v>
      </c>
      <c r="BL1012" s="29">
        <f t="shared" ca="1" si="256"/>
        <v>150</v>
      </c>
      <c r="BN1012" s="22">
        <v>45557</v>
      </c>
      <c r="BO1012" s="26">
        <f t="shared" ca="1" si="274"/>
        <v>0.8831762580797563</v>
      </c>
      <c r="BP1012" s="29">
        <f t="shared" ca="1" si="257"/>
        <v>173</v>
      </c>
      <c r="BR1012" s="22">
        <v>45557</v>
      </c>
      <c r="BS1012" s="26">
        <f t="shared" ca="1" si="275"/>
        <v>2.0955266636392134E-2</v>
      </c>
      <c r="BT1012" s="29">
        <f t="shared" ca="1" si="258"/>
        <v>80</v>
      </c>
      <c r="BV1012" s="22">
        <v>45557</v>
      </c>
      <c r="BW1012" s="26">
        <f t="shared" ca="1" si="276"/>
        <v>0.57938695286020381</v>
      </c>
      <c r="BX1012" s="29">
        <f t="shared" ca="1" si="259"/>
        <v>194</v>
      </c>
    </row>
    <row r="1013" spans="2:77" ht="15.75" customHeight="1" x14ac:dyDescent="0.2">
      <c r="B1013" s="22">
        <v>45558</v>
      </c>
      <c r="C1013" s="26">
        <f t="shared" ca="1" si="241"/>
        <v>0.77035968768528629</v>
      </c>
      <c r="D1013" s="29">
        <f t="shared" ca="1" si="242"/>
        <v>90</v>
      </c>
      <c r="F1013" s="22"/>
      <c r="G1013" s="26">
        <f t="shared" ca="1" si="260"/>
        <v>0.97146060365201925</v>
      </c>
      <c r="H1013" s="29">
        <f t="shared" ca="1" si="243"/>
        <v>243</v>
      </c>
      <c r="J1013" s="22">
        <v>45558</v>
      </c>
      <c r="K1013" s="26">
        <f t="shared" ca="1" si="261"/>
        <v>0.72863537163149061</v>
      </c>
      <c r="L1013" s="29">
        <f t="shared" ca="1" si="244"/>
        <v>157</v>
      </c>
      <c r="N1013" s="22">
        <v>45558</v>
      </c>
      <c r="O1013" s="26">
        <f t="shared" ca="1" si="262"/>
        <v>0.22616107089760273</v>
      </c>
      <c r="P1013" s="29">
        <f t="shared" ca="1" si="245"/>
        <v>218</v>
      </c>
      <c r="R1013" s="22">
        <v>45558</v>
      </c>
      <c r="S1013" s="26">
        <f t="shared" ca="1" si="263"/>
        <v>6.5673515905601221E-2</v>
      </c>
      <c r="T1013" s="29">
        <f t="shared" ca="1" si="246"/>
        <v>125</v>
      </c>
      <c r="V1013" s="22">
        <v>45558</v>
      </c>
      <c r="W1013" s="26">
        <f t="shared" ca="1" si="264"/>
        <v>0.53375672103443983</v>
      </c>
      <c r="X1013" s="29">
        <f t="shared" ca="1" si="247"/>
        <v>227</v>
      </c>
      <c r="Z1013" s="22">
        <v>45558</v>
      </c>
      <c r="AA1013" s="26">
        <f t="shared" ca="1" si="265"/>
        <v>0.19245123218629656</v>
      </c>
      <c r="AB1013" s="29">
        <f t="shared" ca="1" si="248"/>
        <v>255</v>
      </c>
      <c r="AC1013"/>
      <c r="AD1013" s="25"/>
      <c r="AF1013" s="22">
        <v>45558</v>
      </c>
      <c r="AG1013" s="26">
        <f t="shared" ca="1" si="266"/>
        <v>0.70395465217219999</v>
      </c>
      <c r="AH1013" s="29">
        <f t="shared" ca="1" si="249"/>
        <v>374</v>
      </c>
      <c r="AJ1013" s="22">
        <v>45558</v>
      </c>
      <c r="AK1013" s="26">
        <f t="shared" ca="1" si="267"/>
        <v>0.20409512279632391</v>
      </c>
      <c r="AL1013" s="29">
        <f t="shared" ca="1" si="250"/>
        <v>141</v>
      </c>
      <c r="AN1013" s="22">
        <v>45558</v>
      </c>
      <c r="AO1013" s="26">
        <f t="shared" ca="1" si="268"/>
        <v>0.1414996919312218</v>
      </c>
      <c r="AP1013" s="29">
        <f t="shared" ca="1" si="251"/>
        <v>106</v>
      </c>
      <c r="AR1013" s="22">
        <v>45558</v>
      </c>
      <c r="AS1013" s="26">
        <f t="shared" ca="1" si="269"/>
        <v>0.47887491501847423</v>
      </c>
      <c r="AT1013" s="29">
        <f t="shared" ca="1" si="252"/>
        <v>214</v>
      </c>
      <c r="AV1013" s="22">
        <v>45558</v>
      </c>
      <c r="AW1013" s="26">
        <f t="shared" ca="1" si="270"/>
        <v>0.97386897896878455</v>
      </c>
      <c r="AX1013" s="29">
        <f t="shared" ca="1" si="253"/>
        <v>291</v>
      </c>
      <c r="AZ1013" s="22">
        <v>45558</v>
      </c>
      <c r="BA1013" s="26">
        <f t="shared" ca="1" si="271"/>
        <v>0.36106401156988355</v>
      </c>
      <c r="BB1013" s="29">
        <f t="shared" ca="1" si="254"/>
        <v>163</v>
      </c>
      <c r="BC1013"/>
      <c r="BD1013" s="25"/>
      <c r="BF1013" s="22">
        <v>45558</v>
      </c>
      <c r="BG1013" s="26">
        <f t="shared" ca="1" si="272"/>
        <v>0.22687478717621701</v>
      </c>
      <c r="BH1013" s="29">
        <f t="shared" ca="1" si="255"/>
        <v>128</v>
      </c>
      <c r="BJ1013" s="22">
        <v>45558</v>
      </c>
      <c r="BK1013" s="26">
        <f t="shared" ca="1" si="273"/>
        <v>0.34176486324143063</v>
      </c>
      <c r="BL1013" s="29">
        <f t="shared" ca="1" si="256"/>
        <v>147</v>
      </c>
      <c r="BN1013" s="22">
        <v>45558</v>
      </c>
      <c r="BO1013" s="26">
        <f t="shared" ca="1" si="274"/>
        <v>9.7511446305508009E-2</v>
      </c>
      <c r="BP1013" s="29">
        <f t="shared" ca="1" si="257"/>
        <v>86</v>
      </c>
      <c r="BR1013" s="22">
        <v>45558</v>
      </c>
      <c r="BS1013" s="26">
        <f t="shared" ca="1" si="275"/>
        <v>0.10582358430384153</v>
      </c>
      <c r="BT1013" s="29">
        <f t="shared" ca="1" si="258"/>
        <v>116</v>
      </c>
      <c r="BV1013" s="22">
        <v>45558</v>
      </c>
      <c r="BW1013" s="26">
        <f t="shared" ca="1" si="276"/>
        <v>0.31025219737550602</v>
      </c>
      <c r="BX1013" s="29">
        <f t="shared" ca="1" si="259"/>
        <v>160</v>
      </c>
    </row>
    <row r="1014" spans="2:77" ht="15.75" customHeight="1" x14ac:dyDescent="0.2">
      <c r="B1014" s="22">
        <v>45559</v>
      </c>
      <c r="C1014" s="26">
        <f t="shared" ca="1" si="241"/>
        <v>0.14974216229203041</v>
      </c>
      <c r="D1014" s="29">
        <f t="shared" ca="1" si="242"/>
        <v>55</v>
      </c>
      <c r="F1014" s="22"/>
      <c r="G1014" s="26">
        <f t="shared" ca="1" si="260"/>
        <v>0.89886432744939482</v>
      </c>
      <c r="H1014" s="29">
        <f t="shared" ca="1" si="243"/>
        <v>234</v>
      </c>
      <c r="J1014" s="22">
        <v>45559</v>
      </c>
      <c r="K1014" s="26">
        <f t="shared" ca="1" si="261"/>
        <v>6.8842270444959164E-2</v>
      </c>
      <c r="L1014" s="29">
        <f t="shared" ca="1" si="244"/>
        <v>136</v>
      </c>
      <c r="N1014" s="22">
        <v>45559</v>
      </c>
      <c r="O1014" s="26">
        <f t="shared" ca="1" si="262"/>
        <v>0.72577400687421179</v>
      </c>
      <c r="P1014" s="29">
        <f t="shared" ca="1" si="245"/>
        <v>239</v>
      </c>
      <c r="R1014" s="22">
        <v>45559</v>
      </c>
      <c r="S1014" s="26">
        <f t="shared" ca="1" si="263"/>
        <v>0.91614145725255269</v>
      </c>
      <c r="T1014" s="29">
        <f t="shared" ca="1" si="246"/>
        <v>152</v>
      </c>
      <c r="V1014" s="22">
        <v>45559</v>
      </c>
      <c r="W1014" s="26">
        <f t="shared" ca="1" si="264"/>
        <v>0.49531292478456224</v>
      </c>
      <c r="X1014" s="29">
        <f t="shared" ca="1" si="247"/>
        <v>225</v>
      </c>
      <c r="Z1014" s="22">
        <v>45559</v>
      </c>
      <c r="AA1014" s="26">
        <f t="shared" ca="1" si="265"/>
        <v>0.52064211556390683</v>
      </c>
      <c r="AB1014" s="29">
        <f t="shared" ca="1" si="248"/>
        <v>271</v>
      </c>
      <c r="AC1014"/>
      <c r="AD1014" s="25"/>
      <c r="AF1014" s="22">
        <v>45559</v>
      </c>
      <c r="AG1014" s="26">
        <f t="shared" ca="1" si="266"/>
        <v>0.468906373204518</v>
      </c>
      <c r="AH1014" s="29">
        <f t="shared" ca="1" si="249"/>
        <v>321</v>
      </c>
      <c r="AJ1014" s="22">
        <v>45559</v>
      </c>
      <c r="AK1014" s="26">
        <f t="shared" ca="1" si="267"/>
        <v>0.84969058874066072</v>
      </c>
      <c r="AL1014" s="29">
        <f t="shared" ca="1" si="250"/>
        <v>230</v>
      </c>
      <c r="AN1014" s="22">
        <v>45559</v>
      </c>
      <c r="AO1014" s="26">
        <f t="shared" ca="1" si="268"/>
        <v>0.98766301263343714</v>
      </c>
      <c r="AP1014" s="29">
        <f t="shared" ca="1" si="251"/>
        <v>236</v>
      </c>
      <c r="AR1014" s="22">
        <v>45559</v>
      </c>
      <c r="AS1014" s="26">
        <f t="shared" ca="1" si="269"/>
        <v>0.36549689950549635</v>
      </c>
      <c r="AT1014" s="29">
        <f t="shared" ca="1" si="252"/>
        <v>197</v>
      </c>
      <c r="AV1014" s="22">
        <v>45559</v>
      </c>
      <c r="AW1014" s="26">
        <f t="shared" ca="1" si="270"/>
        <v>0.116183796090638</v>
      </c>
      <c r="AX1014" s="29">
        <f t="shared" ca="1" si="253"/>
        <v>131</v>
      </c>
      <c r="AZ1014" s="22">
        <v>45559</v>
      </c>
      <c r="BA1014" s="26">
        <f t="shared" ca="1" si="271"/>
        <v>0.46131001616056178</v>
      </c>
      <c r="BB1014" s="29">
        <f t="shared" ca="1" si="254"/>
        <v>176</v>
      </c>
      <c r="BC1014"/>
      <c r="BD1014" s="25"/>
      <c r="BF1014" s="22">
        <v>45559</v>
      </c>
      <c r="BG1014" s="26">
        <f t="shared" ca="1" si="272"/>
        <v>0.75906460205210369</v>
      </c>
      <c r="BH1014" s="29">
        <f t="shared" ca="1" si="255"/>
        <v>190</v>
      </c>
      <c r="BJ1014" s="22">
        <v>45559</v>
      </c>
      <c r="BK1014" s="26">
        <f t="shared" ca="1" si="273"/>
        <v>0.6437116147212707</v>
      </c>
      <c r="BL1014" s="29">
        <f t="shared" ca="1" si="256"/>
        <v>181</v>
      </c>
      <c r="BN1014" s="22">
        <v>45559</v>
      </c>
      <c r="BO1014" s="26">
        <f t="shared" ca="1" si="274"/>
        <v>0.57388514139048352</v>
      </c>
      <c r="BP1014" s="29">
        <f t="shared" ca="1" si="257"/>
        <v>138</v>
      </c>
      <c r="BR1014" s="22">
        <v>45559</v>
      </c>
      <c r="BS1014" s="26">
        <f t="shared" ca="1" si="275"/>
        <v>2.6159768294703234E-2</v>
      </c>
      <c r="BT1014" s="29">
        <f t="shared" ca="1" si="258"/>
        <v>84</v>
      </c>
      <c r="BV1014" s="22">
        <v>45559</v>
      </c>
      <c r="BW1014" s="26">
        <f t="shared" ca="1" si="276"/>
        <v>0.746384677453371</v>
      </c>
      <c r="BX1014" s="29">
        <f t="shared" ca="1" si="259"/>
        <v>216</v>
      </c>
    </row>
    <row r="1015" spans="2:77" ht="15.75" customHeight="1" x14ac:dyDescent="0.2">
      <c r="B1015" s="22">
        <v>45560</v>
      </c>
      <c r="C1015" s="26">
        <f t="shared" ca="1" si="241"/>
        <v>0.99132311981371535</v>
      </c>
      <c r="D1015" s="29">
        <f t="shared" ca="1" si="242"/>
        <v>123</v>
      </c>
      <c r="F1015" s="22"/>
      <c r="G1015" s="26">
        <f t="shared" ca="1" si="260"/>
        <v>0.92480149685381396</v>
      </c>
      <c r="H1015" s="29">
        <f t="shared" ca="1" si="243"/>
        <v>237</v>
      </c>
      <c r="J1015" s="22">
        <v>45560</v>
      </c>
      <c r="K1015" s="26">
        <f t="shared" ca="1" si="261"/>
        <v>0.71865226474024113</v>
      </c>
      <c r="L1015" s="29">
        <f t="shared" ca="1" si="244"/>
        <v>156</v>
      </c>
      <c r="N1015" s="22">
        <v>45560</v>
      </c>
      <c r="O1015" s="26">
        <f t="shared" ca="1" si="262"/>
        <v>0.84869955242342587</v>
      </c>
      <c r="P1015" s="29">
        <f t="shared" ca="1" si="245"/>
        <v>246</v>
      </c>
      <c r="R1015" s="22">
        <v>45560</v>
      </c>
      <c r="S1015" s="26">
        <f t="shared" ca="1" si="263"/>
        <v>0.8158220772477196</v>
      </c>
      <c r="T1015" s="29">
        <f t="shared" ca="1" si="246"/>
        <v>148</v>
      </c>
      <c r="V1015" s="22">
        <v>45560</v>
      </c>
      <c r="W1015" s="26">
        <f t="shared" ca="1" si="264"/>
        <v>0.66346939823612161</v>
      </c>
      <c r="X1015" s="29">
        <f t="shared" ca="1" si="247"/>
        <v>232</v>
      </c>
      <c r="Z1015" s="22">
        <v>45560</v>
      </c>
      <c r="AA1015" s="26">
        <f t="shared" ca="1" si="265"/>
        <v>0.14644843249977857</v>
      </c>
      <c r="AB1015" s="29">
        <f t="shared" ca="1" si="248"/>
        <v>252</v>
      </c>
      <c r="AC1015"/>
      <c r="AD1015" s="25"/>
      <c r="AF1015" s="22">
        <v>45560</v>
      </c>
      <c r="AG1015" s="26">
        <f t="shared" ca="1" si="266"/>
        <v>0.80920897819227344</v>
      </c>
      <c r="AH1015" s="29">
        <f t="shared" ca="1" si="249"/>
        <v>404</v>
      </c>
      <c r="AJ1015" s="22">
        <v>45560</v>
      </c>
      <c r="AK1015" s="26">
        <f t="shared" ca="1" si="267"/>
        <v>0.54133923552500929</v>
      </c>
      <c r="AL1015" s="29">
        <f t="shared" ca="1" si="250"/>
        <v>185</v>
      </c>
      <c r="AN1015" s="22">
        <v>45560</v>
      </c>
      <c r="AO1015" s="26">
        <f t="shared" ca="1" si="268"/>
        <v>0.97921633041784317</v>
      </c>
      <c r="AP1015" s="29">
        <f t="shared" ca="1" si="251"/>
        <v>228</v>
      </c>
      <c r="AR1015" s="22">
        <v>45560</v>
      </c>
      <c r="AS1015" s="26">
        <f t="shared" ca="1" si="269"/>
        <v>0.75079757458749341</v>
      </c>
      <c r="AT1015" s="29">
        <f t="shared" ca="1" si="252"/>
        <v>256</v>
      </c>
      <c r="AV1015" s="22">
        <v>45560</v>
      </c>
      <c r="AW1015" s="26">
        <f t="shared" ca="1" si="270"/>
        <v>0.60577610489391687</v>
      </c>
      <c r="AX1015" s="29">
        <f t="shared" ca="1" si="253"/>
        <v>206</v>
      </c>
      <c r="AZ1015" s="22">
        <v>45560</v>
      </c>
      <c r="BA1015" s="26">
        <f t="shared" ca="1" si="271"/>
        <v>0.53124642168750924</v>
      </c>
      <c r="BB1015" s="29">
        <f t="shared" ca="1" si="254"/>
        <v>184</v>
      </c>
      <c r="BC1015"/>
      <c r="BD1015" s="25"/>
      <c r="BF1015" s="22">
        <v>45560</v>
      </c>
      <c r="BG1015" s="26">
        <f t="shared" ca="1" si="272"/>
        <v>0.54172938492805578</v>
      </c>
      <c r="BH1015" s="29">
        <f t="shared" ca="1" si="255"/>
        <v>165</v>
      </c>
      <c r="BJ1015" s="22">
        <v>45560</v>
      </c>
      <c r="BK1015" s="26">
        <f t="shared" ca="1" si="273"/>
        <v>0.6570685585193079</v>
      </c>
      <c r="BL1015" s="29">
        <f t="shared" ca="1" si="256"/>
        <v>183</v>
      </c>
      <c r="BN1015" s="22">
        <v>45560</v>
      </c>
      <c r="BO1015" s="26">
        <f t="shared" ca="1" si="274"/>
        <v>0.70896197691922402</v>
      </c>
      <c r="BP1015" s="29">
        <f t="shared" ca="1" si="257"/>
        <v>151</v>
      </c>
      <c r="BR1015" s="22">
        <v>45560</v>
      </c>
      <c r="BS1015" s="26">
        <f t="shared" ca="1" si="275"/>
        <v>0.2736591864238016</v>
      </c>
      <c r="BT1015" s="29">
        <f t="shared" ca="1" si="258"/>
        <v>146</v>
      </c>
      <c r="BV1015" s="22">
        <v>45560</v>
      </c>
      <c r="BW1015" s="26">
        <f t="shared" ca="1" si="276"/>
        <v>0.5235282256844086</v>
      </c>
      <c r="BX1015" s="29">
        <f t="shared" ca="1" si="259"/>
        <v>187</v>
      </c>
    </row>
    <row r="1016" spans="2:77" ht="15.75" customHeight="1" x14ac:dyDescent="0.2">
      <c r="B1016" s="22">
        <v>45561</v>
      </c>
      <c r="C1016" s="26">
        <f t="shared" ca="1" si="241"/>
        <v>1.0440650995604206E-2</v>
      </c>
      <c r="D1016" s="29">
        <f t="shared" ca="1" si="242"/>
        <v>29</v>
      </c>
      <c r="F1016" s="22"/>
      <c r="G1016" s="26">
        <f t="shared" ca="1" si="260"/>
        <v>0.83448195455302454</v>
      </c>
      <c r="H1016" s="29">
        <f t="shared" ca="1" si="243"/>
        <v>230</v>
      </c>
      <c r="J1016" s="22">
        <v>45561</v>
      </c>
      <c r="K1016" s="26">
        <f t="shared" ca="1" si="261"/>
        <v>0.46269441257052213</v>
      </c>
      <c r="L1016" s="29">
        <f t="shared" ca="1" si="244"/>
        <v>150</v>
      </c>
      <c r="N1016" s="22">
        <v>45561</v>
      </c>
      <c r="O1016" s="26">
        <f t="shared" ca="1" si="262"/>
        <v>0.78433025946479029</v>
      </c>
      <c r="P1016" s="29">
        <f t="shared" ca="1" si="245"/>
        <v>242</v>
      </c>
      <c r="R1016" s="22">
        <v>45561</v>
      </c>
      <c r="S1016" s="26">
        <f t="shared" ca="1" si="263"/>
        <v>0.61726270518117843</v>
      </c>
      <c r="T1016" s="29">
        <f t="shared" ca="1" si="246"/>
        <v>142</v>
      </c>
      <c r="V1016" s="22">
        <v>45561</v>
      </c>
      <c r="W1016" s="26">
        <f t="shared" ca="1" si="264"/>
        <v>0.24044938739051702</v>
      </c>
      <c r="X1016" s="29">
        <f t="shared" ca="1" si="247"/>
        <v>215</v>
      </c>
      <c r="Z1016" s="22">
        <v>45561</v>
      </c>
      <c r="AA1016" s="26">
        <f t="shared" ca="1" si="265"/>
        <v>2.6054752831949024E-2</v>
      </c>
      <c r="AB1016" s="29">
        <f t="shared" ca="1" si="248"/>
        <v>236</v>
      </c>
      <c r="AC1016"/>
      <c r="AD1016" s="25"/>
      <c r="AF1016" s="22">
        <v>45561</v>
      </c>
      <c r="AG1016" s="26">
        <f t="shared" ca="1" si="266"/>
        <v>0.13869569095885159</v>
      </c>
      <c r="AH1016" s="29">
        <f t="shared" ca="1" si="249"/>
        <v>233</v>
      </c>
      <c r="AJ1016" s="22">
        <v>45561</v>
      </c>
      <c r="AK1016" s="26">
        <f t="shared" ca="1" si="267"/>
        <v>0.66946208984149236</v>
      </c>
      <c r="AL1016" s="29">
        <f t="shared" ca="1" si="250"/>
        <v>201</v>
      </c>
      <c r="AN1016" s="22">
        <v>45561</v>
      </c>
      <c r="AO1016" s="26">
        <f t="shared" ca="1" si="268"/>
        <v>0.77271193900331381</v>
      </c>
      <c r="AP1016" s="29">
        <f t="shared" ca="1" si="251"/>
        <v>177</v>
      </c>
      <c r="AR1016" s="22">
        <v>45561</v>
      </c>
      <c r="AS1016" s="26">
        <f t="shared" ca="1" si="269"/>
        <v>0.12626099955644066</v>
      </c>
      <c r="AT1016" s="29">
        <f t="shared" ca="1" si="252"/>
        <v>151</v>
      </c>
      <c r="AV1016" s="22">
        <v>45561</v>
      </c>
      <c r="AW1016" s="26">
        <f t="shared" ca="1" si="270"/>
        <v>0.28155678337069301</v>
      </c>
      <c r="AX1016" s="29">
        <f t="shared" ca="1" si="253"/>
        <v>163</v>
      </c>
      <c r="AZ1016" s="22">
        <v>45561</v>
      </c>
      <c r="BA1016" s="26">
        <f t="shared" ca="1" si="271"/>
        <v>0.6261946457883889</v>
      </c>
      <c r="BB1016" s="29">
        <f t="shared" ca="1" si="254"/>
        <v>196</v>
      </c>
      <c r="BC1016"/>
      <c r="BD1016" s="25"/>
      <c r="BF1016" s="22">
        <v>45561</v>
      </c>
      <c r="BG1016" s="26">
        <f t="shared" ca="1" si="272"/>
        <v>0.99066578345388545</v>
      </c>
      <c r="BH1016" s="29">
        <f t="shared" ca="1" si="255"/>
        <v>260</v>
      </c>
      <c r="BJ1016" s="22">
        <v>45561</v>
      </c>
      <c r="BK1016" s="26">
        <f t="shared" ca="1" si="273"/>
        <v>0.15759935683482262</v>
      </c>
      <c r="BL1016" s="29">
        <f t="shared" ca="1" si="256"/>
        <v>121</v>
      </c>
      <c r="BN1016" s="22">
        <v>45561</v>
      </c>
      <c r="BO1016" s="26">
        <f t="shared" ca="1" si="274"/>
        <v>0.23305643555188149</v>
      </c>
      <c r="BP1016" s="29">
        <f t="shared" ca="1" si="257"/>
        <v>106</v>
      </c>
      <c r="BR1016" s="22">
        <v>45561</v>
      </c>
      <c r="BS1016" s="26">
        <f t="shared" ca="1" si="275"/>
        <v>0.51806366675891635</v>
      </c>
      <c r="BT1016" s="29">
        <f t="shared" ca="1" si="258"/>
        <v>176</v>
      </c>
      <c r="BV1016" s="22">
        <v>45561</v>
      </c>
      <c r="BW1016" s="26">
        <f t="shared" ca="1" si="276"/>
        <v>0.78516153873267203</v>
      </c>
      <c r="BX1016" s="29">
        <f t="shared" ca="1" si="259"/>
        <v>223</v>
      </c>
    </row>
    <row r="1017" spans="2:77" ht="15.75" customHeight="1" x14ac:dyDescent="0.2">
      <c r="B1017" s="22">
        <v>45562</v>
      </c>
      <c r="C1017" s="26">
        <f t="shared" ca="1" si="241"/>
        <v>0.63468521776855458</v>
      </c>
      <c r="D1017" s="29">
        <f t="shared" ca="1" si="242"/>
        <v>82</v>
      </c>
      <c r="F1017" s="22"/>
      <c r="G1017" s="26">
        <f t="shared" ca="1" si="260"/>
        <v>0.59750114179538905</v>
      </c>
      <c r="H1017" s="29">
        <f t="shared" ca="1" si="243"/>
        <v>219</v>
      </c>
      <c r="J1017" s="22">
        <v>45562</v>
      </c>
      <c r="K1017" s="26">
        <f t="shared" ca="1" si="261"/>
        <v>0.92574542615258459</v>
      </c>
      <c r="L1017" s="29">
        <f t="shared" ca="1" si="244"/>
        <v>165</v>
      </c>
      <c r="N1017" s="22">
        <v>45562</v>
      </c>
      <c r="O1017" s="26">
        <f t="shared" ca="1" si="262"/>
        <v>0.17086079252923869</v>
      </c>
      <c r="P1017" s="29">
        <f t="shared" ca="1" si="245"/>
        <v>215</v>
      </c>
      <c r="R1017" s="22">
        <v>45562</v>
      </c>
      <c r="S1017" s="26">
        <f t="shared" ca="1" si="263"/>
        <v>0.96665234821790491</v>
      </c>
      <c r="T1017" s="29">
        <f t="shared" ca="1" si="246"/>
        <v>156</v>
      </c>
      <c r="V1017" s="22">
        <v>45562</v>
      </c>
      <c r="W1017" s="26">
        <f t="shared" ca="1" si="264"/>
        <v>0.27073690651988347</v>
      </c>
      <c r="X1017" s="29">
        <f t="shared" ca="1" si="247"/>
        <v>216</v>
      </c>
      <c r="Z1017" s="22">
        <v>45562</v>
      </c>
      <c r="AA1017" s="26">
        <f t="shared" ca="1" si="265"/>
        <v>0.4217284281604734</v>
      </c>
      <c r="AB1017" s="29">
        <f t="shared" ca="1" si="248"/>
        <v>267</v>
      </c>
      <c r="AC1017"/>
      <c r="AD1017" s="25"/>
      <c r="AF1017" s="22">
        <v>45562</v>
      </c>
      <c r="AG1017" s="26">
        <f t="shared" ca="1" si="266"/>
        <v>0.84488372162970304</v>
      </c>
      <c r="AH1017" s="29">
        <f t="shared" ca="1" si="249"/>
        <v>416</v>
      </c>
      <c r="AJ1017" s="22">
        <v>45562</v>
      </c>
      <c r="AK1017" s="26">
        <f t="shared" ca="1" si="267"/>
        <v>0.42073769354310941</v>
      </c>
      <c r="AL1017" s="29">
        <f t="shared" ca="1" si="250"/>
        <v>171</v>
      </c>
      <c r="AN1017" s="22">
        <v>45562</v>
      </c>
      <c r="AO1017" s="26">
        <f t="shared" ca="1" si="268"/>
        <v>0.36665023914452022</v>
      </c>
      <c r="AP1017" s="29">
        <f t="shared" ca="1" si="251"/>
        <v>134</v>
      </c>
      <c r="AR1017" s="22">
        <v>45562</v>
      </c>
      <c r="AS1017" s="26">
        <f t="shared" ca="1" si="269"/>
        <v>0.68402186345246785</v>
      </c>
      <c r="AT1017" s="29">
        <f t="shared" ca="1" si="252"/>
        <v>245</v>
      </c>
      <c r="AV1017" s="22">
        <v>45562</v>
      </c>
      <c r="AW1017" s="26">
        <f t="shared" ca="1" si="270"/>
        <v>3.9131065034323953E-2</v>
      </c>
      <c r="AX1017" s="29">
        <f t="shared" ca="1" si="253"/>
        <v>102</v>
      </c>
      <c r="AZ1017" s="22">
        <v>45562</v>
      </c>
      <c r="BA1017" s="26">
        <f t="shared" ca="1" si="271"/>
        <v>0.22968075560260126</v>
      </c>
      <c r="BB1017" s="29">
        <f t="shared" ca="1" si="254"/>
        <v>145</v>
      </c>
      <c r="BC1017"/>
      <c r="BD1017" s="25"/>
      <c r="BF1017" s="22">
        <v>45562</v>
      </c>
      <c r="BG1017" s="26">
        <f t="shared" ca="1" si="272"/>
        <v>0.69074108176374704</v>
      </c>
      <c r="BH1017" s="29">
        <f t="shared" ca="1" si="255"/>
        <v>181</v>
      </c>
      <c r="BJ1017" s="22">
        <v>45562</v>
      </c>
      <c r="BK1017" s="26">
        <f t="shared" ca="1" si="273"/>
        <v>0.95569550382761526</v>
      </c>
      <c r="BL1017" s="29">
        <f t="shared" ca="1" si="256"/>
        <v>240</v>
      </c>
      <c r="BN1017" s="22">
        <v>45562</v>
      </c>
      <c r="BO1017" s="26">
        <f t="shared" ca="1" si="274"/>
        <v>0.53910364700510327</v>
      </c>
      <c r="BP1017" s="29">
        <f t="shared" ca="1" si="257"/>
        <v>135</v>
      </c>
      <c r="BR1017" s="22">
        <v>45562</v>
      </c>
      <c r="BS1017" s="26">
        <f t="shared" ca="1" si="275"/>
        <v>0.48459277248183208</v>
      </c>
      <c r="BT1017" s="29">
        <f t="shared" ca="1" si="258"/>
        <v>172</v>
      </c>
      <c r="BV1017" s="22">
        <v>45562</v>
      </c>
      <c r="BW1017" s="26">
        <f t="shared" ca="1" si="276"/>
        <v>0.59749582606667795</v>
      </c>
      <c r="BX1017" s="29">
        <f t="shared" ca="1" si="259"/>
        <v>196</v>
      </c>
    </row>
    <row r="1018" spans="2:77" ht="15.75" customHeight="1" x14ac:dyDescent="0.2">
      <c r="B1018" s="22">
        <v>45563</v>
      </c>
      <c r="C1018" s="26">
        <f t="shared" ca="1" si="241"/>
        <v>0.79653164466068027</v>
      </c>
      <c r="D1018" s="29">
        <f t="shared" ca="1" si="242"/>
        <v>92</v>
      </c>
      <c r="F1018" s="22"/>
      <c r="G1018" s="26">
        <f t="shared" ca="1" si="260"/>
        <v>0.9073495202595776</v>
      </c>
      <c r="H1018" s="29">
        <f t="shared" ca="1" si="243"/>
        <v>235</v>
      </c>
      <c r="J1018" s="22">
        <v>45563</v>
      </c>
      <c r="K1018" s="26">
        <f t="shared" ca="1" si="261"/>
        <v>0.26157762429484654</v>
      </c>
      <c r="L1018" s="29">
        <f t="shared" ca="1" si="244"/>
        <v>144</v>
      </c>
      <c r="N1018" s="22">
        <v>45563</v>
      </c>
      <c r="O1018" s="26">
        <f t="shared" ca="1" si="262"/>
        <v>0.65871621059824204</v>
      </c>
      <c r="P1018" s="29">
        <f t="shared" ca="1" si="245"/>
        <v>236</v>
      </c>
      <c r="R1018" s="22">
        <v>45563</v>
      </c>
      <c r="S1018" s="26">
        <f t="shared" ca="1" si="263"/>
        <v>0.5804515792304159</v>
      </c>
      <c r="T1018" s="29">
        <f t="shared" ca="1" si="246"/>
        <v>141</v>
      </c>
      <c r="V1018" s="22">
        <v>45563</v>
      </c>
      <c r="W1018" s="26">
        <f t="shared" ca="1" si="264"/>
        <v>0.36541679146438666</v>
      </c>
      <c r="X1018" s="29">
        <f t="shared" ca="1" si="247"/>
        <v>220</v>
      </c>
      <c r="Z1018" s="22">
        <v>45563</v>
      </c>
      <c r="AA1018" s="26">
        <f t="shared" ca="1" si="265"/>
        <v>0.96873530661256779</v>
      </c>
      <c r="AB1018" s="29">
        <f t="shared" ca="1" si="248"/>
        <v>304</v>
      </c>
      <c r="AC1018"/>
      <c r="AD1018" s="25"/>
      <c r="AF1018" s="22">
        <v>45563</v>
      </c>
      <c r="AG1018" s="26">
        <f t="shared" ca="1" si="266"/>
        <v>0.98610947701701923</v>
      </c>
      <c r="AH1018" s="29">
        <f t="shared" ca="1" si="249"/>
        <v>519</v>
      </c>
      <c r="AJ1018" s="22">
        <v>45563</v>
      </c>
      <c r="AK1018" s="26">
        <f t="shared" ca="1" si="267"/>
        <v>0.85050567884841111</v>
      </c>
      <c r="AL1018" s="29">
        <f t="shared" ca="1" si="250"/>
        <v>230</v>
      </c>
      <c r="AN1018" s="22">
        <v>45563</v>
      </c>
      <c r="AO1018" s="26">
        <f t="shared" ca="1" si="268"/>
        <v>0.81345018802600921</v>
      </c>
      <c r="AP1018" s="29">
        <f t="shared" ca="1" si="251"/>
        <v>183</v>
      </c>
      <c r="AR1018" s="22">
        <v>45563</v>
      </c>
      <c r="AS1018" s="26">
        <f t="shared" ca="1" si="269"/>
        <v>0.90884994268649755</v>
      </c>
      <c r="AT1018" s="29">
        <f t="shared" ca="1" si="252"/>
        <v>294</v>
      </c>
      <c r="AV1018" s="22">
        <v>45563</v>
      </c>
      <c r="AW1018" s="26">
        <f t="shared" ca="1" si="270"/>
        <v>0.18966927475687323</v>
      </c>
      <c r="AX1018" s="29">
        <f t="shared" ca="1" si="253"/>
        <v>147</v>
      </c>
      <c r="AZ1018" s="22">
        <v>45563</v>
      </c>
      <c r="BA1018" s="26">
        <f t="shared" ca="1" si="271"/>
        <v>0.46329803275696213</v>
      </c>
      <c r="BB1018" s="29">
        <f t="shared" ca="1" si="254"/>
        <v>176</v>
      </c>
      <c r="BC1018"/>
      <c r="BD1018" s="25"/>
      <c r="BF1018" s="22">
        <v>45563</v>
      </c>
      <c r="BG1018" s="26">
        <f t="shared" ca="1" si="272"/>
        <v>0.24914946830777551</v>
      </c>
      <c r="BH1018" s="29">
        <f t="shared" ca="1" si="255"/>
        <v>131</v>
      </c>
      <c r="BJ1018" s="22">
        <v>45563</v>
      </c>
      <c r="BK1018" s="26">
        <f t="shared" ca="1" si="273"/>
        <v>1.5746986999346402E-2</v>
      </c>
      <c r="BL1018" s="29">
        <f t="shared" ca="1" si="256"/>
        <v>71</v>
      </c>
      <c r="BN1018" s="22">
        <v>45563</v>
      </c>
      <c r="BO1018" s="26">
        <f t="shared" ca="1" si="274"/>
        <v>0.72317682044368381</v>
      </c>
      <c r="BP1018" s="29">
        <f t="shared" ca="1" si="257"/>
        <v>152</v>
      </c>
      <c r="BR1018" s="22">
        <v>45563</v>
      </c>
      <c r="BS1018" s="26">
        <f t="shared" ca="1" si="275"/>
        <v>0.38884796366809626</v>
      </c>
      <c r="BT1018" s="29">
        <f t="shared" ca="1" si="258"/>
        <v>161</v>
      </c>
      <c r="BV1018" s="22">
        <v>45563</v>
      </c>
      <c r="BW1018" s="26">
        <f t="shared" ca="1" si="276"/>
        <v>0.26015250296523729</v>
      </c>
      <c r="BX1018" s="29">
        <f t="shared" ca="1" si="259"/>
        <v>153</v>
      </c>
    </row>
    <row r="1019" spans="2:77" ht="15.75" customHeight="1" x14ac:dyDescent="0.2">
      <c r="B1019" s="22">
        <v>45564</v>
      </c>
      <c r="C1019" s="26">
        <f t="shared" ca="1" si="241"/>
        <v>3.2404992220959938E-2</v>
      </c>
      <c r="D1019" s="29">
        <f t="shared" ca="1" si="242"/>
        <v>39</v>
      </c>
      <c r="F1019" s="22"/>
      <c r="G1019" s="26">
        <f t="shared" ca="1" si="260"/>
        <v>0.41645934834876031</v>
      </c>
      <c r="H1019" s="29">
        <f t="shared" ca="1" si="243"/>
        <v>213</v>
      </c>
      <c r="J1019" s="22">
        <v>45564</v>
      </c>
      <c r="K1019" s="26">
        <f t="shared" ca="1" si="261"/>
        <v>0.19003075851735884</v>
      </c>
      <c r="L1019" s="29">
        <f t="shared" ca="1" si="244"/>
        <v>142</v>
      </c>
      <c r="N1019" s="22">
        <v>45564</v>
      </c>
      <c r="O1019" s="26">
        <f t="shared" ca="1" si="262"/>
        <v>0.86961894278931196</v>
      </c>
      <c r="P1019" s="29">
        <f t="shared" ca="1" si="245"/>
        <v>247</v>
      </c>
      <c r="R1019" s="22">
        <v>45564</v>
      </c>
      <c r="S1019" s="26">
        <f t="shared" ca="1" si="263"/>
        <v>0.48535499041333086</v>
      </c>
      <c r="T1019" s="29">
        <f t="shared" ca="1" si="246"/>
        <v>139</v>
      </c>
      <c r="V1019" s="22">
        <v>45564</v>
      </c>
      <c r="W1019" s="26">
        <f t="shared" ca="1" si="264"/>
        <v>0.90397611644175568</v>
      </c>
      <c r="X1019" s="29">
        <f t="shared" ca="1" si="247"/>
        <v>245</v>
      </c>
      <c r="Z1019" s="22">
        <v>45564</v>
      </c>
      <c r="AA1019" s="26">
        <f t="shared" ca="1" si="265"/>
        <v>0.38667338750245861</v>
      </c>
      <c r="AB1019" s="29">
        <f t="shared" ca="1" si="248"/>
        <v>265</v>
      </c>
      <c r="AC1019"/>
      <c r="AD1019" s="25"/>
      <c r="AF1019" s="22">
        <v>45564</v>
      </c>
      <c r="AG1019" s="26">
        <f t="shared" ca="1" si="266"/>
        <v>0.49824667657435462</v>
      </c>
      <c r="AH1019" s="29">
        <f t="shared" ca="1" si="249"/>
        <v>327</v>
      </c>
      <c r="AJ1019" s="22">
        <v>45564</v>
      </c>
      <c r="AK1019" s="26">
        <f t="shared" ca="1" si="267"/>
        <v>0.54755467231844523</v>
      </c>
      <c r="AL1019" s="29">
        <f t="shared" ca="1" si="250"/>
        <v>186</v>
      </c>
      <c r="AN1019" s="22">
        <v>45564</v>
      </c>
      <c r="AO1019" s="26">
        <f t="shared" ca="1" si="268"/>
        <v>0.62270110768015452</v>
      </c>
      <c r="AP1019" s="29">
        <f t="shared" ca="1" si="251"/>
        <v>160</v>
      </c>
      <c r="AR1019" s="22">
        <v>45564</v>
      </c>
      <c r="AS1019" s="26">
        <f t="shared" ca="1" si="269"/>
        <v>0.3222017942678298</v>
      </c>
      <c r="AT1019" s="29">
        <f t="shared" ca="1" si="252"/>
        <v>191</v>
      </c>
      <c r="AV1019" s="22">
        <v>45564</v>
      </c>
      <c r="AW1019" s="26">
        <f t="shared" ca="1" si="270"/>
        <v>6.2308960799349444E-2</v>
      </c>
      <c r="AX1019" s="29">
        <f t="shared" ca="1" si="253"/>
        <v>114</v>
      </c>
      <c r="AZ1019" s="22">
        <v>45564</v>
      </c>
      <c r="BA1019" s="26">
        <f t="shared" ca="1" si="271"/>
        <v>0.23507345416086356</v>
      </c>
      <c r="BB1019" s="29">
        <f t="shared" ca="1" si="254"/>
        <v>146</v>
      </c>
      <c r="BC1019"/>
      <c r="BD1019" s="25"/>
      <c r="BF1019" s="22">
        <v>45564</v>
      </c>
      <c r="BG1019" s="26">
        <f t="shared" ca="1" si="272"/>
        <v>9.600318937557184E-2</v>
      </c>
      <c r="BH1019" s="29">
        <f t="shared" ca="1" si="255"/>
        <v>105</v>
      </c>
      <c r="BJ1019" s="22">
        <v>45564</v>
      </c>
      <c r="BK1019" s="26">
        <f t="shared" ca="1" si="273"/>
        <v>0.51118031832140032</v>
      </c>
      <c r="BL1019" s="29">
        <f t="shared" ca="1" si="256"/>
        <v>166</v>
      </c>
      <c r="BN1019" s="22">
        <v>45564</v>
      </c>
      <c r="BO1019" s="26">
        <f t="shared" ca="1" si="274"/>
        <v>0.77398978553673614</v>
      </c>
      <c r="BP1019" s="29">
        <f t="shared" ca="1" si="257"/>
        <v>158</v>
      </c>
      <c r="BR1019" s="22">
        <v>45564</v>
      </c>
      <c r="BS1019" s="26">
        <f t="shared" ca="1" si="275"/>
        <v>5.65162272916504E-2</v>
      </c>
      <c r="BT1019" s="29">
        <f t="shared" ca="1" si="258"/>
        <v>101</v>
      </c>
      <c r="BV1019" s="22">
        <v>45564</v>
      </c>
      <c r="BW1019" s="26">
        <f t="shared" ca="1" si="276"/>
        <v>0.92038180555579974</v>
      </c>
      <c r="BX1019" s="29">
        <f t="shared" ca="1" si="259"/>
        <v>253</v>
      </c>
    </row>
    <row r="1020" spans="2:77" ht="15.75" customHeight="1" x14ac:dyDescent="0.2">
      <c r="B1020" s="22">
        <v>45565</v>
      </c>
      <c r="C1020" s="26">
        <f t="shared" ca="1" si="241"/>
        <v>0.84923602577775881</v>
      </c>
      <c r="D1020" s="29">
        <f t="shared" ca="1" si="242"/>
        <v>96</v>
      </c>
      <c r="E1020">
        <v>2199</v>
      </c>
      <c r="F1020" s="22"/>
      <c r="G1020" s="26">
        <f t="shared" ca="1" si="260"/>
        <v>0.31810392349039351</v>
      </c>
      <c r="H1020" s="29">
        <f t="shared" ca="1" si="243"/>
        <v>209</v>
      </c>
      <c r="I1020">
        <v>2321</v>
      </c>
      <c r="J1020" s="22">
        <v>45565</v>
      </c>
      <c r="K1020" s="26">
        <f t="shared" ca="1" si="261"/>
        <v>0.52169402836430534</v>
      </c>
      <c r="L1020" s="29">
        <f t="shared" ca="1" si="244"/>
        <v>151</v>
      </c>
      <c r="M1020">
        <v>4543</v>
      </c>
      <c r="N1020" s="22">
        <v>45565</v>
      </c>
      <c r="O1020" s="26">
        <f t="shared" ca="1" si="262"/>
        <v>0.32908456094099969</v>
      </c>
      <c r="P1020" s="29">
        <f t="shared" ca="1" si="245"/>
        <v>223</v>
      </c>
      <c r="Q1020">
        <v>6908</v>
      </c>
      <c r="R1020" s="22">
        <v>45565</v>
      </c>
      <c r="S1020" s="26">
        <f t="shared" ca="1" si="263"/>
        <v>0.57285206514596454</v>
      </c>
      <c r="T1020" s="29">
        <f t="shared" ca="1" si="246"/>
        <v>141</v>
      </c>
      <c r="U1020">
        <v>4235</v>
      </c>
      <c r="V1020" s="22">
        <v>45565</v>
      </c>
      <c r="W1020" s="26">
        <f t="shared" ca="1" si="264"/>
        <v>0.5421188169745017</v>
      </c>
      <c r="X1020" s="29">
        <f t="shared" ca="1" si="247"/>
        <v>227</v>
      </c>
      <c r="Y1020">
        <v>6736</v>
      </c>
      <c r="Z1020" s="22">
        <v>45565</v>
      </c>
      <c r="AA1020" s="26">
        <f t="shared" ca="1" si="265"/>
        <v>0.81163072203872255</v>
      </c>
      <c r="AB1020" s="29">
        <f t="shared" ca="1" si="248"/>
        <v>286</v>
      </c>
      <c r="AC1020">
        <v>8093</v>
      </c>
      <c r="AD1020" s="25"/>
      <c r="AF1020" s="22">
        <v>45565</v>
      </c>
      <c r="AG1020" s="26">
        <f t="shared" ca="1" si="266"/>
        <v>0.72093707027473775</v>
      </c>
      <c r="AH1020" s="29">
        <f t="shared" ca="1" si="249"/>
        <v>379</v>
      </c>
      <c r="AI1020">
        <v>10603</v>
      </c>
      <c r="AJ1020" s="22">
        <v>45565</v>
      </c>
      <c r="AK1020" s="26">
        <f t="shared" ca="1" si="267"/>
        <v>0.71817817012222862</v>
      </c>
      <c r="AL1020" s="29">
        <f t="shared" ca="1" si="250"/>
        <v>208</v>
      </c>
      <c r="AM1020">
        <v>5152</v>
      </c>
      <c r="AN1020" s="22">
        <v>45565</v>
      </c>
      <c r="AO1020" s="26">
        <f t="shared" ca="1" si="268"/>
        <v>0.88384871447674973</v>
      </c>
      <c r="AP1020" s="29">
        <f t="shared" ca="1" si="251"/>
        <v>195</v>
      </c>
      <c r="AQ1020">
        <v>4897</v>
      </c>
      <c r="AR1020" s="22">
        <v>45565</v>
      </c>
      <c r="AS1020" s="26">
        <f t="shared" ca="1" si="269"/>
        <v>0.92868454309035153</v>
      </c>
      <c r="AT1020" s="29">
        <f t="shared" ca="1" si="252"/>
        <v>302</v>
      </c>
      <c r="AU1020">
        <v>6582</v>
      </c>
      <c r="AV1020" s="22">
        <v>45565</v>
      </c>
      <c r="AW1020" s="26">
        <f t="shared" ca="1" si="270"/>
        <v>0.45562868281826552</v>
      </c>
      <c r="AX1020" s="29">
        <f t="shared" ca="1" si="253"/>
        <v>187</v>
      </c>
      <c r="AY1020">
        <v>5929</v>
      </c>
      <c r="AZ1020" s="22">
        <v>45565</v>
      </c>
      <c r="BA1020" s="26">
        <f t="shared" ca="1" si="271"/>
        <v>0.85508021698862513</v>
      </c>
      <c r="BB1020" s="29">
        <f t="shared" ca="1" si="254"/>
        <v>231</v>
      </c>
      <c r="BC1020">
        <v>5621</v>
      </c>
      <c r="BD1020" s="25"/>
      <c r="BF1020" s="22">
        <v>45565</v>
      </c>
      <c r="BG1020" s="26">
        <f t="shared" ca="1" si="272"/>
        <v>0.47877989939484455</v>
      </c>
      <c r="BH1020" s="29">
        <f t="shared" ca="1" si="255"/>
        <v>158</v>
      </c>
      <c r="BI1020">
        <v>5031</v>
      </c>
      <c r="BJ1020" s="22">
        <v>45565</v>
      </c>
      <c r="BK1020" s="26">
        <f t="shared" ca="1" si="273"/>
        <v>0.77539245070603791</v>
      </c>
      <c r="BL1020" s="29">
        <f t="shared" ca="1" si="256"/>
        <v>198</v>
      </c>
      <c r="BM1020">
        <v>4676</v>
      </c>
      <c r="BN1020" s="22">
        <v>45565</v>
      </c>
      <c r="BO1020" s="26">
        <f t="shared" ca="1" si="274"/>
        <v>0.17025292232323697</v>
      </c>
      <c r="BP1020" s="29">
        <f t="shared" ca="1" si="257"/>
        <v>98</v>
      </c>
      <c r="BQ1020">
        <v>3764</v>
      </c>
      <c r="BR1020" s="22">
        <v>45565</v>
      </c>
      <c r="BS1020" s="26">
        <f t="shared" ca="1" si="275"/>
        <v>0.65306030193430342</v>
      </c>
      <c r="BT1020" s="29">
        <f t="shared" ca="1" si="258"/>
        <v>192</v>
      </c>
      <c r="BU1020">
        <v>5359</v>
      </c>
      <c r="BV1020" s="22">
        <v>45565</v>
      </c>
      <c r="BW1020" s="26">
        <f t="shared" ca="1" si="276"/>
        <v>0.59339362211632019</v>
      </c>
      <c r="BX1020" s="29">
        <f t="shared" ca="1" si="259"/>
        <v>196</v>
      </c>
      <c r="BY1020">
        <v>5558</v>
      </c>
    </row>
    <row r="1021" spans="2:77" ht="15.75" customHeight="1" x14ac:dyDescent="0.2">
      <c r="B1021" s="22">
        <v>45566</v>
      </c>
      <c r="C1021" s="26">
        <f t="shared" ca="1" si="241"/>
        <v>0.97572184458338063</v>
      </c>
      <c r="D1021" s="29">
        <f ca="1">ROUNDUP(_xlfn.NORM.INV(C1020,C$10,C$12),0)</f>
        <v>96</v>
      </c>
      <c r="F1021" s="22"/>
      <c r="G1021" s="26">
        <f t="shared" ca="1" si="260"/>
        <v>0.71115663155691833</v>
      </c>
      <c r="H1021" s="29">
        <f ca="1">ROUNDUP(_xlfn.NORM.INV(G1020,G$10,G$12),0)</f>
        <v>209</v>
      </c>
      <c r="I1021">
        <v>0</v>
      </c>
      <c r="J1021" s="22">
        <v>45566</v>
      </c>
      <c r="K1021" s="26">
        <f t="shared" ca="1" si="261"/>
        <v>0.47775802510259036</v>
      </c>
      <c r="L1021" s="29">
        <f ca="1">ROUNDUP(_xlfn.NORM.INV(K1020,K$10,K$12),0)</f>
        <v>151</v>
      </c>
      <c r="N1021" s="22">
        <v>45566</v>
      </c>
      <c r="O1021" s="26">
        <f t="shared" ca="1" si="262"/>
        <v>0.95442717943094235</v>
      </c>
      <c r="P1021" s="29">
        <f ca="1">ROUNDUP(_xlfn.NORM.INV(O1020,O$10,O$12),0)</f>
        <v>223</v>
      </c>
      <c r="R1021" s="22">
        <v>45566</v>
      </c>
      <c r="S1021" s="26">
        <f t="shared" ca="1" si="263"/>
        <v>0.36558049449106145</v>
      </c>
      <c r="T1021" s="29">
        <f ca="1">ROUNDUP(_xlfn.NORM.INV(S1020,S$10,S$12),0)</f>
        <v>141</v>
      </c>
      <c r="V1021" s="22">
        <v>45566</v>
      </c>
      <c r="W1021" s="26">
        <f t="shared" ca="1" si="264"/>
        <v>0.22159149902809816</v>
      </c>
      <c r="X1021" s="29">
        <f ca="1">ROUNDUP(_xlfn.NORM.INV(W1020,W$10,W$12),0)</f>
        <v>227</v>
      </c>
      <c r="Z1021" s="22">
        <v>45566</v>
      </c>
      <c r="AA1021" s="26">
        <f t="shared" ca="1" si="265"/>
        <v>0.747705024216748</v>
      </c>
      <c r="AB1021" s="29">
        <f ca="1">ROUNDUP(_xlfn.NORM.INV(AA1020,AA$10,AA$12),0)</f>
        <v>286</v>
      </c>
      <c r="AC1021"/>
      <c r="AD1021" s="25"/>
      <c r="AF1021" s="22">
        <v>45566</v>
      </c>
      <c r="AG1021" s="26">
        <f t="shared" ca="1" si="266"/>
        <v>0.26880677743165504</v>
      </c>
      <c r="AH1021" s="29">
        <f ca="1">ROUNDUP(_xlfn.NORM.INV(AG1020,AG$10,AG$12),0)</f>
        <v>379</v>
      </c>
      <c r="AJ1021" s="22">
        <v>45566</v>
      </c>
      <c r="AK1021" s="26">
        <f t="shared" ca="1" si="267"/>
        <v>0.33683140230892838</v>
      </c>
      <c r="AL1021" s="29">
        <f ca="1">ROUNDUP(_xlfn.NORM.INV(AK1020,AK$10,AK$12),0)</f>
        <v>208</v>
      </c>
      <c r="AN1021" s="22">
        <v>45566</v>
      </c>
      <c r="AO1021" s="26">
        <f t="shared" ca="1" si="268"/>
        <v>0.21710386192994813</v>
      </c>
      <c r="AP1021" s="29">
        <f ca="1">ROUNDUP(_xlfn.NORM.INV(AO1020,AO$10,AO$12),0)</f>
        <v>195</v>
      </c>
      <c r="AR1021" s="22">
        <v>45566</v>
      </c>
      <c r="AS1021" s="26">
        <f t="shared" ca="1" si="269"/>
        <v>0.69998997592862788</v>
      </c>
      <c r="AT1021" s="29">
        <f ca="1">ROUNDUP(_xlfn.NORM.INV(AS1020,AS$10,AS$12),0)</f>
        <v>302</v>
      </c>
      <c r="AV1021" s="22">
        <v>45566</v>
      </c>
      <c r="AW1021" s="26">
        <f t="shared" ca="1" si="270"/>
        <v>0.90711496333197028</v>
      </c>
      <c r="AX1021" s="29">
        <f ca="1">ROUNDUP(_xlfn.NORM.INV(AW1020,AW$10,AW$12),0)</f>
        <v>187</v>
      </c>
      <c r="AZ1021" s="22">
        <v>45566</v>
      </c>
      <c r="BA1021" s="26">
        <f t="shared" ca="1" si="271"/>
        <v>0.99574881906857948</v>
      </c>
      <c r="BB1021" s="29">
        <f ca="1">ROUNDUP(_xlfn.NORM.INV(BA1020,BA$10,BA$12),0)</f>
        <v>231</v>
      </c>
      <c r="BC1021"/>
      <c r="BD1021" s="25"/>
      <c r="BF1021" s="22">
        <v>45566</v>
      </c>
      <c r="BG1021" s="26">
        <f t="shared" ca="1" si="272"/>
        <v>0.22997307369831455</v>
      </c>
      <c r="BH1021" s="29">
        <f ca="1">ROUNDUP(_xlfn.NORM.INV(BG1020,BG$10,BG$12),0)</f>
        <v>158</v>
      </c>
      <c r="BJ1021" s="22">
        <v>45566</v>
      </c>
      <c r="BK1021" s="26">
        <f t="shared" ca="1" si="273"/>
        <v>0.76151118409673002</v>
      </c>
      <c r="BL1021" s="29">
        <f ca="1">ROUNDUP(_xlfn.NORM.INV(BK1020,BK$10,BK$12),0)</f>
        <v>198</v>
      </c>
      <c r="BN1021" s="22">
        <v>45566</v>
      </c>
      <c r="BO1021" s="26">
        <f t="shared" ca="1" si="274"/>
        <v>0.56125805410908025</v>
      </c>
      <c r="BP1021" s="29">
        <f ca="1">ROUNDUP(_xlfn.NORM.INV(BO1020,BO$10,BO$12),0)</f>
        <v>98</v>
      </c>
      <c r="BR1021" s="22">
        <v>45566</v>
      </c>
      <c r="BS1021" s="26">
        <f t="shared" ca="1" si="275"/>
        <v>0.47656400036043012</v>
      </c>
      <c r="BT1021" s="29">
        <f ca="1">ROUNDUP(_xlfn.NORM.INV(BS1020,BS$10,BS$12),0)</f>
        <v>192</v>
      </c>
      <c r="BV1021" s="22">
        <v>45566</v>
      </c>
      <c r="BW1021" s="26">
        <f t="shared" ca="1" si="276"/>
        <v>0.53527970730931718</v>
      </c>
      <c r="BX1021" s="29">
        <f ca="1">ROUNDUP(_xlfn.NORM.INV(BW1020,BW$10,BW$12),0)</f>
        <v>196</v>
      </c>
    </row>
    <row r="1022" spans="2:77" ht="15.75" customHeight="1" x14ac:dyDescent="0.2">
      <c r="B1022" s="22">
        <v>45567</v>
      </c>
      <c r="C1022" s="26">
        <f t="shared" ca="1" si="241"/>
        <v>4.4463450594490528E-2</v>
      </c>
      <c r="D1022" s="29">
        <f t="shared" ca="1" si="242"/>
        <v>41</v>
      </c>
      <c r="F1022" s="22"/>
      <c r="G1022" s="26">
        <f t="shared" ca="1" si="260"/>
        <v>0.75229750799990458</v>
      </c>
      <c r="H1022" s="29">
        <f t="shared" ca="1" si="243"/>
        <v>226</v>
      </c>
      <c r="J1022" s="22">
        <v>45567</v>
      </c>
      <c r="K1022" s="26">
        <f t="shared" ca="1" si="261"/>
        <v>0.8066863559626779</v>
      </c>
      <c r="L1022" s="29">
        <f t="shared" ca="1" si="244"/>
        <v>159</v>
      </c>
      <c r="N1022" s="22">
        <v>45567</v>
      </c>
      <c r="O1022" s="26">
        <f t="shared" ca="1" si="262"/>
        <v>0.85527932217034475</v>
      </c>
      <c r="P1022" s="29">
        <f t="shared" ca="1" si="245"/>
        <v>246</v>
      </c>
      <c r="R1022" s="22">
        <v>45567</v>
      </c>
      <c r="S1022" s="26">
        <f t="shared" ca="1" si="263"/>
        <v>0.2594962156859858</v>
      </c>
      <c r="T1022" s="29">
        <f t="shared" ca="1" si="246"/>
        <v>133</v>
      </c>
      <c r="V1022" s="22">
        <v>45567</v>
      </c>
      <c r="W1022" s="26">
        <f t="shared" ca="1" si="264"/>
        <v>0.10257886052834231</v>
      </c>
      <c r="X1022" s="29">
        <f t="shared" ca="1" si="247"/>
        <v>206</v>
      </c>
      <c r="Z1022" s="22">
        <v>45567</v>
      </c>
      <c r="AA1022" s="26">
        <f t="shared" ca="1" si="265"/>
        <v>0.68268689807655436</v>
      </c>
      <c r="AB1022" s="29">
        <f t="shared" ca="1" si="248"/>
        <v>279</v>
      </c>
      <c r="AC1022"/>
      <c r="AD1022" s="25"/>
      <c r="AF1022" s="22">
        <v>45567</v>
      </c>
      <c r="AG1022" s="26">
        <f t="shared" ca="1" si="266"/>
        <v>2.1548011573194192E-2</v>
      </c>
      <c r="AH1022" s="29">
        <f t="shared" ca="1" si="249"/>
        <v>151</v>
      </c>
      <c r="AJ1022" s="22">
        <v>45567</v>
      </c>
      <c r="AK1022" s="26">
        <f t="shared" ca="1" si="267"/>
        <v>0.49670546736631482</v>
      </c>
      <c r="AL1022" s="29">
        <f t="shared" ca="1" si="250"/>
        <v>180</v>
      </c>
      <c r="AN1022" s="22">
        <v>45567</v>
      </c>
      <c r="AO1022" s="26">
        <f t="shared" ca="1" si="268"/>
        <v>0.24302070137418064</v>
      </c>
      <c r="AP1022" s="29">
        <f t="shared" ca="1" si="251"/>
        <v>120</v>
      </c>
      <c r="AR1022" s="22">
        <v>45567</v>
      </c>
      <c r="AS1022" s="26">
        <f t="shared" ca="1" si="269"/>
        <v>0.65188912404531318</v>
      </c>
      <c r="AT1022" s="29">
        <f t="shared" ca="1" si="252"/>
        <v>240</v>
      </c>
      <c r="AV1022" s="22">
        <v>45567</v>
      </c>
      <c r="AW1022" s="26">
        <f t="shared" ca="1" si="270"/>
        <v>0.20004856753719547</v>
      </c>
      <c r="AX1022" s="29">
        <f t="shared" ca="1" si="253"/>
        <v>149</v>
      </c>
      <c r="AZ1022" s="22">
        <v>45567</v>
      </c>
      <c r="BA1022" s="26">
        <f t="shared" ca="1" si="271"/>
        <v>0.80506575560203608</v>
      </c>
      <c r="BB1022" s="29">
        <f t="shared" ca="1" si="254"/>
        <v>222</v>
      </c>
      <c r="BC1022"/>
      <c r="BD1022" s="25"/>
      <c r="BF1022" s="22">
        <v>45567</v>
      </c>
      <c r="BG1022" s="26">
        <f t="shared" ca="1" si="272"/>
        <v>0.88496091530862431</v>
      </c>
      <c r="BH1022" s="29">
        <f t="shared" ca="1" si="255"/>
        <v>211</v>
      </c>
      <c r="BJ1022" s="22">
        <v>45567</v>
      </c>
      <c r="BK1022" s="26">
        <f t="shared" ca="1" si="273"/>
        <v>0.67935510502070184</v>
      </c>
      <c r="BL1022" s="29">
        <f t="shared" ca="1" si="256"/>
        <v>185</v>
      </c>
      <c r="BN1022" s="22">
        <v>45567</v>
      </c>
      <c r="BO1022" s="26">
        <f t="shared" ca="1" si="274"/>
        <v>0.19852967354984907</v>
      </c>
      <c r="BP1022" s="29">
        <f t="shared" ca="1" si="257"/>
        <v>102</v>
      </c>
      <c r="BR1022" s="22">
        <v>45567</v>
      </c>
      <c r="BS1022" s="26">
        <f t="shared" ca="1" si="275"/>
        <v>0.86374016950674215</v>
      </c>
      <c r="BT1022" s="29">
        <f t="shared" ca="1" si="258"/>
        <v>225</v>
      </c>
      <c r="BV1022" s="22">
        <v>45567</v>
      </c>
      <c r="BW1022" s="26">
        <f t="shared" ca="1" si="276"/>
        <v>0.86188310344867336</v>
      </c>
      <c r="BX1022" s="29">
        <f t="shared" ca="1" si="259"/>
        <v>237</v>
      </c>
    </row>
    <row r="1023" spans="2:77" ht="15.75" customHeight="1" x14ac:dyDescent="0.2">
      <c r="B1023" s="22">
        <v>45568</v>
      </c>
      <c r="C1023" s="26">
        <f t="shared" ca="1" si="241"/>
        <v>0.14558249290074932</v>
      </c>
      <c r="D1023" s="29">
        <f t="shared" ca="1" si="242"/>
        <v>54</v>
      </c>
      <c r="F1023" s="22"/>
      <c r="G1023" s="26">
        <f t="shared" ca="1" si="260"/>
        <v>5.340438811671766E-2</v>
      </c>
      <c r="H1023" s="29">
        <f t="shared" ca="1" si="243"/>
        <v>193</v>
      </c>
      <c r="J1023" s="22">
        <v>45568</v>
      </c>
      <c r="K1023" s="26">
        <f t="shared" ca="1" si="261"/>
        <v>0.78599934447757491</v>
      </c>
      <c r="L1023" s="29">
        <f t="shared" ca="1" si="244"/>
        <v>158</v>
      </c>
      <c r="N1023" s="22">
        <v>45568</v>
      </c>
      <c r="O1023" s="26">
        <f t="shared" ca="1" si="262"/>
        <v>0.12199671941400991</v>
      </c>
      <c r="P1023" s="29">
        <f t="shared" ca="1" si="245"/>
        <v>212</v>
      </c>
      <c r="R1023" s="22">
        <v>45568</v>
      </c>
      <c r="S1023" s="26">
        <f t="shared" ca="1" si="263"/>
        <v>0.68487780820297484</v>
      </c>
      <c r="T1023" s="29">
        <f t="shared" ca="1" si="246"/>
        <v>144</v>
      </c>
      <c r="V1023" s="22">
        <v>45568</v>
      </c>
      <c r="W1023" s="26">
        <f t="shared" ca="1" si="264"/>
        <v>0.30620115055668373</v>
      </c>
      <c r="X1023" s="29">
        <f t="shared" ca="1" si="247"/>
        <v>218</v>
      </c>
      <c r="Z1023" s="22">
        <v>45568</v>
      </c>
      <c r="AA1023" s="26">
        <f t="shared" ca="1" si="265"/>
        <v>0.70070432196930732</v>
      </c>
      <c r="AB1023" s="29">
        <f t="shared" ca="1" si="248"/>
        <v>280</v>
      </c>
      <c r="AC1023"/>
      <c r="AD1023" s="25"/>
      <c r="AF1023" s="22">
        <v>45568</v>
      </c>
      <c r="AG1023" s="26">
        <f t="shared" ca="1" si="266"/>
        <v>8.7134107768779279E-3</v>
      </c>
      <c r="AH1023" s="29">
        <f t="shared" ca="1" si="249"/>
        <v>120</v>
      </c>
      <c r="AJ1023" s="22">
        <v>45568</v>
      </c>
      <c r="AK1023" s="26">
        <f t="shared" ca="1" si="267"/>
        <v>0.81548670970373671</v>
      </c>
      <c r="AL1023" s="29">
        <f t="shared" ca="1" si="250"/>
        <v>223</v>
      </c>
      <c r="AN1023" s="22">
        <v>45568</v>
      </c>
      <c r="AO1023" s="26">
        <f t="shared" ca="1" si="268"/>
        <v>0.20330933536445017</v>
      </c>
      <c r="AP1023" s="29">
        <f t="shared" ca="1" si="251"/>
        <v>115</v>
      </c>
      <c r="AR1023" s="22">
        <v>45568</v>
      </c>
      <c r="AS1023" s="26">
        <f t="shared" ca="1" si="269"/>
        <v>0.2522039900360068</v>
      </c>
      <c r="AT1023" s="29">
        <f t="shared" ca="1" si="252"/>
        <v>179</v>
      </c>
      <c r="AV1023" s="22">
        <v>45568</v>
      </c>
      <c r="AW1023" s="26">
        <f t="shared" ca="1" si="270"/>
        <v>0.80494673161335306</v>
      </c>
      <c r="AX1023" s="29">
        <f t="shared" ca="1" si="253"/>
        <v>236</v>
      </c>
      <c r="AZ1023" s="22">
        <v>45568</v>
      </c>
      <c r="BA1023" s="26">
        <f t="shared" ca="1" si="271"/>
        <v>0.51535383871471141</v>
      </c>
      <c r="BB1023" s="29">
        <f t="shared" ca="1" si="254"/>
        <v>182</v>
      </c>
      <c r="BC1023"/>
      <c r="BD1023" s="25"/>
      <c r="BF1023" s="22">
        <v>45568</v>
      </c>
      <c r="BG1023" s="26">
        <f t="shared" ca="1" si="272"/>
        <v>0.78516634502481053</v>
      </c>
      <c r="BH1023" s="29">
        <f t="shared" ca="1" si="255"/>
        <v>194</v>
      </c>
      <c r="BJ1023" s="22">
        <v>45568</v>
      </c>
      <c r="BK1023" s="26">
        <f t="shared" ca="1" si="273"/>
        <v>0.33039789859466329</v>
      </c>
      <c r="BL1023" s="29">
        <f t="shared" ca="1" si="256"/>
        <v>146</v>
      </c>
      <c r="BN1023" s="22">
        <v>45568</v>
      </c>
      <c r="BO1023" s="26">
        <f t="shared" ca="1" si="274"/>
        <v>0.26636574973997595</v>
      </c>
      <c r="BP1023" s="29">
        <f t="shared" ca="1" si="257"/>
        <v>110</v>
      </c>
      <c r="BR1023" s="22">
        <v>45568</v>
      </c>
      <c r="BS1023" s="26">
        <f t="shared" ca="1" si="275"/>
        <v>0.79315606341787626</v>
      </c>
      <c r="BT1023" s="29">
        <f t="shared" ca="1" si="258"/>
        <v>212</v>
      </c>
      <c r="BV1023" s="22">
        <v>45568</v>
      </c>
      <c r="BW1023" s="26">
        <f t="shared" ca="1" si="276"/>
        <v>0.16566931788297745</v>
      </c>
      <c r="BX1023" s="29">
        <f t="shared" ca="1" si="259"/>
        <v>136</v>
      </c>
    </row>
    <row r="1024" spans="2:77" ht="15.75" customHeight="1" x14ac:dyDescent="0.2">
      <c r="B1024" s="22">
        <v>45569</v>
      </c>
      <c r="C1024" s="26">
        <f t="shared" ca="1" si="241"/>
        <v>0.19051075667810824</v>
      </c>
      <c r="D1024" s="29">
        <f t="shared" ca="1" si="242"/>
        <v>58</v>
      </c>
      <c r="F1024" s="22"/>
      <c r="G1024" s="26">
        <f t="shared" ca="1" si="260"/>
        <v>0.4525921223093321</v>
      </c>
      <c r="H1024" s="29">
        <f t="shared" ca="1" si="243"/>
        <v>214</v>
      </c>
      <c r="J1024" s="22">
        <v>45569</v>
      </c>
      <c r="K1024" s="26">
        <f t="shared" ca="1" si="261"/>
        <v>0.31743583718365442</v>
      </c>
      <c r="L1024" s="29">
        <f t="shared" ca="1" si="244"/>
        <v>146</v>
      </c>
      <c r="N1024" s="22">
        <v>45569</v>
      </c>
      <c r="O1024" s="26">
        <f t="shared" ca="1" si="262"/>
        <v>0.35381578983243545</v>
      </c>
      <c r="P1024" s="29">
        <f t="shared" ca="1" si="245"/>
        <v>224</v>
      </c>
      <c r="R1024" s="22">
        <v>45569</v>
      </c>
      <c r="S1024" s="26">
        <f t="shared" ca="1" si="263"/>
        <v>0.177680300779536</v>
      </c>
      <c r="T1024" s="29">
        <f t="shared" ca="1" si="246"/>
        <v>131</v>
      </c>
      <c r="V1024" s="22">
        <v>45569</v>
      </c>
      <c r="W1024" s="26">
        <f t="shared" ca="1" si="264"/>
        <v>0.15125473711950821</v>
      </c>
      <c r="X1024" s="29">
        <f t="shared" ca="1" si="247"/>
        <v>210</v>
      </c>
      <c r="Z1024" s="22">
        <v>45569</v>
      </c>
      <c r="AA1024" s="26">
        <f t="shared" ca="1" si="265"/>
        <v>0.30067417802784757</v>
      </c>
      <c r="AB1024" s="29">
        <f t="shared" ca="1" si="248"/>
        <v>261</v>
      </c>
      <c r="AC1024"/>
      <c r="AD1024" s="25"/>
      <c r="AF1024" s="22">
        <v>45569</v>
      </c>
      <c r="AG1024" s="26">
        <f t="shared" ca="1" si="266"/>
        <v>0.29309812304836214</v>
      </c>
      <c r="AH1024" s="29">
        <f t="shared" ca="1" si="249"/>
        <v>280</v>
      </c>
      <c r="AJ1024" s="22">
        <v>45569</v>
      </c>
      <c r="AK1024" s="26">
        <f t="shared" ca="1" si="267"/>
        <v>0.77808780606215211</v>
      </c>
      <c r="AL1024" s="29">
        <f t="shared" ca="1" si="250"/>
        <v>217</v>
      </c>
      <c r="AN1024" s="22">
        <v>45569</v>
      </c>
      <c r="AO1024" s="26">
        <f t="shared" ca="1" si="268"/>
        <v>0.49246451286886239</v>
      </c>
      <c r="AP1024" s="29">
        <f t="shared" ca="1" si="251"/>
        <v>147</v>
      </c>
      <c r="AR1024" s="22">
        <v>45569</v>
      </c>
      <c r="AS1024" s="26">
        <f t="shared" ca="1" si="269"/>
        <v>0.13080968287219463</v>
      </c>
      <c r="AT1024" s="29">
        <f t="shared" ca="1" si="252"/>
        <v>152</v>
      </c>
      <c r="AV1024" s="22">
        <v>45569</v>
      </c>
      <c r="AW1024" s="26">
        <f t="shared" ca="1" si="270"/>
        <v>7.3612231840592846E-2</v>
      </c>
      <c r="AX1024" s="29">
        <f t="shared" ca="1" si="253"/>
        <v>118</v>
      </c>
      <c r="AZ1024" s="22">
        <v>45569</v>
      </c>
      <c r="BA1024" s="26">
        <f t="shared" ca="1" si="271"/>
        <v>0.76918450380230519</v>
      </c>
      <c r="BB1024" s="29">
        <f t="shared" ca="1" si="254"/>
        <v>216</v>
      </c>
      <c r="BC1024"/>
      <c r="BD1024" s="25"/>
      <c r="BF1024" s="22">
        <v>45569</v>
      </c>
      <c r="BG1024" s="26">
        <f t="shared" ca="1" si="272"/>
        <v>7.7761985155213598E-3</v>
      </c>
      <c r="BH1024" s="29">
        <f t="shared" ca="1" si="255"/>
        <v>57</v>
      </c>
      <c r="BJ1024" s="22">
        <v>45569</v>
      </c>
      <c r="BK1024" s="26">
        <f t="shared" ca="1" si="273"/>
        <v>0.95826796307178197</v>
      </c>
      <c r="BL1024" s="29">
        <f t="shared" ca="1" si="256"/>
        <v>241</v>
      </c>
      <c r="BN1024" s="22">
        <v>45569</v>
      </c>
      <c r="BO1024" s="26">
        <f t="shared" ca="1" si="274"/>
        <v>0.66321924244897557</v>
      </c>
      <c r="BP1024" s="29">
        <f t="shared" ca="1" si="257"/>
        <v>146</v>
      </c>
      <c r="BR1024" s="22">
        <v>45569</v>
      </c>
      <c r="BS1024" s="26">
        <f t="shared" ca="1" si="275"/>
        <v>0.18357601150432012</v>
      </c>
      <c r="BT1024" s="29">
        <f t="shared" ca="1" si="258"/>
        <v>132</v>
      </c>
      <c r="BV1024" s="22">
        <v>45569</v>
      </c>
      <c r="BW1024" s="26">
        <f t="shared" ca="1" si="276"/>
        <v>0.81527685511877679</v>
      </c>
      <c r="BX1024" s="29">
        <f t="shared" ca="1" si="259"/>
        <v>228</v>
      </c>
    </row>
    <row r="1025" spans="2:76" ht="15.75" customHeight="1" x14ac:dyDescent="0.2">
      <c r="B1025" s="22">
        <v>45570</v>
      </c>
      <c r="C1025" s="26">
        <f t="shared" ca="1" si="241"/>
        <v>0.91831092593296015</v>
      </c>
      <c r="D1025" s="29">
        <f t="shared" ca="1" si="242"/>
        <v>103</v>
      </c>
      <c r="F1025" s="22"/>
      <c r="G1025" s="26">
        <f t="shared" ca="1" si="260"/>
        <v>0.82428686946076579</v>
      </c>
      <c r="H1025" s="29">
        <f t="shared" ca="1" si="243"/>
        <v>229</v>
      </c>
      <c r="J1025" s="22">
        <v>45570</v>
      </c>
      <c r="K1025" s="26">
        <f t="shared" ca="1" si="261"/>
        <v>6.794275097550706E-3</v>
      </c>
      <c r="L1025" s="29">
        <f t="shared" ca="1" si="244"/>
        <v>126</v>
      </c>
      <c r="N1025" s="22">
        <v>45570</v>
      </c>
      <c r="O1025" s="26">
        <f t="shared" ca="1" si="262"/>
        <v>0.40595879869144258</v>
      </c>
      <c r="P1025" s="29">
        <f t="shared" ca="1" si="245"/>
        <v>226</v>
      </c>
      <c r="R1025" s="22">
        <v>45570</v>
      </c>
      <c r="S1025" s="26">
        <f t="shared" ca="1" si="263"/>
        <v>0.70859152443915019</v>
      </c>
      <c r="T1025" s="29">
        <f t="shared" ca="1" si="246"/>
        <v>144</v>
      </c>
      <c r="V1025" s="22">
        <v>45570</v>
      </c>
      <c r="W1025" s="26">
        <f t="shared" ca="1" si="264"/>
        <v>0.54312709204258403</v>
      </c>
      <c r="X1025" s="29">
        <f t="shared" ca="1" si="247"/>
        <v>227</v>
      </c>
      <c r="Z1025" s="22">
        <v>45570</v>
      </c>
      <c r="AA1025" s="26">
        <f t="shared" ca="1" si="265"/>
        <v>0.73793502413457035</v>
      </c>
      <c r="AB1025" s="29">
        <f t="shared" ca="1" si="248"/>
        <v>282</v>
      </c>
      <c r="AC1025"/>
      <c r="AD1025" s="25"/>
      <c r="AF1025" s="22">
        <v>45570</v>
      </c>
      <c r="AG1025" s="26">
        <f t="shared" ca="1" si="266"/>
        <v>0.54378467600027125</v>
      </c>
      <c r="AH1025" s="29">
        <f t="shared" ca="1" si="249"/>
        <v>337</v>
      </c>
      <c r="AJ1025" s="22">
        <v>45570</v>
      </c>
      <c r="AK1025" s="26">
        <f t="shared" ca="1" si="267"/>
        <v>0.97230728777886477</v>
      </c>
      <c r="AL1025" s="29">
        <f t="shared" ca="1" si="250"/>
        <v>272</v>
      </c>
      <c r="AN1025" s="22">
        <v>45570</v>
      </c>
      <c r="AO1025" s="26">
        <f t="shared" ca="1" si="268"/>
        <v>0.97747744613357712</v>
      </c>
      <c r="AP1025" s="29">
        <f t="shared" ca="1" si="251"/>
        <v>226</v>
      </c>
      <c r="AR1025" s="22">
        <v>45570</v>
      </c>
      <c r="AS1025" s="26">
        <f t="shared" ca="1" si="269"/>
        <v>0.14738330909343955</v>
      </c>
      <c r="AT1025" s="29">
        <f t="shared" ca="1" si="252"/>
        <v>157</v>
      </c>
      <c r="AV1025" s="22">
        <v>45570</v>
      </c>
      <c r="AW1025" s="26">
        <f t="shared" ca="1" si="270"/>
        <v>1.4304722591157781E-2</v>
      </c>
      <c r="AX1025" s="29">
        <f t="shared" ca="1" si="253"/>
        <v>80</v>
      </c>
      <c r="AZ1025" s="22">
        <v>45570</v>
      </c>
      <c r="BA1025" s="26">
        <f t="shared" ca="1" si="271"/>
        <v>0.23825914790259206</v>
      </c>
      <c r="BB1025" s="29">
        <f t="shared" ca="1" si="254"/>
        <v>146</v>
      </c>
      <c r="BC1025"/>
      <c r="BD1025" s="25"/>
      <c r="BF1025" s="22">
        <v>45570</v>
      </c>
      <c r="BG1025" s="26">
        <f t="shared" ca="1" si="272"/>
        <v>2.8969922737553944E-4</v>
      </c>
      <c r="BH1025" s="29">
        <f t="shared" ca="1" si="255"/>
        <v>14</v>
      </c>
      <c r="BJ1025" s="22">
        <v>45570</v>
      </c>
      <c r="BK1025" s="26">
        <f t="shared" ca="1" si="273"/>
        <v>0.91533772134506552</v>
      </c>
      <c r="BL1025" s="29">
        <f t="shared" ca="1" si="256"/>
        <v>225</v>
      </c>
      <c r="BN1025" s="22">
        <v>45570</v>
      </c>
      <c r="BO1025" s="26">
        <f t="shared" ca="1" si="274"/>
        <v>0.27061144140983295</v>
      </c>
      <c r="BP1025" s="29">
        <f t="shared" ca="1" si="257"/>
        <v>110</v>
      </c>
      <c r="BR1025" s="22">
        <v>45570</v>
      </c>
      <c r="BS1025" s="26">
        <f t="shared" ca="1" si="275"/>
        <v>0.93562573594472376</v>
      </c>
      <c r="BT1025" s="29">
        <f t="shared" ca="1" si="258"/>
        <v>244</v>
      </c>
      <c r="BV1025" s="22">
        <v>45570</v>
      </c>
      <c r="BW1025" s="26">
        <f t="shared" ca="1" si="276"/>
        <v>0.56535145450530178</v>
      </c>
      <c r="BX1025" s="29">
        <f t="shared" ca="1" si="259"/>
        <v>192</v>
      </c>
    </row>
    <row r="1026" spans="2:76" ht="15.75" customHeight="1" x14ac:dyDescent="0.2">
      <c r="B1026" s="22">
        <v>45571</v>
      </c>
      <c r="C1026" s="26">
        <f t="shared" ca="1" si="241"/>
        <v>0.88412353137538291</v>
      </c>
      <c r="D1026" s="29">
        <f t="shared" ca="1" si="242"/>
        <v>99</v>
      </c>
      <c r="F1026" s="22"/>
      <c r="G1026" s="26">
        <f t="shared" ca="1" si="260"/>
        <v>0.47404507788287853</v>
      </c>
      <c r="H1026" s="29">
        <f t="shared" ca="1" si="243"/>
        <v>215</v>
      </c>
      <c r="J1026" s="22">
        <v>45571</v>
      </c>
      <c r="K1026" s="26">
        <f t="shared" ca="1" si="261"/>
        <v>0.18948161497493377</v>
      </c>
      <c r="L1026" s="29">
        <f t="shared" ca="1" si="244"/>
        <v>142</v>
      </c>
      <c r="N1026" s="22">
        <v>45571</v>
      </c>
      <c r="O1026" s="26">
        <f t="shared" ca="1" si="262"/>
        <v>0.20773582483011976</v>
      </c>
      <c r="P1026" s="29">
        <f t="shared" ca="1" si="245"/>
        <v>217</v>
      </c>
      <c r="R1026" s="22">
        <v>45571</v>
      </c>
      <c r="S1026" s="26">
        <f t="shared" ca="1" si="263"/>
        <v>1.2779273310606354E-2</v>
      </c>
      <c r="T1026" s="29">
        <f t="shared" ca="1" si="246"/>
        <v>119</v>
      </c>
      <c r="V1026" s="22">
        <v>45571</v>
      </c>
      <c r="W1026" s="26">
        <f t="shared" ca="1" si="264"/>
        <v>0.71742827409694188</v>
      </c>
      <c r="X1026" s="29">
        <f t="shared" ca="1" si="247"/>
        <v>234</v>
      </c>
      <c r="Z1026" s="22">
        <v>45571</v>
      </c>
      <c r="AA1026" s="26">
        <f t="shared" ca="1" si="265"/>
        <v>0.59121599779714529</v>
      </c>
      <c r="AB1026" s="29">
        <f t="shared" ca="1" si="248"/>
        <v>275</v>
      </c>
      <c r="AC1026"/>
      <c r="AD1026" s="25"/>
      <c r="AF1026" s="22">
        <v>45571</v>
      </c>
      <c r="AG1026" s="26">
        <f t="shared" ca="1" si="266"/>
        <v>0.94668772512521526</v>
      </c>
      <c r="AH1026" s="29">
        <f t="shared" ca="1" si="249"/>
        <v>468</v>
      </c>
      <c r="AJ1026" s="22">
        <v>45571</v>
      </c>
      <c r="AK1026" s="26">
        <f t="shared" ca="1" si="267"/>
        <v>0.68248949682514148</v>
      </c>
      <c r="AL1026" s="29">
        <f t="shared" ca="1" si="250"/>
        <v>203</v>
      </c>
      <c r="AN1026" s="22">
        <v>45571</v>
      </c>
      <c r="AO1026" s="26">
        <f t="shared" ca="1" si="268"/>
        <v>0.38778750062144973</v>
      </c>
      <c r="AP1026" s="29">
        <f t="shared" ca="1" si="251"/>
        <v>136</v>
      </c>
      <c r="AR1026" s="22">
        <v>45571</v>
      </c>
      <c r="AS1026" s="26">
        <f t="shared" ca="1" si="269"/>
        <v>0.83731186790206213</v>
      </c>
      <c r="AT1026" s="29">
        <f t="shared" ca="1" si="252"/>
        <v>274</v>
      </c>
      <c r="AV1026" s="22">
        <v>45571</v>
      </c>
      <c r="AW1026" s="26">
        <f t="shared" ca="1" si="270"/>
        <v>0.69549811274522877</v>
      </c>
      <c r="AX1026" s="29">
        <f t="shared" ca="1" si="253"/>
        <v>218</v>
      </c>
      <c r="AZ1026" s="22">
        <v>45571</v>
      </c>
      <c r="BA1026" s="26">
        <f t="shared" ca="1" si="271"/>
        <v>0.49146313895441218</v>
      </c>
      <c r="BB1026" s="29">
        <f t="shared" ca="1" si="254"/>
        <v>179</v>
      </c>
      <c r="BC1026"/>
      <c r="BD1026" s="25"/>
      <c r="BF1026" s="22">
        <v>45571</v>
      </c>
      <c r="BG1026" s="26">
        <f t="shared" ca="1" si="272"/>
        <v>0.1713439492803045</v>
      </c>
      <c r="BH1026" s="29">
        <f t="shared" ca="1" si="255"/>
        <v>120</v>
      </c>
      <c r="BJ1026" s="22">
        <v>45571</v>
      </c>
      <c r="BK1026" s="26">
        <f t="shared" ca="1" si="273"/>
        <v>0.55932579969868046</v>
      </c>
      <c r="BL1026" s="29">
        <f t="shared" ca="1" si="256"/>
        <v>172</v>
      </c>
      <c r="BN1026" s="22">
        <v>45571</v>
      </c>
      <c r="BO1026" s="26">
        <f t="shared" ca="1" si="274"/>
        <v>0.5148595178149552</v>
      </c>
      <c r="BP1026" s="29">
        <f t="shared" ca="1" si="257"/>
        <v>133</v>
      </c>
      <c r="BR1026" s="22">
        <v>45571</v>
      </c>
      <c r="BS1026" s="26">
        <f t="shared" ca="1" si="275"/>
        <v>3.6459224531969703E-2</v>
      </c>
      <c r="BT1026" s="29">
        <f t="shared" ca="1" si="258"/>
        <v>91</v>
      </c>
      <c r="BV1026" s="22">
        <v>45571</v>
      </c>
      <c r="BW1026" s="26">
        <f t="shared" ca="1" si="276"/>
        <v>3.5086055638488323E-2</v>
      </c>
      <c r="BX1026" s="29">
        <f t="shared" ca="1" si="259"/>
        <v>95</v>
      </c>
    </row>
    <row r="1027" spans="2:76" ht="15.75" customHeight="1" x14ac:dyDescent="0.2">
      <c r="B1027" s="22">
        <v>45572</v>
      </c>
      <c r="C1027" s="26">
        <f t="shared" ca="1" si="241"/>
        <v>0.90793046546857892</v>
      </c>
      <c r="D1027" s="29">
        <f t="shared" ca="1" si="242"/>
        <v>102</v>
      </c>
      <c r="F1027" s="22"/>
      <c r="G1027" s="26">
        <f t="shared" ca="1" si="260"/>
        <v>0.98820833686190768</v>
      </c>
      <c r="H1027" s="29">
        <f t="shared" ca="1" si="243"/>
        <v>248</v>
      </c>
      <c r="J1027" s="22">
        <v>45572</v>
      </c>
      <c r="K1027" s="26">
        <f t="shared" ca="1" si="261"/>
        <v>0.53970009540502473</v>
      </c>
      <c r="L1027" s="29">
        <f t="shared" ca="1" si="244"/>
        <v>151</v>
      </c>
      <c r="N1027" s="22">
        <v>45572</v>
      </c>
      <c r="O1027" s="26">
        <f t="shared" ca="1" si="262"/>
        <v>0.52515668317303765</v>
      </c>
      <c r="P1027" s="29">
        <f t="shared" ca="1" si="245"/>
        <v>231</v>
      </c>
      <c r="R1027" s="22">
        <v>45572</v>
      </c>
      <c r="S1027" s="26">
        <f t="shared" ca="1" si="263"/>
        <v>2.6111073119741923E-2</v>
      </c>
      <c r="T1027" s="29">
        <f t="shared" ca="1" si="246"/>
        <v>121</v>
      </c>
      <c r="V1027" s="22">
        <v>45572</v>
      </c>
      <c r="W1027" s="26">
        <f t="shared" ca="1" si="264"/>
        <v>0.45829225663526796</v>
      </c>
      <c r="X1027" s="29">
        <f t="shared" ca="1" si="247"/>
        <v>224</v>
      </c>
      <c r="Z1027" s="22">
        <v>45572</v>
      </c>
      <c r="AA1027" s="26">
        <f t="shared" ca="1" si="265"/>
        <v>0.11337872721477482</v>
      </c>
      <c r="AB1027" s="29">
        <f t="shared" ca="1" si="248"/>
        <v>249</v>
      </c>
      <c r="AC1027"/>
      <c r="AD1027" s="25"/>
      <c r="AF1027" s="22">
        <v>45572</v>
      </c>
      <c r="AG1027" s="26">
        <f t="shared" ca="1" si="266"/>
        <v>0.83683363934169075</v>
      </c>
      <c r="AH1027" s="29">
        <f t="shared" ca="1" si="249"/>
        <v>413</v>
      </c>
      <c r="AJ1027" s="22">
        <v>45572</v>
      </c>
      <c r="AK1027" s="26">
        <f t="shared" ca="1" si="267"/>
        <v>0.92346341897159656</v>
      </c>
      <c r="AL1027" s="29">
        <f t="shared" ca="1" si="250"/>
        <v>249</v>
      </c>
      <c r="AN1027" s="22">
        <v>45572</v>
      </c>
      <c r="AO1027" s="26">
        <f t="shared" ca="1" si="268"/>
        <v>0.35477455229610066</v>
      </c>
      <c r="AP1027" s="29">
        <f t="shared" ca="1" si="251"/>
        <v>133</v>
      </c>
      <c r="AR1027" s="22">
        <v>45572</v>
      </c>
      <c r="AS1027" s="26">
        <f t="shared" ca="1" si="269"/>
        <v>7.6620955775366095E-2</v>
      </c>
      <c r="AT1027" s="29">
        <f t="shared" ca="1" si="252"/>
        <v>135</v>
      </c>
      <c r="AV1027" s="22">
        <v>45572</v>
      </c>
      <c r="AW1027" s="26">
        <f t="shared" ca="1" si="270"/>
        <v>0.13447925192103782</v>
      </c>
      <c r="AX1027" s="29">
        <f t="shared" ca="1" si="253"/>
        <v>136</v>
      </c>
      <c r="AZ1027" s="22">
        <v>45572</v>
      </c>
      <c r="BA1027" s="26">
        <f t="shared" ca="1" si="271"/>
        <v>0.62692648596206424</v>
      </c>
      <c r="BB1027" s="29">
        <f t="shared" ca="1" si="254"/>
        <v>196</v>
      </c>
      <c r="BC1027"/>
      <c r="BD1027" s="25"/>
      <c r="BF1027" s="22">
        <v>45572</v>
      </c>
      <c r="BG1027" s="26">
        <f t="shared" ca="1" si="272"/>
        <v>0.94141097100949078</v>
      </c>
      <c r="BH1027" s="29">
        <f t="shared" ca="1" si="255"/>
        <v>227</v>
      </c>
      <c r="BJ1027" s="22">
        <v>45572</v>
      </c>
      <c r="BK1027" s="26">
        <f t="shared" ca="1" si="273"/>
        <v>0.84331207649970175</v>
      </c>
      <c r="BL1027" s="29">
        <f t="shared" ca="1" si="256"/>
        <v>209</v>
      </c>
      <c r="BN1027" s="22">
        <v>45572</v>
      </c>
      <c r="BO1027" s="26">
        <f t="shared" ca="1" si="274"/>
        <v>0.23817139159915368</v>
      </c>
      <c r="BP1027" s="29">
        <f t="shared" ca="1" si="257"/>
        <v>107</v>
      </c>
      <c r="BR1027" s="22">
        <v>45572</v>
      </c>
      <c r="BS1027" s="26">
        <f t="shared" ca="1" si="275"/>
        <v>0.21772155867730436</v>
      </c>
      <c r="BT1027" s="29">
        <f t="shared" ca="1" si="258"/>
        <v>138</v>
      </c>
      <c r="BV1027" s="22">
        <v>45572</v>
      </c>
      <c r="BW1027" s="26">
        <f t="shared" ca="1" si="276"/>
        <v>0.85264969459817896</v>
      </c>
      <c r="BX1027" s="29">
        <f t="shared" ca="1" si="259"/>
        <v>235</v>
      </c>
    </row>
    <row r="1028" spans="2:76" ht="15.75" customHeight="1" x14ac:dyDescent="0.2">
      <c r="B1028" s="22">
        <v>45573</v>
      </c>
      <c r="C1028" s="26">
        <f t="shared" ca="1" si="241"/>
        <v>0.68582448828535525</v>
      </c>
      <c r="D1028" s="29">
        <f t="shared" ca="1" si="242"/>
        <v>85</v>
      </c>
      <c r="F1028" s="22"/>
      <c r="G1028" s="26">
        <f t="shared" ca="1" si="260"/>
        <v>0.29157347059803573</v>
      </c>
      <c r="H1028" s="29">
        <f t="shared" ca="1" si="243"/>
        <v>208</v>
      </c>
      <c r="J1028" s="22">
        <v>45573</v>
      </c>
      <c r="K1028" s="26">
        <f t="shared" ca="1" si="261"/>
        <v>0.56591413464930429</v>
      </c>
      <c r="L1028" s="29">
        <f t="shared" ca="1" si="244"/>
        <v>152</v>
      </c>
      <c r="N1028" s="22">
        <v>45573</v>
      </c>
      <c r="O1028" s="26">
        <f t="shared" ca="1" si="262"/>
        <v>0.38284671625529587</v>
      </c>
      <c r="P1028" s="29">
        <f t="shared" ca="1" si="245"/>
        <v>225</v>
      </c>
      <c r="R1028" s="22">
        <v>45573</v>
      </c>
      <c r="S1028" s="26">
        <f t="shared" ca="1" si="263"/>
        <v>0.86702090755590888</v>
      </c>
      <c r="T1028" s="29">
        <f t="shared" ca="1" si="246"/>
        <v>150</v>
      </c>
      <c r="V1028" s="22">
        <v>45573</v>
      </c>
      <c r="W1028" s="26">
        <f t="shared" ca="1" si="264"/>
        <v>4.132411499474109E-2</v>
      </c>
      <c r="X1028" s="29">
        <f t="shared" ca="1" si="247"/>
        <v>199</v>
      </c>
      <c r="Z1028" s="22">
        <v>45573</v>
      </c>
      <c r="AA1028" s="26">
        <f t="shared" ca="1" si="265"/>
        <v>0.8082261181031688</v>
      </c>
      <c r="AB1028" s="29">
        <f t="shared" ca="1" si="248"/>
        <v>286</v>
      </c>
      <c r="AC1028"/>
      <c r="AD1028" s="25"/>
      <c r="AF1028" s="22">
        <v>45573</v>
      </c>
      <c r="AG1028" s="26">
        <f t="shared" ca="1" si="266"/>
        <v>0.14841183182792272</v>
      </c>
      <c r="AH1028" s="29">
        <f t="shared" ca="1" si="249"/>
        <v>237</v>
      </c>
      <c r="AJ1028" s="22">
        <v>45573</v>
      </c>
      <c r="AK1028" s="26">
        <f t="shared" ca="1" si="267"/>
        <v>0.68614588011162647</v>
      </c>
      <c r="AL1028" s="29">
        <f t="shared" ca="1" si="250"/>
        <v>204</v>
      </c>
      <c r="AN1028" s="22">
        <v>45573</v>
      </c>
      <c r="AO1028" s="26">
        <f t="shared" ca="1" si="268"/>
        <v>0.35712562333820741</v>
      </c>
      <c r="AP1028" s="29">
        <f t="shared" ca="1" si="251"/>
        <v>133</v>
      </c>
      <c r="AR1028" s="22">
        <v>45573</v>
      </c>
      <c r="AS1028" s="26">
        <f t="shared" ca="1" si="269"/>
        <v>0.10206510222623133</v>
      </c>
      <c r="AT1028" s="29">
        <f t="shared" ca="1" si="252"/>
        <v>144</v>
      </c>
      <c r="AV1028" s="22">
        <v>45573</v>
      </c>
      <c r="AW1028" s="26">
        <f t="shared" ca="1" si="270"/>
        <v>0.71221510964892287</v>
      </c>
      <c r="AX1028" s="29">
        <f t="shared" ca="1" si="253"/>
        <v>221</v>
      </c>
      <c r="AZ1028" s="22">
        <v>45573</v>
      </c>
      <c r="BA1028" s="26">
        <f t="shared" ca="1" si="271"/>
        <v>0.64045257412907963</v>
      </c>
      <c r="BB1028" s="29">
        <f t="shared" ca="1" si="254"/>
        <v>198</v>
      </c>
      <c r="BC1028"/>
      <c r="BD1028" s="25"/>
      <c r="BF1028" s="22">
        <v>45573</v>
      </c>
      <c r="BG1028" s="26">
        <f t="shared" ca="1" si="272"/>
        <v>0.35549107885204911</v>
      </c>
      <c r="BH1028" s="29">
        <f t="shared" ca="1" si="255"/>
        <v>144</v>
      </c>
      <c r="BJ1028" s="22">
        <v>45573</v>
      </c>
      <c r="BK1028" s="26">
        <f t="shared" ca="1" si="273"/>
        <v>3.6669346052354057E-2</v>
      </c>
      <c r="BL1028" s="29">
        <f t="shared" ca="1" si="256"/>
        <v>86</v>
      </c>
      <c r="BN1028" s="22">
        <v>45573</v>
      </c>
      <c r="BO1028" s="26">
        <f t="shared" ca="1" si="274"/>
        <v>0.73097493173244643</v>
      </c>
      <c r="BP1028" s="29">
        <f t="shared" ca="1" si="257"/>
        <v>153</v>
      </c>
      <c r="BR1028" s="22">
        <v>45573</v>
      </c>
      <c r="BS1028" s="26">
        <f t="shared" ca="1" si="275"/>
        <v>0.29084631510696368</v>
      </c>
      <c r="BT1028" s="29">
        <f t="shared" ca="1" si="258"/>
        <v>149</v>
      </c>
      <c r="BV1028" s="22">
        <v>45573</v>
      </c>
      <c r="BW1028" s="26">
        <f t="shared" ca="1" si="276"/>
        <v>0.72256574690249742</v>
      </c>
      <c r="BX1028" s="29">
        <f t="shared" ca="1" si="259"/>
        <v>213</v>
      </c>
    </row>
    <row r="1029" spans="2:76" ht="15.75" customHeight="1" x14ac:dyDescent="0.2">
      <c r="B1029" s="22">
        <v>45574</v>
      </c>
      <c r="C1029" s="26">
        <f t="shared" ca="1" si="241"/>
        <v>0.53595437427614057</v>
      </c>
      <c r="D1029" s="29">
        <f t="shared" ca="1" si="242"/>
        <v>77</v>
      </c>
      <c r="F1029" s="22"/>
      <c r="G1029" s="26">
        <f t="shared" ca="1" si="260"/>
        <v>0.66950254316794588</v>
      </c>
      <c r="H1029" s="29">
        <f t="shared" ca="1" si="243"/>
        <v>222</v>
      </c>
      <c r="J1029" s="22">
        <v>45574</v>
      </c>
      <c r="K1029" s="26">
        <f t="shared" ca="1" si="261"/>
        <v>0.38820948977159453</v>
      </c>
      <c r="L1029" s="29">
        <f t="shared" ca="1" si="244"/>
        <v>148</v>
      </c>
      <c r="N1029" s="22">
        <v>45574</v>
      </c>
      <c r="O1029" s="26">
        <f t="shared" ca="1" si="262"/>
        <v>0.9751273357780943</v>
      </c>
      <c r="P1029" s="29">
        <f t="shared" ca="1" si="245"/>
        <v>260</v>
      </c>
      <c r="R1029" s="22">
        <v>45574</v>
      </c>
      <c r="S1029" s="26">
        <f t="shared" ca="1" si="263"/>
        <v>0.4870156263881591</v>
      </c>
      <c r="T1029" s="29">
        <f t="shared" ca="1" si="246"/>
        <v>139</v>
      </c>
      <c r="V1029" s="22">
        <v>45574</v>
      </c>
      <c r="W1029" s="26">
        <f t="shared" ca="1" si="264"/>
        <v>0.92322917213819156</v>
      </c>
      <c r="X1029" s="29">
        <f t="shared" ca="1" si="247"/>
        <v>247</v>
      </c>
      <c r="Z1029" s="22">
        <v>45574</v>
      </c>
      <c r="AA1029" s="26">
        <f t="shared" ca="1" si="265"/>
        <v>0.20198656671005877</v>
      </c>
      <c r="AB1029" s="29">
        <f t="shared" ca="1" si="248"/>
        <v>255</v>
      </c>
      <c r="AC1029"/>
      <c r="AD1029" s="25"/>
      <c r="AF1029" s="22">
        <v>45574</v>
      </c>
      <c r="AG1029" s="26">
        <f t="shared" ca="1" si="266"/>
        <v>0.19507115958706178</v>
      </c>
      <c r="AH1029" s="29">
        <f t="shared" ca="1" si="249"/>
        <v>253</v>
      </c>
      <c r="AJ1029" s="22">
        <v>45574</v>
      </c>
      <c r="AK1029" s="26">
        <f t="shared" ca="1" si="267"/>
        <v>0.54300711843350569</v>
      </c>
      <c r="AL1029" s="29">
        <f t="shared" ca="1" si="250"/>
        <v>186</v>
      </c>
      <c r="AN1029" s="22">
        <v>45574</v>
      </c>
      <c r="AO1029" s="26">
        <f t="shared" ca="1" si="268"/>
        <v>0.15606976195155053</v>
      </c>
      <c r="AP1029" s="29">
        <f t="shared" ca="1" si="251"/>
        <v>108</v>
      </c>
      <c r="AR1029" s="22">
        <v>45574</v>
      </c>
      <c r="AS1029" s="26">
        <f t="shared" ca="1" si="269"/>
        <v>0.72668431076791096</v>
      </c>
      <c r="AT1029" s="29">
        <f t="shared" ca="1" si="252"/>
        <v>252</v>
      </c>
      <c r="AV1029" s="22">
        <v>45574</v>
      </c>
      <c r="AW1029" s="26">
        <f t="shared" ca="1" si="270"/>
        <v>0.45975791980572456</v>
      </c>
      <c r="AX1029" s="29">
        <f t="shared" ca="1" si="253"/>
        <v>187</v>
      </c>
      <c r="AZ1029" s="22">
        <v>45574</v>
      </c>
      <c r="BA1029" s="26">
        <f t="shared" ca="1" si="271"/>
        <v>0.11840052757518615</v>
      </c>
      <c r="BB1029" s="29">
        <f t="shared" ca="1" si="254"/>
        <v>124</v>
      </c>
      <c r="BC1029"/>
      <c r="BD1029" s="25"/>
      <c r="BF1029" s="22">
        <v>45574</v>
      </c>
      <c r="BG1029" s="26">
        <f t="shared" ca="1" si="272"/>
        <v>0.163611251516527</v>
      </c>
      <c r="BH1029" s="29">
        <f t="shared" ca="1" si="255"/>
        <v>118</v>
      </c>
      <c r="BJ1029" s="22">
        <v>45574</v>
      </c>
      <c r="BK1029" s="26">
        <f t="shared" ca="1" si="273"/>
        <v>0.52593638251270525</v>
      </c>
      <c r="BL1029" s="29">
        <f t="shared" ca="1" si="256"/>
        <v>168</v>
      </c>
      <c r="BN1029" s="22">
        <v>45574</v>
      </c>
      <c r="BO1029" s="26">
        <f t="shared" ca="1" si="274"/>
        <v>0.63872265506391113</v>
      </c>
      <c r="BP1029" s="29">
        <f t="shared" ca="1" si="257"/>
        <v>144</v>
      </c>
      <c r="BR1029" s="22">
        <v>45574</v>
      </c>
      <c r="BS1029" s="26">
        <f t="shared" ca="1" si="275"/>
        <v>0.49516217647706684</v>
      </c>
      <c r="BT1029" s="29">
        <f t="shared" ca="1" si="258"/>
        <v>173</v>
      </c>
      <c r="BV1029" s="22">
        <v>45574</v>
      </c>
      <c r="BW1029" s="26">
        <f t="shared" ca="1" si="276"/>
        <v>0.15113134470236478</v>
      </c>
      <c r="BX1029" s="29">
        <f t="shared" ca="1" si="259"/>
        <v>133</v>
      </c>
    </row>
    <row r="1030" spans="2:76" ht="15.75" customHeight="1" x14ac:dyDescent="0.2">
      <c r="B1030" s="22">
        <v>45575</v>
      </c>
      <c r="C1030" s="26">
        <f t="shared" ca="1" si="241"/>
        <v>0.29690916600489003</v>
      </c>
      <c r="D1030" s="29">
        <f t="shared" ca="1" si="242"/>
        <v>65</v>
      </c>
      <c r="F1030" s="22"/>
      <c r="G1030" s="26">
        <f t="shared" ca="1" si="260"/>
        <v>0.985081077800815</v>
      </c>
      <c r="H1030" s="29">
        <f t="shared" ca="1" si="243"/>
        <v>247</v>
      </c>
      <c r="J1030" s="22">
        <v>45575</v>
      </c>
      <c r="K1030" s="26">
        <f t="shared" ca="1" si="261"/>
        <v>0.30827386969402504</v>
      </c>
      <c r="L1030" s="29">
        <f t="shared" ca="1" si="244"/>
        <v>145</v>
      </c>
      <c r="N1030" s="22">
        <v>45575</v>
      </c>
      <c r="O1030" s="26">
        <f t="shared" ca="1" si="262"/>
        <v>0.38459301200446061</v>
      </c>
      <c r="P1030" s="29">
        <f t="shared" ca="1" si="245"/>
        <v>225</v>
      </c>
      <c r="R1030" s="22">
        <v>45575</v>
      </c>
      <c r="S1030" s="26">
        <f t="shared" ca="1" si="263"/>
        <v>8.7047893413964905E-2</v>
      </c>
      <c r="T1030" s="29">
        <f t="shared" ca="1" si="246"/>
        <v>127</v>
      </c>
      <c r="V1030" s="22">
        <v>45575</v>
      </c>
      <c r="W1030" s="26">
        <f t="shared" ca="1" si="264"/>
        <v>0.38222101505712047</v>
      </c>
      <c r="X1030" s="29">
        <f t="shared" ca="1" si="247"/>
        <v>221</v>
      </c>
      <c r="Z1030" s="22">
        <v>45575</v>
      </c>
      <c r="AA1030" s="26">
        <f t="shared" ca="1" si="265"/>
        <v>0.24756227061135017</v>
      </c>
      <c r="AB1030" s="29">
        <f t="shared" ca="1" si="248"/>
        <v>258</v>
      </c>
      <c r="AC1030"/>
      <c r="AD1030" s="25"/>
      <c r="AF1030" s="22">
        <v>45575</v>
      </c>
      <c r="AG1030" s="26">
        <f t="shared" ca="1" si="266"/>
        <v>4.6754493925236229E-2</v>
      </c>
      <c r="AH1030" s="29">
        <f t="shared" ca="1" si="249"/>
        <v>181</v>
      </c>
      <c r="AJ1030" s="22">
        <v>45575</v>
      </c>
      <c r="AK1030" s="26">
        <f t="shared" ca="1" si="267"/>
        <v>0.21801300262191237</v>
      </c>
      <c r="AL1030" s="29">
        <f t="shared" ca="1" si="250"/>
        <v>143</v>
      </c>
      <c r="AN1030" s="22">
        <v>45575</v>
      </c>
      <c r="AO1030" s="26">
        <f t="shared" ca="1" si="268"/>
        <v>0.23720305151436805</v>
      </c>
      <c r="AP1030" s="29">
        <f t="shared" ca="1" si="251"/>
        <v>120</v>
      </c>
      <c r="AR1030" s="22">
        <v>45575</v>
      </c>
      <c r="AS1030" s="26">
        <f t="shared" ca="1" si="269"/>
        <v>0.96762638232063891</v>
      </c>
      <c r="AT1030" s="29">
        <f t="shared" ca="1" si="252"/>
        <v>324</v>
      </c>
      <c r="AV1030" s="22">
        <v>45575</v>
      </c>
      <c r="AW1030" s="26">
        <f t="shared" ca="1" si="270"/>
        <v>0.74626554418487556</v>
      </c>
      <c r="AX1030" s="29">
        <f t="shared" ca="1" si="253"/>
        <v>226</v>
      </c>
      <c r="AZ1030" s="22">
        <v>45575</v>
      </c>
      <c r="BA1030" s="26">
        <f t="shared" ca="1" si="271"/>
        <v>0.65674039097736991</v>
      </c>
      <c r="BB1030" s="29">
        <f t="shared" ca="1" si="254"/>
        <v>200</v>
      </c>
      <c r="BC1030"/>
      <c r="BD1030" s="25"/>
      <c r="BF1030" s="22">
        <v>45575</v>
      </c>
      <c r="BG1030" s="26">
        <f t="shared" ca="1" si="272"/>
        <v>0.4610352244914977</v>
      </c>
      <c r="BH1030" s="29">
        <f t="shared" ca="1" si="255"/>
        <v>156</v>
      </c>
      <c r="BJ1030" s="22">
        <v>45575</v>
      </c>
      <c r="BK1030" s="26">
        <f t="shared" ca="1" si="273"/>
        <v>0.51486661793325983</v>
      </c>
      <c r="BL1030" s="29">
        <f t="shared" ca="1" si="256"/>
        <v>167</v>
      </c>
      <c r="BN1030" s="22">
        <v>45575</v>
      </c>
      <c r="BO1030" s="26">
        <f t="shared" ca="1" si="274"/>
        <v>0.50469180010429937</v>
      </c>
      <c r="BP1030" s="29">
        <f t="shared" ca="1" si="257"/>
        <v>132</v>
      </c>
      <c r="BR1030" s="22">
        <v>45575</v>
      </c>
      <c r="BS1030" s="26">
        <f t="shared" ca="1" si="275"/>
        <v>9.2520836266581363E-2</v>
      </c>
      <c r="BT1030" s="29">
        <f t="shared" ca="1" si="258"/>
        <v>113</v>
      </c>
      <c r="BV1030" s="22">
        <v>45575</v>
      </c>
      <c r="BW1030" s="26">
        <f t="shared" ca="1" si="276"/>
        <v>0.51451357764891292</v>
      </c>
      <c r="BX1030" s="29">
        <f t="shared" ca="1" si="259"/>
        <v>186</v>
      </c>
    </row>
    <row r="1031" spans="2:76" ht="15.75" customHeight="1" x14ac:dyDescent="0.2">
      <c r="B1031" s="22">
        <v>45576</v>
      </c>
      <c r="C1031" s="26">
        <f t="shared" ca="1" si="241"/>
        <v>0.63075756864023536</v>
      </c>
      <c r="D1031" s="29">
        <f t="shared" ca="1" si="242"/>
        <v>82</v>
      </c>
      <c r="F1031" s="22"/>
      <c r="G1031" s="26">
        <f t="shared" ca="1" si="260"/>
        <v>0.12652560650175959</v>
      </c>
      <c r="H1031" s="29">
        <f t="shared" ca="1" si="243"/>
        <v>199</v>
      </c>
      <c r="J1031" s="22">
        <v>45576</v>
      </c>
      <c r="K1031" s="26">
        <f t="shared" ca="1" si="261"/>
        <v>0.44683612734930933</v>
      </c>
      <c r="L1031" s="29">
        <f t="shared" ca="1" si="244"/>
        <v>149</v>
      </c>
      <c r="N1031" s="22">
        <v>45576</v>
      </c>
      <c r="O1031" s="26">
        <f t="shared" ca="1" si="262"/>
        <v>0.66603746552802323</v>
      </c>
      <c r="P1031" s="29">
        <f t="shared" ca="1" si="245"/>
        <v>236</v>
      </c>
      <c r="R1031" s="22">
        <v>45576</v>
      </c>
      <c r="S1031" s="26">
        <f t="shared" ca="1" si="263"/>
        <v>0.60322935368742259</v>
      </c>
      <c r="T1031" s="29">
        <f t="shared" ca="1" si="246"/>
        <v>142</v>
      </c>
      <c r="V1031" s="22">
        <v>45576</v>
      </c>
      <c r="W1031" s="26">
        <f t="shared" ca="1" si="264"/>
        <v>0.19541729538832253</v>
      </c>
      <c r="X1031" s="29">
        <f t="shared" ca="1" si="247"/>
        <v>213</v>
      </c>
      <c r="Z1031" s="22">
        <v>45576</v>
      </c>
      <c r="AA1031" s="26">
        <f t="shared" ca="1" si="265"/>
        <v>0.5132845248829726</v>
      </c>
      <c r="AB1031" s="29">
        <f t="shared" ca="1" si="248"/>
        <v>271</v>
      </c>
      <c r="AC1031"/>
      <c r="AD1031" s="25"/>
      <c r="AF1031" s="22">
        <v>45576</v>
      </c>
      <c r="AG1031" s="26">
        <f t="shared" ca="1" si="266"/>
        <v>5.0667162934494359E-2</v>
      </c>
      <c r="AH1031" s="29">
        <f t="shared" ca="1" si="249"/>
        <v>185</v>
      </c>
      <c r="AJ1031" s="22">
        <v>45576</v>
      </c>
      <c r="AK1031" s="26">
        <f t="shared" ca="1" si="267"/>
        <v>0.34283992810893871</v>
      </c>
      <c r="AL1031" s="29">
        <f t="shared" ca="1" si="250"/>
        <v>161</v>
      </c>
      <c r="AN1031" s="22">
        <v>45576</v>
      </c>
      <c r="AO1031" s="26">
        <f t="shared" ca="1" si="268"/>
        <v>0.54774593862775456</v>
      </c>
      <c r="AP1031" s="29">
        <f t="shared" ca="1" si="251"/>
        <v>152</v>
      </c>
      <c r="AR1031" s="22">
        <v>45576</v>
      </c>
      <c r="AS1031" s="26">
        <f t="shared" ca="1" si="269"/>
        <v>0.14047436975633287</v>
      </c>
      <c r="AT1031" s="29">
        <f t="shared" ca="1" si="252"/>
        <v>155</v>
      </c>
      <c r="AV1031" s="22">
        <v>45576</v>
      </c>
      <c r="AW1031" s="26">
        <f t="shared" ca="1" si="270"/>
        <v>0.24221932084279418</v>
      </c>
      <c r="AX1031" s="29">
        <f t="shared" ca="1" si="253"/>
        <v>156</v>
      </c>
      <c r="AZ1031" s="22">
        <v>45576</v>
      </c>
      <c r="BA1031" s="26">
        <f t="shared" ca="1" si="271"/>
        <v>6.3913460083515394E-2</v>
      </c>
      <c r="BB1031" s="29">
        <f t="shared" ca="1" si="254"/>
        <v>107</v>
      </c>
      <c r="BC1031"/>
      <c r="BD1031" s="25"/>
      <c r="BF1031" s="22">
        <v>45576</v>
      </c>
      <c r="BG1031" s="26">
        <f t="shared" ca="1" si="272"/>
        <v>0.75578222429533148</v>
      </c>
      <c r="BH1031" s="29">
        <f t="shared" ca="1" si="255"/>
        <v>190</v>
      </c>
      <c r="BJ1031" s="22">
        <v>45576</v>
      </c>
      <c r="BK1031" s="26">
        <f t="shared" ca="1" si="273"/>
        <v>1.5687889462007498E-2</v>
      </c>
      <c r="BL1031" s="29">
        <f t="shared" ca="1" si="256"/>
        <v>71</v>
      </c>
      <c r="BN1031" s="22">
        <v>45576</v>
      </c>
      <c r="BO1031" s="26">
        <f t="shared" ca="1" si="274"/>
        <v>0.33958326381996473</v>
      </c>
      <c r="BP1031" s="29">
        <f t="shared" ca="1" si="257"/>
        <v>117</v>
      </c>
      <c r="BR1031" s="22">
        <v>45576</v>
      </c>
      <c r="BS1031" s="26">
        <f t="shared" ca="1" si="275"/>
        <v>7.2766935371134878E-2</v>
      </c>
      <c r="BT1031" s="29">
        <f t="shared" ca="1" si="258"/>
        <v>107</v>
      </c>
      <c r="BV1031" s="22">
        <v>45576</v>
      </c>
      <c r="BW1031" s="26">
        <f t="shared" ca="1" si="276"/>
        <v>0.35876532081265511</v>
      </c>
      <c r="BX1031" s="29">
        <f t="shared" ca="1" si="259"/>
        <v>166</v>
      </c>
    </row>
    <row r="1032" spans="2:76" ht="15.75" customHeight="1" x14ac:dyDescent="0.2">
      <c r="B1032" s="22">
        <v>45577</v>
      </c>
      <c r="C1032" s="26">
        <f t="shared" ca="1" si="241"/>
        <v>0.63571496841373709</v>
      </c>
      <c r="D1032" s="29">
        <f t="shared" ca="1" si="242"/>
        <v>82</v>
      </c>
      <c r="F1032" s="22"/>
      <c r="G1032" s="26">
        <f t="shared" ca="1" si="260"/>
        <v>0.61265069550391227</v>
      </c>
      <c r="H1032" s="29">
        <f t="shared" ca="1" si="243"/>
        <v>220</v>
      </c>
      <c r="J1032" s="22">
        <v>45577</v>
      </c>
      <c r="K1032" s="26">
        <f t="shared" ca="1" si="261"/>
        <v>0.43658582657253286</v>
      </c>
      <c r="L1032" s="29">
        <f t="shared" ca="1" si="244"/>
        <v>149</v>
      </c>
      <c r="N1032" s="22">
        <v>45577</v>
      </c>
      <c r="O1032" s="26">
        <f t="shared" ca="1" si="262"/>
        <v>0.16768600951746537</v>
      </c>
      <c r="P1032" s="29">
        <f t="shared" ca="1" si="245"/>
        <v>215</v>
      </c>
      <c r="R1032" s="22">
        <v>45577</v>
      </c>
      <c r="S1032" s="26">
        <f t="shared" ca="1" si="263"/>
        <v>0.36730947578416084</v>
      </c>
      <c r="T1032" s="29">
        <f t="shared" ca="1" si="246"/>
        <v>136</v>
      </c>
      <c r="V1032" s="22">
        <v>45577</v>
      </c>
      <c r="W1032" s="26">
        <f t="shared" ca="1" si="264"/>
        <v>2.0672747736466768E-2</v>
      </c>
      <c r="X1032" s="29">
        <f t="shared" ca="1" si="247"/>
        <v>195</v>
      </c>
      <c r="Z1032" s="22">
        <v>45577</v>
      </c>
      <c r="AA1032" s="26">
        <f t="shared" ca="1" si="265"/>
        <v>0.33860286920553428</v>
      </c>
      <c r="AB1032" s="29">
        <f t="shared" ca="1" si="248"/>
        <v>263</v>
      </c>
      <c r="AC1032"/>
      <c r="AD1032" s="25"/>
      <c r="AF1032" s="22">
        <v>45577</v>
      </c>
      <c r="AG1032" s="26">
        <f t="shared" ca="1" si="266"/>
        <v>0.15354243023983882</v>
      </c>
      <c r="AH1032" s="29">
        <f t="shared" ca="1" si="249"/>
        <v>238</v>
      </c>
      <c r="AJ1032" s="22">
        <v>45577</v>
      </c>
      <c r="AK1032" s="26">
        <f t="shared" ca="1" si="267"/>
        <v>0.28336520326492021</v>
      </c>
      <c r="AL1032" s="29">
        <f t="shared" ca="1" si="250"/>
        <v>153</v>
      </c>
      <c r="AN1032" s="22">
        <v>45577</v>
      </c>
      <c r="AO1032" s="26">
        <f t="shared" ca="1" si="268"/>
        <v>0.43793805025993227</v>
      </c>
      <c r="AP1032" s="29">
        <f t="shared" ca="1" si="251"/>
        <v>142</v>
      </c>
      <c r="AR1032" s="22">
        <v>45577</v>
      </c>
      <c r="AS1032" s="26">
        <f t="shared" ca="1" si="269"/>
        <v>0.87556248852372187</v>
      </c>
      <c r="AT1032" s="29">
        <f t="shared" ca="1" si="252"/>
        <v>284</v>
      </c>
      <c r="AV1032" s="22">
        <v>45577</v>
      </c>
      <c r="AW1032" s="26">
        <f t="shared" ca="1" si="270"/>
        <v>0.54460071983309188</v>
      </c>
      <c r="AX1032" s="29">
        <f t="shared" ca="1" si="253"/>
        <v>198</v>
      </c>
      <c r="AZ1032" s="22">
        <v>45577</v>
      </c>
      <c r="BA1032" s="26">
        <f t="shared" ca="1" si="271"/>
        <v>0.7620324109294786</v>
      </c>
      <c r="BB1032" s="29">
        <f t="shared" ca="1" si="254"/>
        <v>215</v>
      </c>
      <c r="BC1032"/>
      <c r="BD1032" s="25"/>
      <c r="BF1032" s="22">
        <v>45577</v>
      </c>
      <c r="BG1032" s="26">
        <f t="shared" ca="1" si="272"/>
        <v>0.60427727857813318</v>
      </c>
      <c r="BH1032" s="29">
        <f t="shared" ca="1" si="255"/>
        <v>171</v>
      </c>
      <c r="BJ1032" s="22">
        <v>45577</v>
      </c>
      <c r="BK1032" s="26">
        <f t="shared" ca="1" si="273"/>
        <v>0.16612412048561787</v>
      </c>
      <c r="BL1032" s="29">
        <f t="shared" ca="1" si="256"/>
        <v>123</v>
      </c>
      <c r="BN1032" s="22">
        <v>45577</v>
      </c>
      <c r="BO1032" s="26">
        <f t="shared" ca="1" si="274"/>
        <v>0.78607963618578669</v>
      </c>
      <c r="BP1032" s="29">
        <f t="shared" ca="1" si="257"/>
        <v>159</v>
      </c>
      <c r="BR1032" s="22">
        <v>45577</v>
      </c>
      <c r="BS1032" s="26">
        <f t="shared" ca="1" si="275"/>
        <v>0.57549945097582245</v>
      </c>
      <c r="BT1032" s="29">
        <f t="shared" ca="1" si="258"/>
        <v>183</v>
      </c>
      <c r="BV1032" s="22">
        <v>45577</v>
      </c>
      <c r="BW1032" s="26">
        <f t="shared" ca="1" si="276"/>
        <v>0.33386155857392363</v>
      </c>
      <c r="BX1032" s="29">
        <f t="shared" ca="1" si="259"/>
        <v>163</v>
      </c>
    </row>
    <row r="1033" spans="2:76" ht="15.75" customHeight="1" x14ac:dyDescent="0.2">
      <c r="B1033" s="22">
        <v>45578</v>
      </c>
      <c r="C1033" s="26">
        <f t="shared" ca="1" si="241"/>
        <v>0.67651992340580336</v>
      </c>
      <c r="D1033" s="29">
        <f t="shared" ca="1" si="242"/>
        <v>85</v>
      </c>
      <c r="F1033" s="22"/>
      <c r="G1033" s="26">
        <f t="shared" ca="1" si="260"/>
        <v>0.76404692763984405</v>
      </c>
      <c r="H1033" s="29">
        <f t="shared" ca="1" si="243"/>
        <v>226</v>
      </c>
      <c r="J1033" s="22">
        <v>45578</v>
      </c>
      <c r="K1033" s="26">
        <f t="shared" ca="1" si="261"/>
        <v>0.48204708749181224</v>
      </c>
      <c r="L1033" s="29">
        <f t="shared" ca="1" si="244"/>
        <v>150</v>
      </c>
      <c r="N1033" s="22">
        <v>45578</v>
      </c>
      <c r="O1033" s="26">
        <f t="shared" ca="1" si="262"/>
        <v>0.39275894705315995</v>
      </c>
      <c r="P1033" s="29">
        <f t="shared" ca="1" si="245"/>
        <v>226</v>
      </c>
      <c r="R1033" s="22">
        <v>45578</v>
      </c>
      <c r="S1033" s="26">
        <f t="shared" ca="1" si="263"/>
        <v>0.34826180224292114</v>
      </c>
      <c r="T1033" s="29">
        <f t="shared" ca="1" si="246"/>
        <v>136</v>
      </c>
      <c r="V1033" s="22">
        <v>45578</v>
      </c>
      <c r="W1033" s="26">
        <f t="shared" ca="1" si="264"/>
        <v>0.27867686152335314</v>
      </c>
      <c r="X1033" s="29">
        <f t="shared" ca="1" si="247"/>
        <v>217</v>
      </c>
      <c r="Z1033" s="22">
        <v>45578</v>
      </c>
      <c r="AA1033" s="26">
        <f t="shared" ca="1" si="265"/>
        <v>0.16467935952330126</v>
      </c>
      <c r="AB1033" s="29">
        <f t="shared" ca="1" si="248"/>
        <v>253</v>
      </c>
      <c r="AC1033"/>
      <c r="AD1033" s="25"/>
      <c r="AF1033" s="22">
        <v>45578</v>
      </c>
      <c r="AG1033" s="26">
        <f t="shared" ca="1" si="266"/>
        <v>0.73230473441084964</v>
      </c>
      <c r="AH1033" s="29">
        <f t="shared" ca="1" si="249"/>
        <v>382</v>
      </c>
      <c r="AJ1033" s="22">
        <v>45578</v>
      </c>
      <c r="AK1033" s="26">
        <f t="shared" ca="1" si="267"/>
        <v>0.99240350015246315</v>
      </c>
      <c r="AL1033" s="29">
        <f t="shared" ca="1" si="250"/>
        <v>297</v>
      </c>
      <c r="AN1033" s="22">
        <v>45578</v>
      </c>
      <c r="AO1033" s="26">
        <f t="shared" ca="1" si="268"/>
        <v>0.83116227617674465</v>
      </c>
      <c r="AP1033" s="29">
        <f t="shared" ca="1" si="251"/>
        <v>185</v>
      </c>
      <c r="AR1033" s="22">
        <v>45578</v>
      </c>
      <c r="AS1033" s="26">
        <f t="shared" ca="1" si="269"/>
        <v>0.32753750121946212</v>
      </c>
      <c r="AT1033" s="29">
        <f t="shared" ca="1" si="252"/>
        <v>191</v>
      </c>
      <c r="AV1033" s="22">
        <v>45578</v>
      </c>
      <c r="AW1033" s="26">
        <f t="shared" ca="1" si="270"/>
        <v>2.9448904541050203E-2</v>
      </c>
      <c r="AX1033" s="29">
        <f t="shared" ca="1" si="253"/>
        <v>96</v>
      </c>
      <c r="AZ1033" s="22">
        <v>45578</v>
      </c>
      <c r="BA1033" s="26">
        <f t="shared" ca="1" si="271"/>
        <v>4.1998205541515565E-2</v>
      </c>
      <c r="BB1033" s="29">
        <f t="shared" ca="1" si="254"/>
        <v>97</v>
      </c>
      <c r="BC1033"/>
      <c r="BD1033" s="25"/>
      <c r="BF1033" s="22">
        <v>45578</v>
      </c>
      <c r="BG1033" s="26">
        <f t="shared" ca="1" si="272"/>
        <v>0.59529951072396192</v>
      </c>
      <c r="BH1033" s="29">
        <f t="shared" ca="1" si="255"/>
        <v>170</v>
      </c>
      <c r="BJ1033" s="22">
        <v>45578</v>
      </c>
      <c r="BK1033" s="26">
        <f t="shared" ca="1" si="273"/>
        <v>0.88665017430562398</v>
      </c>
      <c r="BL1033" s="29">
        <f t="shared" ca="1" si="256"/>
        <v>218</v>
      </c>
      <c r="BN1033" s="22">
        <v>45578</v>
      </c>
      <c r="BO1033" s="26">
        <f t="shared" ca="1" si="274"/>
        <v>0.29720757019235389</v>
      </c>
      <c r="BP1033" s="29">
        <f t="shared" ca="1" si="257"/>
        <v>113</v>
      </c>
      <c r="BR1033" s="22">
        <v>45578</v>
      </c>
      <c r="BS1033" s="26">
        <f t="shared" ca="1" si="275"/>
        <v>0.15719188746270008</v>
      </c>
      <c r="BT1033" s="29">
        <f t="shared" ca="1" si="258"/>
        <v>127</v>
      </c>
      <c r="BV1033" s="22">
        <v>45578</v>
      </c>
      <c r="BW1033" s="26">
        <f t="shared" ca="1" si="276"/>
        <v>0.28434131403413998</v>
      </c>
      <c r="BX1033" s="29">
        <f t="shared" ca="1" si="259"/>
        <v>156</v>
      </c>
    </row>
    <row r="1034" spans="2:76" ht="15.75" customHeight="1" x14ac:dyDescent="0.2">
      <c r="B1034" s="22">
        <v>45579</v>
      </c>
      <c r="C1034" s="26">
        <f t="shared" ca="1" si="241"/>
        <v>0.7434456651861957</v>
      </c>
      <c r="D1034" s="29">
        <f t="shared" ca="1" si="242"/>
        <v>89</v>
      </c>
      <c r="F1034" s="22"/>
      <c r="G1034" s="26">
        <f t="shared" ca="1" si="260"/>
        <v>0.5944887045899212</v>
      </c>
      <c r="H1034" s="29">
        <f t="shared" ca="1" si="243"/>
        <v>219</v>
      </c>
      <c r="J1034" s="22">
        <v>45579</v>
      </c>
      <c r="K1034" s="26">
        <f t="shared" ca="1" si="261"/>
        <v>0.22073975412833269</v>
      </c>
      <c r="L1034" s="29">
        <f t="shared" ca="1" si="244"/>
        <v>143</v>
      </c>
      <c r="N1034" s="22">
        <v>45579</v>
      </c>
      <c r="O1034" s="26">
        <f t="shared" ca="1" si="262"/>
        <v>0.46881535943777453</v>
      </c>
      <c r="P1034" s="29">
        <f t="shared" ca="1" si="245"/>
        <v>229</v>
      </c>
      <c r="R1034" s="22">
        <v>45579</v>
      </c>
      <c r="S1034" s="26">
        <f t="shared" ca="1" si="263"/>
        <v>0.50493756961862402</v>
      </c>
      <c r="T1034" s="29">
        <f t="shared" ca="1" si="246"/>
        <v>139</v>
      </c>
      <c r="V1034" s="22">
        <v>45579</v>
      </c>
      <c r="W1034" s="26">
        <f t="shared" ca="1" si="264"/>
        <v>0.11053501880947514</v>
      </c>
      <c r="X1034" s="29">
        <f t="shared" ca="1" si="247"/>
        <v>207</v>
      </c>
      <c r="Z1034" s="22">
        <v>45579</v>
      </c>
      <c r="AA1034" s="26">
        <f t="shared" ca="1" si="265"/>
        <v>0.40136756053349054</v>
      </c>
      <c r="AB1034" s="29">
        <f t="shared" ca="1" si="248"/>
        <v>266</v>
      </c>
      <c r="AC1034"/>
      <c r="AD1034" s="25"/>
      <c r="AF1034" s="22">
        <v>45579</v>
      </c>
      <c r="AG1034" s="26">
        <f t="shared" ca="1" si="266"/>
        <v>0.66138597759831907</v>
      </c>
      <c r="AH1034" s="29">
        <f t="shared" ca="1" si="249"/>
        <v>364</v>
      </c>
      <c r="AJ1034" s="22">
        <v>45579</v>
      </c>
      <c r="AK1034" s="26">
        <f t="shared" ca="1" si="267"/>
        <v>0.80240697126643712</v>
      </c>
      <c r="AL1034" s="29">
        <f t="shared" ca="1" si="250"/>
        <v>221</v>
      </c>
      <c r="AN1034" s="22">
        <v>45579</v>
      </c>
      <c r="AO1034" s="26">
        <f t="shared" ca="1" si="268"/>
        <v>0.22082290128317228</v>
      </c>
      <c r="AP1034" s="29">
        <f t="shared" ca="1" si="251"/>
        <v>117</v>
      </c>
      <c r="AR1034" s="22">
        <v>45579</v>
      </c>
      <c r="AS1034" s="26">
        <f t="shared" ca="1" si="269"/>
        <v>0.23136371598057393</v>
      </c>
      <c r="AT1034" s="29">
        <f t="shared" ca="1" si="252"/>
        <v>175</v>
      </c>
      <c r="AV1034" s="22">
        <v>45579</v>
      </c>
      <c r="AW1034" s="26">
        <f t="shared" ca="1" si="270"/>
        <v>0.78307333584313199</v>
      </c>
      <c r="AX1034" s="29">
        <f t="shared" ca="1" si="253"/>
        <v>232</v>
      </c>
      <c r="AZ1034" s="22">
        <v>45579</v>
      </c>
      <c r="BA1034" s="26">
        <f t="shared" ca="1" si="271"/>
        <v>0.64840098632937015</v>
      </c>
      <c r="BB1034" s="29">
        <f t="shared" ca="1" si="254"/>
        <v>199</v>
      </c>
      <c r="BC1034"/>
      <c r="BD1034" s="25"/>
      <c r="BF1034" s="22">
        <v>45579</v>
      </c>
      <c r="BG1034" s="26">
        <f t="shared" ca="1" si="272"/>
        <v>0.30811449948101755</v>
      </c>
      <c r="BH1034" s="29">
        <f t="shared" ca="1" si="255"/>
        <v>139</v>
      </c>
      <c r="BJ1034" s="22">
        <v>45579</v>
      </c>
      <c r="BK1034" s="26">
        <f t="shared" ca="1" si="273"/>
        <v>0.3369554708687752</v>
      </c>
      <c r="BL1034" s="29">
        <f t="shared" ca="1" si="256"/>
        <v>147</v>
      </c>
      <c r="BN1034" s="22">
        <v>45579</v>
      </c>
      <c r="BO1034" s="26">
        <f t="shared" ca="1" si="274"/>
        <v>0.90512264087430394</v>
      </c>
      <c r="BP1034" s="29">
        <f t="shared" ca="1" si="257"/>
        <v>177</v>
      </c>
      <c r="BR1034" s="22">
        <v>45579</v>
      </c>
      <c r="BS1034" s="26">
        <f t="shared" ca="1" si="275"/>
        <v>0.11123478522417707</v>
      </c>
      <c r="BT1034" s="29">
        <f t="shared" ca="1" si="258"/>
        <v>118</v>
      </c>
      <c r="BV1034" s="22">
        <v>45579</v>
      </c>
      <c r="BW1034" s="26">
        <f t="shared" ca="1" si="276"/>
        <v>0.53718280699238896</v>
      </c>
      <c r="BX1034" s="29">
        <f t="shared" ca="1" si="259"/>
        <v>189</v>
      </c>
    </row>
    <row r="1035" spans="2:76" ht="15.75" customHeight="1" x14ac:dyDescent="0.2">
      <c r="B1035" s="22">
        <v>45580</v>
      </c>
      <c r="C1035" s="26">
        <f t="shared" ca="1" si="241"/>
        <v>0.33591555080067903</v>
      </c>
      <c r="D1035" s="29">
        <f t="shared" ca="1" si="242"/>
        <v>67</v>
      </c>
      <c r="F1035" s="22"/>
      <c r="G1035" s="26">
        <f t="shared" ca="1" si="260"/>
        <v>0.13654503783280425</v>
      </c>
      <c r="H1035" s="29">
        <f t="shared" ca="1" si="243"/>
        <v>200</v>
      </c>
      <c r="J1035" s="22">
        <v>45580</v>
      </c>
      <c r="K1035" s="26">
        <f t="shared" ca="1" si="261"/>
        <v>9.0308831715281257E-2</v>
      </c>
      <c r="L1035" s="29">
        <f t="shared" ca="1" si="244"/>
        <v>137</v>
      </c>
      <c r="N1035" s="22">
        <v>45580</v>
      </c>
      <c r="O1035" s="26">
        <f t="shared" ca="1" si="262"/>
        <v>0.86214792863635248</v>
      </c>
      <c r="P1035" s="29">
        <f t="shared" ca="1" si="245"/>
        <v>247</v>
      </c>
      <c r="R1035" s="22">
        <v>45580</v>
      </c>
      <c r="S1035" s="26">
        <f t="shared" ca="1" si="263"/>
        <v>0.48137291957497663</v>
      </c>
      <c r="T1035" s="29">
        <f t="shared" ca="1" si="246"/>
        <v>139</v>
      </c>
      <c r="V1035" s="22">
        <v>45580</v>
      </c>
      <c r="W1035" s="26">
        <f t="shared" ca="1" si="264"/>
        <v>0.89623951689106385</v>
      </c>
      <c r="X1035" s="29">
        <f t="shared" ca="1" si="247"/>
        <v>244</v>
      </c>
      <c r="Z1035" s="22">
        <v>45580</v>
      </c>
      <c r="AA1035" s="26">
        <f t="shared" ca="1" si="265"/>
        <v>0.51658714443697829</v>
      </c>
      <c r="AB1035" s="29">
        <f t="shared" ca="1" si="248"/>
        <v>271</v>
      </c>
      <c r="AC1035"/>
      <c r="AD1035" s="25"/>
      <c r="AF1035" s="22">
        <v>45580</v>
      </c>
      <c r="AG1035" s="26">
        <f t="shared" ca="1" si="266"/>
        <v>0.38576691887904091</v>
      </c>
      <c r="AH1035" s="29">
        <f t="shared" ca="1" si="249"/>
        <v>302</v>
      </c>
      <c r="AJ1035" s="22">
        <v>45580</v>
      </c>
      <c r="AK1035" s="26">
        <f t="shared" ca="1" si="267"/>
        <v>0.34240374169032006</v>
      </c>
      <c r="AL1035" s="29">
        <f t="shared" ca="1" si="250"/>
        <v>161</v>
      </c>
      <c r="AN1035" s="22">
        <v>45580</v>
      </c>
      <c r="AO1035" s="26">
        <f t="shared" ca="1" si="268"/>
        <v>0.64900451379909585</v>
      </c>
      <c r="AP1035" s="29">
        <f t="shared" ca="1" si="251"/>
        <v>163</v>
      </c>
      <c r="AR1035" s="22">
        <v>45580</v>
      </c>
      <c r="AS1035" s="26">
        <f t="shared" ca="1" si="269"/>
        <v>0.69248693947485795</v>
      </c>
      <c r="AT1035" s="29">
        <f t="shared" ca="1" si="252"/>
        <v>246</v>
      </c>
      <c r="AV1035" s="22">
        <v>45580</v>
      </c>
      <c r="AW1035" s="26">
        <f t="shared" ca="1" si="270"/>
        <v>0.93496523059576986</v>
      </c>
      <c r="AX1035" s="29">
        <f t="shared" ca="1" si="253"/>
        <v>270</v>
      </c>
      <c r="AZ1035" s="22">
        <v>45580</v>
      </c>
      <c r="BA1035" s="26">
        <f t="shared" ca="1" si="271"/>
        <v>0.40268833140000193</v>
      </c>
      <c r="BB1035" s="29">
        <f t="shared" ca="1" si="254"/>
        <v>169</v>
      </c>
      <c r="BC1035"/>
      <c r="BD1035" s="25"/>
      <c r="BF1035" s="22">
        <v>45580</v>
      </c>
      <c r="BG1035" s="26">
        <f t="shared" ca="1" si="272"/>
        <v>0.85298871232725115</v>
      </c>
      <c r="BH1035" s="29">
        <f t="shared" ca="1" si="255"/>
        <v>205</v>
      </c>
      <c r="BJ1035" s="22">
        <v>45580</v>
      </c>
      <c r="BK1035" s="26">
        <f t="shared" ca="1" si="273"/>
        <v>0.69766838675676013</v>
      </c>
      <c r="BL1035" s="29">
        <f t="shared" ca="1" si="256"/>
        <v>188</v>
      </c>
      <c r="BN1035" s="22">
        <v>45580</v>
      </c>
      <c r="BO1035" s="26">
        <f t="shared" ca="1" si="274"/>
        <v>0.64483455122961886</v>
      </c>
      <c r="BP1035" s="29">
        <f t="shared" ca="1" si="257"/>
        <v>144</v>
      </c>
      <c r="BR1035" s="22">
        <v>45580</v>
      </c>
      <c r="BS1035" s="26">
        <f t="shared" ca="1" si="275"/>
        <v>0.34401551179890077</v>
      </c>
      <c r="BT1035" s="29">
        <f t="shared" ca="1" si="258"/>
        <v>155</v>
      </c>
      <c r="BV1035" s="22">
        <v>45580</v>
      </c>
      <c r="BW1035" s="26">
        <f t="shared" ca="1" si="276"/>
        <v>0.36658285880125474</v>
      </c>
      <c r="BX1035" s="29">
        <f t="shared" ca="1" si="259"/>
        <v>167</v>
      </c>
    </row>
    <row r="1036" spans="2:76" ht="15.75" customHeight="1" x14ac:dyDescent="0.2">
      <c r="B1036" s="22">
        <v>45581</v>
      </c>
      <c r="C1036" s="26">
        <f t="shared" ca="1" si="241"/>
        <v>0.10960346630041728</v>
      </c>
      <c r="D1036" s="29">
        <v>0</v>
      </c>
      <c r="F1036" s="22"/>
      <c r="G1036" s="26">
        <f t="shared" ca="1" si="260"/>
        <v>0.35764779340156683</v>
      </c>
      <c r="H1036" s="29">
        <v>0</v>
      </c>
      <c r="J1036" s="22">
        <v>45581</v>
      </c>
      <c r="K1036" s="26">
        <f t="shared" ca="1" si="261"/>
        <v>1.8662425164648444E-2</v>
      </c>
      <c r="L1036" s="29">
        <v>0</v>
      </c>
      <c r="N1036" s="22">
        <v>45581</v>
      </c>
      <c r="O1036" s="26">
        <f t="shared" ca="1" si="262"/>
        <v>0.47820817343441357</v>
      </c>
      <c r="P1036" s="29">
        <v>0</v>
      </c>
      <c r="R1036" s="22">
        <v>45581</v>
      </c>
      <c r="S1036" s="26">
        <f t="shared" ca="1" si="263"/>
        <v>0.18659839402567024</v>
      </c>
      <c r="T1036" s="29">
        <v>0</v>
      </c>
      <c r="V1036" s="22">
        <v>45581</v>
      </c>
      <c r="W1036" s="26">
        <f t="shared" ca="1" si="264"/>
        <v>0.69731467713105666</v>
      </c>
      <c r="X1036" s="29">
        <v>0</v>
      </c>
      <c r="Z1036" s="22">
        <v>45581</v>
      </c>
      <c r="AA1036" s="26">
        <f t="shared" ca="1" si="265"/>
        <v>0.49167685453859367</v>
      </c>
      <c r="AB1036" s="29">
        <v>0</v>
      </c>
      <c r="AC1036"/>
      <c r="AD1036" s="25"/>
      <c r="AF1036" s="22">
        <v>45581</v>
      </c>
      <c r="AG1036" s="26">
        <f t="shared" ca="1" si="266"/>
        <v>0.38576617748556941</v>
      </c>
      <c r="AH1036" s="29">
        <v>0</v>
      </c>
      <c r="AJ1036" s="22">
        <v>45581</v>
      </c>
      <c r="AK1036" s="26">
        <f t="shared" ca="1" si="267"/>
        <v>0.46339406041400044</v>
      </c>
      <c r="AL1036" s="29">
        <v>0</v>
      </c>
      <c r="AN1036" s="22">
        <v>45581</v>
      </c>
      <c r="AO1036" s="26">
        <f t="shared" ca="1" si="268"/>
        <v>0.54019539158340579</v>
      </c>
      <c r="AP1036" s="29">
        <v>0</v>
      </c>
      <c r="AR1036" s="22">
        <v>45581</v>
      </c>
      <c r="AS1036" s="26">
        <f t="shared" ca="1" si="269"/>
        <v>0.27572087843537674</v>
      </c>
      <c r="AT1036" s="29">
        <v>0</v>
      </c>
      <c r="AV1036" s="22">
        <v>45581</v>
      </c>
      <c r="AW1036" s="26">
        <f t="shared" ca="1" si="270"/>
        <v>7.3981713384229097E-3</v>
      </c>
      <c r="AX1036" s="29">
        <v>0</v>
      </c>
      <c r="AZ1036" s="22">
        <v>45581</v>
      </c>
      <c r="BA1036" s="26">
        <f t="shared" ca="1" si="271"/>
        <v>0.47089694800115678</v>
      </c>
      <c r="BB1036" s="29">
        <v>0</v>
      </c>
      <c r="BC1036"/>
      <c r="BD1036" s="25"/>
      <c r="BF1036" s="22">
        <v>45581</v>
      </c>
      <c r="BG1036" s="26">
        <f t="shared" ca="1" si="272"/>
        <v>0.64628630803900433</v>
      </c>
      <c r="BH1036" s="29">
        <v>0</v>
      </c>
      <c r="BJ1036" s="22">
        <v>45581</v>
      </c>
      <c r="BK1036" s="26">
        <f t="shared" ca="1" si="273"/>
        <v>0.80564857234938569</v>
      </c>
      <c r="BL1036" s="29">
        <v>0</v>
      </c>
      <c r="BN1036" s="22">
        <v>45581</v>
      </c>
      <c r="BO1036" s="26">
        <f t="shared" ca="1" si="274"/>
        <v>0.60980088910534602</v>
      </c>
      <c r="BP1036" s="29">
        <v>0</v>
      </c>
      <c r="BR1036" s="22">
        <v>45581</v>
      </c>
      <c r="BS1036" s="26">
        <f t="shared" ca="1" si="275"/>
        <v>0.10674172420523775</v>
      </c>
      <c r="BT1036" s="29">
        <v>0</v>
      </c>
      <c r="BV1036" s="22">
        <v>45581</v>
      </c>
      <c r="BW1036" s="26">
        <f t="shared" ca="1" si="276"/>
        <v>0.48882859524466771</v>
      </c>
      <c r="BX1036" s="29">
        <v>0</v>
      </c>
    </row>
    <row r="1037" spans="2:76" ht="15.75" customHeight="1" x14ac:dyDescent="0.2">
      <c r="B1037" s="22">
        <v>45582</v>
      </c>
      <c r="C1037" s="26">
        <f t="shared" ca="1" si="241"/>
        <v>0.93560651272837358</v>
      </c>
      <c r="D1037" s="29">
        <v>0</v>
      </c>
      <c r="F1037" s="22"/>
      <c r="G1037" s="26">
        <f t="shared" ca="1" si="260"/>
        <v>0.30674283453725049</v>
      </c>
      <c r="H1037" s="29">
        <v>0</v>
      </c>
      <c r="J1037" s="22">
        <v>45582</v>
      </c>
      <c r="K1037" s="26">
        <f t="shared" ca="1" si="261"/>
        <v>0.61277115329528886</v>
      </c>
      <c r="L1037" s="29">
        <v>0</v>
      </c>
      <c r="N1037" s="22">
        <v>45582</v>
      </c>
      <c r="O1037" s="26">
        <f t="shared" ca="1" si="262"/>
        <v>0.96052947223912521</v>
      </c>
      <c r="P1037" s="29">
        <v>0</v>
      </c>
      <c r="R1037" s="22">
        <v>45582</v>
      </c>
      <c r="S1037" s="26">
        <f t="shared" ca="1" si="263"/>
        <v>0.42965157479033644</v>
      </c>
      <c r="T1037" s="29">
        <v>0</v>
      </c>
      <c r="V1037" s="22">
        <v>45582</v>
      </c>
      <c r="W1037" s="26">
        <f t="shared" ca="1" si="264"/>
        <v>0.48308893630208283</v>
      </c>
      <c r="X1037" s="29">
        <v>0</v>
      </c>
      <c r="Z1037" s="22">
        <v>45582</v>
      </c>
      <c r="AA1037" s="26">
        <f t="shared" ca="1" si="265"/>
        <v>0.68768313086750055</v>
      </c>
      <c r="AB1037" s="29">
        <v>0</v>
      </c>
      <c r="AC1037"/>
      <c r="AD1037" s="25"/>
      <c r="AF1037" s="22">
        <v>45582</v>
      </c>
      <c r="AG1037" s="26">
        <f t="shared" ca="1" si="266"/>
        <v>0.13691786085312818</v>
      </c>
      <c r="AH1037" s="29">
        <v>0</v>
      </c>
      <c r="AJ1037" s="22">
        <v>45582</v>
      </c>
      <c r="AK1037" s="26">
        <f t="shared" ca="1" si="267"/>
        <v>0.36304751403916791</v>
      </c>
      <c r="AL1037" s="29">
        <v>0</v>
      </c>
      <c r="AN1037" s="22">
        <v>45582</v>
      </c>
      <c r="AO1037" s="26">
        <f t="shared" ca="1" si="268"/>
        <v>0.90780420409579832</v>
      </c>
      <c r="AP1037" s="29">
        <v>0</v>
      </c>
      <c r="AR1037" s="22">
        <v>45582</v>
      </c>
      <c r="AS1037" s="26">
        <f t="shared" ca="1" si="269"/>
        <v>0.92785778074076164</v>
      </c>
      <c r="AT1037" s="29">
        <v>0</v>
      </c>
      <c r="AV1037" s="22">
        <v>45582</v>
      </c>
      <c r="AW1037" s="26">
        <f t="shared" ca="1" si="270"/>
        <v>0.24296321808700982</v>
      </c>
      <c r="AX1037" s="29">
        <v>0</v>
      </c>
      <c r="AZ1037" s="22">
        <v>45582</v>
      </c>
      <c r="BA1037" s="26">
        <f t="shared" ca="1" si="271"/>
        <v>0.99958166572177842</v>
      </c>
      <c r="BB1037" s="29">
        <v>0</v>
      </c>
      <c r="BC1037"/>
      <c r="BD1037" s="25"/>
      <c r="BF1037" s="22">
        <v>45582</v>
      </c>
      <c r="BG1037" s="26">
        <f t="shared" ca="1" si="272"/>
        <v>0.52168973197524737</v>
      </c>
      <c r="BH1037" s="29">
        <v>0</v>
      </c>
      <c r="BJ1037" s="22">
        <v>45582</v>
      </c>
      <c r="BK1037" s="26">
        <f t="shared" ca="1" si="273"/>
        <v>0.63239986722169328</v>
      </c>
      <c r="BL1037" s="29">
        <v>0</v>
      </c>
      <c r="BN1037" s="22">
        <v>45582</v>
      </c>
      <c r="BO1037" s="26">
        <f t="shared" ca="1" si="274"/>
        <v>0.96856292589233017</v>
      </c>
      <c r="BP1037" s="29">
        <v>0</v>
      </c>
      <c r="BR1037" s="22">
        <v>45582</v>
      </c>
      <c r="BS1037" s="26">
        <f t="shared" ca="1" si="275"/>
        <v>0.84684959267756355</v>
      </c>
      <c r="BT1037" s="29">
        <v>0</v>
      </c>
      <c r="BV1037" s="22">
        <v>45582</v>
      </c>
      <c r="BW1037" s="26">
        <f t="shared" ca="1" si="276"/>
        <v>0.54287101924005421</v>
      </c>
      <c r="BX1037" s="29">
        <v>0</v>
      </c>
    </row>
    <row r="1038" spans="2:76" ht="15.75" customHeight="1" x14ac:dyDescent="0.2">
      <c r="B1038" s="22">
        <v>45583</v>
      </c>
      <c r="C1038" s="26">
        <f t="shared" ca="1" si="241"/>
        <v>0.97034726097179702</v>
      </c>
      <c r="D1038" s="29">
        <v>0</v>
      </c>
      <c r="F1038" s="22"/>
      <c r="G1038" s="26">
        <f t="shared" ca="1" si="260"/>
        <v>0.89010747374656751</v>
      </c>
      <c r="H1038" s="29">
        <v>0</v>
      </c>
      <c r="J1038" s="22">
        <v>45583</v>
      </c>
      <c r="K1038" s="26">
        <f t="shared" ca="1" si="261"/>
        <v>0.29632222417641962</v>
      </c>
      <c r="L1038" s="29">
        <v>0</v>
      </c>
      <c r="N1038" s="22">
        <v>45583</v>
      </c>
      <c r="O1038" s="26">
        <f t="shared" ca="1" si="262"/>
        <v>9.9447364531100479E-2</v>
      </c>
      <c r="P1038" s="29">
        <v>0</v>
      </c>
      <c r="R1038" s="22">
        <v>45583</v>
      </c>
      <c r="S1038" s="26">
        <f t="shared" ca="1" si="263"/>
        <v>1.2415570905559004E-2</v>
      </c>
      <c r="T1038" s="29">
        <v>0</v>
      </c>
      <c r="V1038" s="22">
        <v>45583</v>
      </c>
      <c r="W1038" s="26">
        <f t="shared" ca="1" si="264"/>
        <v>0.85114963306373315</v>
      </c>
      <c r="X1038" s="29">
        <v>0</v>
      </c>
      <c r="Z1038" s="22">
        <v>45583</v>
      </c>
      <c r="AA1038" s="26">
        <f t="shared" ca="1" si="265"/>
        <v>0.78302850205939145</v>
      </c>
      <c r="AB1038" s="29">
        <v>0</v>
      </c>
      <c r="AC1038"/>
      <c r="AD1038" s="25"/>
      <c r="AF1038" s="22">
        <v>45583</v>
      </c>
      <c r="AG1038" s="26">
        <f t="shared" ca="1" si="266"/>
        <v>0.72845145844859005</v>
      </c>
      <c r="AH1038" s="29">
        <v>0</v>
      </c>
      <c r="AJ1038" s="22">
        <v>45583</v>
      </c>
      <c r="AK1038" s="26">
        <f t="shared" ca="1" si="267"/>
        <v>0.68873243263522632</v>
      </c>
      <c r="AL1038" s="29">
        <v>0</v>
      </c>
      <c r="AN1038" s="22">
        <v>45583</v>
      </c>
      <c r="AO1038" s="26">
        <f t="shared" ca="1" si="268"/>
        <v>0.14811147792800727</v>
      </c>
      <c r="AP1038" s="29">
        <v>0</v>
      </c>
      <c r="AR1038" s="22">
        <v>45583</v>
      </c>
      <c r="AS1038" s="26">
        <f t="shared" ca="1" si="269"/>
        <v>0.90429790339080174</v>
      </c>
      <c r="AT1038" s="29">
        <v>0</v>
      </c>
      <c r="AV1038" s="22">
        <v>45583</v>
      </c>
      <c r="AW1038" s="26">
        <f t="shared" ca="1" si="270"/>
        <v>0.2870863950089233</v>
      </c>
      <c r="AX1038" s="29">
        <v>0</v>
      </c>
      <c r="AZ1038" s="22">
        <v>45583</v>
      </c>
      <c r="BA1038" s="26">
        <f t="shared" ca="1" si="271"/>
        <v>0.2029419220301415</v>
      </c>
      <c r="BB1038" s="29">
        <v>0</v>
      </c>
      <c r="BC1038"/>
      <c r="BD1038" s="25"/>
      <c r="BF1038" s="22">
        <v>45583</v>
      </c>
      <c r="BG1038" s="26">
        <f t="shared" ca="1" si="272"/>
        <v>1.1328249547815528E-2</v>
      </c>
      <c r="BH1038" s="29">
        <v>0</v>
      </c>
      <c r="BJ1038" s="22">
        <v>45583</v>
      </c>
      <c r="BK1038" s="26">
        <f t="shared" ca="1" si="273"/>
        <v>0.81079386238792583</v>
      </c>
      <c r="BL1038" s="29">
        <v>0</v>
      </c>
      <c r="BN1038" s="22">
        <v>45583</v>
      </c>
      <c r="BO1038" s="26">
        <f t="shared" ca="1" si="274"/>
        <v>0.26544940625379476</v>
      </c>
      <c r="BP1038" s="29">
        <v>0</v>
      </c>
      <c r="BR1038" s="22">
        <v>45583</v>
      </c>
      <c r="BS1038" s="26">
        <f t="shared" ca="1" si="275"/>
        <v>0.85687050047741764</v>
      </c>
      <c r="BT1038" s="29">
        <v>0</v>
      </c>
      <c r="BV1038" s="22">
        <v>45583</v>
      </c>
      <c r="BW1038" s="26">
        <f t="shared" ca="1" si="276"/>
        <v>0.9165952900665596</v>
      </c>
      <c r="BX1038" s="29">
        <v>0</v>
      </c>
    </row>
    <row r="1039" spans="2:76" ht="15.75" customHeight="1" x14ac:dyDescent="0.2">
      <c r="B1039" s="22">
        <v>45584</v>
      </c>
      <c r="C1039" s="26">
        <f t="shared" ca="1" si="241"/>
        <v>0.19374682369165641</v>
      </c>
      <c r="D1039" s="29">
        <v>0</v>
      </c>
      <c r="F1039" s="22"/>
      <c r="G1039" s="26">
        <f t="shared" ca="1" si="260"/>
        <v>0.4470994407285287</v>
      </c>
      <c r="H1039" s="29">
        <v>0</v>
      </c>
      <c r="J1039" s="22">
        <v>45584</v>
      </c>
      <c r="K1039" s="26">
        <f t="shared" ca="1" si="261"/>
        <v>0.34403668906732709</v>
      </c>
      <c r="L1039" s="29">
        <v>0</v>
      </c>
      <c r="N1039" s="22">
        <v>45584</v>
      </c>
      <c r="O1039" s="26">
        <f t="shared" ca="1" si="262"/>
        <v>0.19870426762619187</v>
      </c>
      <c r="P1039" s="29">
        <v>0</v>
      </c>
      <c r="R1039" s="22">
        <v>45584</v>
      </c>
      <c r="S1039" s="26">
        <f t="shared" ca="1" si="263"/>
        <v>0.38322979534566382</v>
      </c>
      <c r="T1039" s="29">
        <v>0</v>
      </c>
      <c r="V1039" s="22">
        <v>45584</v>
      </c>
      <c r="W1039" s="26">
        <f t="shared" ca="1" si="264"/>
        <v>0.66135688609755472</v>
      </c>
      <c r="X1039" s="29">
        <v>0</v>
      </c>
      <c r="Z1039" s="22">
        <v>45584</v>
      </c>
      <c r="AA1039" s="26">
        <f t="shared" ca="1" si="265"/>
        <v>0.58174168447508845</v>
      </c>
      <c r="AB1039" s="29">
        <v>0</v>
      </c>
      <c r="AC1039"/>
      <c r="AD1039" s="25"/>
      <c r="AF1039" s="22">
        <v>45584</v>
      </c>
      <c r="AG1039" s="26">
        <f t="shared" ca="1" si="266"/>
        <v>0.16249527557957033</v>
      </c>
      <c r="AH1039" s="29">
        <v>0</v>
      </c>
      <c r="AJ1039" s="22">
        <v>45584</v>
      </c>
      <c r="AK1039" s="26">
        <f t="shared" ca="1" si="267"/>
        <v>0.39073460192792497</v>
      </c>
      <c r="AL1039" s="29">
        <v>0</v>
      </c>
      <c r="AN1039" s="22">
        <v>45584</v>
      </c>
      <c r="AO1039" s="26">
        <f t="shared" ca="1" si="268"/>
        <v>0.70671066324088172</v>
      </c>
      <c r="AP1039" s="29">
        <v>0</v>
      </c>
      <c r="AR1039" s="22">
        <v>45584</v>
      </c>
      <c r="AS1039" s="26">
        <f t="shared" ca="1" si="269"/>
        <v>0.63209400843320629</v>
      </c>
      <c r="AT1039" s="29">
        <v>0</v>
      </c>
      <c r="AV1039" s="22">
        <v>45584</v>
      </c>
      <c r="AW1039" s="26">
        <f t="shared" ca="1" si="270"/>
        <v>0.90229855006282556</v>
      </c>
      <c r="AX1039" s="29">
        <v>0</v>
      </c>
      <c r="AZ1039" s="22">
        <v>45584</v>
      </c>
      <c r="BA1039" s="26">
        <f t="shared" ca="1" si="271"/>
        <v>0.10443461099304086</v>
      </c>
      <c r="BB1039" s="29">
        <v>0</v>
      </c>
      <c r="BC1039"/>
      <c r="BD1039" s="25"/>
      <c r="BF1039" s="22">
        <v>45584</v>
      </c>
      <c r="BG1039" s="26">
        <f t="shared" ca="1" si="272"/>
        <v>0.75232653639169034</v>
      </c>
      <c r="BH1039" s="29">
        <v>0</v>
      </c>
      <c r="BJ1039" s="22">
        <v>45584</v>
      </c>
      <c r="BK1039" s="26">
        <f t="shared" ca="1" si="273"/>
        <v>0.84922035539833229</v>
      </c>
      <c r="BL1039" s="29">
        <v>0</v>
      </c>
      <c r="BN1039" s="22">
        <v>45584</v>
      </c>
      <c r="BO1039" s="26">
        <f t="shared" ca="1" si="274"/>
        <v>7.1000517579206446E-2</v>
      </c>
      <c r="BP1039" s="29">
        <v>0</v>
      </c>
      <c r="BR1039" s="22">
        <v>45584</v>
      </c>
      <c r="BS1039" s="26">
        <f t="shared" ca="1" si="275"/>
        <v>0.80304791374551587</v>
      </c>
      <c r="BT1039" s="29">
        <v>0</v>
      </c>
      <c r="BV1039" s="22">
        <v>45584</v>
      </c>
      <c r="BW1039" s="26">
        <f t="shared" ca="1" si="276"/>
        <v>0.97290819352492464</v>
      </c>
      <c r="BX1039" s="29">
        <v>0</v>
      </c>
    </row>
    <row r="1040" spans="2:76" ht="15.75" customHeight="1" x14ac:dyDescent="0.2">
      <c r="B1040" s="22">
        <v>45585</v>
      </c>
      <c r="C1040" s="26">
        <f t="shared" ca="1" si="241"/>
        <v>0.18503345368666357</v>
      </c>
      <c r="D1040" s="29">
        <v>0</v>
      </c>
      <c r="F1040" s="22"/>
      <c r="G1040" s="26">
        <f t="shared" ca="1" si="260"/>
        <v>0.39334252445297091</v>
      </c>
      <c r="H1040" s="29">
        <v>0</v>
      </c>
      <c r="J1040" s="22">
        <v>45585</v>
      </c>
      <c r="K1040" s="26">
        <f t="shared" ca="1" si="261"/>
        <v>0.95987571507858582</v>
      </c>
      <c r="L1040" s="29">
        <v>0</v>
      </c>
      <c r="N1040" s="22">
        <v>45585</v>
      </c>
      <c r="O1040" s="26">
        <f t="shared" ca="1" si="262"/>
        <v>0.76785810992652048</v>
      </c>
      <c r="P1040" s="29">
        <v>0</v>
      </c>
      <c r="R1040" s="22">
        <v>45585</v>
      </c>
      <c r="S1040" s="26">
        <f t="shared" ca="1" si="263"/>
        <v>0.79109644334241647</v>
      </c>
      <c r="T1040" s="29">
        <v>0</v>
      </c>
      <c r="V1040" s="22">
        <v>45585</v>
      </c>
      <c r="W1040" s="26">
        <f t="shared" ca="1" si="264"/>
        <v>1.1113455881668233E-2</v>
      </c>
      <c r="X1040" s="29">
        <v>0</v>
      </c>
      <c r="Z1040" s="22">
        <v>45585</v>
      </c>
      <c r="AA1040" s="26">
        <f t="shared" ca="1" si="265"/>
        <v>0.86880772321808364</v>
      </c>
      <c r="AB1040" s="29">
        <v>0</v>
      </c>
      <c r="AC1040"/>
      <c r="AD1040" s="25"/>
      <c r="AF1040" s="22">
        <v>45585</v>
      </c>
      <c r="AG1040" s="26">
        <f t="shared" ca="1" si="266"/>
        <v>0.74715316095684159</v>
      </c>
      <c r="AH1040" s="29">
        <v>0</v>
      </c>
      <c r="AJ1040" s="22">
        <v>45585</v>
      </c>
      <c r="AK1040" s="26">
        <f t="shared" ca="1" si="267"/>
        <v>0.43774061975775769</v>
      </c>
      <c r="AL1040" s="29">
        <v>0</v>
      </c>
      <c r="AN1040" s="22">
        <v>45585</v>
      </c>
      <c r="AO1040" s="26">
        <f t="shared" ca="1" si="268"/>
        <v>0.39426141290366512</v>
      </c>
      <c r="AP1040" s="29">
        <v>0</v>
      </c>
      <c r="AR1040" s="22">
        <v>45585</v>
      </c>
      <c r="AS1040" s="26">
        <f t="shared" ca="1" si="269"/>
        <v>0.71669905401244749</v>
      </c>
      <c r="AT1040" s="29">
        <v>0</v>
      </c>
      <c r="AV1040" s="22">
        <v>45585</v>
      </c>
      <c r="AW1040" s="26">
        <f t="shared" ca="1" si="270"/>
        <v>0.40849181480260421</v>
      </c>
      <c r="AX1040" s="29">
        <v>0</v>
      </c>
      <c r="AZ1040" s="22">
        <v>45585</v>
      </c>
      <c r="BA1040" s="26">
        <f t="shared" ca="1" si="271"/>
        <v>0.73355399868205273</v>
      </c>
      <c r="BB1040" s="29">
        <v>0</v>
      </c>
      <c r="BC1040"/>
      <c r="BD1040" s="25"/>
      <c r="BF1040" s="22">
        <v>45585</v>
      </c>
      <c r="BG1040" s="26">
        <f t="shared" ca="1" si="272"/>
        <v>0.74751573240836322</v>
      </c>
      <c r="BH1040" s="29">
        <v>0</v>
      </c>
      <c r="BJ1040" s="22">
        <v>45585</v>
      </c>
      <c r="BK1040" s="26">
        <f t="shared" ca="1" si="273"/>
        <v>0.74282211563604728</v>
      </c>
      <c r="BL1040" s="29">
        <v>0</v>
      </c>
      <c r="BN1040" s="22">
        <v>45585</v>
      </c>
      <c r="BO1040" s="26">
        <f t="shared" ca="1" si="274"/>
        <v>0.65207363045645306</v>
      </c>
      <c r="BP1040" s="29">
        <v>0</v>
      </c>
      <c r="BR1040" s="22">
        <v>45585</v>
      </c>
      <c r="BS1040" s="26">
        <f t="shared" ca="1" si="275"/>
        <v>0.29635211494619573</v>
      </c>
      <c r="BT1040" s="29">
        <v>0</v>
      </c>
      <c r="BV1040" s="22">
        <v>45585</v>
      </c>
      <c r="BW1040" s="26">
        <f t="shared" ca="1" si="276"/>
        <v>0.23300150572420575</v>
      </c>
      <c r="BX1040" s="29">
        <v>0</v>
      </c>
    </row>
    <row r="1041" spans="2:77" ht="15.75" customHeight="1" x14ac:dyDescent="0.2">
      <c r="B1041" s="22">
        <v>45586</v>
      </c>
      <c r="C1041" s="26">
        <f t="shared" ca="1" si="241"/>
        <v>0.65450783946794977</v>
      </c>
      <c r="D1041" s="29">
        <v>0</v>
      </c>
      <c r="F1041" s="22"/>
      <c r="G1041" s="26">
        <f t="shared" ca="1" si="260"/>
        <v>0.31993255890146821</v>
      </c>
      <c r="H1041" s="29">
        <v>0</v>
      </c>
      <c r="J1041" s="22">
        <v>45586</v>
      </c>
      <c r="K1041" s="26">
        <f t="shared" ca="1" si="261"/>
        <v>0.38057405939548605</v>
      </c>
      <c r="L1041" s="29">
        <v>0</v>
      </c>
      <c r="N1041" s="22">
        <v>45586</v>
      </c>
      <c r="O1041" s="26">
        <f t="shared" ca="1" si="262"/>
        <v>0.92977114921459947</v>
      </c>
      <c r="P1041" s="29">
        <v>0</v>
      </c>
      <c r="R1041" s="22">
        <v>45586</v>
      </c>
      <c r="S1041" s="26">
        <f t="shared" ca="1" si="263"/>
        <v>0.62393637221461229</v>
      </c>
      <c r="T1041" s="29">
        <v>0</v>
      </c>
      <c r="V1041" s="22">
        <v>45586</v>
      </c>
      <c r="W1041" s="26">
        <f t="shared" ca="1" si="264"/>
        <v>0.49742767104109431</v>
      </c>
      <c r="X1041" s="29">
        <v>0</v>
      </c>
      <c r="Z1041" s="22">
        <v>45586</v>
      </c>
      <c r="AA1041" s="26">
        <f t="shared" ca="1" si="265"/>
        <v>0.93350673100681369</v>
      </c>
      <c r="AB1041" s="29">
        <v>0</v>
      </c>
      <c r="AC1041"/>
      <c r="AD1041" s="25"/>
      <c r="AF1041" s="22">
        <v>45586</v>
      </c>
      <c r="AG1041" s="26">
        <f t="shared" ca="1" si="266"/>
        <v>0.1265523751547295</v>
      </c>
      <c r="AH1041" s="29">
        <v>0</v>
      </c>
      <c r="AJ1041" s="22">
        <v>45586</v>
      </c>
      <c r="AK1041" s="26">
        <f t="shared" ca="1" si="267"/>
        <v>0.62039779047269072</v>
      </c>
      <c r="AL1041" s="29">
        <v>0</v>
      </c>
      <c r="AN1041" s="22">
        <v>45586</v>
      </c>
      <c r="AO1041" s="26">
        <f t="shared" ca="1" si="268"/>
        <v>0.97111365090501089</v>
      </c>
      <c r="AP1041" s="29">
        <v>0</v>
      </c>
      <c r="AR1041" s="22">
        <v>45586</v>
      </c>
      <c r="AS1041" s="26">
        <f t="shared" ca="1" si="269"/>
        <v>0.95419191107252554</v>
      </c>
      <c r="AT1041" s="29">
        <v>0</v>
      </c>
      <c r="AV1041" s="22">
        <v>45586</v>
      </c>
      <c r="AW1041" s="26">
        <f t="shared" ca="1" si="270"/>
        <v>0.40730458428580996</v>
      </c>
      <c r="AX1041" s="29">
        <v>0</v>
      </c>
      <c r="AZ1041" s="22">
        <v>45586</v>
      </c>
      <c r="BA1041" s="26">
        <f t="shared" ca="1" si="271"/>
        <v>0.59350816381461491</v>
      </c>
      <c r="BB1041" s="29">
        <v>0</v>
      </c>
      <c r="BC1041"/>
      <c r="BD1041" s="25"/>
      <c r="BF1041" s="22">
        <v>45586</v>
      </c>
      <c r="BG1041" s="26">
        <f t="shared" ca="1" si="272"/>
        <v>0.64973155872497523</v>
      </c>
      <c r="BH1041" s="29">
        <v>0</v>
      </c>
      <c r="BJ1041" s="22">
        <v>45586</v>
      </c>
      <c r="BK1041" s="26">
        <f t="shared" ca="1" si="273"/>
        <v>0.9640527888613345</v>
      </c>
      <c r="BL1041" s="29">
        <v>0</v>
      </c>
      <c r="BN1041" s="22">
        <v>45586</v>
      </c>
      <c r="BO1041" s="26">
        <f t="shared" ca="1" si="274"/>
        <v>0.270139928897281</v>
      </c>
      <c r="BP1041" s="29">
        <v>0</v>
      </c>
      <c r="BR1041" s="22">
        <v>45586</v>
      </c>
      <c r="BS1041" s="26">
        <f t="shared" ca="1" si="275"/>
        <v>0.33621912641788132</v>
      </c>
      <c r="BT1041" s="29">
        <v>0</v>
      </c>
      <c r="BV1041" s="22">
        <v>45586</v>
      </c>
      <c r="BW1041" s="26">
        <f t="shared" ca="1" si="276"/>
        <v>0.6386593598175172</v>
      </c>
      <c r="BX1041" s="29">
        <v>0</v>
      </c>
    </row>
    <row r="1042" spans="2:77" ht="15.75" customHeight="1" x14ac:dyDescent="0.2">
      <c r="B1042" s="22">
        <v>45587</v>
      </c>
      <c r="C1042" s="26">
        <f t="shared" ca="1" si="241"/>
        <v>0.34687729945116885</v>
      </c>
      <c r="D1042" s="29">
        <v>0</v>
      </c>
      <c r="F1042" s="22"/>
      <c r="G1042" s="26">
        <f t="shared" ca="1" si="260"/>
        <v>4.5995763588240646E-2</v>
      </c>
      <c r="H1042" s="29">
        <v>0</v>
      </c>
      <c r="J1042" s="22">
        <v>45587</v>
      </c>
      <c r="K1042" s="26">
        <f t="shared" ca="1" si="261"/>
        <v>0.92154644846107903</v>
      </c>
      <c r="L1042" s="29">
        <v>0</v>
      </c>
      <c r="N1042" s="22">
        <v>45587</v>
      </c>
      <c r="O1042" s="26">
        <f t="shared" ca="1" si="262"/>
        <v>0.74903519910319105</v>
      </c>
      <c r="P1042" s="29">
        <v>0</v>
      </c>
      <c r="R1042" s="22">
        <v>45587</v>
      </c>
      <c r="S1042" s="26">
        <f t="shared" ca="1" si="263"/>
        <v>0.2549381297612191</v>
      </c>
      <c r="T1042" s="29">
        <v>0</v>
      </c>
      <c r="V1042" s="22">
        <v>45587</v>
      </c>
      <c r="W1042" s="26">
        <f t="shared" ca="1" si="264"/>
        <v>0.222623400037126</v>
      </c>
      <c r="X1042" s="29">
        <v>0</v>
      </c>
      <c r="Z1042" s="22">
        <v>45587</v>
      </c>
      <c r="AA1042" s="26">
        <f t="shared" ca="1" si="265"/>
        <v>0.25515336578452752</v>
      </c>
      <c r="AB1042" s="29">
        <v>0</v>
      </c>
      <c r="AC1042"/>
      <c r="AD1042" s="25"/>
      <c r="AF1042" s="22">
        <v>45587</v>
      </c>
      <c r="AG1042" s="26">
        <f t="shared" ca="1" si="266"/>
        <v>0.95103159181142705</v>
      </c>
      <c r="AH1042" s="29">
        <v>0</v>
      </c>
      <c r="AJ1042" s="22">
        <v>45587</v>
      </c>
      <c r="AK1042" s="26">
        <f t="shared" ca="1" si="267"/>
        <v>0.83834506174241585</v>
      </c>
      <c r="AL1042" s="29">
        <v>0</v>
      </c>
      <c r="AN1042" s="22">
        <v>45587</v>
      </c>
      <c r="AO1042" s="26">
        <f t="shared" ca="1" si="268"/>
        <v>0.38331369499688894</v>
      </c>
      <c r="AP1042" s="29">
        <v>0</v>
      </c>
      <c r="AR1042" s="22">
        <v>45587</v>
      </c>
      <c r="AS1042" s="26">
        <f t="shared" ca="1" si="269"/>
        <v>0.50662295692524384</v>
      </c>
      <c r="AT1042" s="29">
        <v>0</v>
      </c>
      <c r="AV1042" s="22">
        <v>45587</v>
      </c>
      <c r="AW1042" s="26">
        <f t="shared" ca="1" si="270"/>
        <v>0.57373934598423981</v>
      </c>
      <c r="AX1042" s="29">
        <v>0</v>
      </c>
      <c r="AZ1042" s="22">
        <v>45587</v>
      </c>
      <c r="BA1042" s="26">
        <f t="shared" ca="1" si="271"/>
        <v>0.52996763806908187</v>
      </c>
      <c r="BB1042" s="29">
        <v>0</v>
      </c>
      <c r="BC1042"/>
      <c r="BD1042" s="25"/>
      <c r="BF1042" s="22">
        <v>45587</v>
      </c>
      <c r="BG1042" s="26">
        <f t="shared" ca="1" si="272"/>
        <v>0.79138116056747476</v>
      </c>
      <c r="BH1042" s="29">
        <v>0</v>
      </c>
      <c r="BJ1042" s="22">
        <v>45587</v>
      </c>
      <c r="BK1042" s="26">
        <f t="shared" ca="1" si="273"/>
        <v>0.341890952093441</v>
      </c>
      <c r="BL1042" s="29">
        <v>0</v>
      </c>
      <c r="BN1042" s="22">
        <v>45587</v>
      </c>
      <c r="BO1042" s="26">
        <f t="shared" ca="1" si="274"/>
        <v>0.93740435234132446</v>
      </c>
      <c r="BP1042" s="29">
        <v>0</v>
      </c>
      <c r="BR1042" s="22">
        <v>45587</v>
      </c>
      <c r="BS1042" s="26">
        <f t="shared" ca="1" si="275"/>
        <v>0.16713519107892427</v>
      </c>
      <c r="BT1042" s="29">
        <v>0</v>
      </c>
      <c r="BV1042" s="22">
        <v>45587</v>
      </c>
      <c r="BW1042" s="26">
        <f t="shared" ca="1" si="276"/>
        <v>0.88061918840582942</v>
      </c>
      <c r="BX1042" s="29">
        <v>0</v>
      </c>
    </row>
    <row r="1043" spans="2:77" ht="15.75" customHeight="1" x14ac:dyDescent="0.2">
      <c r="B1043" s="22">
        <v>45588</v>
      </c>
      <c r="C1043" s="26">
        <f t="shared" ca="1" si="241"/>
        <v>0.28055940743118934</v>
      </c>
      <c r="D1043" s="29">
        <v>0</v>
      </c>
      <c r="F1043" s="22"/>
      <c r="G1043" s="26">
        <f t="shared" ca="1" si="260"/>
        <v>3.4945279090332404E-2</v>
      </c>
      <c r="H1043" s="29">
        <v>0</v>
      </c>
      <c r="J1043" s="22">
        <v>45588</v>
      </c>
      <c r="K1043" s="26">
        <f t="shared" ca="1" si="261"/>
        <v>0.33772078534090155</v>
      </c>
      <c r="L1043" s="29">
        <v>0</v>
      </c>
      <c r="N1043" s="22">
        <v>45588</v>
      </c>
      <c r="O1043" s="26">
        <f t="shared" ca="1" si="262"/>
        <v>1.2628343691294064E-2</v>
      </c>
      <c r="P1043" s="29">
        <v>0</v>
      </c>
      <c r="R1043" s="22">
        <v>45588</v>
      </c>
      <c r="S1043" s="26">
        <f t="shared" ca="1" si="263"/>
        <v>0.95939694101419637</v>
      </c>
      <c r="T1043" s="29">
        <v>0</v>
      </c>
      <c r="V1043" s="22">
        <v>45588</v>
      </c>
      <c r="W1043" s="26">
        <f t="shared" ca="1" si="264"/>
        <v>0.43194498175092433</v>
      </c>
      <c r="X1043" s="29">
        <v>0</v>
      </c>
      <c r="Z1043" s="22">
        <v>45588</v>
      </c>
      <c r="AA1043" s="26">
        <f t="shared" ca="1" si="265"/>
        <v>9.2090701485204263E-2</v>
      </c>
      <c r="AB1043" s="29">
        <v>0</v>
      </c>
      <c r="AC1043"/>
      <c r="AD1043" s="25"/>
      <c r="AF1043" s="22">
        <v>45588</v>
      </c>
      <c r="AG1043" s="26">
        <f t="shared" ca="1" si="266"/>
        <v>0.99225450009856075</v>
      </c>
      <c r="AH1043" s="29">
        <v>0</v>
      </c>
      <c r="AJ1043" s="22">
        <v>45588</v>
      </c>
      <c r="AK1043" s="26">
        <f t="shared" ca="1" si="267"/>
        <v>0.4461092671614858</v>
      </c>
      <c r="AL1043" s="29">
        <v>0</v>
      </c>
      <c r="AN1043" s="22">
        <v>45588</v>
      </c>
      <c r="AO1043" s="26">
        <f t="shared" ca="1" si="268"/>
        <v>0.6284068190134573</v>
      </c>
      <c r="AP1043" s="29">
        <v>0</v>
      </c>
      <c r="AR1043" s="22">
        <v>45588</v>
      </c>
      <c r="AS1043" s="26">
        <f t="shared" ca="1" si="269"/>
        <v>0.310246786744376</v>
      </c>
      <c r="AT1043" s="29">
        <v>0</v>
      </c>
      <c r="AV1043" s="22">
        <v>45588</v>
      </c>
      <c r="AW1043" s="26">
        <f t="shared" ca="1" si="270"/>
        <v>0.97796320638969203</v>
      </c>
      <c r="AX1043" s="29">
        <v>0</v>
      </c>
      <c r="AZ1043" s="22">
        <v>45588</v>
      </c>
      <c r="BA1043" s="26">
        <f t="shared" ca="1" si="271"/>
        <v>0.2937157376873718</v>
      </c>
      <c r="BB1043" s="29">
        <v>0</v>
      </c>
      <c r="BC1043"/>
      <c r="BD1043" s="25"/>
      <c r="BF1043" s="22">
        <v>45588</v>
      </c>
      <c r="BG1043" s="26">
        <f t="shared" ca="1" si="272"/>
        <v>0.48877465307897028</v>
      </c>
      <c r="BH1043" s="29">
        <v>0</v>
      </c>
      <c r="BJ1043" s="22">
        <v>45588</v>
      </c>
      <c r="BK1043" s="26">
        <f t="shared" ca="1" si="273"/>
        <v>0.33808873781834081</v>
      </c>
      <c r="BL1043" s="29">
        <v>0</v>
      </c>
      <c r="BN1043" s="22">
        <v>45588</v>
      </c>
      <c r="BO1043" s="26">
        <f t="shared" ca="1" si="274"/>
        <v>0.84852122667832153</v>
      </c>
      <c r="BP1043" s="29">
        <v>0</v>
      </c>
      <c r="BR1043" s="22">
        <v>45588</v>
      </c>
      <c r="BS1043" s="26">
        <f t="shared" ca="1" si="275"/>
        <v>0.17292216716230091</v>
      </c>
      <c r="BT1043" s="29">
        <v>0</v>
      </c>
      <c r="BV1043" s="22">
        <v>45588</v>
      </c>
      <c r="BW1043" s="26">
        <f t="shared" ca="1" si="276"/>
        <v>0.93385274349583436</v>
      </c>
      <c r="BX1043" s="29">
        <v>0</v>
      </c>
    </row>
    <row r="1044" spans="2:77" ht="15.75" customHeight="1" x14ac:dyDescent="0.2">
      <c r="B1044" s="22">
        <v>45589</v>
      </c>
      <c r="C1044" s="26">
        <f t="shared" ref="C1044:C1107" ca="1" si="277">RAND()</f>
        <v>0.20320806602063268</v>
      </c>
      <c r="D1044" s="29">
        <v>0</v>
      </c>
      <c r="F1044" s="22"/>
      <c r="G1044" s="26">
        <f t="shared" ca="1" si="260"/>
        <v>0.47571665786322193</v>
      </c>
      <c r="H1044" s="29">
        <v>0</v>
      </c>
      <c r="J1044" s="22">
        <v>45589</v>
      </c>
      <c r="K1044" s="26">
        <f t="shared" ca="1" si="261"/>
        <v>0.79905258091230069</v>
      </c>
      <c r="L1044" s="29">
        <v>0</v>
      </c>
      <c r="N1044" s="22">
        <v>45589</v>
      </c>
      <c r="O1044" s="26">
        <f t="shared" ca="1" si="262"/>
        <v>0.82876252778611004</v>
      </c>
      <c r="P1044" s="29">
        <v>0</v>
      </c>
      <c r="R1044" s="22">
        <v>45589</v>
      </c>
      <c r="S1044" s="26">
        <f t="shared" ca="1" si="263"/>
        <v>0.86457915969370047</v>
      </c>
      <c r="T1044" s="29">
        <v>0</v>
      </c>
      <c r="V1044" s="22">
        <v>45589</v>
      </c>
      <c r="W1044" s="26">
        <f t="shared" ca="1" si="264"/>
        <v>0.63522192440735403</v>
      </c>
      <c r="X1044" s="29">
        <v>0</v>
      </c>
      <c r="Z1044" s="22">
        <v>45589</v>
      </c>
      <c r="AA1044" s="26">
        <f t="shared" ca="1" si="265"/>
        <v>0.85942022478074509</v>
      </c>
      <c r="AB1044" s="29">
        <v>0</v>
      </c>
      <c r="AC1044"/>
      <c r="AD1044" s="25"/>
      <c r="AF1044" s="22">
        <v>45589</v>
      </c>
      <c r="AG1044" s="26">
        <f t="shared" ca="1" si="266"/>
        <v>0.46896447310932132</v>
      </c>
      <c r="AH1044" s="29">
        <v>0</v>
      </c>
      <c r="AJ1044" s="22">
        <v>45589</v>
      </c>
      <c r="AK1044" s="26">
        <f t="shared" ca="1" si="267"/>
        <v>0.84866851218163231</v>
      </c>
      <c r="AL1044" s="29">
        <v>0</v>
      </c>
      <c r="AN1044" s="22">
        <v>45589</v>
      </c>
      <c r="AO1044" s="26">
        <f t="shared" ca="1" si="268"/>
        <v>6.0057392365770124E-2</v>
      </c>
      <c r="AP1044" s="29">
        <v>0</v>
      </c>
      <c r="AR1044" s="22">
        <v>45589</v>
      </c>
      <c r="AS1044" s="26">
        <f t="shared" ca="1" si="269"/>
        <v>0.37751827570905039</v>
      </c>
      <c r="AT1044" s="29">
        <v>0</v>
      </c>
      <c r="AV1044" s="22">
        <v>45589</v>
      </c>
      <c r="AW1044" s="26">
        <f t="shared" ca="1" si="270"/>
        <v>0.21475945996483825</v>
      </c>
      <c r="AX1044" s="29">
        <v>0</v>
      </c>
      <c r="AZ1044" s="22">
        <v>45589</v>
      </c>
      <c r="BA1044" s="26">
        <f t="shared" ca="1" si="271"/>
        <v>0.79291003000939497</v>
      </c>
      <c r="BB1044" s="29">
        <v>0</v>
      </c>
      <c r="BC1044"/>
      <c r="BD1044" s="25"/>
      <c r="BF1044" s="22">
        <v>45589</v>
      </c>
      <c r="BG1044" s="26">
        <f t="shared" ca="1" si="272"/>
        <v>0.75970093391494764</v>
      </c>
      <c r="BH1044" s="29">
        <v>0</v>
      </c>
      <c r="BJ1044" s="22">
        <v>45589</v>
      </c>
      <c r="BK1044" s="26">
        <f t="shared" ca="1" si="273"/>
        <v>0.30288250468591027</v>
      </c>
      <c r="BL1044" s="29">
        <v>0</v>
      </c>
      <c r="BN1044" s="22">
        <v>45589</v>
      </c>
      <c r="BO1044" s="26">
        <f t="shared" ca="1" si="274"/>
        <v>0.35184448670355306</v>
      </c>
      <c r="BP1044" s="29">
        <v>0</v>
      </c>
      <c r="BR1044" s="22">
        <v>45589</v>
      </c>
      <c r="BS1044" s="26">
        <f t="shared" ca="1" si="275"/>
        <v>0.7199065210577984</v>
      </c>
      <c r="BT1044" s="29">
        <v>0</v>
      </c>
      <c r="BV1044" s="22">
        <v>45589</v>
      </c>
      <c r="BW1044" s="26">
        <f t="shared" ca="1" si="276"/>
        <v>0.6286250413088238</v>
      </c>
      <c r="BX1044" s="29">
        <v>0</v>
      </c>
    </row>
    <row r="1045" spans="2:77" ht="15.75" customHeight="1" x14ac:dyDescent="0.2">
      <c r="B1045" s="22">
        <v>45590</v>
      </c>
      <c r="C1045" s="26">
        <f t="shared" ca="1" si="277"/>
        <v>0.76050593962995383</v>
      </c>
      <c r="D1045" s="29">
        <f t="shared" ref="D1045:D1098" ca="1" si="278">ROUNDUP(_xlfn.NORM.INV(C1045,C$10,C$12),0)</f>
        <v>90</v>
      </c>
      <c r="F1045" s="22"/>
      <c r="G1045" s="26">
        <f t="shared" ca="1" si="260"/>
        <v>0.43704078954683723</v>
      </c>
      <c r="H1045" s="29">
        <f t="shared" ref="H1045:H1098" ca="1" si="279">ROUNDUP(_xlfn.NORM.INV(G1045,G$10,G$12),0)</f>
        <v>214</v>
      </c>
      <c r="J1045" s="22">
        <v>45590</v>
      </c>
      <c r="K1045" s="26">
        <f t="shared" ca="1" si="261"/>
        <v>0.58841671237022986</v>
      </c>
      <c r="L1045" s="29">
        <f t="shared" ref="L1045:L1098" ca="1" si="280">ROUNDUP(_xlfn.NORM.INV(K1045,K$10,K$12),0)</f>
        <v>153</v>
      </c>
      <c r="N1045" s="22">
        <v>45590</v>
      </c>
      <c r="O1045" s="26">
        <f t="shared" ca="1" si="262"/>
        <v>0.31301016026697648</v>
      </c>
      <c r="P1045" s="29">
        <f t="shared" ref="P1045:P1098" ca="1" si="281">ROUNDUP(_xlfn.NORM.INV(O1045,O$10,O$12),0)</f>
        <v>222</v>
      </c>
      <c r="R1045" s="22">
        <v>45590</v>
      </c>
      <c r="S1045" s="26">
        <f t="shared" ca="1" si="263"/>
        <v>7.622509780511888E-2</v>
      </c>
      <c r="T1045" s="29">
        <f t="shared" ref="T1045:T1098" ca="1" si="282">ROUNDUP(_xlfn.NORM.INV(S1045,S$10,S$12),0)</f>
        <v>126</v>
      </c>
      <c r="V1045" s="22">
        <v>45590</v>
      </c>
      <c r="W1045" s="26">
        <f t="shared" ca="1" si="264"/>
        <v>0.43700238915794531</v>
      </c>
      <c r="X1045" s="29">
        <f t="shared" ref="X1045:X1098" ca="1" si="283">ROUNDUP(_xlfn.NORM.INV(W1045,W$10,W$12),0)</f>
        <v>223</v>
      </c>
      <c r="Z1045" s="22">
        <v>45590</v>
      </c>
      <c r="AA1045" s="26">
        <f t="shared" ca="1" si="265"/>
        <v>0.49114265477662122</v>
      </c>
      <c r="AB1045" s="29">
        <f t="shared" ref="AB1045:AB1098" ca="1" si="284">ROUNDUP(_xlfn.NORM.INV(AA1045,AA$10,AA$12),0)</f>
        <v>270</v>
      </c>
      <c r="AC1045"/>
      <c r="AD1045" s="25"/>
      <c r="AF1045" s="22">
        <v>45590</v>
      </c>
      <c r="AG1045" s="26">
        <f t="shared" ca="1" si="266"/>
        <v>7.2690993774685242E-2</v>
      </c>
      <c r="AH1045" s="29">
        <f t="shared" ref="AH1045:AH1098" ca="1" si="285">ROUNDUP(_xlfn.NORM.INV(AG1045,AG$10,AG$12),0)</f>
        <v>201</v>
      </c>
      <c r="AJ1045" s="22">
        <v>45590</v>
      </c>
      <c r="AK1045" s="26">
        <f t="shared" ca="1" si="267"/>
        <v>0.20360524310059036</v>
      </c>
      <c r="AL1045" s="29">
        <f t="shared" ref="AL1045:AL1098" ca="1" si="286">ROUNDUP(_xlfn.NORM.INV(AK1045,AK$10,AK$12),0)</f>
        <v>141</v>
      </c>
      <c r="AN1045" s="22">
        <v>45590</v>
      </c>
      <c r="AO1045" s="26">
        <f t="shared" ca="1" si="268"/>
        <v>0.97462544161489129</v>
      </c>
      <c r="AP1045" s="29">
        <f t="shared" ref="AP1045:AP1098" ca="1" si="287">ROUNDUP(_xlfn.NORM.INV(AO1045,AO$10,AO$12),0)</f>
        <v>224</v>
      </c>
      <c r="AR1045" s="22">
        <v>45590</v>
      </c>
      <c r="AS1045" s="26">
        <f t="shared" ca="1" si="269"/>
        <v>0.74803834327809937</v>
      </c>
      <c r="AT1045" s="29">
        <f t="shared" ref="AT1045:AT1098" ca="1" si="288">ROUNDUP(_xlfn.NORM.INV(AS1045,AS$10,AS$12),0)</f>
        <v>256</v>
      </c>
      <c r="AV1045" s="22">
        <v>45590</v>
      </c>
      <c r="AW1045" s="26">
        <f t="shared" ca="1" si="270"/>
        <v>0.91280920071264782</v>
      </c>
      <c r="AX1045" s="29">
        <f t="shared" ref="AX1045:AX1098" ca="1" si="289">ROUNDUP(_xlfn.NORM.INV(AW1045,AW$10,AW$12),0)</f>
        <v>262</v>
      </c>
      <c r="AZ1045" s="22">
        <v>45590</v>
      </c>
      <c r="BA1045" s="26">
        <f t="shared" ca="1" si="271"/>
        <v>0.16428774003062196</v>
      </c>
      <c r="BB1045" s="29">
        <f t="shared" ref="BB1045:BB1098" ca="1" si="290">ROUNDUP(_xlfn.NORM.INV(BA1045,BA$10,BA$12),0)</f>
        <v>133</v>
      </c>
      <c r="BC1045"/>
      <c r="BD1045" s="25"/>
      <c r="BF1045" s="22">
        <v>45590</v>
      </c>
      <c r="BG1045" s="26">
        <f t="shared" ca="1" si="272"/>
        <v>7.3435875576309928E-2</v>
      </c>
      <c r="BH1045" s="29">
        <f t="shared" ref="BH1045:BH1098" ca="1" si="291">ROUNDUP(_xlfn.NORM.INV(BG1045,BG$10,BG$12),0)</f>
        <v>98</v>
      </c>
      <c r="BJ1045" s="22">
        <v>45590</v>
      </c>
      <c r="BK1045" s="26">
        <f t="shared" ca="1" si="273"/>
        <v>0.47235788990498517</v>
      </c>
      <c r="BL1045" s="29">
        <f t="shared" ref="BL1045:BL1098" ca="1" si="292">ROUNDUP(_xlfn.NORM.INV(BK1045,BK$10,BK$12),0)</f>
        <v>162</v>
      </c>
      <c r="BN1045" s="22">
        <v>45590</v>
      </c>
      <c r="BO1045" s="26">
        <f t="shared" ca="1" si="274"/>
        <v>0.42444754288938036</v>
      </c>
      <c r="BP1045" s="29">
        <f t="shared" ref="BP1045:BP1098" ca="1" si="293">ROUNDUP(_xlfn.NORM.INV(BO1045,BO$10,BO$12),0)</f>
        <v>125</v>
      </c>
      <c r="BR1045" s="22">
        <v>45590</v>
      </c>
      <c r="BS1045" s="26">
        <f t="shared" ca="1" si="275"/>
        <v>0.59577873463162134</v>
      </c>
      <c r="BT1045" s="29">
        <f t="shared" ref="BT1045:BT1098" ca="1" si="294">ROUNDUP(_xlfn.NORM.INV(BS1045,BS$10,BS$12),0)</f>
        <v>185</v>
      </c>
      <c r="BV1045" s="22">
        <v>45590</v>
      </c>
      <c r="BW1045" s="26">
        <f t="shared" ca="1" si="276"/>
        <v>0.7639689775905667</v>
      </c>
      <c r="BX1045" s="29">
        <f t="shared" ref="BX1045:BX1098" ca="1" si="295">ROUNDUP(_xlfn.NORM.INV(BW1045,BW$10,BW$12),0)</f>
        <v>219</v>
      </c>
    </row>
    <row r="1046" spans="2:77" ht="15.75" customHeight="1" x14ac:dyDescent="0.2">
      <c r="B1046" s="22">
        <v>45591</v>
      </c>
      <c r="C1046" s="26">
        <f t="shared" ca="1" si="277"/>
        <v>0.32881270737732249</v>
      </c>
      <c r="D1046" s="29">
        <f t="shared" ca="1" si="278"/>
        <v>67</v>
      </c>
      <c r="F1046" s="22"/>
      <c r="G1046" s="26">
        <f t="shared" ca="1" si="260"/>
        <v>0.46065962072895628</v>
      </c>
      <c r="H1046" s="29">
        <f t="shared" ca="1" si="279"/>
        <v>214</v>
      </c>
      <c r="J1046" s="22">
        <v>45591</v>
      </c>
      <c r="K1046" s="26">
        <f t="shared" ca="1" si="261"/>
        <v>0.30807042509702898</v>
      </c>
      <c r="L1046" s="29">
        <f t="shared" ca="1" si="280"/>
        <v>145</v>
      </c>
      <c r="N1046" s="22">
        <v>45591</v>
      </c>
      <c r="O1046" s="26">
        <f t="shared" ca="1" si="262"/>
        <v>0.12785233658682094</v>
      </c>
      <c r="P1046" s="29">
        <f t="shared" ca="1" si="281"/>
        <v>212</v>
      </c>
      <c r="R1046" s="22">
        <v>45591</v>
      </c>
      <c r="S1046" s="26">
        <f t="shared" ca="1" si="263"/>
        <v>0.69275524424199453</v>
      </c>
      <c r="T1046" s="29">
        <f t="shared" ca="1" si="282"/>
        <v>144</v>
      </c>
      <c r="V1046" s="22">
        <v>45591</v>
      </c>
      <c r="W1046" s="26">
        <f t="shared" ca="1" si="264"/>
        <v>2.7704774532597676E-2</v>
      </c>
      <c r="X1046" s="29">
        <f t="shared" ca="1" si="283"/>
        <v>197</v>
      </c>
      <c r="Z1046" s="22">
        <v>45591</v>
      </c>
      <c r="AA1046" s="26">
        <f t="shared" ca="1" si="265"/>
        <v>0.79873040571722964</v>
      </c>
      <c r="AB1046" s="29">
        <f t="shared" ca="1" si="284"/>
        <v>286</v>
      </c>
      <c r="AC1046"/>
      <c r="AD1046" s="25"/>
      <c r="AF1046" s="22">
        <v>45591</v>
      </c>
      <c r="AG1046" s="26">
        <f t="shared" ca="1" si="266"/>
        <v>0.41422838793433991</v>
      </c>
      <c r="AH1046" s="29">
        <f t="shared" ca="1" si="285"/>
        <v>309</v>
      </c>
      <c r="AJ1046" s="22">
        <v>45591</v>
      </c>
      <c r="AK1046" s="26">
        <f t="shared" ca="1" si="267"/>
        <v>0.3291450002627454</v>
      </c>
      <c r="AL1046" s="29">
        <f t="shared" ca="1" si="286"/>
        <v>159</v>
      </c>
      <c r="AN1046" s="22">
        <v>45591</v>
      </c>
      <c r="AO1046" s="26">
        <f t="shared" ca="1" si="268"/>
        <v>0.29828497075996641</v>
      </c>
      <c r="AP1046" s="29">
        <f t="shared" ca="1" si="287"/>
        <v>127</v>
      </c>
      <c r="AR1046" s="22">
        <v>45591</v>
      </c>
      <c r="AS1046" s="26">
        <f t="shared" ca="1" si="269"/>
        <v>0.64824203745921205</v>
      </c>
      <c r="AT1046" s="29">
        <f t="shared" ca="1" si="288"/>
        <v>239</v>
      </c>
      <c r="AV1046" s="22">
        <v>45591</v>
      </c>
      <c r="AW1046" s="26">
        <f t="shared" ca="1" si="270"/>
        <v>4.2009769411338049E-2</v>
      </c>
      <c r="AX1046" s="29">
        <f t="shared" ca="1" si="289"/>
        <v>104</v>
      </c>
      <c r="AZ1046" s="22">
        <v>45591</v>
      </c>
      <c r="BA1046" s="26">
        <f t="shared" ca="1" si="271"/>
        <v>0.91779223221799111</v>
      </c>
      <c r="BB1046" s="29">
        <f t="shared" ca="1" si="290"/>
        <v>247</v>
      </c>
      <c r="BC1046"/>
      <c r="BD1046" s="25"/>
      <c r="BF1046" s="22">
        <v>45591</v>
      </c>
      <c r="BG1046" s="26">
        <f t="shared" ca="1" si="272"/>
        <v>0.22178123616880252</v>
      </c>
      <c r="BH1046" s="29">
        <f t="shared" ca="1" si="291"/>
        <v>127</v>
      </c>
      <c r="BJ1046" s="22">
        <v>45591</v>
      </c>
      <c r="BK1046" s="26">
        <f t="shared" ca="1" si="273"/>
        <v>0.94139927521200117</v>
      </c>
      <c r="BL1046" s="29">
        <f t="shared" ca="1" si="292"/>
        <v>234</v>
      </c>
      <c r="BN1046" s="22">
        <v>45591</v>
      </c>
      <c r="BO1046" s="26">
        <f t="shared" ca="1" si="274"/>
        <v>0.4066695251602469</v>
      </c>
      <c r="BP1046" s="29">
        <f t="shared" ca="1" si="293"/>
        <v>123</v>
      </c>
      <c r="BR1046" s="22">
        <v>45591</v>
      </c>
      <c r="BS1046" s="26">
        <f t="shared" ca="1" si="275"/>
        <v>0.63190685174841477</v>
      </c>
      <c r="BT1046" s="29">
        <f t="shared" ca="1" si="294"/>
        <v>190</v>
      </c>
      <c r="BV1046" s="22">
        <v>45591</v>
      </c>
      <c r="BW1046" s="26">
        <f t="shared" ca="1" si="276"/>
        <v>0.19912198432958583</v>
      </c>
      <c r="BX1046" s="29">
        <f t="shared" ca="1" si="295"/>
        <v>143</v>
      </c>
    </row>
    <row r="1047" spans="2:77" ht="15.75" customHeight="1" x14ac:dyDescent="0.2">
      <c r="B1047" s="22">
        <v>45592</v>
      </c>
      <c r="C1047" s="26">
        <f t="shared" ca="1" si="277"/>
        <v>0.50362574783363279</v>
      </c>
      <c r="D1047" s="29">
        <f t="shared" ca="1" si="278"/>
        <v>76</v>
      </c>
      <c r="F1047" s="22"/>
      <c r="G1047" s="26">
        <f t="shared" ca="1" si="260"/>
        <v>9.8250944883599645E-2</v>
      </c>
      <c r="H1047" s="29">
        <f t="shared" ca="1" si="279"/>
        <v>197</v>
      </c>
      <c r="J1047" s="22">
        <v>45592</v>
      </c>
      <c r="K1047" s="26">
        <f t="shared" ca="1" si="261"/>
        <v>0.55625934448789838</v>
      </c>
      <c r="L1047" s="29">
        <f t="shared" ca="1" si="280"/>
        <v>152</v>
      </c>
      <c r="N1047" s="22">
        <v>45592</v>
      </c>
      <c r="O1047" s="26">
        <f t="shared" ca="1" si="262"/>
        <v>0.28133257683482049</v>
      </c>
      <c r="P1047" s="29">
        <f t="shared" ca="1" si="281"/>
        <v>221</v>
      </c>
      <c r="R1047" s="22">
        <v>45592</v>
      </c>
      <c r="S1047" s="26">
        <f t="shared" ca="1" si="263"/>
        <v>0.16526486483712433</v>
      </c>
      <c r="T1047" s="29">
        <f t="shared" ca="1" si="282"/>
        <v>130</v>
      </c>
      <c r="V1047" s="22">
        <v>45592</v>
      </c>
      <c r="W1047" s="26">
        <f t="shared" ca="1" si="264"/>
        <v>0.79811788866690647</v>
      </c>
      <c r="X1047" s="29">
        <f t="shared" ca="1" si="283"/>
        <v>238</v>
      </c>
      <c r="Z1047" s="22">
        <v>45592</v>
      </c>
      <c r="AA1047" s="26">
        <f t="shared" ca="1" si="265"/>
        <v>0.16770818362943474</v>
      </c>
      <c r="AB1047" s="29">
        <f t="shared" ca="1" si="284"/>
        <v>253</v>
      </c>
      <c r="AC1047"/>
      <c r="AD1047" s="25"/>
      <c r="AF1047" s="22">
        <v>45592</v>
      </c>
      <c r="AG1047" s="26">
        <f t="shared" ca="1" si="266"/>
        <v>9.3725832277595456E-2</v>
      </c>
      <c r="AH1047" s="29">
        <f t="shared" ca="1" si="285"/>
        <v>213</v>
      </c>
      <c r="AJ1047" s="22">
        <v>45592</v>
      </c>
      <c r="AK1047" s="26">
        <f t="shared" ca="1" si="267"/>
        <v>0.36887671014182066</v>
      </c>
      <c r="AL1047" s="29">
        <f t="shared" ca="1" si="286"/>
        <v>164</v>
      </c>
      <c r="AN1047" s="22">
        <v>45592</v>
      </c>
      <c r="AO1047" s="26">
        <f t="shared" ca="1" si="268"/>
        <v>0.38382909502058526</v>
      </c>
      <c r="AP1047" s="29">
        <f t="shared" ca="1" si="287"/>
        <v>136</v>
      </c>
      <c r="AR1047" s="22">
        <v>45592</v>
      </c>
      <c r="AS1047" s="26">
        <f t="shared" ca="1" si="269"/>
        <v>0.8556282292662809</v>
      </c>
      <c r="AT1047" s="29">
        <f t="shared" ca="1" si="288"/>
        <v>279</v>
      </c>
      <c r="AV1047" s="22">
        <v>45592</v>
      </c>
      <c r="AW1047" s="26">
        <f t="shared" ca="1" si="270"/>
        <v>0.95833239309237939</v>
      </c>
      <c r="AX1047" s="29">
        <f t="shared" ca="1" si="289"/>
        <v>281</v>
      </c>
      <c r="AZ1047" s="22">
        <v>45592</v>
      </c>
      <c r="BA1047" s="26">
        <f t="shared" ca="1" si="271"/>
        <v>2.989063655775881E-2</v>
      </c>
      <c r="BB1047" s="29">
        <f t="shared" ca="1" si="290"/>
        <v>90</v>
      </c>
      <c r="BC1047"/>
      <c r="BD1047" s="25"/>
      <c r="BF1047" s="22">
        <v>45592</v>
      </c>
      <c r="BG1047" s="26">
        <f t="shared" ca="1" si="272"/>
        <v>0.95111198657914409</v>
      </c>
      <c r="BH1047" s="29">
        <f t="shared" ca="1" si="291"/>
        <v>231</v>
      </c>
      <c r="BJ1047" s="22">
        <v>45592</v>
      </c>
      <c r="BK1047" s="26">
        <f t="shared" ca="1" si="273"/>
        <v>0.32876708553144685</v>
      </c>
      <c r="BL1047" s="29">
        <f t="shared" ca="1" si="292"/>
        <v>146</v>
      </c>
      <c r="BN1047" s="22">
        <v>45592</v>
      </c>
      <c r="BO1047" s="26">
        <f t="shared" ca="1" si="274"/>
        <v>0.98571023641644973</v>
      </c>
      <c r="BP1047" s="29">
        <f t="shared" ca="1" si="293"/>
        <v>208</v>
      </c>
      <c r="BR1047" s="22">
        <v>45592</v>
      </c>
      <c r="BS1047" s="26">
        <f t="shared" ca="1" si="275"/>
        <v>0.29302683202743707</v>
      </c>
      <c r="BT1047" s="29">
        <f t="shared" ca="1" si="294"/>
        <v>149</v>
      </c>
      <c r="BV1047" s="22">
        <v>45592</v>
      </c>
      <c r="BW1047" s="26">
        <f t="shared" ca="1" si="276"/>
        <v>0.95235659104934145</v>
      </c>
      <c r="BX1047" s="29">
        <f t="shared" ca="1" si="295"/>
        <v>266</v>
      </c>
    </row>
    <row r="1048" spans="2:77" ht="15.75" customHeight="1" x14ac:dyDescent="0.2">
      <c r="B1048" s="22">
        <v>45593</v>
      </c>
      <c r="C1048" s="26">
        <f t="shared" ca="1" si="277"/>
        <v>0.32958631452303733</v>
      </c>
      <c r="D1048" s="29">
        <f t="shared" ca="1" si="278"/>
        <v>67</v>
      </c>
      <c r="F1048" s="22"/>
      <c r="G1048" s="26">
        <f t="shared" ca="1" si="260"/>
        <v>0.60868423818482009</v>
      </c>
      <c r="H1048" s="29">
        <f t="shared" ca="1" si="279"/>
        <v>220</v>
      </c>
      <c r="J1048" s="22">
        <v>45593</v>
      </c>
      <c r="K1048" s="26">
        <f t="shared" ca="1" si="261"/>
        <v>4.619036887225314E-2</v>
      </c>
      <c r="L1048" s="29">
        <f t="shared" ca="1" si="280"/>
        <v>134</v>
      </c>
      <c r="N1048" s="22">
        <v>45593</v>
      </c>
      <c r="O1048" s="26">
        <f t="shared" ca="1" si="262"/>
        <v>0.7675463931589761</v>
      </c>
      <c r="P1048" s="29">
        <f t="shared" ca="1" si="281"/>
        <v>241</v>
      </c>
      <c r="R1048" s="22">
        <v>45593</v>
      </c>
      <c r="S1048" s="26">
        <f t="shared" ca="1" si="263"/>
        <v>0.6834515152270586</v>
      </c>
      <c r="T1048" s="29">
        <f t="shared" ca="1" si="282"/>
        <v>144</v>
      </c>
      <c r="V1048" s="22">
        <v>45593</v>
      </c>
      <c r="W1048" s="26">
        <f t="shared" ca="1" si="264"/>
        <v>0.20025109978751154</v>
      </c>
      <c r="X1048" s="29">
        <f t="shared" ca="1" si="283"/>
        <v>213</v>
      </c>
      <c r="Z1048" s="22">
        <v>45593</v>
      </c>
      <c r="AA1048" s="26">
        <f t="shared" ca="1" si="265"/>
        <v>0.62987016486417646</v>
      </c>
      <c r="AB1048" s="29">
        <f t="shared" ca="1" si="284"/>
        <v>276</v>
      </c>
      <c r="AC1048"/>
      <c r="AD1048" s="25"/>
      <c r="AF1048" s="22">
        <v>45593</v>
      </c>
      <c r="AG1048" s="26">
        <f t="shared" ca="1" si="266"/>
        <v>0.56544551390384257</v>
      </c>
      <c r="AH1048" s="29">
        <f t="shared" ca="1" si="285"/>
        <v>342</v>
      </c>
      <c r="AJ1048" s="22">
        <v>45593</v>
      </c>
      <c r="AK1048" s="26">
        <f t="shared" ca="1" si="267"/>
        <v>0.84015455701225183</v>
      </c>
      <c r="AL1048" s="29">
        <f t="shared" ca="1" si="286"/>
        <v>228</v>
      </c>
      <c r="AN1048" s="22">
        <v>45593</v>
      </c>
      <c r="AO1048" s="26">
        <f t="shared" ca="1" si="268"/>
        <v>0.5748552097164864</v>
      </c>
      <c r="AP1048" s="29">
        <f t="shared" ca="1" si="287"/>
        <v>155</v>
      </c>
      <c r="AR1048" s="22">
        <v>45593</v>
      </c>
      <c r="AS1048" s="26">
        <f t="shared" ca="1" si="269"/>
        <v>0.82975740912899532</v>
      </c>
      <c r="AT1048" s="29">
        <f t="shared" ca="1" si="288"/>
        <v>272</v>
      </c>
      <c r="AV1048" s="22">
        <v>45593</v>
      </c>
      <c r="AW1048" s="26">
        <f t="shared" ca="1" si="270"/>
        <v>0.76515541191155401</v>
      </c>
      <c r="AX1048" s="29">
        <f t="shared" ca="1" si="289"/>
        <v>229</v>
      </c>
      <c r="AZ1048" s="22">
        <v>45593</v>
      </c>
      <c r="BA1048" s="26">
        <f t="shared" ca="1" si="271"/>
        <v>0.20160791163419434</v>
      </c>
      <c r="BB1048" s="29">
        <f t="shared" ca="1" si="290"/>
        <v>140</v>
      </c>
      <c r="BC1048"/>
      <c r="BD1048" s="25"/>
      <c r="BF1048" s="22">
        <v>45593</v>
      </c>
      <c r="BG1048" s="26">
        <f t="shared" ca="1" si="272"/>
        <v>0.46728393743154351</v>
      </c>
      <c r="BH1048" s="29">
        <f t="shared" ca="1" si="291"/>
        <v>157</v>
      </c>
      <c r="BJ1048" s="22">
        <v>45593</v>
      </c>
      <c r="BK1048" s="26">
        <f t="shared" ca="1" si="273"/>
        <v>0.76722346386387974</v>
      </c>
      <c r="BL1048" s="29">
        <f t="shared" ca="1" si="292"/>
        <v>197</v>
      </c>
      <c r="BN1048" s="22">
        <v>45593</v>
      </c>
      <c r="BO1048" s="26">
        <f t="shared" ca="1" si="274"/>
        <v>0.25143991352117656</v>
      </c>
      <c r="BP1048" s="29">
        <f t="shared" ca="1" si="293"/>
        <v>108</v>
      </c>
      <c r="BR1048" s="22">
        <v>45593</v>
      </c>
      <c r="BS1048" s="26">
        <f t="shared" ca="1" si="275"/>
        <v>0.58725559384853077</v>
      </c>
      <c r="BT1048" s="29">
        <f t="shared" ca="1" si="294"/>
        <v>184</v>
      </c>
      <c r="BV1048" s="22">
        <v>45593</v>
      </c>
      <c r="BW1048" s="26">
        <f t="shared" ca="1" si="276"/>
        <v>0.36222627273154995</v>
      </c>
      <c r="BX1048" s="29">
        <f t="shared" ca="1" si="295"/>
        <v>167</v>
      </c>
    </row>
    <row r="1049" spans="2:77" ht="15.75" customHeight="1" x14ac:dyDescent="0.2">
      <c r="B1049" s="22">
        <v>45594</v>
      </c>
      <c r="C1049" s="26">
        <f t="shared" ca="1" si="277"/>
        <v>0.89208336437321301</v>
      </c>
      <c r="D1049" s="29">
        <f t="shared" ca="1" si="278"/>
        <v>100</v>
      </c>
      <c r="F1049" s="22"/>
      <c r="G1049" s="26">
        <f t="shared" ca="1" si="260"/>
        <v>0.2431852250297406</v>
      </c>
      <c r="H1049" s="29">
        <f t="shared" ca="1" si="279"/>
        <v>206</v>
      </c>
      <c r="J1049" s="22">
        <v>45594</v>
      </c>
      <c r="K1049" s="26">
        <f t="shared" ca="1" si="261"/>
        <v>4.4990825471182494E-2</v>
      </c>
      <c r="L1049" s="29">
        <f t="shared" ca="1" si="280"/>
        <v>134</v>
      </c>
      <c r="N1049" s="22">
        <v>45594</v>
      </c>
      <c r="O1049" s="26">
        <f t="shared" ca="1" si="262"/>
        <v>0.45501926329507292</v>
      </c>
      <c r="P1049" s="29">
        <f t="shared" ca="1" si="281"/>
        <v>228</v>
      </c>
      <c r="R1049" s="22">
        <v>45594</v>
      </c>
      <c r="S1049" s="26">
        <f t="shared" ca="1" si="263"/>
        <v>0.38121062324676691</v>
      </c>
      <c r="T1049" s="29">
        <f t="shared" ca="1" si="282"/>
        <v>136</v>
      </c>
      <c r="V1049" s="22">
        <v>45594</v>
      </c>
      <c r="W1049" s="26">
        <f t="shared" ca="1" si="264"/>
        <v>0.62661057740617565</v>
      </c>
      <c r="X1049" s="29">
        <f t="shared" ca="1" si="283"/>
        <v>230</v>
      </c>
      <c r="Z1049" s="22">
        <v>45594</v>
      </c>
      <c r="AA1049" s="26">
        <f t="shared" ca="1" si="265"/>
        <v>0.75458938229088335</v>
      </c>
      <c r="AB1049" s="29">
        <f t="shared" ca="1" si="284"/>
        <v>283</v>
      </c>
      <c r="AC1049"/>
      <c r="AD1049" s="25"/>
      <c r="AF1049" s="22">
        <v>45594</v>
      </c>
      <c r="AG1049" s="26">
        <f t="shared" ca="1" si="266"/>
        <v>0.82163057277915474</v>
      </c>
      <c r="AH1049" s="29">
        <f t="shared" ca="1" si="285"/>
        <v>408</v>
      </c>
      <c r="AJ1049" s="22">
        <v>45594</v>
      </c>
      <c r="AK1049" s="26">
        <f t="shared" ca="1" si="267"/>
        <v>0.15389326804683445</v>
      </c>
      <c r="AL1049" s="29">
        <f t="shared" ca="1" si="286"/>
        <v>131</v>
      </c>
      <c r="AN1049" s="22">
        <v>45594</v>
      </c>
      <c r="AO1049" s="26">
        <f t="shared" ca="1" si="268"/>
        <v>0.40126604641998942</v>
      </c>
      <c r="AP1049" s="29">
        <f t="shared" ca="1" si="287"/>
        <v>138</v>
      </c>
      <c r="AR1049" s="22">
        <v>45594</v>
      </c>
      <c r="AS1049" s="26">
        <f t="shared" ca="1" si="269"/>
        <v>4.764013229878683E-2</v>
      </c>
      <c r="AT1049" s="29">
        <f t="shared" ca="1" si="288"/>
        <v>121</v>
      </c>
      <c r="AV1049" s="22">
        <v>45594</v>
      </c>
      <c r="AW1049" s="26">
        <f t="shared" ca="1" si="270"/>
        <v>0.16472277683556791</v>
      </c>
      <c r="AX1049" s="29">
        <f t="shared" ca="1" si="289"/>
        <v>142</v>
      </c>
      <c r="AZ1049" s="22">
        <v>45594</v>
      </c>
      <c r="BA1049" s="26">
        <f t="shared" ca="1" si="271"/>
        <v>0.48576237336464156</v>
      </c>
      <c r="BB1049" s="29">
        <f t="shared" ca="1" si="290"/>
        <v>179</v>
      </c>
      <c r="BC1049"/>
      <c r="BD1049" s="25"/>
      <c r="BF1049" s="22">
        <v>45594</v>
      </c>
      <c r="BG1049" s="26">
        <f t="shared" ca="1" si="272"/>
        <v>6.5399395387403469E-2</v>
      </c>
      <c r="BH1049" s="29">
        <f t="shared" ca="1" si="291"/>
        <v>96</v>
      </c>
      <c r="BJ1049" s="22">
        <v>45594</v>
      </c>
      <c r="BK1049" s="26">
        <f t="shared" ca="1" si="273"/>
        <v>0.79504241441302959</v>
      </c>
      <c r="BL1049" s="29">
        <f t="shared" ca="1" si="292"/>
        <v>201</v>
      </c>
      <c r="BN1049" s="22">
        <v>45594</v>
      </c>
      <c r="BO1049" s="26">
        <f t="shared" ca="1" si="274"/>
        <v>0.22047523635358213</v>
      </c>
      <c r="BP1049" s="29">
        <f t="shared" ca="1" si="293"/>
        <v>105</v>
      </c>
      <c r="BR1049" s="22">
        <v>45594</v>
      </c>
      <c r="BS1049" s="26">
        <f t="shared" ca="1" si="275"/>
        <v>0.42019454210833429</v>
      </c>
      <c r="BT1049" s="29">
        <f t="shared" ca="1" si="294"/>
        <v>165</v>
      </c>
      <c r="BV1049" s="22">
        <v>45594</v>
      </c>
      <c r="BW1049" s="26">
        <f t="shared" ca="1" si="276"/>
        <v>0.48583872577370479</v>
      </c>
      <c r="BX1049" s="29">
        <f t="shared" ca="1" si="295"/>
        <v>182</v>
      </c>
    </row>
    <row r="1050" spans="2:77" ht="15.75" customHeight="1" x14ac:dyDescent="0.2">
      <c r="B1050" s="22">
        <v>45595</v>
      </c>
      <c r="C1050" s="26">
        <f t="shared" ca="1" si="277"/>
        <v>5.8180873502759911E-2</v>
      </c>
      <c r="D1050" s="29">
        <f t="shared" ca="1" si="278"/>
        <v>44</v>
      </c>
      <c r="F1050" s="22"/>
      <c r="G1050" s="26">
        <f t="shared" ca="1" si="260"/>
        <v>3.9329155169476104E-2</v>
      </c>
      <c r="H1050" s="29">
        <f t="shared" ca="1" si="279"/>
        <v>191</v>
      </c>
      <c r="J1050" s="22">
        <v>45595</v>
      </c>
      <c r="K1050" s="26">
        <f t="shared" ca="1" si="261"/>
        <v>0.21660267114634379</v>
      </c>
      <c r="L1050" s="29">
        <f t="shared" ca="1" si="280"/>
        <v>143</v>
      </c>
      <c r="N1050" s="22">
        <v>45595</v>
      </c>
      <c r="O1050" s="26">
        <f t="shared" ca="1" si="262"/>
        <v>0.47151127698334494</v>
      </c>
      <c r="P1050" s="29">
        <f t="shared" ca="1" si="281"/>
        <v>229</v>
      </c>
      <c r="R1050" s="22">
        <v>45595</v>
      </c>
      <c r="S1050" s="26">
        <f t="shared" ca="1" si="263"/>
        <v>0.57545913083447475</v>
      </c>
      <c r="T1050" s="29">
        <f t="shared" ca="1" si="282"/>
        <v>141</v>
      </c>
      <c r="V1050" s="22">
        <v>45595</v>
      </c>
      <c r="W1050" s="26">
        <f t="shared" ca="1" si="264"/>
        <v>0.56486320167085391</v>
      </c>
      <c r="X1050" s="29">
        <f t="shared" ca="1" si="283"/>
        <v>228</v>
      </c>
      <c r="Z1050" s="22">
        <v>45595</v>
      </c>
      <c r="AA1050" s="26">
        <f t="shared" ca="1" si="265"/>
        <v>4.0817221772804002E-2</v>
      </c>
      <c r="AB1050" s="29">
        <f t="shared" ca="1" si="284"/>
        <v>239</v>
      </c>
      <c r="AC1050"/>
      <c r="AD1050" s="25"/>
      <c r="AF1050" s="22">
        <v>45595</v>
      </c>
      <c r="AG1050" s="26">
        <f t="shared" ca="1" si="266"/>
        <v>0.91597807762142625</v>
      </c>
      <c r="AH1050" s="29">
        <f t="shared" ca="1" si="285"/>
        <v>448</v>
      </c>
      <c r="AJ1050" s="22">
        <v>45595</v>
      </c>
      <c r="AK1050" s="26">
        <f t="shared" ca="1" si="267"/>
        <v>0.85075872056415647</v>
      </c>
      <c r="AL1050" s="29">
        <f t="shared" ca="1" si="286"/>
        <v>230</v>
      </c>
      <c r="AN1050" s="22">
        <v>45595</v>
      </c>
      <c r="AO1050" s="26">
        <f t="shared" ca="1" si="268"/>
        <v>0.2225321702777171</v>
      </c>
      <c r="AP1050" s="29">
        <f t="shared" ca="1" si="287"/>
        <v>118</v>
      </c>
      <c r="AR1050" s="22">
        <v>45595</v>
      </c>
      <c r="AS1050" s="26">
        <f t="shared" ca="1" si="269"/>
        <v>0.16693729985657912</v>
      </c>
      <c r="AT1050" s="29">
        <f t="shared" ca="1" si="288"/>
        <v>161</v>
      </c>
      <c r="AV1050" s="22">
        <v>45595</v>
      </c>
      <c r="AW1050" s="26">
        <f t="shared" ca="1" si="270"/>
        <v>0.32626402357788886</v>
      </c>
      <c r="AX1050" s="29">
        <f t="shared" ca="1" si="289"/>
        <v>169</v>
      </c>
      <c r="AZ1050" s="22">
        <v>45595</v>
      </c>
      <c r="BA1050" s="26">
        <f t="shared" ca="1" si="271"/>
        <v>0.78674749981100722</v>
      </c>
      <c r="BB1050" s="29">
        <f t="shared" ca="1" si="290"/>
        <v>218</v>
      </c>
      <c r="BC1050"/>
      <c r="BD1050" s="25"/>
      <c r="BF1050" s="22">
        <v>45595</v>
      </c>
      <c r="BG1050" s="26">
        <f t="shared" ca="1" si="272"/>
        <v>0.41223478740133535</v>
      </c>
      <c r="BH1050" s="29">
        <f t="shared" ca="1" si="291"/>
        <v>151</v>
      </c>
      <c r="BJ1050" s="22">
        <v>45595</v>
      </c>
      <c r="BK1050" s="26">
        <f t="shared" ca="1" si="273"/>
        <v>0.91298088599600602</v>
      </c>
      <c r="BL1050" s="29">
        <f t="shared" ca="1" si="292"/>
        <v>225</v>
      </c>
      <c r="BN1050" s="22">
        <v>45595</v>
      </c>
      <c r="BO1050" s="26">
        <f t="shared" ca="1" si="274"/>
        <v>0.77152020509794972</v>
      </c>
      <c r="BP1050" s="29">
        <f t="shared" ca="1" si="293"/>
        <v>157</v>
      </c>
      <c r="BR1050" s="22">
        <v>45595</v>
      </c>
      <c r="BS1050" s="26">
        <f t="shared" ca="1" si="275"/>
        <v>0.6696648618036164</v>
      </c>
      <c r="BT1050" s="29">
        <f t="shared" ca="1" si="294"/>
        <v>194</v>
      </c>
      <c r="BV1050" s="22">
        <v>45595</v>
      </c>
      <c r="BW1050" s="26">
        <f t="shared" ca="1" si="276"/>
        <v>1.8963236061728006E-2</v>
      </c>
      <c r="BX1050" s="29">
        <f t="shared" ca="1" si="295"/>
        <v>82</v>
      </c>
    </row>
    <row r="1051" spans="2:77" ht="15.75" customHeight="1" x14ac:dyDescent="0.2">
      <c r="B1051" s="22">
        <v>45596</v>
      </c>
      <c r="C1051" s="26">
        <f t="shared" ca="1" si="277"/>
        <v>5.9355957642393764E-2</v>
      </c>
      <c r="D1051" s="29">
        <f t="shared" ca="1" si="278"/>
        <v>44</v>
      </c>
      <c r="E1051">
        <v>1527</v>
      </c>
      <c r="F1051" s="22"/>
      <c r="G1051" s="26">
        <f t="shared" ca="1" si="260"/>
        <v>0.68451513733131075</v>
      </c>
      <c r="H1051" s="29">
        <f t="shared" ca="1" si="279"/>
        <v>223</v>
      </c>
      <c r="I1051">
        <v>1671</v>
      </c>
      <c r="J1051" s="22">
        <v>45596</v>
      </c>
      <c r="K1051" s="26">
        <f t="shared" ca="1" si="261"/>
        <v>0.10549535122080445</v>
      </c>
      <c r="L1051" s="29">
        <f t="shared" ca="1" si="280"/>
        <v>138</v>
      </c>
      <c r="M1051">
        <v>3309</v>
      </c>
      <c r="N1051" s="22">
        <v>45596</v>
      </c>
      <c r="O1051" s="26">
        <f t="shared" ca="1" si="262"/>
        <v>0.82675157404080379</v>
      </c>
      <c r="P1051" s="29">
        <f t="shared" ca="1" si="281"/>
        <v>244</v>
      </c>
      <c r="Q1051">
        <v>5042</v>
      </c>
      <c r="R1051" s="22">
        <v>45596</v>
      </c>
      <c r="S1051" s="26">
        <f t="shared" ca="1" si="263"/>
        <v>0.55493945053207172</v>
      </c>
      <c r="T1051" s="29">
        <f t="shared" ca="1" si="282"/>
        <v>141</v>
      </c>
      <c r="U1051">
        <v>3161</v>
      </c>
      <c r="V1051" s="22">
        <v>45596</v>
      </c>
      <c r="W1051" s="26">
        <f t="shared" ca="1" si="264"/>
        <v>0.67887891798541522</v>
      </c>
      <c r="X1051" s="29">
        <f t="shared" ca="1" si="283"/>
        <v>232</v>
      </c>
      <c r="Y1051">
        <v>4951</v>
      </c>
      <c r="Z1051" s="22">
        <v>45596</v>
      </c>
      <c r="AA1051" s="26">
        <f t="shared" ca="1" si="265"/>
        <v>0.56039210065764355</v>
      </c>
      <c r="AB1051" s="29">
        <f t="shared" ca="1" si="284"/>
        <v>273</v>
      </c>
      <c r="AC1051">
        <v>5911</v>
      </c>
      <c r="AD1051" s="25"/>
      <c r="AF1051" s="22">
        <v>45596</v>
      </c>
      <c r="AG1051" s="26">
        <f t="shared" ca="1" si="266"/>
        <v>0.89404342941730186</v>
      </c>
      <c r="AH1051" s="29">
        <f t="shared" ca="1" si="285"/>
        <v>436</v>
      </c>
      <c r="AI1051">
        <v>6737</v>
      </c>
      <c r="AJ1051" s="22">
        <v>45596</v>
      </c>
      <c r="AK1051" s="26">
        <f t="shared" ca="1" si="267"/>
        <v>9.4059325611204558E-2</v>
      </c>
      <c r="AL1051" s="29">
        <f t="shared" ca="1" si="286"/>
        <v>117</v>
      </c>
      <c r="AM1051">
        <v>3979</v>
      </c>
      <c r="AN1051" s="22">
        <v>45596</v>
      </c>
      <c r="AO1051" s="26">
        <f t="shared" ca="1" si="268"/>
        <v>0.29008003578074015</v>
      </c>
      <c r="AP1051" s="29">
        <f t="shared" ca="1" si="287"/>
        <v>126</v>
      </c>
      <c r="AQ1051">
        <v>3291</v>
      </c>
      <c r="AR1051" s="22">
        <v>45596</v>
      </c>
      <c r="AS1051" s="26">
        <f t="shared" ca="1" si="269"/>
        <v>0.92456252150246399</v>
      </c>
      <c r="AT1051" s="29">
        <f t="shared" ca="1" si="288"/>
        <v>300</v>
      </c>
      <c r="AU1051">
        <v>4696</v>
      </c>
      <c r="AV1051" s="22">
        <v>45596</v>
      </c>
      <c r="AW1051" s="26">
        <f t="shared" ca="1" si="270"/>
        <v>0.50457482999796766</v>
      </c>
      <c r="AX1051" s="29">
        <f t="shared" ca="1" si="289"/>
        <v>193</v>
      </c>
      <c r="AY1051">
        <v>4069</v>
      </c>
      <c r="AZ1051" s="22">
        <v>45596</v>
      </c>
      <c r="BA1051" s="26">
        <f t="shared" ca="1" si="271"/>
        <v>0.30110652886077205</v>
      </c>
      <c r="BB1051" s="29">
        <f t="shared" ca="1" si="290"/>
        <v>155</v>
      </c>
      <c r="BC1051">
        <v>4099</v>
      </c>
      <c r="BD1051" s="25"/>
      <c r="BF1051" s="22">
        <v>45596</v>
      </c>
      <c r="BG1051" s="26">
        <f t="shared" ca="1" si="272"/>
        <v>0.3537076458568591</v>
      </c>
      <c r="BH1051" s="29">
        <f t="shared" ca="1" si="291"/>
        <v>144</v>
      </c>
      <c r="BI1051">
        <v>3535</v>
      </c>
      <c r="BJ1051" s="22">
        <v>45596</v>
      </c>
      <c r="BK1051" s="26">
        <f t="shared" ca="1" si="273"/>
        <v>0.15212354058175448</v>
      </c>
      <c r="BL1051" s="29">
        <f t="shared" ca="1" si="292"/>
        <v>120</v>
      </c>
      <c r="BM1051">
        <v>3471</v>
      </c>
      <c r="BN1051" s="22">
        <v>45596</v>
      </c>
      <c r="BO1051" s="26">
        <f t="shared" ca="1" si="274"/>
        <v>0.3934891064286995</v>
      </c>
      <c r="BP1051" s="29">
        <f t="shared" ca="1" si="293"/>
        <v>122</v>
      </c>
      <c r="BQ1051">
        <v>2768</v>
      </c>
      <c r="BR1051" s="22">
        <v>45596</v>
      </c>
      <c r="BS1051" s="26">
        <f t="shared" ca="1" si="275"/>
        <v>0.76368136679125775</v>
      </c>
      <c r="BT1051" s="29">
        <f t="shared" ca="1" si="294"/>
        <v>207</v>
      </c>
      <c r="BU1051">
        <v>3699</v>
      </c>
      <c r="BV1051" s="22">
        <v>45596</v>
      </c>
      <c r="BW1051" s="26">
        <f t="shared" ca="1" si="276"/>
        <v>0.61665207691484814</v>
      </c>
      <c r="BX1051" s="29">
        <f t="shared" ca="1" si="295"/>
        <v>198</v>
      </c>
      <c r="BY1051">
        <v>4072</v>
      </c>
    </row>
    <row r="1052" spans="2:77" ht="15.75" customHeight="1" x14ac:dyDescent="0.2">
      <c r="B1052" s="22">
        <v>45597</v>
      </c>
      <c r="C1052" s="26">
        <f t="shared" ca="1" si="277"/>
        <v>0.98020364444731534</v>
      </c>
      <c r="D1052" s="29">
        <f ca="1">ROUNDUP(_xlfn.NORM.INV(C1051,C$10,C$12),0)</f>
        <v>44</v>
      </c>
      <c r="F1052" s="22"/>
      <c r="G1052" s="26">
        <f t="shared" ca="1" si="260"/>
        <v>0.13860868102238366</v>
      </c>
      <c r="H1052" s="29">
        <f ca="1">ROUNDUP(_xlfn.NORM.INV(G1051,G$10,G$12),0)</f>
        <v>223</v>
      </c>
      <c r="I1052">
        <v>0</v>
      </c>
      <c r="J1052" s="22">
        <v>45597</v>
      </c>
      <c r="K1052" s="26">
        <f t="shared" ca="1" si="261"/>
        <v>0.22599828996987359</v>
      </c>
      <c r="L1052" s="29">
        <f ca="1">ROUNDUP(_xlfn.NORM.INV(K1051,K$10,K$12),0)</f>
        <v>138</v>
      </c>
      <c r="N1052" s="22">
        <v>45597</v>
      </c>
      <c r="O1052" s="26">
        <f t="shared" ca="1" si="262"/>
        <v>0.25396954066843236</v>
      </c>
      <c r="P1052" s="29">
        <f ca="1">ROUNDUP(_xlfn.NORM.INV(O1051,O$10,O$12),0)</f>
        <v>244</v>
      </c>
      <c r="R1052" s="22">
        <v>45597</v>
      </c>
      <c r="S1052" s="26">
        <f t="shared" ca="1" si="263"/>
        <v>0.77222368408548692</v>
      </c>
      <c r="T1052" s="29">
        <f ca="1">ROUNDUP(_xlfn.NORM.INV(S1051,S$10,S$12),0)</f>
        <v>141</v>
      </c>
      <c r="V1052" s="22">
        <v>45597</v>
      </c>
      <c r="W1052" s="26">
        <f t="shared" ca="1" si="264"/>
        <v>0.63630284347577415</v>
      </c>
      <c r="X1052" s="29">
        <f ca="1">ROUNDUP(_xlfn.NORM.INV(W1051,W$10,W$12),0)</f>
        <v>232</v>
      </c>
      <c r="Z1052" s="22">
        <v>45597</v>
      </c>
      <c r="AA1052" s="26">
        <f t="shared" ca="1" si="265"/>
        <v>0.35777762184261219</v>
      </c>
      <c r="AB1052" s="29">
        <f ca="1">ROUNDUP(_xlfn.NORM.INV(AA1051,AA$10,AA$12),0)</f>
        <v>273</v>
      </c>
      <c r="AC1052"/>
      <c r="AD1052" s="25"/>
      <c r="AF1052" s="22">
        <v>45597</v>
      </c>
      <c r="AG1052" s="26">
        <f t="shared" ca="1" si="266"/>
        <v>0.30855431078833795</v>
      </c>
      <c r="AH1052" s="29">
        <f ca="1">ROUNDUP(_xlfn.NORM.INV(AG1051,AG$10,AG$12),0)</f>
        <v>436</v>
      </c>
      <c r="AJ1052" s="22">
        <v>45597</v>
      </c>
      <c r="AK1052" s="26">
        <f t="shared" ca="1" si="267"/>
        <v>0.78982647992530963</v>
      </c>
      <c r="AL1052" s="29">
        <f ca="1">ROUNDUP(_xlfn.NORM.INV(AK1051,AK$10,AK$12),0)</f>
        <v>117</v>
      </c>
      <c r="AN1052" s="22">
        <v>45597</v>
      </c>
      <c r="AO1052" s="26">
        <f t="shared" ca="1" si="268"/>
        <v>0.92272763311776529</v>
      </c>
      <c r="AP1052" s="29">
        <f ca="1">ROUNDUP(_xlfn.NORM.INV(AO1051,AO$10,AO$12),0)</f>
        <v>126</v>
      </c>
      <c r="AR1052" s="22">
        <v>45597</v>
      </c>
      <c r="AS1052" s="26">
        <f t="shared" ca="1" si="269"/>
        <v>9.6223464021673699E-2</v>
      </c>
      <c r="AT1052" s="29">
        <f ca="1">ROUNDUP(_xlfn.NORM.INV(AS1051,AS$10,AS$12),0)</f>
        <v>300</v>
      </c>
      <c r="AV1052" s="22">
        <v>45597</v>
      </c>
      <c r="AW1052" s="26">
        <f t="shared" ca="1" si="270"/>
        <v>0.37149249454866606</v>
      </c>
      <c r="AX1052" s="29">
        <f ca="1">ROUNDUP(_xlfn.NORM.INV(AW1051,AW$10,AW$12),0)</f>
        <v>193</v>
      </c>
      <c r="AZ1052" s="22">
        <v>45597</v>
      </c>
      <c r="BA1052" s="26">
        <f t="shared" ca="1" si="271"/>
        <v>0.57289382260021238</v>
      </c>
      <c r="BB1052" s="29">
        <f ca="1">ROUNDUP(_xlfn.NORM.INV(BA1051,BA$10,BA$12),0)</f>
        <v>155</v>
      </c>
      <c r="BC1052"/>
      <c r="BD1052" s="25"/>
      <c r="BF1052" s="22">
        <v>45597</v>
      </c>
      <c r="BG1052" s="26">
        <f t="shared" ca="1" si="272"/>
        <v>0.65324984142052023</v>
      </c>
      <c r="BH1052" s="29">
        <f ca="1">ROUNDUP(_xlfn.NORM.INV(BG1051,BG$10,BG$12),0)</f>
        <v>144</v>
      </c>
      <c r="BJ1052" s="22">
        <v>45597</v>
      </c>
      <c r="BK1052" s="26">
        <f t="shared" ca="1" si="273"/>
        <v>0.26280265543356329</v>
      </c>
      <c r="BL1052" s="29">
        <f ca="1">ROUNDUP(_xlfn.NORM.INV(BK1051,BK$10,BK$12),0)</f>
        <v>120</v>
      </c>
      <c r="BN1052" s="22">
        <v>45597</v>
      </c>
      <c r="BO1052" s="26">
        <f t="shared" ca="1" si="274"/>
        <v>0.32421684407058438</v>
      </c>
      <c r="BP1052" s="29">
        <f ca="1">ROUNDUP(_xlfn.NORM.INV(BO1051,BO$10,BO$12),0)</f>
        <v>122</v>
      </c>
      <c r="BR1052" s="22">
        <v>45597</v>
      </c>
      <c r="BS1052" s="26">
        <f t="shared" ca="1" si="275"/>
        <v>0.99949665537425136</v>
      </c>
      <c r="BT1052" s="29">
        <f ca="1">ROUNDUP(_xlfn.NORM.INV(BS1051,BS$10,BS$12),0)</f>
        <v>207</v>
      </c>
      <c r="BV1052" s="22">
        <v>45597</v>
      </c>
      <c r="BW1052" s="26">
        <f t="shared" ca="1" si="276"/>
        <v>0.96152696865282072</v>
      </c>
      <c r="BX1052" s="29">
        <f ca="1">ROUNDUP(_xlfn.NORM.INV(BW1051,BW$10,BW$12),0)</f>
        <v>198</v>
      </c>
    </row>
    <row r="1053" spans="2:77" ht="15.75" customHeight="1" x14ac:dyDescent="0.2">
      <c r="B1053" s="22">
        <v>45598</v>
      </c>
      <c r="C1053" s="26">
        <f t="shared" ca="1" si="277"/>
        <v>0.54878015526540969</v>
      </c>
      <c r="D1053" s="29">
        <f t="shared" ca="1" si="278"/>
        <v>78</v>
      </c>
      <c r="F1053" s="22"/>
      <c r="G1053" s="26">
        <f t="shared" ca="1" si="260"/>
        <v>0.40345714405209376</v>
      </c>
      <c r="H1053" s="29">
        <f t="shared" ca="1" si="279"/>
        <v>212</v>
      </c>
      <c r="J1053" s="22">
        <v>45598</v>
      </c>
      <c r="K1053" s="26">
        <f t="shared" ca="1" si="261"/>
        <v>0.12271293468682953</v>
      </c>
      <c r="L1053" s="29">
        <f t="shared" ca="1" si="280"/>
        <v>139</v>
      </c>
      <c r="N1053" s="22">
        <v>45598</v>
      </c>
      <c r="O1053" s="26">
        <f t="shared" ca="1" si="262"/>
        <v>0.56632106985902841</v>
      </c>
      <c r="P1053" s="29">
        <f t="shared" ca="1" si="281"/>
        <v>232</v>
      </c>
      <c r="R1053" s="22">
        <v>45598</v>
      </c>
      <c r="S1053" s="26">
        <f t="shared" ca="1" si="263"/>
        <v>0.48220628540846699</v>
      </c>
      <c r="T1053" s="29">
        <f t="shared" ca="1" si="282"/>
        <v>139</v>
      </c>
      <c r="V1053" s="22">
        <v>45598</v>
      </c>
      <c r="W1053" s="26">
        <f t="shared" ca="1" si="264"/>
        <v>0.67240937890214758</v>
      </c>
      <c r="X1053" s="29">
        <f t="shared" ca="1" si="283"/>
        <v>232</v>
      </c>
      <c r="Z1053" s="22">
        <v>45598</v>
      </c>
      <c r="AA1053" s="26">
        <f t="shared" ca="1" si="265"/>
        <v>0.95229862699083345</v>
      </c>
      <c r="AB1053" s="29">
        <f t="shared" ca="1" si="284"/>
        <v>301</v>
      </c>
      <c r="AC1053"/>
      <c r="AD1053" s="25"/>
      <c r="AF1053" s="22">
        <v>45598</v>
      </c>
      <c r="AG1053" s="26">
        <f t="shared" ca="1" si="266"/>
        <v>0.32040955151785855</v>
      </c>
      <c r="AH1053" s="29">
        <f t="shared" ca="1" si="285"/>
        <v>287</v>
      </c>
      <c r="AJ1053" s="22">
        <v>45598</v>
      </c>
      <c r="AK1053" s="26">
        <f t="shared" ca="1" si="267"/>
        <v>0.80621626662340418</v>
      </c>
      <c r="AL1053" s="29">
        <f t="shared" ca="1" si="286"/>
        <v>222</v>
      </c>
      <c r="AN1053" s="22">
        <v>45598</v>
      </c>
      <c r="AO1053" s="26">
        <f t="shared" ca="1" si="268"/>
        <v>0.31744121518363333</v>
      </c>
      <c r="AP1053" s="29">
        <f t="shared" ca="1" si="287"/>
        <v>129</v>
      </c>
      <c r="AR1053" s="22">
        <v>45598</v>
      </c>
      <c r="AS1053" s="26">
        <f t="shared" ca="1" si="269"/>
        <v>0.47075344044267797</v>
      </c>
      <c r="AT1053" s="29">
        <f t="shared" ca="1" si="288"/>
        <v>213</v>
      </c>
      <c r="AV1053" s="22">
        <v>45598</v>
      </c>
      <c r="AW1053" s="26">
        <f t="shared" ca="1" si="270"/>
        <v>0.83790581555866328</v>
      </c>
      <c r="AX1053" s="29">
        <f t="shared" ca="1" si="289"/>
        <v>243</v>
      </c>
      <c r="AZ1053" s="22">
        <v>45598</v>
      </c>
      <c r="BA1053" s="26">
        <f t="shared" ca="1" si="271"/>
        <v>0.42055455217666404</v>
      </c>
      <c r="BB1053" s="29">
        <f t="shared" ca="1" si="290"/>
        <v>171</v>
      </c>
      <c r="BC1053"/>
      <c r="BD1053" s="25"/>
      <c r="BF1053" s="22">
        <v>45598</v>
      </c>
      <c r="BG1053" s="26">
        <f t="shared" ca="1" si="272"/>
        <v>0.50759313488659363</v>
      </c>
      <c r="BH1053" s="29">
        <f t="shared" ca="1" si="291"/>
        <v>161</v>
      </c>
      <c r="BJ1053" s="22">
        <v>45598</v>
      </c>
      <c r="BK1053" s="26">
        <f t="shared" ca="1" si="273"/>
        <v>0.90727306268032315</v>
      </c>
      <c r="BL1053" s="29">
        <f t="shared" ca="1" si="292"/>
        <v>223</v>
      </c>
      <c r="BN1053" s="22">
        <v>45598</v>
      </c>
      <c r="BO1053" s="26">
        <f t="shared" ca="1" si="274"/>
        <v>6.8271541563367233E-2</v>
      </c>
      <c r="BP1053" s="29">
        <f t="shared" ca="1" si="293"/>
        <v>79</v>
      </c>
      <c r="BR1053" s="22">
        <v>45598</v>
      </c>
      <c r="BS1053" s="26">
        <f t="shared" ca="1" si="275"/>
        <v>0.31796720910442089</v>
      </c>
      <c r="BT1053" s="29">
        <f t="shared" ca="1" si="294"/>
        <v>152</v>
      </c>
      <c r="BV1053" s="22">
        <v>45598</v>
      </c>
      <c r="BW1053" s="26">
        <f t="shared" ca="1" si="276"/>
        <v>0.62921015776111588</v>
      </c>
      <c r="BX1053" s="29">
        <f t="shared" ca="1" si="295"/>
        <v>200</v>
      </c>
    </row>
    <row r="1054" spans="2:77" ht="15.75" customHeight="1" x14ac:dyDescent="0.2">
      <c r="B1054" s="22">
        <v>45599</v>
      </c>
      <c r="C1054" s="26">
        <f t="shared" ca="1" si="277"/>
        <v>0.24328586467519608</v>
      </c>
      <c r="D1054" s="29">
        <f t="shared" ca="1" si="278"/>
        <v>62</v>
      </c>
      <c r="F1054" s="22"/>
      <c r="G1054" s="26">
        <f t="shared" ca="1" si="260"/>
        <v>0.38895737489304394</v>
      </c>
      <c r="H1054" s="29">
        <f t="shared" ca="1" si="279"/>
        <v>212</v>
      </c>
      <c r="J1054" s="22">
        <v>45599</v>
      </c>
      <c r="K1054" s="26">
        <f t="shared" ca="1" si="261"/>
        <v>0.72926769115905843</v>
      </c>
      <c r="L1054" s="29">
        <f t="shared" ca="1" si="280"/>
        <v>157</v>
      </c>
      <c r="N1054" s="22">
        <v>45599</v>
      </c>
      <c r="O1054" s="26">
        <f t="shared" ca="1" si="262"/>
        <v>0.3152481928160521</v>
      </c>
      <c r="P1054" s="29">
        <f t="shared" ca="1" si="281"/>
        <v>222</v>
      </c>
      <c r="R1054" s="22">
        <v>45599</v>
      </c>
      <c r="S1054" s="26">
        <f t="shared" ca="1" si="263"/>
        <v>0.29290519111851288</v>
      </c>
      <c r="T1054" s="29">
        <f t="shared" ca="1" si="282"/>
        <v>134</v>
      </c>
      <c r="V1054" s="22">
        <v>45599</v>
      </c>
      <c r="W1054" s="26">
        <f t="shared" ca="1" si="264"/>
        <v>1.2498574127380313E-2</v>
      </c>
      <c r="X1054" s="29">
        <f t="shared" ca="1" si="283"/>
        <v>192</v>
      </c>
      <c r="Z1054" s="22">
        <v>45599</v>
      </c>
      <c r="AA1054" s="26">
        <f t="shared" ca="1" si="265"/>
        <v>0.53847571542539296</v>
      </c>
      <c r="AB1054" s="29">
        <f t="shared" ca="1" si="284"/>
        <v>272</v>
      </c>
      <c r="AC1054"/>
      <c r="AD1054" s="25"/>
      <c r="AF1054" s="22">
        <v>45599</v>
      </c>
      <c r="AG1054" s="26">
        <f t="shared" ca="1" si="266"/>
        <v>0.46537056022354784</v>
      </c>
      <c r="AH1054" s="29">
        <f t="shared" ca="1" si="285"/>
        <v>320</v>
      </c>
      <c r="AJ1054" s="22">
        <v>45599</v>
      </c>
      <c r="AK1054" s="26">
        <f t="shared" ca="1" si="267"/>
        <v>0.8155381350839237</v>
      </c>
      <c r="AL1054" s="29">
        <f t="shared" ca="1" si="286"/>
        <v>223</v>
      </c>
      <c r="AN1054" s="22">
        <v>45599</v>
      </c>
      <c r="AO1054" s="26">
        <f t="shared" ca="1" si="268"/>
        <v>0.87141808999879344</v>
      </c>
      <c r="AP1054" s="29">
        <f t="shared" ca="1" si="287"/>
        <v>192</v>
      </c>
      <c r="AR1054" s="22">
        <v>45599</v>
      </c>
      <c r="AS1054" s="26">
        <f t="shared" ca="1" si="269"/>
        <v>0.3441499778334548</v>
      </c>
      <c r="AT1054" s="29">
        <f t="shared" ca="1" si="288"/>
        <v>194</v>
      </c>
      <c r="AV1054" s="22">
        <v>45599</v>
      </c>
      <c r="AW1054" s="26">
        <f t="shared" ca="1" si="270"/>
        <v>0.78492280706409912</v>
      </c>
      <c r="AX1054" s="29">
        <f t="shared" ca="1" si="289"/>
        <v>233</v>
      </c>
      <c r="AZ1054" s="22">
        <v>45599</v>
      </c>
      <c r="BA1054" s="26">
        <f t="shared" ca="1" si="271"/>
        <v>0.20889544158157214</v>
      </c>
      <c r="BB1054" s="29">
        <f t="shared" ca="1" si="290"/>
        <v>141</v>
      </c>
      <c r="BC1054"/>
      <c r="BD1054" s="25"/>
      <c r="BF1054" s="22">
        <v>45599</v>
      </c>
      <c r="BG1054" s="26">
        <f t="shared" ca="1" si="272"/>
        <v>3.2137023655705588E-2</v>
      </c>
      <c r="BH1054" s="29">
        <f t="shared" ca="1" si="291"/>
        <v>81</v>
      </c>
      <c r="BJ1054" s="22">
        <v>45599</v>
      </c>
      <c r="BK1054" s="26">
        <f t="shared" ca="1" si="273"/>
        <v>0.68657017093224137</v>
      </c>
      <c r="BL1054" s="29">
        <f t="shared" ca="1" si="292"/>
        <v>186</v>
      </c>
      <c r="BN1054" s="22">
        <v>45599</v>
      </c>
      <c r="BO1054" s="26">
        <f t="shared" ca="1" si="274"/>
        <v>1.1369200315696992E-2</v>
      </c>
      <c r="BP1054" s="29">
        <f t="shared" ca="1" si="293"/>
        <v>52</v>
      </c>
      <c r="BR1054" s="22">
        <v>45599</v>
      </c>
      <c r="BS1054" s="26">
        <f t="shared" ca="1" si="275"/>
        <v>0.63258079411360368</v>
      </c>
      <c r="BT1054" s="29">
        <f t="shared" ca="1" si="294"/>
        <v>190</v>
      </c>
      <c r="BV1054" s="22">
        <v>45599</v>
      </c>
      <c r="BW1054" s="26">
        <f t="shared" ca="1" si="276"/>
        <v>0.76023517256156592</v>
      </c>
      <c r="BX1054" s="29">
        <f t="shared" ca="1" si="295"/>
        <v>219</v>
      </c>
    </row>
    <row r="1055" spans="2:77" ht="15.75" customHeight="1" x14ac:dyDescent="0.2">
      <c r="B1055" s="22">
        <v>45600</v>
      </c>
      <c r="C1055" s="26">
        <f t="shared" ca="1" si="277"/>
        <v>0.49811378166621634</v>
      </c>
      <c r="D1055" s="29">
        <f t="shared" ca="1" si="278"/>
        <v>75</v>
      </c>
      <c r="F1055" s="22"/>
      <c r="G1055" s="26">
        <f t="shared" ca="1" si="260"/>
        <v>0.79393552106916754</v>
      </c>
      <c r="H1055" s="29">
        <f t="shared" ca="1" si="279"/>
        <v>228</v>
      </c>
      <c r="J1055" s="22">
        <v>45600</v>
      </c>
      <c r="K1055" s="26">
        <f t="shared" ca="1" si="261"/>
        <v>0.77632512427370015</v>
      </c>
      <c r="L1055" s="29">
        <f t="shared" ca="1" si="280"/>
        <v>158</v>
      </c>
      <c r="N1055" s="22">
        <v>45600</v>
      </c>
      <c r="O1055" s="26">
        <f t="shared" ca="1" si="262"/>
        <v>0.15336199535135642</v>
      </c>
      <c r="P1055" s="29">
        <f t="shared" ca="1" si="281"/>
        <v>214</v>
      </c>
      <c r="R1055" s="22">
        <v>45600</v>
      </c>
      <c r="S1055" s="26">
        <f t="shared" ca="1" si="263"/>
        <v>0.60410834586578899</v>
      </c>
      <c r="T1055" s="29">
        <f t="shared" ca="1" si="282"/>
        <v>142</v>
      </c>
      <c r="V1055" s="22">
        <v>45600</v>
      </c>
      <c r="W1055" s="26">
        <f t="shared" ca="1" si="264"/>
        <v>0.62149227087755832</v>
      </c>
      <c r="X1055" s="29">
        <f t="shared" ca="1" si="283"/>
        <v>230</v>
      </c>
      <c r="Z1055" s="22">
        <v>45600</v>
      </c>
      <c r="AA1055" s="26">
        <f t="shared" ca="1" si="265"/>
        <v>0.46211722863656091</v>
      </c>
      <c r="AB1055" s="29">
        <f t="shared" ca="1" si="284"/>
        <v>269</v>
      </c>
      <c r="AC1055"/>
      <c r="AD1055" s="25"/>
      <c r="AF1055" s="22">
        <v>45600</v>
      </c>
      <c r="AG1055" s="26">
        <f t="shared" ca="1" si="266"/>
        <v>0.33296614875767416</v>
      </c>
      <c r="AH1055" s="29">
        <f t="shared" ca="1" si="285"/>
        <v>290</v>
      </c>
      <c r="AJ1055" s="22">
        <v>45600</v>
      </c>
      <c r="AK1055" s="26">
        <f t="shared" ca="1" si="267"/>
        <v>7.8941529665916943E-2</v>
      </c>
      <c r="AL1055" s="29">
        <f t="shared" ca="1" si="286"/>
        <v>113</v>
      </c>
      <c r="AN1055" s="22">
        <v>45600</v>
      </c>
      <c r="AO1055" s="26">
        <f t="shared" ca="1" si="268"/>
        <v>0.81089115376527132</v>
      </c>
      <c r="AP1055" s="29">
        <f t="shared" ca="1" si="287"/>
        <v>182</v>
      </c>
      <c r="AR1055" s="22">
        <v>45600</v>
      </c>
      <c r="AS1055" s="26">
        <f t="shared" ca="1" si="269"/>
        <v>0.69745601972144677</v>
      </c>
      <c r="AT1055" s="29">
        <f t="shared" ca="1" si="288"/>
        <v>247</v>
      </c>
      <c r="AV1055" s="22">
        <v>45600</v>
      </c>
      <c r="AW1055" s="26">
        <f t="shared" ca="1" si="270"/>
        <v>0.5294522302864253</v>
      </c>
      <c r="AX1055" s="29">
        <f t="shared" ca="1" si="289"/>
        <v>196</v>
      </c>
      <c r="AZ1055" s="22">
        <v>45600</v>
      </c>
      <c r="BA1055" s="26">
        <f t="shared" ca="1" si="271"/>
        <v>0.38398456783487567</v>
      </c>
      <c r="BB1055" s="29">
        <f t="shared" ca="1" si="290"/>
        <v>166</v>
      </c>
      <c r="BC1055"/>
      <c r="BD1055" s="25"/>
      <c r="BF1055" s="22">
        <v>45600</v>
      </c>
      <c r="BG1055" s="26">
        <f t="shared" ca="1" si="272"/>
        <v>0.89010396778660794</v>
      </c>
      <c r="BH1055" s="29">
        <f t="shared" ca="1" si="291"/>
        <v>212</v>
      </c>
      <c r="BJ1055" s="22">
        <v>45600</v>
      </c>
      <c r="BK1055" s="26">
        <f t="shared" ca="1" si="273"/>
        <v>0.57882343816021764</v>
      </c>
      <c r="BL1055" s="29">
        <f t="shared" ca="1" si="292"/>
        <v>174</v>
      </c>
      <c r="BN1055" s="22">
        <v>45600</v>
      </c>
      <c r="BO1055" s="26">
        <f t="shared" ca="1" si="274"/>
        <v>0.69059247038746474</v>
      </c>
      <c r="BP1055" s="29">
        <f t="shared" ca="1" si="293"/>
        <v>149</v>
      </c>
      <c r="BR1055" s="22">
        <v>45600</v>
      </c>
      <c r="BS1055" s="26">
        <f t="shared" ca="1" si="275"/>
        <v>0.55182022811359155</v>
      </c>
      <c r="BT1055" s="29">
        <f t="shared" ca="1" si="294"/>
        <v>180</v>
      </c>
      <c r="BV1055" s="22">
        <v>45600</v>
      </c>
      <c r="BW1055" s="26">
        <f t="shared" ca="1" si="276"/>
        <v>0.77774662872228006</v>
      </c>
      <c r="BX1055" s="29">
        <f t="shared" ca="1" si="295"/>
        <v>221</v>
      </c>
    </row>
    <row r="1056" spans="2:77" ht="15.75" customHeight="1" x14ac:dyDescent="0.2">
      <c r="B1056" s="22">
        <v>45601</v>
      </c>
      <c r="C1056" s="26">
        <f t="shared" ca="1" si="277"/>
        <v>0.62513027199974069</v>
      </c>
      <c r="D1056" s="29">
        <f t="shared" ca="1" si="278"/>
        <v>82</v>
      </c>
      <c r="F1056" s="22"/>
      <c r="G1056" s="26">
        <f t="shared" ca="1" si="260"/>
        <v>0.96830196446539629</v>
      </c>
      <c r="H1056" s="29">
        <f t="shared" ca="1" si="279"/>
        <v>243</v>
      </c>
      <c r="J1056" s="22">
        <v>45601</v>
      </c>
      <c r="K1056" s="26">
        <f t="shared" ca="1" si="261"/>
        <v>7.2681239189862135E-2</v>
      </c>
      <c r="L1056" s="29">
        <f t="shared" ca="1" si="280"/>
        <v>136</v>
      </c>
      <c r="N1056" s="22">
        <v>45601</v>
      </c>
      <c r="O1056" s="26">
        <f t="shared" ca="1" si="262"/>
        <v>0.117429285514978</v>
      </c>
      <c r="P1056" s="29">
        <f t="shared" ca="1" si="281"/>
        <v>212</v>
      </c>
      <c r="R1056" s="22">
        <v>45601</v>
      </c>
      <c r="S1056" s="26">
        <f t="shared" ca="1" si="263"/>
        <v>0.85611050573589997</v>
      </c>
      <c r="T1056" s="29">
        <f t="shared" ca="1" si="282"/>
        <v>149</v>
      </c>
      <c r="V1056" s="22">
        <v>45601</v>
      </c>
      <c r="W1056" s="26">
        <f t="shared" ca="1" si="264"/>
        <v>0.44624820406224797</v>
      </c>
      <c r="X1056" s="29">
        <f t="shared" ca="1" si="283"/>
        <v>223</v>
      </c>
      <c r="Z1056" s="22">
        <v>45601</v>
      </c>
      <c r="AA1056" s="26">
        <f t="shared" ca="1" si="265"/>
        <v>0.77513438840310012</v>
      </c>
      <c r="AB1056" s="29">
        <f t="shared" ca="1" si="284"/>
        <v>284</v>
      </c>
      <c r="AC1056"/>
      <c r="AD1056" s="25"/>
      <c r="AF1056" s="22">
        <v>45601</v>
      </c>
      <c r="AG1056" s="26">
        <f t="shared" ca="1" si="266"/>
        <v>0.26172524954073861</v>
      </c>
      <c r="AH1056" s="29">
        <f t="shared" ca="1" si="285"/>
        <v>272</v>
      </c>
      <c r="AJ1056" s="22">
        <v>45601</v>
      </c>
      <c r="AK1056" s="26">
        <f t="shared" ca="1" si="267"/>
        <v>0.23522797402763607</v>
      </c>
      <c r="AL1056" s="29">
        <f t="shared" ca="1" si="286"/>
        <v>146</v>
      </c>
      <c r="AN1056" s="22">
        <v>45601</v>
      </c>
      <c r="AO1056" s="26">
        <f t="shared" ca="1" si="268"/>
        <v>0.85091822317918053</v>
      </c>
      <c r="AP1056" s="29">
        <f t="shared" ca="1" si="287"/>
        <v>188</v>
      </c>
      <c r="AR1056" s="22">
        <v>45601</v>
      </c>
      <c r="AS1056" s="26">
        <f t="shared" ca="1" si="269"/>
        <v>0.65383905998040059</v>
      </c>
      <c r="AT1056" s="29">
        <f t="shared" ca="1" si="288"/>
        <v>240</v>
      </c>
      <c r="AV1056" s="22">
        <v>45601</v>
      </c>
      <c r="AW1056" s="26">
        <f t="shared" ca="1" si="270"/>
        <v>9.9109914322838555E-2</v>
      </c>
      <c r="AX1056" s="29">
        <f t="shared" ca="1" si="289"/>
        <v>126</v>
      </c>
      <c r="AZ1056" s="22">
        <v>45601</v>
      </c>
      <c r="BA1056" s="26">
        <f t="shared" ca="1" si="271"/>
        <v>0.69004037599102741</v>
      </c>
      <c r="BB1056" s="29">
        <f t="shared" ca="1" si="290"/>
        <v>204</v>
      </c>
      <c r="BC1056"/>
      <c r="BD1056" s="25"/>
      <c r="BF1056" s="22">
        <v>45601</v>
      </c>
      <c r="BG1056" s="26">
        <f t="shared" ca="1" si="272"/>
        <v>0.30741233823844316</v>
      </c>
      <c r="BH1056" s="29">
        <f t="shared" ca="1" si="291"/>
        <v>139</v>
      </c>
      <c r="BJ1056" s="22">
        <v>45601</v>
      </c>
      <c r="BK1056" s="26">
        <f t="shared" ca="1" si="273"/>
        <v>0.79047403690573648</v>
      </c>
      <c r="BL1056" s="29">
        <f t="shared" ca="1" si="292"/>
        <v>201</v>
      </c>
      <c r="BN1056" s="22">
        <v>45601</v>
      </c>
      <c r="BO1056" s="26">
        <f t="shared" ca="1" si="274"/>
        <v>0.50596420582121926</v>
      </c>
      <c r="BP1056" s="29">
        <f t="shared" ca="1" si="293"/>
        <v>132</v>
      </c>
      <c r="BR1056" s="22">
        <v>45601</v>
      </c>
      <c r="BS1056" s="26">
        <f t="shared" ca="1" si="275"/>
        <v>0.50879139574162191</v>
      </c>
      <c r="BT1056" s="29">
        <f t="shared" ca="1" si="294"/>
        <v>175</v>
      </c>
      <c r="BV1056" s="22">
        <v>45601</v>
      </c>
      <c r="BW1056" s="26">
        <f t="shared" ca="1" si="276"/>
        <v>0.4066801608598094</v>
      </c>
      <c r="BX1056" s="29">
        <f t="shared" ca="1" si="295"/>
        <v>172</v>
      </c>
    </row>
    <row r="1057" spans="2:76" ht="15.75" customHeight="1" x14ac:dyDescent="0.2">
      <c r="B1057" s="22">
        <v>45602</v>
      </c>
      <c r="C1057" s="26">
        <f t="shared" ca="1" si="277"/>
        <v>6.3734217986343045E-2</v>
      </c>
      <c r="D1057" s="29">
        <f t="shared" ca="1" si="278"/>
        <v>45</v>
      </c>
      <c r="F1057" s="22"/>
      <c r="G1057" s="26">
        <f t="shared" ca="1" si="260"/>
        <v>0.59552180959550094</v>
      </c>
      <c r="H1057" s="29">
        <f t="shared" ca="1" si="279"/>
        <v>219</v>
      </c>
      <c r="J1057" s="22">
        <v>45602</v>
      </c>
      <c r="K1057" s="26">
        <f t="shared" ca="1" si="261"/>
        <v>0.13083107825221085</v>
      </c>
      <c r="L1057" s="29">
        <f t="shared" ca="1" si="280"/>
        <v>139</v>
      </c>
      <c r="N1057" s="22">
        <v>45602</v>
      </c>
      <c r="O1057" s="26">
        <f t="shared" ca="1" si="262"/>
        <v>0.80876746237612274</v>
      </c>
      <c r="P1057" s="29">
        <f t="shared" ca="1" si="281"/>
        <v>243</v>
      </c>
      <c r="R1057" s="22">
        <v>45602</v>
      </c>
      <c r="S1057" s="26">
        <f t="shared" ca="1" si="263"/>
        <v>0.84631691873960502</v>
      </c>
      <c r="T1057" s="29">
        <f t="shared" ca="1" si="282"/>
        <v>149</v>
      </c>
      <c r="V1057" s="22">
        <v>45602</v>
      </c>
      <c r="W1057" s="26">
        <f t="shared" ca="1" si="264"/>
        <v>2.0445977474336741E-2</v>
      </c>
      <c r="X1057" s="29">
        <f t="shared" ca="1" si="283"/>
        <v>195</v>
      </c>
      <c r="Z1057" s="22">
        <v>45602</v>
      </c>
      <c r="AA1057" s="26">
        <f t="shared" ca="1" si="265"/>
        <v>0.14858477137666293</v>
      </c>
      <c r="AB1057" s="29">
        <f t="shared" ca="1" si="284"/>
        <v>252</v>
      </c>
      <c r="AC1057"/>
      <c r="AD1057" s="25"/>
      <c r="AF1057" s="22">
        <v>45602</v>
      </c>
      <c r="AG1057" s="26">
        <f t="shared" ca="1" si="266"/>
        <v>0.79051277468809267</v>
      </c>
      <c r="AH1057" s="29">
        <f t="shared" ca="1" si="285"/>
        <v>398</v>
      </c>
      <c r="AJ1057" s="22">
        <v>45602</v>
      </c>
      <c r="AK1057" s="26">
        <f t="shared" ca="1" si="267"/>
        <v>0.23371195183746341</v>
      </c>
      <c r="AL1057" s="29">
        <f t="shared" ca="1" si="286"/>
        <v>145</v>
      </c>
      <c r="AN1057" s="22">
        <v>45602</v>
      </c>
      <c r="AO1057" s="26">
        <f t="shared" ca="1" si="268"/>
        <v>0.5626653767690617</v>
      </c>
      <c r="AP1057" s="29">
        <f t="shared" ca="1" si="287"/>
        <v>154</v>
      </c>
      <c r="AR1057" s="22">
        <v>45602</v>
      </c>
      <c r="AS1057" s="26">
        <f t="shared" ca="1" si="269"/>
        <v>0.99896377205911968</v>
      </c>
      <c r="AT1057" s="29">
        <f t="shared" ca="1" si="288"/>
        <v>395</v>
      </c>
      <c r="AV1057" s="22">
        <v>45602</v>
      </c>
      <c r="AW1057" s="26">
        <f t="shared" ca="1" si="270"/>
        <v>0.15924137123125626</v>
      </c>
      <c r="AX1057" s="29">
        <f t="shared" ca="1" si="289"/>
        <v>141</v>
      </c>
      <c r="AZ1057" s="22">
        <v>45602</v>
      </c>
      <c r="BA1057" s="26">
        <f t="shared" ca="1" si="271"/>
        <v>0.61702882845917295</v>
      </c>
      <c r="BB1057" s="29">
        <f t="shared" ca="1" si="290"/>
        <v>195</v>
      </c>
      <c r="BC1057"/>
      <c r="BD1057" s="25"/>
      <c r="BF1057" s="22">
        <v>45602</v>
      </c>
      <c r="BG1057" s="26">
        <f t="shared" ca="1" si="272"/>
        <v>0.2184107725899338</v>
      </c>
      <c r="BH1057" s="29">
        <f t="shared" ca="1" si="291"/>
        <v>127</v>
      </c>
      <c r="BJ1057" s="22">
        <v>45602</v>
      </c>
      <c r="BK1057" s="26">
        <f t="shared" ca="1" si="273"/>
        <v>3.519627157402383E-2</v>
      </c>
      <c r="BL1057" s="29">
        <f t="shared" ca="1" si="292"/>
        <v>86</v>
      </c>
      <c r="BN1057" s="22">
        <v>45602</v>
      </c>
      <c r="BO1057" s="26">
        <f t="shared" ca="1" si="274"/>
        <v>0.67323221102612285</v>
      </c>
      <c r="BP1057" s="29">
        <f t="shared" ca="1" si="293"/>
        <v>147</v>
      </c>
      <c r="BR1057" s="22">
        <v>45602</v>
      </c>
      <c r="BS1057" s="26">
        <f t="shared" ca="1" si="275"/>
        <v>2.4004600107102814E-2</v>
      </c>
      <c r="BT1057" s="29">
        <f t="shared" ca="1" si="294"/>
        <v>83</v>
      </c>
      <c r="BV1057" s="22">
        <v>45602</v>
      </c>
      <c r="BW1057" s="26">
        <f t="shared" ca="1" si="276"/>
        <v>0.66374285993411397</v>
      </c>
      <c r="BX1057" s="29">
        <f t="shared" ca="1" si="295"/>
        <v>205</v>
      </c>
    </row>
    <row r="1058" spans="2:76" ht="15.75" customHeight="1" x14ac:dyDescent="0.2">
      <c r="B1058" s="22">
        <v>45603</v>
      </c>
      <c r="C1058" s="26">
        <f t="shared" ca="1" si="277"/>
        <v>8.1569144252772174E-3</v>
      </c>
      <c r="D1058" s="29">
        <f t="shared" ca="1" si="278"/>
        <v>27</v>
      </c>
      <c r="F1058" s="22"/>
      <c r="G1058" s="26">
        <f t="shared" ref="G1058:G1112" ca="1" si="296">RAND()</f>
        <v>0.51540408960958484</v>
      </c>
      <c r="H1058" s="29">
        <f t="shared" ca="1" si="279"/>
        <v>216</v>
      </c>
      <c r="J1058" s="22">
        <v>45603</v>
      </c>
      <c r="K1058" s="26">
        <f t="shared" ref="K1058:K1112" ca="1" si="297">RAND()</f>
        <v>4.7387751705017522E-2</v>
      </c>
      <c r="L1058" s="29">
        <f t="shared" ca="1" si="280"/>
        <v>134</v>
      </c>
      <c r="N1058" s="22">
        <v>45603</v>
      </c>
      <c r="O1058" s="26">
        <f t="shared" ref="O1058:O1112" ca="1" si="298">RAND()</f>
        <v>0.23414845046997967</v>
      </c>
      <c r="P1058" s="29">
        <f t="shared" ca="1" si="281"/>
        <v>219</v>
      </c>
      <c r="R1058" s="22">
        <v>45603</v>
      </c>
      <c r="S1058" s="26">
        <f t="shared" ref="S1058:S1112" ca="1" si="299">RAND()</f>
        <v>0.10368141515077001</v>
      </c>
      <c r="T1058" s="29">
        <f t="shared" ca="1" si="282"/>
        <v>128</v>
      </c>
      <c r="V1058" s="22">
        <v>45603</v>
      </c>
      <c r="W1058" s="26">
        <f t="shared" ref="W1058:W1112" ca="1" si="300">RAND()</f>
        <v>0.24369322753488054</v>
      </c>
      <c r="X1058" s="29">
        <f t="shared" ca="1" si="283"/>
        <v>215</v>
      </c>
      <c r="Z1058" s="22">
        <v>45603</v>
      </c>
      <c r="AA1058" s="26">
        <f t="shared" ref="AA1058:AA1112" ca="1" si="301">RAND()</f>
        <v>9.7272334420786311E-2</v>
      </c>
      <c r="AB1058" s="29">
        <f t="shared" ca="1" si="284"/>
        <v>247</v>
      </c>
      <c r="AC1058"/>
      <c r="AD1058" s="25"/>
      <c r="AF1058" s="22">
        <v>45603</v>
      </c>
      <c r="AG1058" s="26">
        <f t="shared" ref="AG1058:AG1112" ca="1" si="302">RAND()</f>
        <v>0.67061948425403306</v>
      </c>
      <c r="AH1058" s="29">
        <f t="shared" ca="1" si="285"/>
        <v>366</v>
      </c>
      <c r="AJ1058" s="22">
        <v>45603</v>
      </c>
      <c r="AK1058" s="26">
        <f t="shared" ref="AK1058:AK1112" ca="1" si="303">RAND()</f>
        <v>0.96100333789590742</v>
      </c>
      <c r="AL1058" s="29">
        <f t="shared" ca="1" si="286"/>
        <v>265</v>
      </c>
      <c r="AN1058" s="22">
        <v>45603</v>
      </c>
      <c r="AO1058" s="26">
        <f t="shared" ref="AO1058:AO1112" ca="1" si="304">RAND()</f>
        <v>0.69113786907529284</v>
      </c>
      <c r="AP1058" s="29">
        <f t="shared" ca="1" si="287"/>
        <v>167</v>
      </c>
      <c r="AR1058" s="22">
        <v>45603</v>
      </c>
      <c r="AS1058" s="26">
        <f t="shared" ref="AS1058:AS1112" ca="1" si="305">RAND()</f>
        <v>0.3107085538408455</v>
      </c>
      <c r="AT1058" s="29">
        <f t="shared" ca="1" si="288"/>
        <v>189</v>
      </c>
      <c r="AV1058" s="22">
        <v>45603</v>
      </c>
      <c r="AW1058" s="26">
        <f t="shared" ref="AW1058:AW1112" ca="1" si="306">RAND()</f>
        <v>0.19742487017585619</v>
      </c>
      <c r="AX1058" s="29">
        <f t="shared" ca="1" si="289"/>
        <v>149</v>
      </c>
      <c r="AZ1058" s="22">
        <v>45603</v>
      </c>
      <c r="BA1058" s="26">
        <f t="shared" ref="BA1058:BA1112" ca="1" si="307">RAND()</f>
        <v>0.83588192239497128</v>
      </c>
      <c r="BB1058" s="29">
        <f t="shared" ca="1" si="290"/>
        <v>227</v>
      </c>
      <c r="BC1058"/>
      <c r="BD1058" s="25"/>
      <c r="BF1058" s="22">
        <v>45603</v>
      </c>
      <c r="BG1058" s="26">
        <f t="shared" ref="BG1058:BG1112" ca="1" si="308">RAND()</f>
        <v>0.77467296645808426</v>
      </c>
      <c r="BH1058" s="29">
        <f t="shared" ca="1" si="291"/>
        <v>192</v>
      </c>
      <c r="BJ1058" s="22">
        <v>45603</v>
      </c>
      <c r="BK1058" s="26">
        <f t="shared" ref="BK1058:BK1112" ca="1" si="309">RAND()</f>
        <v>0.37674550754274083</v>
      </c>
      <c r="BL1058" s="29">
        <f t="shared" ca="1" si="292"/>
        <v>151</v>
      </c>
      <c r="BN1058" s="22">
        <v>45603</v>
      </c>
      <c r="BO1058" s="26">
        <f t="shared" ref="BO1058:BO1112" ca="1" si="310">RAND()</f>
        <v>0.45035803119933704</v>
      </c>
      <c r="BP1058" s="29">
        <f t="shared" ca="1" si="293"/>
        <v>127</v>
      </c>
      <c r="BR1058" s="22">
        <v>45603</v>
      </c>
      <c r="BS1058" s="26">
        <f t="shared" ref="BS1058:BS1112" ca="1" si="311">RAND()</f>
        <v>0.65240236010040198</v>
      </c>
      <c r="BT1058" s="29">
        <f t="shared" ca="1" si="294"/>
        <v>192</v>
      </c>
      <c r="BV1058" s="22">
        <v>45603</v>
      </c>
      <c r="BW1058" s="26">
        <f t="shared" ref="BW1058:BW1112" ca="1" si="312">RAND()</f>
        <v>0.80531968544113763</v>
      </c>
      <c r="BX1058" s="29">
        <f t="shared" ca="1" si="295"/>
        <v>226</v>
      </c>
    </row>
    <row r="1059" spans="2:76" ht="15.75" customHeight="1" x14ac:dyDescent="0.2">
      <c r="B1059" s="22">
        <v>45604</v>
      </c>
      <c r="C1059" s="26">
        <f t="shared" ca="1" si="277"/>
        <v>0.54881690165838704</v>
      </c>
      <c r="D1059" s="29">
        <f t="shared" ca="1" si="278"/>
        <v>78</v>
      </c>
      <c r="F1059" s="22"/>
      <c r="G1059" s="26">
        <f t="shared" ca="1" si="296"/>
        <v>0.25686088328593115</v>
      </c>
      <c r="H1059" s="29">
        <f t="shared" ca="1" si="279"/>
        <v>207</v>
      </c>
      <c r="J1059" s="22">
        <v>45604</v>
      </c>
      <c r="K1059" s="26">
        <f t="shared" ca="1" si="297"/>
        <v>0.51792226950508014</v>
      </c>
      <c r="L1059" s="29">
        <f t="shared" ca="1" si="280"/>
        <v>151</v>
      </c>
      <c r="N1059" s="22">
        <v>45604</v>
      </c>
      <c r="O1059" s="26">
        <f t="shared" ca="1" si="298"/>
        <v>0.11332374097718001</v>
      </c>
      <c r="P1059" s="29">
        <f t="shared" ca="1" si="281"/>
        <v>211</v>
      </c>
      <c r="R1059" s="22">
        <v>45604</v>
      </c>
      <c r="S1059" s="26">
        <f t="shared" ca="1" si="299"/>
        <v>0.11941666998460243</v>
      </c>
      <c r="T1059" s="29">
        <f t="shared" ca="1" si="282"/>
        <v>128</v>
      </c>
      <c r="V1059" s="22">
        <v>45604</v>
      </c>
      <c r="W1059" s="26">
        <f t="shared" ca="1" si="300"/>
        <v>4.5732747084408221E-3</v>
      </c>
      <c r="X1059" s="29">
        <f t="shared" ca="1" si="283"/>
        <v>186</v>
      </c>
      <c r="Z1059" s="22">
        <v>45604</v>
      </c>
      <c r="AA1059" s="26">
        <f t="shared" ca="1" si="301"/>
        <v>1.6906962233096179E-2</v>
      </c>
      <c r="AB1059" s="29">
        <f t="shared" ca="1" si="284"/>
        <v>232</v>
      </c>
      <c r="AC1059"/>
      <c r="AD1059" s="25"/>
      <c r="AF1059" s="22">
        <v>45604</v>
      </c>
      <c r="AG1059" s="26">
        <f t="shared" ca="1" si="302"/>
        <v>0.11590668909513724</v>
      </c>
      <c r="AH1059" s="29">
        <f t="shared" ca="1" si="285"/>
        <v>223</v>
      </c>
      <c r="AJ1059" s="22">
        <v>45604</v>
      </c>
      <c r="AK1059" s="26">
        <f t="shared" ca="1" si="303"/>
        <v>1.3550842097468374E-2</v>
      </c>
      <c r="AL1059" s="29">
        <f t="shared" ca="1" si="286"/>
        <v>74</v>
      </c>
      <c r="AN1059" s="22">
        <v>45604</v>
      </c>
      <c r="AO1059" s="26">
        <f t="shared" ca="1" si="304"/>
        <v>0.83296671115498078</v>
      </c>
      <c r="AP1059" s="29">
        <f t="shared" ca="1" si="287"/>
        <v>186</v>
      </c>
      <c r="AR1059" s="22">
        <v>45604</v>
      </c>
      <c r="AS1059" s="26">
        <f t="shared" ca="1" si="305"/>
        <v>0.48641106036368631</v>
      </c>
      <c r="AT1059" s="29">
        <f t="shared" ca="1" si="288"/>
        <v>215</v>
      </c>
      <c r="AV1059" s="22">
        <v>45604</v>
      </c>
      <c r="AW1059" s="26">
        <f t="shared" ca="1" si="306"/>
        <v>0.52641078241804418</v>
      </c>
      <c r="AX1059" s="29">
        <f t="shared" ca="1" si="289"/>
        <v>196</v>
      </c>
      <c r="AZ1059" s="22">
        <v>45604</v>
      </c>
      <c r="BA1059" s="26">
        <f t="shared" ca="1" si="307"/>
        <v>0.88995494952526943</v>
      </c>
      <c r="BB1059" s="29">
        <f t="shared" ca="1" si="290"/>
        <v>239</v>
      </c>
      <c r="BC1059"/>
      <c r="BD1059" s="25"/>
      <c r="BF1059" s="22">
        <v>45604</v>
      </c>
      <c r="BG1059" s="26">
        <f t="shared" ca="1" si="308"/>
        <v>0.84729513768042941</v>
      </c>
      <c r="BH1059" s="29">
        <f t="shared" ca="1" si="291"/>
        <v>204</v>
      </c>
      <c r="BJ1059" s="22">
        <v>45604</v>
      </c>
      <c r="BK1059" s="26">
        <f t="shared" ca="1" si="309"/>
        <v>0.7718179822413842</v>
      </c>
      <c r="BL1059" s="29">
        <f t="shared" ca="1" si="292"/>
        <v>198</v>
      </c>
      <c r="BN1059" s="22">
        <v>45604</v>
      </c>
      <c r="BO1059" s="26">
        <f t="shared" ca="1" si="310"/>
        <v>0.22302981809858935</v>
      </c>
      <c r="BP1059" s="29">
        <f t="shared" ca="1" si="293"/>
        <v>105</v>
      </c>
      <c r="BR1059" s="22">
        <v>45604</v>
      </c>
      <c r="BS1059" s="26">
        <f t="shared" ca="1" si="311"/>
        <v>0.21228943217116081</v>
      </c>
      <c r="BT1059" s="29">
        <f t="shared" ca="1" si="294"/>
        <v>137</v>
      </c>
      <c r="BV1059" s="22">
        <v>45604</v>
      </c>
      <c r="BW1059" s="26">
        <f t="shared" ca="1" si="312"/>
        <v>0.99274673742778496</v>
      </c>
      <c r="BX1059" s="29">
        <f t="shared" ca="1" si="295"/>
        <v>304</v>
      </c>
    </row>
    <row r="1060" spans="2:76" ht="15.75" customHeight="1" x14ac:dyDescent="0.2">
      <c r="B1060" s="22">
        <v>45605</v>
      </c>
      <c r="C1060" s="26">
        <f t="shared" ca="1" si="277"/>
        <v>0.26063161438127014</v>
      </c>
      <c r="D1060" s="29">
        <f t="shared" ca="1" si="278"/>
        <v>63</v>
      </c>
      <c r="F1060" s="22"/>
      <c r="G1060" s="26">
        <f t="shared" ca="1" si="296"/>
        <v>0.42321388671309856</v>
      </c>
      <c r="H1060" s="29">
        <f t="shared" ca="1" si="279"/>
        <v>213</v>
      </c>
      <c r="J1060" s="22">
        <v>45605</v>
      </c>
      <c r="K1060" s="26">
        <f t="shared" ca="1" si="297"/>
        <v>0.77428202686727099</v>
      </c>
      <c r="L1060" s="29">
        <f t="shared" ca="1" si="280"/>
        <v>158</v>
      </c>
      <c r="N1060" s="22">
        <v>45605</v>
      </c>
      <c r="O1060" s="26">
        <f t="shared" ca="1" si="298"/>
        <v>0.26499317376936837</v>
      </c>
      <c r="P1060" s="29">
        <f t="shared" ca="1" si="281"/>
        <v>220</v>
      </c>
      <c r="R1060" s="22">
        <v>45605</v>
      </c>
      <c r="S1060" s="26">
        <f t="shared" ca="1" si="299"/>
        <v>0.44420651815444512</v>
      </c>
      <c r="T1060" s="29">
        <f t="shared" ca="1" si="282"/>
        <v>138</v>
      </c>
      <c r="V1060" s="22">
        <v>45605</v>
      </c>
      <c r="W1060" s="26">
        <f t="shared" ca="1" si="300"/>
        <v>0.7674152907428784</v>
      </c>
      <c r="X1060" s="29">
        <f t="shared" ca="1" si="283"/>
        <v>236</v>
      </c>
      <c r="Z1060" s="22">
        <v>45605</v>
      </c>
      <c r="AA1060" s="26">
        <f t="shared" ca="1" si="301"/>
        <v>0.21438350768773018</v>
      </c>
      <c r="AB1060" s="29">
        <f t="shared" ca="1" si="284"/>
        <v>256</v>
      </c>
      <c r="AC1060"/>
      <c r="AD1060" s="25"/>
      <c r="AF1060" s="22">
        <v>45605</v>
      </c>
      <c r="AG1060" s="26">
        <f t="shared" ca="1" si="302"/>
        <v>0.4631033430504623</v>
      </c>
      <c r="AH1060" s="29">
        <f t="shared" ca="1" si="285"/>
        <v>319</v>
      </c>
      <c r="AJ1060" s="22">
        <v>45605</v>
      </c>
      <c r="AK1060" s="26">
        <f t="shared" ca="1" si="303"/>
        <v>0.14652209174864583</v>
      </c>
      <c r="AL1060" s="29">
        <f t="shared" ca="1" si="286"/>
        <v>130</v>
      </c>
      <c r="AN1060" s="22">
        <v>45605</v>
      </c>
      <c r="AO1060" s="26">
        <f t="shared" ca="1" si="304"/>
        <v>0.48489236430017324</v>
      </c>
      <c r="AP1060" s="29">
        <f t="shared" ca="1" si="287"/>
        <v>146</v>
      </c>
      <c r="AR1060" s="22">
        <v>45605</v>
      </c>
      <c r="AS1060" s="26">
        <f t="shared" ca="1" si="305"/>
        <v>0.36555506651829972</v>
      </c>
      <c r="AT1060" s="29">
        <f t="shared" ca="1" si="288"/>
        <v>197</v>
      </c>
      <c r="AV1060" s="22">
        <v>45605</v>
      </c>
      <c r="AW1060" s="26">
        <f t="shared" ca="1" si="306"/>
        <v>0.55557411981085458</v>
      </c>
      <c r="AX1060" s="29">
        <f t="shared" ca="1" si="289"/>
        <v>199</v>
      </c>
      <c r="AZ1060" s="22">
        <v>45605</v>
      </c>
      <c r="BA1060" s="26">
        <f t="shared" ca="1" si="307"/>
        <v>0.34202037088319859</v>
      </c>
      <c r="BB1060" s="29">
        <f t="shared" ca="1" si="290"/>
        <v>161</v>
      </c>
      <c r="BC1060"/>
      <c r="BD1060" s="25"/>
      <c r="BF1060" s="22">
        <v>45605</v>
      </c>
      <c r="BG1060" s="26">
        <f t="shared" ca="1" si="308"/>
        <v>0.68886383238541371</v>
      </c>
      <c r="BH1060" s="29">
        <f t="shared" ca="1" si="291"/>
        <v>181</v>
      </c>
      <c r="BJ1060" s="22">
        <v>45605</v>
      </c>
      <c r="BK1060" s="26">
        <f t="shared" ca="1" si="309"/>
        <v>0.12737861110296977</v>
      </c>
      <c r="BL1060" s="29">
        <f t="shared" ca="1" si="292"/>
        <v>115</v>
      </c>
      <c r="BN1060" s="22">
        <v>45605</v>
      </c>
      <c r="BO1060" s="26">
        <f t="shared" ca="1" si="310"/>
        <v>2.6801041182166419E-2</v>
      </c>
      <c r="BP1060" s="29">
        <f t="shared" ca="1" si="293"/>
        <v>64</v>
      </c>
      <c r="BR1060" s="22">
        <v>45605</v>
      </c>
      <c r="BS1060" s="26">
        <f t="shared" ca="1" si="311"/>
        <v>8.6031833297440796E-2</v>
      </c>
      <c r="BT1060" s="29">
        <f t="shared" ca="1" si="294"/>
        <v>111</v>
      </c>
      <c r="BV1060" s="22">
        <v>45605</v>
      </c>
      <c r="BW1060" s="26">
        <f t="shared" ca="1" si="312"/>
        <v>0.77469825754606625</v>
      </c>
      <c r="BX1060" s="29">
        <f t="shared" ca="1" si="295"/>
        <v>221</v>
      </c>
    </row>
    <row r="1061" spans="2:76" ht="15.75" customHeight="1" x14ac:dyDescent="0.2">
      <c r="B1061" s="22">
        <v>45606</v>
      </c>
      <c r="C1061" s="26">
        <f t="shared" ca="1" si="277"/>
        <v>6.9005438417723441E-2</v>
      </c>
      <c r="D1061" s="29">
        <f t="shared" ca="1" si="278"/>
        <v>46</v>
      </c>
      <c r="F1061" s="22"/>
      <c r="G1061" s="26">
        <f t="shared" ca="1" si="296"/>
        <v>0.67214923479240496</v>
      </c>
      <c r="H1061" s="29">
        <f t="shared" ca="1" si="279"/>
        <v>222</v>
      </c>
      <c r="J1061" s="22">
        <v>45606</v>
      </c>
      <c r="K1061" s="26">
        <f t="shared" ca="1" si="297"/>
        <v>1.8192674483133553E-2</v>
      </c>
      <c r="L1061" s="29">
        <f t="shared" ca="1" si="280"/>
        <v>130</v>
      </c>
      <c r="N1061" s="22">
        <v>45606</v>
      </c>
      <c r="O1061" s="26">
        <f t="shared" ca="1" si="298"/>
        <v>0.55727087780046369</v>
      </c>
      <c r="P1061" s="29">
        <f t="shared" ca="1" si="281"/>
        <v>232</v>
      </c>
      <c r="R1061" s="22">
        <v>45606</v>
      </c>
      <c r="S1061" s="26">
        <f t="shared" ca="1" si="299"/>
        <v>0.1267670654728098</v>
      </c>
      <c r="T1061" s="29">
        <f t="shared" ca="1" si="282"/>
        <v>129</v>
      </c>
      <c r="V1061" s="22">
        <v>45606</v>
      </c>
      <c r="W1061" s="26">
        <f t="shared" ca="1" si="300"/>
        <v>0.55037600004293241</v>
      </c>
      <c r="X1061" s="29">
        <f t="shared" ca="1" si="283"/>
        <v>227</v>
      </c>
      <c r="Z1061" s="22">
        <v>45606</v>
      </c>
      <c r="AA1061" s="26">
        <f t="shared" ca="1" si="301"/>
        <v>0.35286219855538514</v>
      </c>
      <c r="AB1061" s="29">
        <f t="shared" ca="1" si="284"/>
        <v>264</v>
      </c>
      <c r="AC1061"/>
      <c r="AD1061" s="25"/>
      <c r="AF1061" s="22">
        <v>45606</v>
      </c>
      <c r="AG1061" s="26">
        <f t="shared" ca="1" si="302"/>
        <v>0.98152465073245276</v>
      </c>
      <c r="AH1061" s="29">
        <f t="shared" ca="1" si="285"/>
        <v>509</v>
      </c>
      <c r="AJ1061" s="22">
        <v>45606</v>
      </c>
      <c r="AK1061" s="26">
        <f t="shared" ca="1" si="303"/>
        <v>0.91468009717695176</v>
      </c>
      <c r="AL1061" s="29">
        <f t="shared" ca="1" si="286"/>
        <v>246</v>
      </c>
      <c r="AN1061" s="22">
        <v>45606</v>
      </c>
      <c r="AO1061" s="26">
        <f t="shared" ca="1" si="304"/>
        <v>0.16450088934817264</v>
      </c>
      <c r="AP1061" s="29">
        <f t="shared" ca="1" si="287"/>
        <v>109</v>
      </c>
      <c r="AR1061" s="22">
        <v>45606</v>
      </c>
      <c r="AS1061" s="26">
        <f t="shared" ca="1" si="305"/>
        <v>0.49654114195695376</v>
      </c>
      <c r="AT1061" s="29">
        <f t="shared" ca="1" si="288"/>
        <v>217</v>
      </c>
      <c r="AV1061" s="22">
        <v>45606</v>
      </c>
      <c r="AW1061" s="26">
        <f t="shared" ca="1" si="306"/>
        <v>0.95553332243574773</v>
      </c>
      <c r="AX1061" s="29">
        <f t="shared" ca="1" si="289"/>
        <v>279</v>
      </c>
      <c r="AZ1061" s="22">
        <v>45606</v>
      </c>
      <c r="BA1061" s="26">
        <f t="shared" ca="1" si="307"/>
        <v>0.19316927053928068</v>
      </c>
      <c r="BB1061" s="29">
        <f t="shared" ca="1" si="290"/>
        <v>139</v>
      </c>
      <c r="BC1061"/>
      <c r="BD1061" s="25"/>
      <c r="BF1061" s="22">
        <v>45606</v>
      </c>
      <c r="BG1061" s="26">
        <f t="shared" ca="1" si="308"/>
        <v>0.13173396466870746</v>
      </c>
      <c r="BH1061" s="29">
        <f t="shared" ca="1" si="291"/>
        <v>113</v>
      </c>
      <c r="BJ1061" s="22">
        <v>45606</v>
      </c>
      <c r="BK1061" s="26">
        <f t="shared" ca="1" si="309"/>
        <v>0.32581395778471112</v>
      </c>
      <c r="BL1061" s="29">
        <f t="shared" ca="1" si="292"/>
        <v>145</v>
      </c>
      <c r="BN1061" s="22">
        <v>45606</v>
      </c>
      <c r="BO1061" s="26">
        <f t="shared" ca="1" si="310"/>
        <v>0.20674781780905038</v>
      </c>
      <c r="BP1061" s="29">
        <f t="shared" ca="1" si="293"/>
        <v>103</v>
      </c>
      <c r="BR1061" s="22">
        <v>45606</v>
      </c>
      <c r="BS1061" s="26">
        <f t="shared" ca="1" si="311"/>
        <v>0.19697323930169952</v>
      </c>
      <c r="BT1061" s="29">
        <f t="shared" ca="1" si="294"/>
        <v>135</v>
      </c>
      <c r="BV1061" s="22">
        <v>45606</v>
      </c>
      <c r="BW1061" s="26">
        <f t="shared" ca="1" si="312"/>
        <v>0.67078571171588863</v>
      </c>
      <c r="BX1061" s="29">
        <f t="shared" ca="1" si="295"/>
        <v>206</v>
      </c>
    </row>
    <row r="1062" spans="2:76" ht="15.75" customHeight="1" x14ac:dyDescent="0.2">
      <c r="B1062" s="22">
        <v>45607</v>
      </c>
      <c r="C1062" s="26">
        <f t="shared" ca="1" si="277"/>
        <v>6.4519926500619662E-2</v>
      </c>
      <c r="D1062" s="29">
        <f t="shared" ca="1" si="278"/>
        <v>45</v>
      </c>
      <c r="F1062" s="22"/>
      <c r="G1062" s="26">
        <f t="shared" ca="1" si="296"/>
        <v>0.32147984687807762</v>
      </c>
      <c r="H1062" s="29">
        <f t="shared" ca="1" si="279"/>
        <v>209</v>
      </c>
      <c r="J1062" s="22">
        <v>45607</v>
      </c>
      <c r="K1062" s="26">
        <f t="shared" ca="1" si="297"/>
        <v>0.25924696045459106</v>
      </c>
      <c r="L1062" s="29">
        <f t="shared" ca="1" si="280"/>
        <v>144</v>
      </c>
      <c r="N1062" s="22">
        <v>45607</v>
      </c>
      <c r="O1062" s="26">
        <f t="shared" ca="1" si="298"/>
        <v>0.4426125020380397</v>
      </c>
      <c r="P1062" s="29">
        <f t="shared" ca="1" si="281"/>
        <v>228</v>
      </c>
      <c r="R1062" s="22">
        <v>45607</v>
      </c>
      <c r="S1062" s="26">
        <f t="shared" ca="1" si="299"/>
        <v>0.82884172231063824</v>
      </c>
      <c r="T1062" s="29">
        <f t="shared" ca="1" si="282"/>
        <v>148</v>
      </c>
      <c r="V1062" s="22">
        <v>45607</v>
      </c>
      <c r="W1062" s="26">
        <f t="shared" ca="1" si="300"/>
        <v>0.51379039996324471</v>
      </c>
      <c r="X1062" s="29">
        <f t="shared" ca="1" si="283"/>
        <v>226</v>
      </c>
      <c r="Z1062" s="22">
        <v>45607</v>
      </c>
      <c r="AA1062" s="26">
        <f t="shared" ca="1" si="301"/>
        <v>0.78190417675469803</v>
      </c>
      <c r="AB1062" s="29">
        <f t="shared" ca="1" si="284"/>
        <v>285</v>
      </c>
      <c r="AC1062"/>
      <c r="AD1062" s="25"/>
      <c r="AF1062" s="22">
        <v>45607</v>
      </c>
      <c r="AG1062" s="26">
        <f t="shared" ca="1" si="302"/>
        <v>0.17384845819503436</v>
      </c>
      <c r="AH1062" s="29">
        <f t="shared" ca="1" si="285"/>
        <v>246</v>
      </c>
      <c r="AJ1062" s="22">
        <v>45607</v>
      </c>
      <c r="AK1062" s="26">
        <f t="shared" ca="1" si="303"/>
        <v>0.58531273661451222</v>
      </c>
      <c r="AL1062" s="29">
        <f t="shared" ca="1" si="286"/>
        <v>191</v>
      </c>
      <c r="AN1062" s="22">
        <v>45607</v>
      </c>
      <c r="AO1062" s="26">
        <f t="shared" ca="1" si="304"/>
        <v>0.40289659046651338</v>
      </c>
      <c r="AP1062" s="29">
        <f t="shared" ca="1" si="287"/>
        <v>138</v>
      </c>
      <c r="AR1062" s="22">
        <v>45607</v>
      </c>
      <c r="AS1062" s="26">
        <f t="shared" ca="1" si="305"/>
        <v>0.30953601657205232</v>
      </c>
      <c r="AT1062" s="29">
        <f t="shared" ca="1" si="288"/>
        <v>189</v>
      </c>
      <c r="AV1062" s="22">
        <v>45607</v>
      </c>
      <c r="AW1062" s="26">
        <f t="shared" ca="1" si="306"/>
        <v>0.53950597956257651</v>
      </c>
      <c r="AX1062" s="29">
        <f t="shared" ca="1" si="289"/>
        <v>197</v>
      </c>
      <c r="AZ1062" s="22">
        <v>45607</v>
      </c>
      <c r="BA1062" s="26">
        <f t="shared" ca="1" si="307"/>
        <v>0.10912138201003585</v>
      </c>
      <c r="BB1062" s="29">
        <f t="shared" ca="1" si="290"/>
        <v>121</v>
      </c>
      <c r="BC1062"/>
      <c r="BD1062" s="25"/>
      <c r="BF1062" s="22">
        <v>45607</v>
      </c>
      <c r="BG1062" s="26">
        <f t="shared" ca="1" si="308"/>
        <v>0.78363484146108808</v>
      </c>
      <c r="BH1062" s="29">
        <f t="shared" ca="1" si="291"/>
        <v>193</v>
      </c>
      <c r="BJ1062" s="22">
        <v>45607</v>
      </c>
      <c r="BK1062" s="26">
        <f t="shared" ca="1" si="309"/>
        <v>0.99047461758401323</v>
      </c>
      <c r="BL1062" s="29">
        <f t="shared" ca="1" si="292"/>
        <v>268</v>
      </c>
      <c r="BN1062" s="22">
        <v>45607</v>
      </c>
      <c r="BO1062" s="26">
        <f t="shared" ca="1" si="310"/>
        <v>0.81387216912074467</v>
      </c>
      <c r="BP1062" s="29">
        <f t="shared" ca="1" si="293"/>
        <v>163</v>
      </c>
      <c r="BR1062" s="22">
        <v>45607</v>
      </c>
      <c r="BS1062" s="26">
        <f t="shared" ca="1" si="311"/>
        <v>0.2994989868636091</v>
      </c>
      <c r="BT1062" s="29">
        <f t="shared" ca="1" si="294"/>
        <v>150</v>
      </c>
      <c r="BV1062" s="22">
        <v>45607</v>
      </c>
      <c r="BW1062" s="26">
        <f t="shared" ca="1" si="312"/>
        <v>0.53966468869432904</v>
      </c>
      <c r="BX1062" s="29">
        <f t="shared" ca="1" si="295"/>
        <v>189</v>
      </c>
    </row>
    <row r="1063" spans="2:76" ht="15.75" customHeight="1" x14ac:dyDescent="0.2">
      <c r="B1063" s="22">
        <v>45608</v>
      </c>
      <c r="C1063" s="26">
        <f t="shared" ca="1" si="277"/>
        <v>0.22159764529323689</v>
      </c>
      <c r="D1063" s="29">
        <f t="shared" ca="1" si="278"/>
        <v>60</v>
      </c>
      <c r="F1063" s="22"/>
      <c r="G1063" s="26">
        <f t="shared" ca="1" si="296"/>
        <v>0.84058757059099154</v>
      </c>
      <c r="H1063" s="29">
        <f t="shared" ca="1" si="279"/>
        <v>230</v>
      </c>
      <c r="J1063" s="22">
        <v>45608</v>
      </c>
      <c r="K1063" s="26">
        <f t="shared" ca="1" si="297"/>
        <v>7.625007516716642E-2</v>
      </c>
      <c r="L1063" s="29">
        <f t="shared" ca="1" si="280"/>
        <v>136</v>
      </c>
      <c r="N1063" s="22">
        <v>45608</v>
      </c>
      <c r="O1063" s="26">
        <f t="shared" ca="1" si="298"/>
        <v>0.75534569954668351</v>
      </c>
      <c r="P1063" s="29">
        <f t="shared" ca="1" si="281"/>
        <v>240</v>
      </c>
      <c r="R1063" s="22">
        <v>45608</v>
      </c>
      <c r="S1063" s="26">
        <f t="shared" ca="1" si="299"/>
        <v>0.57836231881573452</v>
      </c>
      <c r="T1063" s="29">
        <f t="shared" ca="1" si="282"/>
        <v>141</v>
      </c>
      <c r="V1063" s="22">
        <v>45608</v>
      </c>
      <c r="W1063" s="26">
        <f t="shared" ca="1" si="300"/>
        <v>0.30480381056227634</v>
      </c>
      <c r="X1063" s="29">
        <f t="shared" ca="1" si="283"/>
        <v>218</v>
      </c>
      <c r="Z1063" s="22">
        <v>45608</v>
      </c>
      <c r="AA1063" s="26">
        <f t="shared" ca="1" si="301"/>
        <v>0.22499661150233652</v>
      </c>
      <c r="AB1063" s="29">
        <f t="shared" ca="1" si="284"/>
        <v>257</v>
      </c>
      <c r="AC1063"/>
      <c r="AD1063" s="25"/>
      <c r="AF1063" s="22">
        <v>45608</v>
      </c>
      <c r="AG1063" s="26">
        <f t="shared" ca="1" si="302"/>
        <v>0.32253686608491094</v>
      </c>
      <c r="AH1063" s="29">
        <f t="shared" ca="1" si="285"/>
        <v>287</v>
      </c>
      <c r="AJ1063" s="22">
        <v>45608</v>
      </c>
      <c r="AK1063" s="26">
        <f t="shared" ca="1" si="303"/>
        <v>0.27632993416388796</v>
      </c>
      <c r="AL1063" s="29">
        <f t="shared" ca="1" si="286"/>
        <v>152</v>
      </c>
      <c r="AN1063" s="22">
        <v>45608</v>
      </c>
      <c r="AO1063" s="26">
        <f t="shared" ca="1" si="304"/>
        <v>0.58024123339188793</v>
      </c>
      <c r="AP1063" s="29">
        <f t="shared" ca="1" si="287"/>
        <v>156</v>
      </c>
      <c r="AR1063" s="22">
        <v>45608</v>
      </c>
      <c r="AS1063" s="26">
        <f t="shared" ca="1" si="305"/>
        <v>1.2019777960707745E-2</v>
      </c>
      <c r="AT1063" s="29">
        <f t="shared" ca="1" si="288"/>
        <v>87</v>
      </c>
      <c r="AV1063" s="22">
        <v>45608</v>
      </c>
      <c r="AW1063" s="26">
        <f t="shared" ca="1" si="306"/>
        <v>9.8899922862690559E-2</v>
      </c>
      <c r="AX1063" s="29">
        <f t="shared" ca="1" si="289"/>
        <v>126</v>
      </c>
      <c r="AZ1063" s="22">
        <v>45608</v>
      </c>
      <c r="BA1063" s="26">
        <f t="shared" ca="1" si="307"/>
        <v>0.51760912489249156</v>
      </c>
      <c r="BB1063" s="29">
        <f t="shared" ca="1" si="290"/>
        <v>182</v>
      </c>
      <c r="BC1063"/>
      <c r="BD1063" s="25"/>
      <c r="BF1063" s="22">
        <v>45608</v>
      </c>
      <c r="BG1063" s="26">
        <f t="shared" ca="1" si="308"/>
        <v>0.22146836385561419</v>
      </c>
      <c r="BH1063" s="29">
        <f t="shared" ca="1" si="291"/>
        <v>127</v>
      </c>
      <c r="BJ1063" s="22">
        <v>45608</v>
      </c>
      <c r="BK1063" s="26">
        <f t="shared" ca="1" si="309"/>
        <v>0.59595722338413903</v>
      </c>
      <c r="BL1063" s="29">
        <f t="shared" ca="1" si="292"/>
        <v>176</v>
      </c>
      <c r="BN1063" s="22">
        <v>45608</v>
      </c>
      <c r="BO1063" s="26">
        <f t="shared" ca="1" si="310"/>
        <v>0.96476604388665821</v>
      </c>
      <c r="BP1063" s="29">
        <f t="shared" ca="1" si="293"/>
        <v>195</v>
      </c>
      <c r="BR1063" s="22">
        <v>45608</v>
      </c>
      <c r="BS1063" s="26">
        <f t="shared" ca="1" si="311"/>
        <v>0.76555923910179025</v>
      </c>
      <c r="BT1063" s="29">
        <f t="shared" ca="1" si="294"/>
        <v>208</v>
      </c>
      <c r="BV1063" s="22">
        <v>45608</v>
      </c>
      <c r="BW1063" s="26">
        <f t="shared" ca="1" si="312"/>
        <v>0.77916454074213948</v>
      </c>
      <c r="BX1063" s="29">
        <f t="shared" ca="1" si="295"/>
        <v>222</v>
      </c>
    </row>
    <row r="1064" spans="2:76" ht="15.75" customHeight="1" x14ac:dyDescent="0.2">
      <c r="B1064" s="22">
        <v>45609</v>
      </c>
      <c r="C1064" s="26">
        <f t="shared" ca="1" si="277"/>
        <v>9.5825593712776325E-2</v>
      </c>
      <c r="D1064" s="29">
        <f t="shared" ca="1" si="278"/>
        <v>49</v>
      </c>
      <c r="F1064" s="22"/>
      <c r="G1064" s="26">
        <f t="shared" ca="1" si="296"/>
        <v>0.41365888653882166</v>
      </c>
      <c r="H1064" s="29">
        <f t="shared" ca="1" si="279"/>
        <v>213</v>
      </c>
      <c r="J1064" s="22">
        <v>45609</v>
      </c>
      <c r="K1064" s="26">
        <f t="shared" ca="1" si="297"/>
        <v>0.64700391509866617</v>
      </c>
      <c r="L1064" s="29">
        <f t="shared" ca="1" si="280"/>
        <v>154</v>
      </c>
      <c r="N1064" s="22">
        <v>45609</v>
      </c>
      <c r="O1064" s="26">
        <f t="shared" ca="1" si="298"/>
        <v>0.3617997104946733</v>
      </c>
      <c r="P1064" s="29">
        <f t="shared" ca="1" si="281"/>
        <v>224</v>
      </c>
      <c r="R1064" s="22">
        <v>45609</v>
      </c>
      <c r="S1064" s="26">
        <f t="shared" ca="1" si="299"/>
        <v>0.54916959560306322</v>
      </c>
      <c r="T1064" s="29">
        <f t="shared" ca="1" si="282"/>
        <v>140</v>
      </c>
      <c r="V1064" s="22">
        <v>45609</v>
      </c>
      <c r="W1064" s="26">
        <f t="shared" ca="1" si="300"/>
        <v>0.15415329067028249</v>
      </c>
      <c r="X1064" s="29">
        <f t="shared" ca="1" si="283"/>
        <v>210</v>
      </c>
      <c r="Z1064" s="22">
        <v>45609</v>
      </c>
      <c r="AA1064" s="26">
        <f t="shared" ca="1" si="301"/>
        <v>0.40848800725460155</v>
      </c>
      <c r="AB1064" s="29">
        <f t="shared" ca="1" si="284"/>
        <v>266</v>
      </c>
      <c r="AC1064"/>
      <c r="AD1064" s="25"/>
      <c r="AF1064" s="22">
        <v>45609</v>
      </c>
      <c r="AG1064" s="26">
        <f t="shared" ca="1" si="302"/>
        <v>0.16097781932349198</v>
      </c>
      <c r="AH1064" s="29">
        <f t="shared" ca="1" si="285"/>
        <v>241</v>
      </c>
      <c r="AJ1064" s="22">
        <v>45609</v>
      </c>
      <c r="AK1064" s="26">
        <f t="shared" ca="1" si="303"/>
        <v>0.17768788411519942</v>
      </c>
      <c r="AL1064" s="29">
        <f t="shared" ca="1" si="286"/>
        <v>136</v>
      </c>
      <c r="AN1064" s="22">
        <v>45609</v>
      </c>
      <c r="AO1064" s="26">
        <f t="shared" ca="1" si="304"/>
        <v>0.59954451362664796</v>
      </c>
      <c r="AP1064" s="29">
        <f t="shared" ca="1" si="287"/>
        <v>158</v>
      </c>
      <c r="AR1064" s="22">
        <v>45609</v>
      </c>
      <c r="AS1064" s="26">
        <f t="shared" ca="1" si="305"/>
        <v>0.29656958967341629</v>
      </c>
      <c r="AT1064" s="29">
        <f t="shared" ca="1" si="288"/>
        <v>186</v>
      </c>
      <c r="AV1064" s="22">
        <v>45609</v>
      </c>
      <c r="AW1064" s="26">
        <f t="shared" ca="1" si="306"/>
        <v>0.91965359391524781</v>
      </c>
      <c r="AX1064" s="29">
        <f t="shared" ca="1" si="289"/>
        <v>264</v>
      </c>
      <c r="AZ1064" s="22">
        <v>45609</v>
      </c>
      <c r="BA1064" s="26">
        <f t="shared" ca="1" si="307"/>
        <v>0.73917671609517699</v>
      </c>
      <c r="BB1064" s="29">
        <f t="shared" ca="1" si="290"/>
        <v>211</v>
      </c>
      <c r="BC1064"/>
      <c r="BD1064" s="25"/>
      <c r="BF1064" s="22">
        <v>45609</v>
      </c>
      <c r="BG1064" s="26">
        <f t="shared" ca="1" si="308"/>
        <v>0.27605064198899831</v>
      </c>
      <c r="BH1064" s="29">
        <f t="shared" ca="1" si="291"/>
        <v>135</v>
      </c>
      <c r="BJ1064" s="22">
        <v>45609</v>
      </c>
      <c r="BK1064" s="26">
        <f t="shared" ca="1" si="309"/>
        <v>0.43597703751590322</v>
      </c>
      <c r="BL1064" s="29">
        <f t="shared" ca="1" si="292"/>
        <v>158</v>
      </c>
      <c r="BN1064" s="22">
        <v>45609</v>
      </c>
      <c r="BO1064" s="26">
        <f t="shared" ca="1" si="310"/>
        <v>0.44316436228400613</v>
      </c>
      <c r="BP1064" s="29">
        <f t="shared" ca="1" si="293"/>
        <v>126</v>
      </c>
      <c r="BR1064" s="22">
        <v>45609</v>
      </c>
      <c r="BS1064" s="26">
        <f t="shared" ca="1" si="311"/>
        <v>0.81429532020439754</v>
      </c>
      <c r="BT1064" s="29">
        <f t="shared" ca="1" si="294"/>
        <v>215</v>
      </c>
      <c r="BV1064" s="22">
        <v>45609</v>
      </c>
      <c r="BW1064" s="26">
        <f t="shared" ca="1" si="312"/>
        <v>0.96826681315508778</v>
      </c>
      <c r="BX1064" s="29">
        <f t="shared" ca="1" si="295"/>
        <v>275</v>
      </c>
    </row>
    <row r="1065" spans="2:76" ht="15.75" customHeight="1" x14ac:dyDescent="0.2">
      <c r="B1065" s="22">
        <v>45610</v>
      </c>
      <c r="C1065" s="26">
        <f t="shared" ca="1" si="277"/>
        <v>0.38929169335455205</v>
      </c>
      <c r="D1065" s="29">
        <f t="shared" ca="1" si="278"/>
        <v>70</v>
      </c>
      <c r="F1065" s="22"/>
      <c r="G1065" s="26">
        <f t="shared" ca="1" si="296"/>
        <v>0.35566319261349921</v>
      </c>
      <c r="H1065" s="29">
        <f t="shared" ca="1" si="279"/>
        <v>211</v>
      </c>
      <c r="J1065" s="22">
        <v>45610</v>
      </c>
      <c r="K1065" s="26">
        <f t="shared" ca="1" si="297"/>
        <v>0.38972299763596463</v>
      </c>
      <c r="L1065" s="29">
        <f t="shared" ca="1" si="280"/>
        <v>148</v>
      </c>
      <c r="N1065" s="22">
        <v>45610</v>
      </c>
      <c r="O1065" s="26">
        <f t="shared" ca="1" si="298"/>
        <v>0.95213300136371737</v>
      </c>
      <c r="P1065" s="29">
        <f t="shared" ca="1" si="281"/>
        <v>255</v>
      </c>
      <c r="R1065" s="22">
        <v>45610</v>
      </c>
      <c r="S1065" s="26">
        <f t="shared" ca="1" si="299"/>
        <v>0.2758899199462943</v>
      </c>
      <c r="T1065" s="29">
        <f t="shared" ca="1" si="282"/>
        <v>134</v>
      </c>
      <c r="V1065" s="22">
        <v>45610</v>
      </c>
      <c r="W1065" s="26">
        <f t="shared" ca="1" si="300"/>
        <v>0.67893661781592562</v>
      </c>
      <c r="X1065" s="29">
        <f t="shared" ca="1" si="283"/>
        <v>232</v>
      </c>
      <c r="Z1065" s="22">
        <v>45610</v>
      </c>
      <c r="AA1065" s="26">
        <f t="shared" ca="1" si="301"/>
        <v>0.63775771369436629</v>
      </c>
      <c r="AB1065" s="29">
        <f t="shared" ca="1" si="284"/>
        <v>277</v>
      </c>
      <c r="AC1065"/>
      <c r="AD1065" s="25"/>
      <c r="AF1065" s="22">
        <v>45610</v>
      </c>
      <c r="AG1065" s="26">
        <f t="shared" ca="1" si="302"/>
        <v>0.26924919092277666</v>
      </c>
      <c r="AH1065" s="29">
        <f t="shared" ca="1" si="285"/>
        <v>274</v>
      </c>
      <c r="AJ1065" s="22">
        <v>45610</v>
      </c>
      <c r="AK1065" s="26">
        <f t="shared" ca="1" si="303"/>
        <v>0.96886842937223761</v>
      </c>
      <c r="AL1065" s="29">
        <f t="shared" ca="1" si="286"/>
        <v>270</v>
      </c>
      <c r="AN1065" s="22">
        <v>45610</v>
      </c>
      <c r="AO1065" s="26">
        <f t="shared" ca="1" si="304"/>
        <v>0.88885403237877048</v>
      </c>
      <c r="AP1065" s="29">
        <f t="shared" ca="1" si="287"/>
        <v>196</v>
      </c>
      <c r="AR1065" s="22">
        <v>45610</v>
      </c>
      <c r="AS1065" s="26">
        <f t="shared" ca="1" si="305"/>
        <v>0.86989718675870087</v>
      </c>
      <c r="AT1065" s="29">
        <f t="shared" ca="1" si="288"/>
        <v>282</v>
      </c>
      <c r="AV1065" s="22">
        <v>45610</v>
      </c>
      <c r="AW1065" s="26">
        <f t="shared" ca="1" si="306"/>
        <v>0.65833485852092144</v>
      </c>
      <c r="AX1065" s="29">
        <f t="shared" ca="1" si="289"/>
        <v>213</v>
      </c>
      <c r="AZ1065" s="22">
        <v>45610</v>
      </c>
      <c r="BA1065" s="26">
        <f t="shared" ca="1" si="307"/>
        <v>0.45593169076610807</v>
      </c>
      <c r="BB1065" s="29">
        <f t="shared" ca="1" si="290"/>
        <v>175</v>
      </c>
      <c r="BC1065"/>
      <c r="BD1065" s="25"/>
      <c r="BF1065" s="22">
        <v>45610</v>
      </c>
      <c r="BG1065" s="26">
        <f t="shared" ca="1" si="308"/>
        <v>0.78466201019236248</v>
      </c>
      <c r="BH1065" s="29">
        <f t="shared" ca="1" si="291"/>
        <v>194</v>
      </c>
      <c r="BJ1065" s="22">
        <v>45610</v>
      </c>
      <c r="BK1065" s="26">
        <f t="shared" ca="1" si="309"/>
        <v>0.85684044311751006</v>
      </c>
      <c r="BL1065" s="29">
        <f t="shared" ca="1" si="292"/>
        <v>212</v>
      </c>
      <c r="BN1065" s="22">
        <v>45610</v>
      </c>
      <c r="BO1065" s="26">
        <f t="shared" ca="1" si="310"/>
        <v>4.274141998625558E-2</v>
      </c>
      <c r="BP1065" s="29">
        <f t="shared" ca="1" si="293"/>
        <v>71</v>
      </c>
      <c r="BR1065" s="22">
        <v>45610</v>
      </c>
      <c r="BS1065" s="26">
        <f t="shared" ca="1" si="311"/>
        <v>0.58907399143677264</v>
      </c>
      <c r="BT1065" s="29">
        <f t="shared" ca="1" si="294"/>
        <v>184</v>
      </c>
      <c r="BV1065" s="22">
        <v>45610</v>
      </c>
      <c r="BW1065" s="26">
        <f t="shared" ca="1" si="312"/>
        <v>3.3136655287359096E-3</v>
      </c>
      <c r="BX1065" s="29">
        <f t="shared" ca="1" si="295"/>
        <v>51</v>
      </c>
    </row>
    <row r="1066" spans="2:76" ht="15.75" customHeight="1" x14ac:dyDescent="0.2">
      <c r="B1066" s="22">
        <v>45611</v>
      </c>
      <c r="C1066" s="26">
        <f t="shared" ca="1" si="277"/>
        <v>0.45494630923689827</v>
      </c>
      <c r="D1066" s="29">
        <f t="shared" ca="1" si="278"/>
        <v>73</v>
      </c>
      <c r="F1066" s="22"/>
      <c r="G1066" s="26">
        <f t="shared" ca="1" si="296"/>
        <v>0.70943605313947988</v>
      </c>
      <c r="H1066" s="29">
        <f t="shared" ca="1" si="279"/>
        <v>224</v>
      </c>
      <c r="J1066" s="22">
        <v>45611</v>
      </c>
      <c r="K1066" s="26">
        <f t="shared" ca="1" si="297"/>
        <v>0.37201062135747009</v>
      </c>
      <c r="L1066" s="29">
        <f t="shared" ca="1" si="280"/>
        <v>147</v>
      </c>
      <c r="N1066" s="22">
        <v>45611</v>
      </c>
      <c r="O1066" s="26">
        <f t="shared" ca="1" si="298"/>
        <v>1.5361236292424363E-2</v>
      </c>
      <c r="P1066" s="29">
        <f t="shared" ca="1" si="281"/>
        <v>197</v>
      </c>
      <c r="R1066" s="22">
        <v>45611</v>
      </c>
      <c r="S1066" s="26">
        <f t="shared" ca="1" si="299"/>
        <v>0.46261783536731282</v>
      </c>
      <c r="T1066" s="29">
        <f t="shared" ca="1" si="282"/>
        <v>138</v>
      </c>
      <c r="V1066" s="22">
        <v>45611</v>
      </c>
      <c r="W1066" s="26">
        <f t="shared" ca="1" si="300"/>
        <v>0.89836024341811738</v>
      </c>
      <c r="X1066" s="29">
        <f t="shared" ca="1" si="283"/>
        <v>245</v>
      </c>
      <c r="Z1066" s="22">
        <v>45611</v>
      </c>
      <c r="AA1066" s="26">
        <f t="shared" ca="1" si="301"/>
        <v>0.79783159622983468</v>
      </c>
      <c r="AB1066" s="29">
        <f t="shared" ca="1" si="284"/>
        <v>286</v>
      </c>
      <c r="AC1066"/>
      <c r="AD1066" s="25"/>
      <c r="AF1066" s="22">
        <v>45611</v>
      </c>
      <c r="AG1066" s="26">
        <f t="shared" ca="1" si="302"/>
        <v>0.88866934199686365</v>
      </c>
      <c r="AH1066" s="29">
        <f t="shared" ca="1" si="285"/>
        <v>434</v>
      </c>
      <c r="AJ1066" s="22">
        <v>45611</v>
      </c>
      <c r="AK1066" s="26">
        <f t="shared" ca="1" si="303"/>
        <v>0.93601154501000527</v>
      </c>
      <c r="AL1066" s="29">
        <f t="shared" ca="1" si="286"/>
        <v>253</v>
      </c>
      <c r="AN1066" s="22">
        <v>45611</v>
      </c>
      <c r="AO1066" s="26">
        <f t="shared" ca="1" si="304"/>
        <v>0.61707704532961571</v>
      </c>
      <c r="AP1066" s="29">
        <f t="shared" ca="1" si="287"/>
        <v>159</v>
      </c>
      <c r="AR1066" s="22">
        <v>45611</v>
      </c>
      <c r="AS1066" s="26">
        <f t="shared" ca="1" si="305"/>
        <v>0.69558321160482717</v>
      </c>
      <c r="AT1066" s="29">
        <f t="shared" ca="1" si="288"/>
        <v>247</v>
      </c>
      <c r="AV1066" s="22">
        <v>45611</v>
      </c>
      <c r="AW1066" s="26">
        <f t="shared" ca="1" si="306"/>
        <v>0.95803123448852479</v>
      </c>
      <c r="AX1066" s="29">
        <f t="shared" ca="1" si="289"/>
        <v>281</v>
      </c>
      <c r="AZ1066" s="22">
        <v>45611</v>
      </c>
      <c r="BA1066" s="26">
        <f t="shared" ca="1" si="307"/>
        <v>0.51561965051239456</v>
      </c>
      <c r="BB1066" s="29">
        <f t="shared" ca="1" si="290"/>
        <v>182</v>
      </c>
      <c r="BC1066"/>
      <c r="BD1066" s="25"/>
      <c r="BF1066" s="22">
        <v>45611</v>
      </c>
      <c r="BG1066" s="26">
        <f t="shared" ca="1" si="308"/>
        <v>9.7257699489945781E-2</v>
      </c>
      <c r="BH1066" s="29">
        <f t="shared" ca="1" si="291"/>
        <v>105</v>
      </c>
      <c r="BJ1066" s="22">
        <v>45611</v>
      </c>
      <c r="BK1066" s="26">
        <f t="shared" ca="1" si="309"/>
        <v>0.67257773610409088</v>
      </c>
      <c r="BL1066" s="29">
        <f t="shared" ca="1" si="292"/>
        <v>185</v>
      </c>
      <c r="BN1066" s="22">
        <v>45611</v>
      </c>
      <c r="BO1066" s="26">
        <f t="shared" ca="1" si="310"/>
        <v>0.46881625715718622</v>
      </c>
      <c r="BP1066" s="29">
        <f t="shared" ca="1" si="293"/>
        <v>129</v>
      </c>
      <c r="BR1066" s="22">
        <v>45611</v>
      </c>
      <c r="BS1066" s="26">
        <f t="shared" ca="1" si="311"/>
        <v>0.33090394404595347</v>
      </c>
      <c r="BT1066" s="29">
        <f t="shared" ca="1" si="294"/>
        <v>154</v>
      </c>
      <c r="BV1066" s="22">
        <v>45611</v>
      </c>
      <c r="BW1066" s="26">
        <f t="shared" ca="1" si="312"/>
        <v>0.79333184628287612</v>
      </c>
      <c r="BX1066" s="29">
        <f t="shared" ca="1" si="295"/>
        <v>224</v>
      </c>
    </row>
    <row r="1067" spans="2:76" ht="15.75" customHeight="1" x14ac:dyDescent="0.2">
      <c r="B1067" s="22">
        <v>45612</v>
      </c>
      <c r="C1067" s="26">
        <f t="shared" ca="1" si="277"/>
        <v>0.22663362429488632</v>
      </c>
      <c r="D1067" s="29">
        <f t="shared" ca="1" si="278"/>
        <v>61</v>
      </c>
      <c r="F1067" s="22"/>
      <c r="G1067" s="26">
        <f t="shared" ca="1" si="296"/>
        <v>0.27236605630081911</v>
      </c>
      <c r="H1067" s="29">
        <f t="shared" ca="1" si="279"/>
        <v>207</v>
      </c>
      <c r="J1067" s="22">
        <v>45612</v>
      </c>
      <c r="K1067" s="26">
        <f t="shared" ca="1" si="297"/>
        <v>0.96949550061746748</v>
      </c>
      <c r="L1067" s="29">
        <f t="shared" ca="1" si="280"/>
        <v>169</v>
      </c>
      <c r="N1067" s="22">
        <v>45612</v>
      </c>
      <c r="O1067" s="26">
        <f t="shared" ca="1" si="298"/>
        <v>0.31818511870675226</v>
      </c>
      <c r="P1067" s="29">
        <f t="shared" ca="1" si="281"/>
        <v>223</v>
      </c>
      <c r="R1067" s="22">
        <v>45612</v>
      </c>
      <c r="S1067" s="26">
        <f t="shared" ca="1" si="299"/>
        <v>1.310379154649155E-2</v>
      </c>
      <c r="T1067" s="29">
        <f t="shared" ca="1" si="282"/>
        <v>119</v>
      </c>
      <c r="V1067" s="22">
        <v>45612</v>
      </c>
      <c r="W1067" s="26">
        <f t="shared" ca="1" si="300"/>
        <v>0.48734426075804882</v>
      </c>
      <c r="X1067" s="29">
        <f t="shared" ca="1" si="283"/>
        <v>225</v>
      </c>
      <c r="Z1067" s="22">
        <v>45612</v>
      </c>
      <c r="AA1067" s="26">
        <f t="shared" ca="1" si="301"/>
        <v>0.1259332284620156</v>
      </c>
      <c r="AB1067" s="29">
        <f t="shared" ca="1" si="284"/>
        <v>250</v>
      </c>
      <c r="AC1067"/>
      <c r="AD1067" s="25"/>
      <c r="AF1067" s="22">
        <v>45612</v>
      </c>
      <c r="AG1067" s="26">
        <f t="shared" ca="1" si="302"/>
        <v>0.63520657686038351</v>
      </c>
      <c r="AH1067" s="29">
        <f t="shared" ca="1" si="285"/>
        <v>358</v>
      </c>
      <c r="AJ1067" s="22">
        <v>45612</v>
      </c>
      <c r="AK1067" s="26">
        <f t="shared" ca="1" si="303"/>
        <v>0.30571464529708148</v>
      </c>
      <c r="AL1067" s="29">
        <f t="shared" ca="1" si="286"/>
        <v>156</v>
      </c>
      <c r="AN1067" s="22">
        <v>45612</v>
      </c>
      <c r="AO1067" s="26">
        <f t="shared" ca="1" si="304"/>
        <v>0.14629823336459147</v>
      </c>
      <c r="AP1067" s="29">
        <f t="shared" ca="1" si="287"/>
        <v>106</v>
      </c>
      <c r="AR1067" s="22">
        <v>45612</v>
      </c>
      <c r="AS1067" s="26">
        <f t="shared" ca="1" si="305"/>
        <v>0.28088507547080788</v>
      </c>
      <c r="AT1067" s="29">
        <f t="shared" ca="1" si="288"/>
        <v>184</v>
      </c>
      <c r="AV1067" s="22">
        <v>45612</v>
      </c>
      <c r="AW1067" s="26">
        <f t="shared" ca="1" si="306"/>
        <v>0.29535410609842994</v>
      </c>
      <c r="AX1067" s="29">
        <f t="shared" ca="1" si="289"/>
        <v>165</v>
      </c>
      <c r="AZ1067" s="22">
        <v>45612</v>
      </c>
      <c r="BA1067" s="26">
        <f t="shared" ca="1" si="307"/>
        <v>0.11596742509023905</v>
      </c>
      <c r="BB1067" s="29">
        <f t="shared" ca="1" si="290"/>
        <v>123</v>
      </c>
      <c r="BC1067"/>
      <c r="BD1067" s="25"/>
      <c r="BF1067" s="22">
        <v>45612</v>
      </c>
      <c r="BG1067" s="26">
        <f t="shared" ca="1" si="308"/>
        <v>0.59497463766137904</v>
      </c>
      <c r="BH1067" s="29">
        <f t="shared" ca="1" si="291"/>
        <v>170</v>
      </c>
      <c r="BJ1067" s="22">
        <v>45612</v>
      </c>
      <c r="BK1067" s="26">
        <f t="shared" ca="1" si="309"/>
        <v>0.99352791111692329</v>
      </c>
      <c r="BL1067" s="29">
        <f t="shared" ca="1" si="292"/>
        <v>274</v>
      </c>
      <c r="BN1067" s="22">
        <v>45612</v>
      </c>
      <c r="BO1067" s="26">
        <f t="shared" ca="1" si="310"/>
        <v>0.35148046839373481</v>
      </c>
      <c r="BP1067" s="29">
        <f t="shared" ca="1" si="293"/>
        <v>118</v>
      </c>
      <c r="BR1067" s="22">
        <v>45612</v>
      </c>
      <c r="BS1067" s="26">
        <f t="shared" ca="1" si="311"/>
        <v>0.58209170540539434</v>
      </c>
      <c r="BT1067" s="29">
        <f t="shared" ca="1" si="294"/>
        <v>184</v>
      </c>
      <c r="BV1067" s="22">
        <v>45612</v>
      </c>
      <c r="BW1067" s="26">
        <f t="shared" ca="1" si="312"/>
        <v>0.23748646513403571</v>
      </c>
      <c r="BX1067" s="29">
        <f t="shared" ca="1" si="295"/>
        <v>149</v>
      </c>
    </row>
    <row r="1068" spans="2:76" ht="15.75" customHeight="1" x14ac:dyDescent="0.2">
      <c r="B1068" s="22">
        <v>45613</v>
      </c>
      <c r="C1068" s="26">
        <f t="shared" ca="1" si="277"/>
        <v>5.4764749202669272E-3</v>
      </c>
      <c r="D1068" s="29">
        <f t="shared" ca="1" si="278"/>
        <v>25</v>
      </c>
      <c r="F1068" s="22"/>
      <c r="G1068" s="26">
        <f t="shared" ca="1" si="296"/>
        <v>0.30104967947101879</v>
      </c>
      <c r="H1068" s="29">
        <f t="shared" ca="1" si="279"/>
        <v>208</v>
      </c>
      <c r="J1068" s="22">
        <v>45613</v>
      </c>
      <c r="K1068" s="26">
        <f t="shared" ca="1" si="297"/>
        <v>0.83084047058279287</v>
      </c>
      <c r="L1068" s="29">
        <f t="shared" ca="1" si="280"/>
        <v>160</v>
      </c>
      <c r="N1068" s="22">
        <v>45613</v>
      </c>
      <c r="O1068" s="26">
        <f t="shared" ca="1" si="298"/>
        <v>0.50215693703031683</v>
      </c>
      <c r="P1068" s="29">
        <f t="shared" ca="1" si="281"/>
        <v>230</v>
      </c>
      <c r="R1068" s="22">
        <v>45613</v>
      </c>
      <c r="S1068" s="26">
        <f t="shared" ca="1" si="299"/>
        <v>0.85767732877297198</v>
      </c>
      <c r="T1068" s="29">
        <f t="shared" ca="1" si="282"/>
        <v>149</v>
      </c>
      <c r="V1068" s="22">
        <v>45613</v>
      </c>
      <c r="W1068" s="26">
        <f t="shared" ca="1" si="300"/>
        <v>6.9675417478742618E-2</v>
      </c>
      <c r="X1068" s="29">
        <f t="shared" ca="1" si="283"/>
        <v>203</v>
      </c>
      <c r="Z1068" s="22">
        <v>45613</v>
      </c>
      <c r="AA1068" s="26">
        <f t="shared" ca="1" si="301"/>
        <v>0.97499587434521928</v>
      </c>
      <c r="AB1068" s="29">
        <f t="shared" ca="1" si="284"/>
        <v>306</v>
      </c>
      <c r="AC1068"/>
      <c r="AD1068" s="25"/>
      <c r="AF1068" s="22">
        <v>45613</v>
      </c>
      <c r="AG1068" s="26">
        <f t="shared" ca="1" si="302"/>
        <v>0.97073719984339679</v>
      </c>
      <c r="AH1068" s="29">
        <f t="shared" ca="1" si="285"/>
        <v>492</v>
      </c>
      <c r="AJ1068" s="22">
        <v>45613</v>
      </c>
      <c r="AK1068" s="26">
        <f t="shared" ca="1" si="303"/>
        <v>0.69688427593762992</v>
      </c>
      <c r="AL1068" s="29">
        <f t="shared" ca="1" si="286"/>
        <v>205</v>
      </c>
      <c r="AN1068" s="22">
        <v>45613</v>
      </c>
      <c r="AO1068" s="26">
        <f t="shared" ca="1" si="304"/>
        <v>0.37029023834892427</v>
      </c>
      <c r="AP1068" s="29">
        <f t="shared" ca="1" si="287"/>
        <v>135</v>
      </c>
      <c r="AR1068" s="22">
        <v>45613</v>
      </c>
      <c r="AS1068" s="26">
        <f t="shared" ca="1" si="305"/>
        <v>5.8915236532288806E-2</v>
      </c>
      <c r="AT1068" s="29">
        <f t="shared" ca="1" si="288"/>
        <v>127</v>
      </c>
      <c r="AV1068" s="22">
        <v>45613</v>
      </c>
      <c r="AW1068" s="26">
        <f t="shared" ca="1" si="306"/>
        <v>0.25568453445466444</v>
      </c>
      <c r="AX1068" s="29">
        <f t="shared" ca="1" si="289"/>
        <v>159</v>
      </c>
      <c r="AZ1068" s="22">
        <v>45613</v>
      </c>
      <c r="BA1068" s="26">
        <f t="shared" ca="1" si="307"/>
        <v>0.10728021718543301</v>
      </c>
      <c r="BB1068" s="29">
        <f t="shared" ca="1" si="290"/>
        <v>121</v>
      </c>
      <c r="BC1068"/>
      <c r="BD1068" s="25"/>
      <c r="BF1068" s="22">
        <v>45613</v>
      </c>
      <c r="BG1068" s="26">
        <f t="shared" ca="1" si="308"/>
        <v>0.82157558074880943</v>
      </c>
      <c r="BH1068" s="29">
        <f t="shared" ca="1" si="291"/>
        <v>199</v>
      </c>
      <c r="BJ1068" s="22">
        <v>45613</v>
      </c>
      <c r="BK1068" s="26">
        <f t="shared" ca="1" si="309"/>
        <v>0.43933954880213155</v>
      </c>
      <c r="BL1068" s="29">
        <f t="shared" ca="1" si="292"/>
        <v>158</v>
      </c>
      <c r="BN1068" s="22">
        <v>45613</v>
      </c>
      <c r="BO1068" s="26">
        <f t="shared" ca="1" si="310"/>
        <v>3.7405953374750722E-2</v>
      </c>
      <c r="BP1068" s="29">
        <f t="shared" ca="1" si="293"/>
        <v>69</v>
      </c>
      <c r="BR1068" s="22">
        <v>45613</v>
      </c>
      <c r="BS1068" s="26">
        <f t="shared" ca="1" si="311"/>
        <v>0.99575247563882729</v>
      </c>
      <c r="BT1068" s="29">
        <f t="shared" ca="1" si="294"/>
        <v>296</v>
      </c>
      <c r="BV1068" s="22">
        <v>45613</v>
      </c>
      <c r="BW1068" s="26">
        <f t="shared" ca="1" si="312"/>
        <v>0.89355456718842108</v>
      </c>
      <c r="BX1068" s="29">
        <f t="shared" ca="1" si="295"/>
        <v>245</v>
      </c>
    </row>
    <row r="1069" spans="2:76" ht="15.75" customHeight="1" x14ac:dyDescent="0.2">
      <c r="B1069" s="22">
        <v>45614</v>
      </c>
      <c r="C1069" s="26">
        <f t="shared" ca="1" si="277"/>
        <v>7.4418469252293451E-2</v>
      </c>
      <c r="D1069" s="29">
        <f t="shared" ca="1" si="278"/>
        <v>47</v>
      </c>
      <c r="F1069" s="22"/>
      <c r="G1069" s="26">
        <f t="shared" ca="1" si="296"/>
        <v>0.81503422597306852</v>
      </c>
      <c r="H1069" s="29">
        <f t="shared" ca="1" si="279"/>
        <v>229</v>
      </c>
      <c r="J1069" s="22">
        <v>45614</v>
      </c>
      <c r="K1069" s="26">
        <f t="shared" ca="1" si="297"/>
        <v>0.27720531224009304</v>
      </c>
      <c r="L1069" s="29">
        <f t="shared" ca="1" si="280"/>
        <v>145</v>
      </c>
      <c r="N1069" s="22">
        <v>45614</v>
      </c>
      <c r="O1069" s="26">
        <f t="shared" ca="1" si="298"/>
        <v>0.71283838106348052</v>
      </c>
      <c r="P1069" s="29">
        <f t="shared" ca="1" si="281"/>
        <v>238</v>
      </c>
      <c r="R1069" s="22">
        <v>45614</v>
      </c>
      <c r="S1069" s="26">
        <f t="shared" ca="1" si="299"/>
        <v>3.3892729919676956E-2</v>
      </c>
      <c r="T1069" s="29">
        <f t="shared" ca="1" si="282"/>
        <v>122</v>
      </c>
      <c r="V1069" s="22">
        <v>45614</v>
      </c>
      <c r="W1069" s="26">
        <f t="shared" ca="1" si="300"/>
        <v>0.43787577927477173</v>
      </c>
      <c r="X1069" s="29">
        <f t="shared" ca="1" si="283"/>
        <v>223</v>
      </c>
      <c r="Z1069" s="22">
        <v>45614</v>
      </c>
      <c r="AA1069" s="26">
        <f t="shared" ca="1" si="301"/>
        <v>0.42699099296749199</v>
      </c>
      <c r="AB1069" s="29">
        <f t="shared" ca="1" si="284"/>
        <v>267</v>
      </c>
      <c r="AC1069"/>
      <c r="AD1069" s="25"/>
      <c r="AF1069" s="22">
        <v>45614</v>
      </c>
      <c r="AG1069" s="26">
        <f t="shared" ca="1" si="302"/>
        <v>4.7491402643677127E-2</v>
      </c>
      <c r="AH1069" s="29">
        <f t="shared" ca="1" si="285"/>
        <v>182</v>
      </c>
      <c r="AJ1069" s="22">
        <v>45614</v>
      </c>
      <c r="AK1069" s="26">
        <f t="shared" ca="1" si="303"/>
        <v>0.11478974232293615</v>
      </c>
      <c r="AL1069" s="29">
        <f t="shared" ca="1" si="286"/>
        <v>123</v>
      </c>
      <c r="AN1069" s="22">
        <v>45614</v>
      </c>
      <c r="AO1069" s="26">
        <f t="shared" ca="1" si="304"/>
        <v>0.64787312725056478</v>
      </c>
      <c r="AP1069" s="29">
        <f t="shared" ca="1" si="287"/>
        <v>163</v>
      </c>
      <c r="AR1069" s="22">
        <v>45614</v>
      </c>
      <c r="AS1069" s="26">
        <f t="shared" ca="1" si="305"/>
        <v>0.26803651816066076</v>
      </c>
      <c r="AT1069" s="29">
        <f t="shared" ca="1" si="288"/>
        <v>181</v>
      </c>
      <c r="AV1069" s="22">
        <v>45614</v>
      </c>
      <c r="AW1069" s="26">
        <f t="shared" ca="1" si="306"/>
        <v>0.32467727162304783</v>
      </c>
      <c r="AX1069" s="29">
        <f t="shared" ca="1" si="289"/>
        <v>169</v>
      </c>
      <c r="AZ1069" s="22">
        <v>45614</v>
      </c>
      <c r="BA1069" s="26">
        <f t="shared" ca="1" si="307"/>
        <v>0.22212917295866841</v>
      </c>
      <c r="BB1069" s="29">
        <f t="shared" ca="1" si="290"/>
        <v>144</v>
      </c>
      <c r="BC1069"/>
      <c r="BD1069" s="25"/>
      <c r="BF1069" s="22">
        <v>45614</v>
      </c>
      <c r="BG1069" s="26">
        <f t="shared" ca="1" si="308"/>
        <v>0.67363935049872137</v>
      </c>
      <c r="BH1069" s="29">
        <f t="shared" ca="1" si="291"/>
        <v>179</v>
      </c>
      <c r="BJ1069" s="22">
        <v>45614</v>
      </c>
      <c r="BK1069" s="26">
        <f t="shared" ca="1" si="309"/>
        <v>0.29992704761142619</v>
      </c>
      <c r="BL1069" s="29">
        <f t="shared" ca="1" si="292"/>
        <v>142</v>
      </c>
      <c r="BN1069" s="22">
        <v>45614</v>
      </c>
      <c r="BO1069" s="26">
        <f t="shared" ca="1" si="310"/>
        <v>0.85281332963808132</v>
      </c>
      <c r="BP1069" s="29">
        <f t="shared" ca="1" si="293"/>
        <v>168</v>
      </c>
      <c r="BR1069" s="22">
        <v>45614</v>
      </c>
      <c r="BS1069" s="26">
        <f t="shared" ca="1" si="311"/>
        <v>0.95801091982479658</v>
      </c>
      <c r="BT1069" s="29">
        <f t="shared" ca="1" si="294"/>
        <v>254</v>
      </c>
      <c r="BV1069" s="22">
        <v>45614</v>
      </c>
      <c r="BW1069" s="26">
        <f t="shared" ca="1" si="312"/>
        <v>8.0630368200599656E-2</v>
      </c>
      <c r="BX1069" s="29">
        <f t="shared" ca="1" si="295"/>
        <v>115</v>
      </c>
    </row>
    <row r="1070" spans="2:76" ht="15.75" customHeight="1" x14ac:dyDescent="0.2">
      <c r="B1070" s="22">
        <v>45615</v>
      </c>
      <c r="C1070" s="26">
        <f t="shared" ca="1" si="277"/>
        <v>0.94305096889050299</v>
      </c>
      <c r="D1070" s="29">
        <f t="shared" ca="1" si="278"/>
        <v>107</v>
      </c>
      <c r="F1070" s="22"/>
      <c r="G1070" s="26">
        <f t="shared" ca="1" si="296"/>
        <v>0.32020628969801501</v>
      </c>
      <c r="H1070" s="29">
        <f t="shared" ca="1" si="279"/>
        <v>209</v>
      </c>
      <c r="J1070" s="22">
        <v>45615</v>
      </c>
      <c r="K1070" s="26">
        <f t="shared" ca="1" si="297"/>
        <v>0.67410061618212791</v>
      </c>
      <c r="L1070" s="29">
        <f t="shared" ca="1" si="280"/>
        <v>155</v>
      </c>
      <c r="N1070" s="22">
        <v>45615</v>
      </c>
      <c r="O1070" s="26">
        <f t="shared" ca="1" si="298"/>
        <v>0.26436186474603907</v>
      </c>
      <c r="P1070" s="29">
        <f t="shared" ca="1" si="281"/>
        <v>220</v>
      </c>
      <c r="R1070" s="22">
        <v>45615</v>
      </c>
      <c r="S1070" s="26">
        <f t="shared" ca="1" si="299"/>
        <v>0.18871935480074942</v>
      </c>
      <c r="T1070" s="29">
        <f t="shared" ca="1" si="282"/>
        <v>131</v>
      </c>
      <c r="V1070" s="22">
        <v>45615</v>
      </c>
      <c r="W1070" s="26">
        <f t="shared" ca="1" si="300"/>
        <v>0.13591170208293191</v>
      </c>
      <c r="X1070" s="29">
        <f t="shared" ca="1" si="283"/>
        <v>209</v>
      </c>
      <c r="Z1070" s="22">
        <v>45615</v>
      </c>
      <c r="AA1070" s="26">
        <f t="shared" ca="1" si="301"/>
        <v>1.4730405028812288E-2</v>
      </c>
      <c r="AB1070" s="29">
        <f t="shared" ca="1" si="284"/>
        <v>231</v>
      </c>
      <c r="AC1070"/>
      <c r="AD1070" s="25"/>
      <c r="AF1070" s="22">
        <v>45615</v>
      </c>
      <c r="AG1070" s="26">
        <f t="shared" ca="1" si="302"/>
        <v>0.50874648582738147</v>
      </c>
      <c r="AH1070" s="29">
        <f t="shared" ca="1" si="285"/>
        <v>329</v>
      </c>
      <c r="AJ1070" s="22">
        <v>45615</v>
      </c>
      <c r="AK1070" s="26">
        <f t="shared" ca="1" si="303"/>
        <v>0.76451621405318937</v>
      </c>
      <c r="AL1070" s="29">
        <f t="shared" ca="1" si="286"/>
        <v>215</v>
      </c>
      <c r="AN1070" s="22">
        <v>45615</v>
      </c>
      <c r="AO1070" s="26">
        <f t="shared" ca="1" si="304"/>
        <v>0.86631281079081746</v>
      </c>
      <c r="AP1070" s="29">
        <f t="shared" ca="1" si="287"/>
        <v>191</v>
      </c>
      <c r="AR1070" s="22">
        <v>45615</v>
      </c>
      <c r="AS1070" s="26">
        <f t="shared" ca="1" si="305"/>
        <v>0.47630180195436567</v>
      </c>
      <c r="AT1070" s="29">
        <f t="shared" ca="1" si="288"/>
        <v>214</v>
      </c>
      <c r="AV1070" s="22">
        <v>45615</v>
      </c>
      <c r="AW1070" s="26">
        <f t="shared" ca="1" si="306"/>
        <v>5.1013549096544653E-2</v>
      </c>
      <c r="AX1070" s="29">
        <f t="shared" ca="1" si="289"/>
        <v>109</v>
      </c>
      <c r="AZ1070" s="22">
        <v>45615</v>
      </c>
      <c r="BA1070" s="26">
        <f t="shared" ca="1" si="307"/>
        <v>4.1641793046803932E-2</v>
      </c>
      <c r="BB1070" s="29">
        <f t="shared" ca="1" si="290"/>
        <v>97</v>
      </c>
      <c r="BC1070"/>
      <c r="BD1070" s="25"/>
      <c r="BF1070" s="22">
        <v>45615</v>
      </c>
      <c r="BG1070" s="26">
        <f t="shared" ca="1" si="308"/>
        <v>1.0781706643260835E-2</v>
      </c>
      <c r="BH1070" s="29">
        <f t="shared" ca="1" si="291"/>
        <v>62</v>
      </c>
      <c r="BJ1070" s="22">
        <v>45615</v>
      </c>
      <c r="BK1070" s="26">
        <f t="shared" ca="1" si="309"/>
        <v>0.79482472030014972</v>
      </c>
      <c r="BL1070" s="29">
        <f t="shared" ca="1" si="292"/>
        <v>201</v>
      </c>
      <c r="BN1070" s="22">
        <v>45615</v>
      </c>
      <c r="BO1070" s="26">
        <f t="shared" ca="1" si="310"/>
        <v>0.86791838906266217</v>
      </c>
      <c r="BP1070" s="29">
        <f t="shared" ca="1" si="293"/>
        <v>170</v>
      </c>
      <c r="BR1070" s="22">
        <v>45615</v>
      </c>
      <c r="BS1070" s="26">
        <f t="shared" ca="1" si="311"/>
        <v>7.2420126901807103E-2</v>
      </c>
      <c r="BT1070" s="29">
        <f t="shared" ca="1" si="294"/>
        <v>107</v>
      </c>
      <c r="BV1070" s="22">
        <v>45615</v>
      </c>
      <c r="BW1070" s="26">
        <f t="shared" ca="1" si="312"/>
        <v>4.286301856610053E-2</v>
      </c>
      <c r="BX1070" s="29">
        <f t="shared" ca="1" si="295"/>
        <v>100</v>
      </c>
    </row>
    <row r="1071" spans="2:76" ht="15.75" customHeight="1" x14ac:dyDescent="0.2">
      <c r="B1071" s="22">
        <v>45616</v>
      </c>
      <c r="C1071" s="26">
        <f t="shared" ca="1" si="277"/>
        <v>0.79879471634250843</v>
      </c>
      <c r="D1071" s="29">
        <f t="shared" ca="1" si="278"/>
        <v>92</v>
      </c>
      <c r="F1071" s="22"/>
      <c r="G1071" s="26">
        <f t="shared" ca="1" si="296"/>
        <v>0.6717615738746735</v>
      </c>
      <c r="H1071" s="29">
        <f t="shared" ca="1" si="279"/>
        <v>222</v>
      </c>
      <c r="J1071" s="22">
        <v>45616</v>
      </c>
      <c r="K1071" s="26">
        <f t="shared" ca="1" si="297"/>
        <v>0.58249913876512505</v>
      </c>
      <c r="L1071" s="29">
        <f t="shared" ca="1" si="280"/>
        <v>153</v>
      </c>
      <c r="N1071" s="22">
        <v>45616</v>
      </c>
      <c r="O1071" s="26">
        <f t="shared" ca="1" si="298"/>
        <v>0.79683732645873451</v>
      </c>
      <c r="P1071" s="29">
        <f t="shared" ca="1" si="281"/>
        <v>243</v>
      </c>
      <c r="R1071" s="22">
        <v>45616</v>
      </c>
      <c r="S1071" s="26">
        <f t="shared" ca="1" si="299"/>
        <v>0.30581562372588533</v>
      </c>
      <c r="T1071" s="29">
        <f t="shared" ca="1" si="282"/>
        <v>135</v>
      </c>
      <c r="V1071" s="22">
        <v>45616</v>
      </c>
      <c r="W1071" s="26">
        <f t="shared" ca="1" si="300"/>
        <v>0.89169375408489338</v>
      </c>
      <c r="X1071" s="29">
        <f t="shared" ca="1" si="283"/>
        <v>244</v>
      </c>
      <c r="Z1071" s="22">
        <v>45616</v>
      </c>
      <c r="AA1071" s="26">
        <f t="shared" ca="1" si="301"/>
        <v>0.71837247303381824</v>
      </c>
      <c r="AB1071" s="29">
        <f t="shared" ca="1" si="284"/>
        <v>281</v>
      </c>
      <c r="AC1071"/>
      <c r="AD1071" s="25"/>
      <c r="AF1071" s="22">
        <v>45616</v>
      </c>
      <c r="AG1071" s="26">
        <f t="shared" ca="1" si="302"/>
        <v>0.63804210645892268</v>
      </c>
      <c r="AH1071" s="29">
        <f t="shared" ca="1" si="285"/>
        <v>358</v>
      </c>
      <c r="AJ1071" s="22">
        <v>45616</v>
      </c>
      <c r="AK1071" s="26">
        <f t="shared" ca="1" si="303"/>
        <v>0.34684362020428594</v>
      </c>
      <c r="AL1071" s="29">
        <f t="shared" ca="1" si="286"/>
        <v>161</v>
      </c>
      <c r="AN1071" s="22">
        <v>45616</v>
      </c>
      <c r="AO1071" s="26">
        <f t="shared" ca="1" si="304"/>
        <v>0.11689577991040812</v>
      </c>
      <c r="AP1071" s="29">
        <f t="shared" ca="1" si="287"/>
        <v>101</v>
      </c>
      <c r="AR1071" s="22">
        <v>45616</v>
      </c>
      <c r="AS1071" s="26">
        <f t="shared" ca="1" si="305"/>
        <v>0.54672153457180472</v>
      </c>
      <c r="AT1071" s="29">
        <f t="shared" ca="1" si="288"/>
        <v>224</v>
      </c>
      <c r="AV1071" s="22">
        <v>45616</v>
      </c>
      <c r="AW1071" s="26">
        <f t="shared" ca="1" si="306"/>
        <v>0.46396284982966152</v>
      </c>
      <c r="AX1071" s="29">
        <f t="shared" ca="1" si="289"/>
        <v>188</v>
      </c>
      <c r="AZ1071" s="22">
        <v>45616</v>
      </c>
      <c r="BA1071" s="26">
        <f t="shared" ca="1" si="307"/>
        <v>0.81337647229250454</v>
      </c>
      <c r="BB1071" s="29">
        <f t="shared" ca="1" si="290"/>
        <v>223</v>
      </c>
      <c r="BC1071"/>
      <c r="BD1071" s="25"/>
      <c r="BF1071" s="22">
        <v>45616</v>
      </c>
      <c r="BG1071" s="26">
        <f t="shared" ca="1" si="308"/>
        <v>0.22036155818491132</v>
      </c>
      <c r="BH1071" s="29">
        <f t="shared" ca="1" si="291"/>
        <v>127</v>
      </c>
      <c r="BJ1071" s="22">
        <v>45616</v>
      </c>
      <c r="BK1071" s="26">
        <f t="shared" ca="1" si="309"/>
        <v>0.92720486443444639</v>
      </c>
      <c r="BL1071" s="29">
        <f t="shared" ca="1" si="292"/>
        <v>229</v>
      </c>
      <c r="BN1071" s="22">
        <v>45616</v>
      </c>
      <c r="BO1071" s="26">
        <f t="shared" ca="1" si="310"/>
        <v>0.47153667374746477</v>
      </c>
      <c r="BP1071" s="29">
        <f t="shared" ca="1" si="293"/>
        <v>129</v>
      </c>
      <c r="BR1071" s="22">
        <v>45616</v>
      </c>
      <c r="BS1071" s="26">
        <f t="shared" ca="1" si="311"/>
        <v>0.25824063948886988</v>
      </c>
      <c r="BT1071" s="29">
        <f t="shared" ca="1" si="294"/>
        <v>144</v>
      </c>
      <c r="BV1071" s="22">
        <v>45616</v>
      </c>
      <c r="BW1071" s="26">
        <f t="shared" ca="1" si="312"/>
        <v>0.119678645595651</v>
      </c>
      <c r="BX1071" s="29">
        <f t="shared" ca="1" si="295"/>
        <v>126</v>
      </c>
    </row>
    <row r="1072" spans="2:76" ht="15.75" customHeight="1" x14ac:dyDescent="0.2">
      <c r="B1072" s="22">
        <v>45617</v>
      </c>
      <c r="C1072" s="26">
        <f t="shared" ca="1" si="277"/>
        <v>0.13020024740172842</v>
      </c>
      <c r="D1072" s="29">
        <f t="shared" ca="1" si="278"/>
        <v>53</v>
      </c>
      <c r="F1072" s="22"/>
      <c r="G1072" s="26">
        <f t="shared" ca="1" si="296"/>
        <v>0.2884008916299593</v>
      </c>
      <c r="H1072" s="29">
        <f t="shared" ca="1" si="279"/>
        <v>208</v>
      </c>
      <c r="J1072" s="22">
        <v>45617</v>
      </c>
      <c r="K1072" s="26">
        <f t="shared" ca="1" si="297"/>
        <v>0.39760834281661517</v>
      </c>
      <c r="L1072" s="29">
        <f t="shared" ca="1" si="280"/>
        <v>148</v>
      </c>
      <c r="N1072" s="22">
        <v>45617</v>
      </c>
      <c r="O1072" s="26">
        <f t="shared" ca="1" si="298"/>
        <v>0.16313156902686476</v>
      </c>
      <c r="P1072" s="29">
        <f t="shared" ca="1" si="281"/>
        <v>215</v>
      </c>
      <c r="R1072" s="22">
        <v>45617</v>
      </c>
      <c r="S1072" s="26">
        <f t="shared" ca="1" si="299"/>
        <v>0.6477463786838773</v>
      </c>
      <c r="T1072" s="29">
        <f t="shared" ca="1" si="282"/>
        <v>143</v>
      </c>
      <c r="V1072" s="22">
        <v>45617</v>
      </c>
      <c r="W1072" s="26">
        <f t="shared" ca="1" si="300"/>
        <v>0.81170832266778659</v>
      </c>
      <c r="X1072" s="29">
        <f t="shared" ca="1" si="283"/>
        <v>239</v>
      </c>
      <c r="Z1072" s="22">
        <v>45617</v>
      </c>
      <c r="AA1072" s="26">
        <f t="shared" ca="1" si="301"/>
        <v>0.45691097948299997</v>
      </c>
      <c r="AB1072" s="29">
        <f t="shared" ca="1" si="284"/>
        <v>269</v>
      </c>
      <c r="AC1072"/>
      <c r="AD1072" s="25"/>
      <c r="AF1072" s="22">
        <v>45617</v>
      </c>
      <c r="AG1072" s="26">
        <f t="shared" ca="1" si="302"/>
        <v>0.59361035225748493</v>
      </c>
      <c r="AH1072" s="29">
        <f t="shared" ca="1" si="285"/>
        <v>348</v>
      </c>
      <c r="AJ1072" s="22">
        <v>45617</v>
      </c>
      <c r="AK1072" s="26">
        <f t="shared" ca="1" si="303"/>
        <v>0.94563169035751193</v>
      </c>
      <c r="AL1072" s="29">
        <f t="shared" ca="1" si="286"/>
        <v>257</v>
      </c>
      <c r="AN1072" s="22">
        <v>45617</v>
      </c>
      <c r="AO1072" s="26">
        <f t="shared" ca="1" si="304"/>
        <v>0.60136261616007414</v>
      </c>
      <c r="AP1072" s="29">
        <f t="shared" ca="1" si="287"/>
        <v>158</v>
      </c>
      <c r="AR1072" s="22">
        <v>45617</v>
      </c>
      <c r="AS1072" s="26">
        <f t="shared" ca="1" si="305"/>
        <v>0.19456935453278457</v>
      </c>
      <c r="AT1072" s="29">
        <f t="shared" ca="1" si="288"/>
        <v>167</v>
      </c>
      <c r="AV1072" s="22">
        <v>45617</v>
      </c>
      <c r="AW1072" s="26">
        <f t="shared" ca="1" si="306"/>
        <v>0.70972850100755558</v>
      </c>
      <c r="AX1072" s="29">
        <f t="shared" ca="1" si="289"/>
        <v>220</v>
      </c>
      <c r="AZ1072" s="22">
        <v>45617</v>
      </c>
      <c r="BA1072" s="26">
        <f t="shared" ca="1" si="307"/>
        <v>0.40553144494477067</v>
      </c>
      <c r="BB1072" s="29">
        <f t="shared" ca="1" si="290"/>
        <v>169</v>
      </c>
      <c r="BC1072"/>
      <c r="BD1072" s="25"/>
      <c r="BF1072" s="22">
        <v>45617</v>
      </c>
      <c r="BG1072" s="26">
        <f t="shared" ca="1" si="308"/>
        <v>0.74387559354643051</v>
      </c>
      <c r="BH1072" s="29">
        <f t="shared" ca="1" si="291"/>
        <v>188</v>
      </c>
      <c r="BJ1072" s="22">
        <v>45617</v>
      </c>
      <c r="BK1072" s="26">
        <f t="shared" ca="1" si="309"/>
        <v>0.51170360854182495</v>
      </c>
      <c r="BL1072" s="29">
        <f t="shared" ca="1" si="292"/>
        <v>166</v>
      </c>
      <c r="BN1072" s="22">
        <v>45617</v>
      </c>
      <c r="BO1072" s="26">
        <f t="shared" ca="1" si="310"/>
        <v>0.40530739498452872</v>
      </c>
      <c r="BP1072" s="29">
        <f t="shared" ca="1" si="293"/>
        <v>123</v>
      </c>
      <c r="BR1072" s="22">
        <v>45617</v>
      </c>
      <c r="BS1072" s="26">
        <f t="shared" ca="1" si="311"/>
        <v>0.67366752958785092</v>
      </c>
      <c r="BT1072" s="29">
        <f t="shared" ca="1" si="294"/>
        <v>195</v>
      </c>
      <c r="BV1072" s="22">
        <v>45617</v>
      </c>
      <c r="BW1072" s="26">
        <f t="shared" ca="1" si="312"/>
        <v>0.73149874278536953</v>
      </c>
      <c r="BX1072" s="29">
        <f t="shared" ca="1" si="295"/>
        <v>214</v>
      </c>
    </row>
    <row r="1073" spans="2:77" ht="15.75" customHeight="1" x14ac:dyDescent="0.2">
      <c r="B1073" s="22">
        <v>45618</v>
      </c>
      <c r="C1073" s="26">
        <f t="shared" ca="1" si="277"/>
        <v>0.83088459279902871</v>
      </c>
      <c r="D1073" s="29">
        <f t="shared" ca="1" si="278"/>
        <v>95</v>
      </c>
      <c r="F1073" s="22"/>
      <c r="G1073" s="26">
        <f t="shared" ca="1" si="296"/>
        <v>0.80586107720775713</v>
      </c>
      <c r="H1073" s="29">
        <f t="shared" ca="1" si="279"/>
        <v>228</v>
      </c>
      <c r="J1073" s="22">
        <v>45618</v>
      </c>
      <c r="K1073" s="26">
        <f t="shared" ca="1" si="297"/>
        <v>8.0899422830203904E-2</v>
      </c>
      <c r="L1073" s="29">
        <f t="shared" ca="1" si="280"/>
        <v>137</v>
      </c>
      <c r="N1073" s="22">
        <v>45618</v>
      </c>
      <c r="O1073" s="26">
        <f t="shared" ca="1" si="298"/>
        <v>0.58860846674367573</v>
      </c>
      <c r="P1073" s="29">
        <f t="shared" ca="1" si="281"/>
        <v>233</v>
      </c>
      <c r="R1073" s="22">
        <v>45618</v>
      </c>
      <c r="S1073" s="26">
        <f t="shared" ca="1" si="299"/>
        <v>0.18949775762155674</v>
      </c>
      <c r="T1073" s="29">
        <f t="shared" ca="1" si="282"/>
        <v>131</v>
      </c>
      <c r="V1073" s="22">
        <v>45618</v>
      </c>
      <c r="W1073" s="26">
        <f t="shared" ca="1" si="300"/>
        <v>0.2765434829227571</v>
      </c>
      <c r="X1073" s="29">
        <f t="shared" ca="1" si="283"/>
        <v>217</v>
      </c>
      <c r="Z1073" s="22">
        <v>45618</v>
      </c>
      <c r="AA1073" s="26">
        <f t="shared" ca="1" si="301"/>
        <v>0.27612813465975694</v>
      </c>
      <c r="AB1073" s="29">
        <f t="shared" ca="1" si="284"/>
        <v>260</v>
      </c>
      <c r="AC1073"/>
      <c r="AD1073" s="25"/>
      <c r="AF1073" s="22">
        <v>45618</v>
      </c>
      <c r="AG1073" s="26">
        <f t="shared" ca="1" si="302"/>
        <v>0.22498176166676276</v>
      </c>
      <c r="AH1073" s="29">
        <f t="shared" ca="1" si="285"/>
        <v>262</v>
      </c>
      <c r="AJ1073" s="22">
        <v>45618</v>
      </c>
      <c r="AK1073" s="26">
        <f t="shared" ca="1" si="303"/>
        <v>0.24255667325655483</v>
      </c>
      <c r="AL1073" s="29">
        <f t="shared" ca="1" si="286"/>
        <v>147</v>
      </c>
      <c r="AN1073" s="22">
        <v>45618</v>
      </c>
      <c r="AO1073" s="26">
        <f t="shared" ca="1" si="304"/>
        <v>0.41818103520014938</v>
      </c>
      <c r="AP1073" s="29">
        <f t="shared" ca="1" si="287"/>
        <v>140</v>
      </c>
      <c r="AR1073" s="22">
        <v>45618</v>
      </c>
      <c r="AS1073" s="26">
        <f t="shared" ca="1" si="305"/>
        <v>0.75529090559154843</v>
      </c>
      <c r="AT1073" s="29">
        <f t="shared" ca="1" si="288"/>
        <v>257</v>
      </c>
      <c r="AV1073" s="22">
        <v>45618</v>
      </c>
      <c r="AW1073" s="26">
        <f t="shared" ca="1" si="306"/>
        <v>8.600614491212577E-2</v>
      </c>
      <c r="AX1073" s="29">
        <f t="shared" ca="1" si="289"/>
        <v>122</v>
      </c>
      <c r="AZ1073" s="22">
        <v>45618</v>
      </c>
      <c r="BA1073" s="26">
        <f t="shared" ca="1" si="307"/>
        <v>0.39961541399702727</v>
      </c>
      <c r="BB1073" s="29">
        <f t="shared" ca="1" si="290"/>
        <v>168</v>
      </c>
      <c r="BC1073"/>
      <c r="BD1073" s="25"/>
      <c r="BF1073" s="22">
        <v>45618</v>
      </c>
      <c r="BG1073" s="26">
        <f t="shared" ca="1" si="308"/>
        <v>8.5559303612958937E-2</v>
      </c>
      <c r="BH1073" s="29">
        <f t="shared" ca="1" si="291"/>
        <v>102</v>
      </c>
      <c r="BJ1073" s="22">
        <v>45618</v>
      </c>
      <c r="BK1073" s="26">
        <f t="shared" ca="1" si="309"/>
        <v>0.26165381276022548</v>
      </c>
      <c r="BL1073" s="29">
        <f t="shared" ca="1" si="292"/>
        <v>137</v>
      </c>
      <c r="BN1073" s="22">
        <v>45618</v>
      </c>
      <c r="BO1073" s="26">
        <f t="shared" ca="1" si="310"/>
        <v>0.23275166721202334</v>
      </c>
      <c r="BP1073" s="29">
        <f t="shared" ca="1" si="293"/>
        <v>106</v>
      </c>
      <c r="BR1073" s="22">
        <v>45618</v>
      </c>
      <c r="BS1073" s="26">
        <f t="shared" ca="1" si="311"/>
        <v>0.3191951138881125</v>
      </c>
      <c r="BT1073" s="29">
        <f t="shared" ca="1" si="294"/>
        <v>152</v>
      </c>
      <c r="BV1073" s="22">
        <v>45618</v>
      </c>
      <c r="BW1073" s="26">
        <f t="shared" ca="1" si="312"/>
        <v>0.13105742530126541</v>
      </c>
      <c r="BX1073" s="29">
        <f t="shared" ca="1" si="295"/>
        <v>129</v>
      </c>
    </row>
    <row r="1074" spans="2:77" ht="15.75" customHeight="1" x14ac:dyDescent="0.2">
      <c r="B1074" s="22">
        <v>45619</v>
      </c>
      <c r="C1074" s="26">
        <f t="shared" ca="1" si="277"/>
        <v>0.28406262226554513</v>
      </c>
      <c r="D1074" s="29">
        <f t="shared" ca="1" si="278"/>
        <v>64</v>
      </c>
      <c r="F1074" s="22"/>
      <c r="G1074" s="26">
        <f t="shared" ca="1" si="296"/>
        <v>0.37611643467740474</v>
      </c>
      <c r="H1074" s="29">
        <f t="shared" ca="1" si="279"/>
        <v>211</v>
      </c>
      <c r="J1074" s="22">
        <v>45619</v>
      </c>
      <c r="K1074" s="26">
        <f t="shared" ca="1" si="297"/>
        <v>0.74514270766144697</v>
      </c>
      <c r="L1074" s="29">
        <f t="shared" ca="1" si="280"/>
        <v>157</v>
      </c>
      <c r="N1074" s="22">
        <v>45619</v>
      </c>
      <c r="O1074" s="26">
        <f t="shared" ca="1" si="298"/>
        <v>0.2516635853866499</v>
      </c>
      <c r="P1074" s="29">
        <f t="shared" ca="1" si="281"/>
        <v>220</v>
      </c>
      <c r="R1074" s="22">
        <v>45619</v>
      </c>
      <c r="S1074" s="26">
        <f t="shared" ca="1" si="299"/>
        <v>0.77077006222705324</v>
      </c>
      <c r="T1074" s="29">
        <f t="shared" ca="1" si="282"/>
        <v>146</v>
      </c>
      <c r="V1074" s="22">
        <v>45619</v>
      </c>
      <c r="W1074" s="26">
        <f t="shared" ca="1" si="300"/>
        <v>0.63616860874282632</v>
      </c>
      <c r="X1074" s="29">
        <f t="shared" ca="1" si="283"/>
        <v>231</v>
      </c>
      <c r="Z1074" s="22">
        <v>45619</v>
      </c>
      <c r="AA1074" s="26">
        <f t="shared" ca="1" si="301"/>
        <v>0.46659711899115075</v>
      </c>
      <c r="AB1074" s="29">
        <f t="shared" ca="1" si="284"/>
        <v>269</v>
      </c>
      <c r="AC1074"/>
      <c r="AD1074" s="25"/>
      <c r="AF1074" s="22">
        <v>45619</v>
      </c>
      <c r="AG1074" s="26">
        <f t="shared" ca="1" si="302"/>
        <v>0.41093591247831263</v>
      </c>
      <c r="AH1074" s="29">
        <f t="shared" ca="1" si="285"/>
        <v>308</v>
      </c>
      <c r="AJ1074" s="22">
        <v>45619</v>
      </c>
      <c r="AK1074" s="26">
        <f t="shared" ca="1" si="303"/>
        <v>1.6532579570266992E-2</v>
      </c>
      <c r="AL1074" s="29">
        <f t="shared" ca="1" si="286"/>
        <v>78</v>
      </c>
      <c r="AN1074" s="22">
        <v>45619</v>
      </c>
      <c r="AO1074" s="26">
        <f t="shared" ca="1" si="304"/>
        <v>0.23500657091672317</v>
      </c>
      <c r="AP1074" s="29">
        <f t="shared" ca="1" si="287"/>
        <v>119</v>
      </c>
      <c r="AR1074" s="22">
        <v>45619</v>
      </c>
      <c r="AS1074" s="26">
        <f t="shared" ca="1" si="305"/>
        <v>0.42882086377211481</v>
      </c>
      <c r="AT1074" s="29">
        <f t="shared" ca="1" si="288"/>
        <v>207</v>
      </c>
      <c r="AV1074" s="22">
        <v>45619</v>
      </c>
      <c r="AW1074" s="26">
        <f t="shared" ca="1" si="306"/>
        <v>0.51957333383601256</v>
      </c>
      <c r="AX1074" s="29">
        <f t="shared" ca="1" si="289"/>
        <v>195</v>
      </c>
      <c r="AZ1074" s="22">
        <v>45619</v>
      </c>
      <c r="BA1074" s="26">
        <f t="shared" ca="1" si="307"/>
        <v>0.20764789668024453</v>
      </c>
      <c r="BB1074" s="29">
        <f t="shared" ca="1" si="290"/>
        <v>141</v>
      </c>
      <c r="BC1074"/>
      <c r="BD1074" s="25"/>
      <c r="BF1074" s="22">
        <v>45619</v>
      </c>
      <c r="BG1074" s="26">
        <f t="shared" ca="1" si="308"/>
        <v>0.80373795036182027</v>
      </c>
      <c r="BH1074" s="29">
        <f t="shared" ca="1" si="291"/>
        <v>196</v>
      </c>
      <c r="BJ1074" s="22">
        <v>45619</v>
      </c>
      <c r="BK1074" s="26">
        <f t="shared" ca="1" si="309"/>
        <v>0.57603237396824947</v>
      </c>
      <c r="BL1074" s="29">
        <f t="shared" ca="1" si="292"/>
        <v>173</v>
      </c>
      <c r="BN1074" s="22">
        <v>45619</v>
      </c>
      <c r="BO1074" s="26">
        <f t="shared" ca="1" si="310"/>
        <v>0.74305838279715475</v>
      </c>
      <c r="BP1074" s="29">
        <f t="shared" ca="1" si="293"/>
        <v>154</v>
      </c>
      <c r="BR1074" s="22">
        <v>45619</v>
      </c>
      <c r="BS1074" s="26">
        <f t="shared" ca="1" si="311"/>
        <v>0.86466983544616927</v>
      </c>
      <c r="BT1074" s="29">
        <f t="shared" ca="1" si="294"/>
        <v>225</v>
      </c>
      <c r="BV1074" s="22">
        <v>45619</v>
      </c>
      <c r="BW1074" s="26">
        <f t="shared" ca="1" si="312"/>
        <v>0.22114060556785375</v>
      </c>
      <c r="BX1074" s="29">
        <f t="shared" ca="1" si="295"/>
        <v>146</v>
      </c>
    </row>
    <row r="1075" spans="2:77" ht="15.75" customHeight="1" x14ac:dyDescent="0.2">
      <c r="B1075" s="22">
        <v>45620</v>
      </c>
      <c r="C1075" s="26">
        <f t="shared" ca="1" si="277"/>
        <v>0.62585089753241363</v>
      </c>
      <c r="D1075" s="29">
        <f t="shared" ca="1" si="278"/>
        <v>82</v>
      </c>
      <c r="F1075" s="22"/>
      <c r="G1075" s="26">
        <f t="shared" ca="1" si="296"/>
        <v>8.5298548932445484E-2</v>
      </c>
      <c r="H1075" s="29">
        <f t="shared" ca="1" si="279"/>
        <v>196</v>
      </c>
      <c r="J1075" s="22">
        <v>45620</v>
      </c>
      <c r="K1075" s="26">
        <f t="shared" ca="1" si="297"/>
        <v>0.57657269005499823</v>
      </c>
      <c r="L1075" s="29">
        <f t="shared" ca="1" si="280"/>
        <v>152</v>
      </c>
      <c r="N1075" s="22">
        <v>45620</v>
      </c>
      <c r="O1075" s="26">
        <f t="shared" ca="1" si="298"/>
        <v>0.19299318063863991</v>
      </c>
      <c r="P1075" s="29">
        <f t="shared" ca="1" si="281"/>
        <v>217</v>
      </c>
      <c r="R1075" s="22">
        <v>45620</v>
      </c>
      <c r="S1075" s="26">
        <f t="shared" ca="1" si="299"/>
        <v>0.42972853696312419</v>
      </c>
      <c r="T1075" s="29">
        <f t="shared" ca="1" si="282"/>
        <v>138</v>
      </c>
      <c r="V1075" s="22">
        <v>45620</v>
      </c>
      <c r="W1075" s="26">
        <f t="shared" ca="1" si="300"/>
        <v>0.40355348509890865</v>
      </c>
      <c r="X1075" s="29">
        <f t="shared" ca="1" si="283"/>
        <v>222</v>
      </c>
      <c r="Z1075" s="22">
        <v>45620</v>
      </c>
      <c r="AA1075" s="26">
        <f t="shared" ca="1" si="301"/>
        <v>0.44257752893066227</v>
      </c>
      <c r="AB1075" s="29">
        <f t="shared" ca="1" si="284"/>
        <v>268</v>
      </c>
      <c r="AC1075"/>
      <c r="AD1075" s="25"/>
      <c r="AF1075" s="22">
        <v>45620</v>
      </c>
      <c r="AG1075" s="26">
        <f t="shared" ca="1" si="302"/>
        <v>0.49988852338743073</v>
      </c>
      <c r="AH1075" s="29">
        <f t="shared" ca="1" si="285"/>
        <v>327</v>
      </c>
      <c r="AJ1075" s="22">
        <v>45620</v>
      </c>
      <c r="AK1075" s="26">
        <f t="shared" ca="1" si="303"/>
        <v>0.40082760701236919</v>
      </c>
      <c r="AL1075" s="29">
        <f t="shared" ca="1" si="286"/>
        <v>168</v>
      </c>
      <c r="AN1075" s="22">
        <v>45620</v>
      </c>
      <c r="AO1075" s="26">
        <f t="shared" ca="1" si="304"/>
        <v>0.94338476734178167</v>
      </c>
      <c r="AP1075" s="29">
        <f t="shared" ca="1" si="287"/>
        <v>210</v>
      </c>
      <c r="AR1075" s="22">
        <v>45620</v>
      </c>
      <c r="AS1075" s="26">
        <f t="shared" ca="1" si="305"/>
        <v>0.20358883486584789</v>
      </c>
      <c r="AT1075" s="29">
        <f t="shared" ca="1" si="288"/>
        <v>169</v>
      </c>
      <c r="AV1075" s="22">
        <v>45620</v>
      </c>
      <c r="AW1075" s="26">
        <f t="shared" ca="1" si="306"/>
        <v>9.1984978027719877E-2</v>
      </c>
      <c r="AX1075" s="29">
        <f t="shared" ca="1" si="289"/>
        <v>124</v>
      </c>
      <c r="AZ1075" s="22">
        <v>45620</v>
      </c>
      <c r="BA1075" s="26">
        <f t="shared" ca="1" si="307"/>
        <v>0.66259618830618927</v>
      </c>
      <c r="BB1075" s="29">
        <f t="shared" ca="1" si="290"/>
        <v>200</v>
      </c>
      <c r="BC1075"/>
      <c r="BD1075" s="25"/>
      <c r="BF1075" s="22">
        <v>45620</v>
      </c>
      <c r="BG1075" s="26">
        <f t="shared" ca="1" si="308"/>
        <v>6.1166211125005643E-2</v>
      </c>
      <c r="BH1075" s="29">
        <f t="shared" ca="1" si="291"/>
        <v>94</v>
      </c>
      <c r="BJ1075" s="22">
        <v>45620</v>
      </c>
      <c r="BK1075" s="26">
        <f t="shared" ca="1" si="309"/>
        <v>0.23180638547188559</v>
      </c>
      <c r="BL1075" s="29">
        <f t="shared" ca="1" si="292"/>
        <v>133</v>
      </c>
      <c r="BN1075" s="22">
        <v>45620</v>
      </c>
      <c r="BO1075" s="26">
        <f t="shared" ca="1" si="310"/>
        <v>0.97773312022519443</v>
      </c>
      <c r="BP1075" s="29">
        <f t="shared" ca="1" si="293"/>
        <v>202</v>
      </c>
      <c r="BR1075" s="22">
        <v>45620</v>
      </c>
      <c r="BS1075" s="26">
        <f t="shared" ca="1" si="311"/>
        <v>0.41912320955399196</v>
      </c>
      <c r="BT1075" s="29">
        <f t="shared" ca="1" si="294"/>
        <v>165</v>
      </c>
      <c r="BV1075" s="22">
        <v>45620</v>
      </c>
      <c r="BW1075" s="26">
        <f t="shared" ca="1" si="312"/>
        <v>0.20523221419033155</v>
      </c>
      <c r="BX1075" s="29">
        <f t="shared" ca="1" si="295"/>
        <v>144</v>
      </c>
    </row>
    <row r="1076" spans="2:77" ht="15.75" customHeight="1" x14ac:dyDescent="0.2">
      <c r="B1076" s="22">
        <v>45621</v>
      </c>
      <c r="C1076" s="26">
        <f t="shared" ca="1" si="277"/>
        <v>0.69564965038788429</v>
      </c>
      <c r="D1076" s="29">
        <f t="shared" ca="1" si="278"/>
        <v>86</v>
      </c>
      <c r="F1076" s="22"/>
      <c r="G1076" s="26">
        <f t="shared" ca="1" si="296"/>
        <v>0.5698302211850963</v>
      </c>
      <c r="H1076" s="29">
        <f t="shared" ca="1" si="279"/>
        <v>218</v>
      </c>
      <c r="J1076" s="22">
        <v>45621</v>
      </c>
      <c r="K1076" s="26">
        <f t="shared" ca="1" si="297"/>
        <v>0.13794209842388006</v>
      </c>
      <c r="L1076" s="29">
        <f t="shared" ca="1" si="280"/>
        <v>140</v>
      </c>
      <c r="N1076" s="22">
        <v>45621</v>
      </c>
      <c r="O1076" s="26">
        <f t="shared" ca="1" si="298"/>
        <v>6.2693057596354129E-2</v>
      </c>
      <c r="P1076" s="29">
        <f t="shared" ca="1" si="281"/>
        <v>206</v>
      </c>
      <c r="R1076" s="22">
        <v>45621</v>
      </c>
      <c r="S1076" s="26">
        <f t="shared" ca="1" si="299"/>
        <v>0.59070305328901829</v>
      </c>
      <c r="T1076" s="29">
        <f t="shared" ca="1" si="282"/>
        <v>141</v>
      </c>
      <c r="V1076" s="22">
        <v>45621</v>
      </c>
      <c r="W1076" s="26">
        <f t="shared" ca="1" si="300"/>
        <v>5.0640465167563042E-2</v>
      </c>
      <c r="X1076" s="29">
        <f t="shared" ca="1" si="283"/>
        <v>201</v>
      </c>
      <c r="Z1076" s="22">
        <v>45621</v>
      </c>
      <c r="AA1076" s="26">
        <f t="shared" ca="1" si="301"/>
        <v>0.20305490605906473</v>
      </c>
      <c r="AB1076" s="29">
        <f t="shared" ca="1" si="284"/>
        <v>256</v>
      </c>
      <c r="AC1076"/>
      <c r="AD1076" s="25"/>
      <c r="AF1076" s="22">
        <v>45621</v>
      </c>
      <c r="AG1076" s="26">
        <f t="shared" ca="1" si="302"/>
        <v>8.5470510668321564E-2</v>
      </c>
      <c r="AH1076" s="29">
        <f t="shared" ca="1" si="285"/>
        <v>208</v>
      </c>
      <c r="AJ1076" s="22">
        <v>45621</v>
      </c>
      <c r="AK1076" s="26">
        <f t="shared" ca="1" si="303"/>
        <v>0.56063698493159531</v>
      </c>
      <c r="AL1076" s="29">
        <f t="shared" ca="1" si="286"/>
        <v>188</v>
      </c>
      <c r="AN1076" s="22">
        <v>45621</v>
      </c>
      <c r="AO1076" s="26">
        <f t="shared" ca="1" si="304"/>
        <v>8.4086254124332238E-2</v>
      </c>
      <c r="AP1076" s="29">
        <f t="shared" ca="1" si="287"/>
        <v>94</v>
      </c>
      <c r="AR1076" s="22">
        <v>45621</v>
      </c>
      <c r="AS1076" s="26">
        <f t="shared" ca="1" si="305"/>
        <v>0.65537163009218136</v>
      </c>
      <c r="AT1076" s="29">
        <f t="shared" ca="1" si="288"/>
        <v>240</v>
      </c>
      <c r="AV1076" s="22">
        <v>45621</v>
      </c>
      <c r="AW1076" s="26">
        <f t="shared" ca="1" si="306"/>
        <v>0.32951876886072073</v>
      </c>
      <c r="AX1076" s="29">
        <f t="shared" ca="1" si="289"/>
        <v>170</v>
      </c>
      <c r="AZ1076" s="22">
        <v>45621</v>
      </c>
      <c r="BA1076" s="26">
        <f t="shared" ca="1" si="307"/>
        <v>9.7929837939386144E-2</v>
      </c>
      <c r="BB1076" s="29">
        <f t="shared" ca="1" si="290"/>
        <v>118</v>
      </c>
      <c r="BC1076"/>
      <c r="BD1076" s="25"/>
      <c r="BF1076" s="22">
        <v>45621</v>
      </c>
      <c r="BG1076" s="26">
        <f t="shared" ca="1" si="308"/>
        <v>0.41014937844241273</v>
      </c>
      <c r="BH1076" s="29">
        <f t="shared" ca="1" si="291"/>
        <v>150</v>
      </c>
      <c r="BJ1076" s="22">
        <v>45621</v>
      </c>
      <c r="BK1076" s="26">
        <f t="shared" ca="1" si="309"/>
        <v>0.69471530379193347</v>
      </c>
      <c r="BL1076" s="29">
        <f t="shared" ca="1" si="292"/>
        <v>187</v>
      </c>
      <c r="BN1076" s="22">
        <v>45621</v>
      </c>
      <c r="BO1076" s="26">
        <f t="shared" ca="1" si="310"/>
        <v>0.54559104149899051</v>
      </c>
      <c r="BP1076" s="29">
        <f t="shared" ca="1" si="293"/>
        <v>135</v>
      </c>
      <c r="BR1076" s="22">
        <v>45621</v>
      </c>
      <c r="BS1076" s="26">
        <f t="shared" ca="1" si="311"/>
        <v>0.89731881689882997</v>
      </c>
      <c r="BT1076" s="29">
        <f t="shared" ca="1" si="294"/>
        <v>233</v>
      </c>
      <c r="BV1076" s="22">
        <v>45621</v>
      </c>
      <c r="BW1076" s="26">
        <f t="shared" ca="1" si="312"/>
        <v>0.24704923698980441</v>
      </c>
      <c r="BX1076" s="29">
        <f t="shared" ca="1" si="295"/>
        <v>150</v>
      </c>
    </row>
    <row r="1077" spans="2:77" ht="15.75" customHeight="1" x14ac:dyDescent="0.2">
      <c r="B1077" s="22">
        <v>45622</v>
      </c>
      <c r="C1077" s="26">
        <f t="shared" ca="1" si="277"/>
        <v>0.10248832754364379</v>
      </c>
      <c r="D1077" s="29">
        <f t="shared" ca="1" si="278"/>
        <v>50</v>
      </c>
      <c r="F1077" s="22"/>
      <c r="G1077" s="26">
        <f t="shared" ca="1" si="296"/>
        <v>0.49270586712949493</v>
      </c>
      <c r="H1077" s="29">
        <f t="shared" ca="1" si="279"/>
        <v>216</v>
      </c>
      <c r="J1077" s="22">
        <v>45622</v>
      </c>
      <c r="K1077" s="26">
        <f t="shared" ca="1" si="297"/>
        <v>0.59723528492124367</v>
      </c>
      <c r="L1077" s="29">
        <f t="shared" ca="1" si="280"/>
        <v>153</v>
      </c>
      <c r="N1077" s="22">
        <v>45622</v>
      </c>
      <c r="O1077" s="26">
        <f t="shared" ca="1" si="298"/>
        <v>0.49764443302781847</v>
      </c>
      <c r="P1077" s="29">
        <f t="shared" ca="1" si="281"/>
        <v>230</v>
      </c>
      <c r="R1077" s="22">
        <v>45622</v>
      </c>
      <c r="S1077" s="26">
        <f t="shared" ca="1" si="299"/>
        <v>0.97486939361468117</v>
      </c>
      <c r="T1077" s="29">
        <f t="shared" ca="1" si="282"/>
        <v>157</v>
      </c>
      <c r="V1077" s="22">
        <v>45622</v>
      </c>
      <c r="W1077" s="26">
        <f t="shared" ca="1" si="300"/>
        <v>0.50151092296181998</v>
      </c>
      <c r="X1077" s="29">
        <f t="shared" ca="1" si="283"/>
        <v>226</v>
      </c>
      <c r="Z1077" s="22">
        <v>45622</v>
      </c>
      <c r="AA1077" s="26">
        <f t="shared" ca="1" si="301"/>
        <v>0.70959194337741593</v>
      </c>
      <c r="AB1077" s="29">
        <f t="shared" ca="1" si="284"/>
        <v>280</v>
      </c>
      <c r="AC1077"/>
      <c r="AD1077" s="25"/>
      <c r="AF1077" s="22">
        <v>45622</v>
      </c>
      <c r="AG1077" s="26">
        <f t="shared" ca="1" si="302"/>
        <v>0.97650327944976112</v>
      </c>
      <c r="AH1077" s="29">
        <f t="shared" ca="1" si="285"/>
        <v>501</v>
      </c>
      <c r="AJ1077" s="22">
        <v>45622</v>
      </c>
      <c r="AK1077" s="26">
        <f t="shared" ca="1" si="303"/>
        <v>0.4044728119125891</v>
      </c>
      <c r="AL1077" s="29">
        <f t="shared" ca="1" si="286"/>
        <v>169</v>
      </c>
      <c r="AN1077" s="22">
        <v>45622</v>
      </c>
      <c r="AO1077" s="26">
        <f t="shared" ca="1" si="304"/>
        <v>4.6075264351176926E-2</v>
      </c>
      <c r="AP1077" s="29">
        <f t="shared" ca="1" si="287"/>
        <v>82</v>
      </c>
      <c r="AR1077" s="22">
        <v>45622</v>
      </c>
      <c r="AS1077" s="26">
        <f t="shared" ca="1" si="305"/>
        <v>0.39963068871881435</v>
      </c>
      <c r="AT1077" s="29">
        <f t="shared" ca="1" si="288"/>
        <v>203</v>
      </c>
      <c r="AV1077" s="22">
        <v>45622</v>
      </c>
      <c r="AW1077" s="26">
        <f t="shared" ca="1" si="306"/>
        <v>0.4956744439246964</v>
      </c>
      <c r="AX1077" s="29">
        <f t="shared" ca="1" si="289"/>
        <v>192</v>
      </c>
      <c r="AZ1077" s="22">
        <v>45622</v>
      </c>
      <c r="BA1077" s="26">
        <f t="shared" ca="1" si="307"/>
        <v>0.8762692207275371</v>
      </c>
      <c r="BB1077" s="29">
        <f t="shared" ca="1" si="290"/>
        <v>236</v>
      </c>
      <c r="BC1077"/>
      <c r="BD1077" s="25"/>
      <c r="BF1077" s="22">
        <v>45622</v>
      </c>
      <c r="BG1077" s="26">
        <f t="shared" ca="1" si="308"/>
        <v>0.22253489734758214</v>
      </c>
      <c r="BH1077" s="29">
        <f t="shared" ca="1" si="291"/>
        <v>128</v>
      </c>
      <c r="BJ1077" s="22">
        <v>45622</v>
      </c>
      <c r="BK1077" s="26">
        <f t="shared" ca="1" si="309"/>
        <v>0.64933626900860619</v>
      </c>
      <c r="BL1077" s="29">
        <f t="shared" ca="1" si="292"/>
        <v>182</v>
      </c>
      <c r="BN1077" s="22">
        <v>45622</v>
      </c>
      <c r="BO1077" s="26">
        <f t="shared" ca="1" si="310"/>
        <v>0.32222590140529961</v>
      </c>
      <c r="BP1077" s="29">
        <f t="shared" ca="1" si="293"/>
        <v>115</v>
      </c>
      <c r="BR1077" s="22">
        <v>45622</v>
      </c>
      <c r="BS1077" s="26">
        <f t="shared" ca="1" si="311"/>
        <v>0.29397517119608907</v>
      </c>
      <c r="BT1077" s="29">
        <f t="shared" ca="1" si="294"/>
        <v>149</v>
      </c>
      <c r="BV1077" s="22">
        <v>45622</v>
      </c>
      <c r="BW1077" s="26">
        <f t="shared" ca="1" si="312"/>
        <v>0.82350914566813249</v>
      </c>
      <c r="BX1077" s="29">
        <f t="shared" ca="1" si="295"/>
        <v>229</v>
      </c>
    </row>
    <row r="1078" spans="2:77" ht="15.75" customHeight="1" x14ac:dyDescent="0.2">
      <c r="B1078" s="22">
        <v>45623</v>
      </c>
      <c r="C1078" s="26">
        <f t="shared" ca="1" si="277"/>
        <v>0.3913250717720389</v>
      </c>
      <c r="D1078" s="29">
        <f t="shared" ca="1" si="278"/>
        <v>70</v>
      </c>
      <c r="F1078" s="22"/>
      <c r="G1078" s="26">
        <f t="shared" ca="1" si="296"/>
        <v>0.57056464020824693</v>
      </c>
      <c r="H1078" s="29">
        <f t="shared" ca="1" si="279"/>
        <v>218</v>
      </c>
      <c r="J1078" s="22">
        <v>45623</v>
      </c>
      <c r="K1078" s="26">
        <f t="shared" ca="1" si="297"/>
        <v>4.2078253955262657E-2</v>
      </c>
      <c r="L1078" s="29">
        <f t="shared" ca="1" si="280"/>
        <v>133</v>
      </c>
      <c r="N1078" s="22">
        <v>45623</v>
      </c>
      <c r="O1078" s="26">
        <f t="shared" ca="1" si="298"/>
        <v>0.87257791288281905</v>
      </c>
      <c r="P1078" s="29">
        <f t="shared" ca="1" si="281"/>
        <v>247</v>
      </c>
      <c r="R1078" s="22">
        <v>45623</v>
      </c>
      <c r="S1078" s="26">
        <f t="shared" ca="1" si="299"/>
        <v>0.21078475308085309</v>
      </c>
      <c r="T1078" s="29">
        <f t="shared" ca="1" si="282"/>
        <v>132</v>
      </c>
      <c r="V1078" s="22">
        <v>45623</v>
      </c>
      <c r="W1078" s="26">
        <f t="shared" ca="1" si="300"/>
        <v>0.98500740924125563</v>
      </c>
      <c r="X1078" s="29">
        <f t="shared" ca="1" si="283"/>
        <v>258</v>
      </c>
      <c r="Z1078" s="22">
        <v>45623</v>
      </c>
      <c r="AA1078" s="26">
        <f t="shared" ca="1" si="301"/>
        <v>0.19698709720264673</v>
      </c>
      <c r="AB1078" s="29">
        <f t="shared" ca="1" si="284"/>
        <v>255</v>
      </c>
      <c r="AC1078"/>
      <c r="AD1078" s="25"/>
      <c r="AF1078" s="22">
        <v>45623</v>
      </c>
      <c r="AG1078" s="26">
        <f t="shared" ca="1" si="302"/>
        <v>0.6868349107554792</v>
      </c>
      <c r="AH1078" s="29">
        <f t="shared" ca="1" si="285"/>
        <v>370</v>
      </c>
      <c r="AJ1078" s="22">
        <v>45623</v>
      </c>
      <c r="AK1078" s="26">
        <f t="shared" ca="1" si="303"/>
        <v>0.2513817242270906</v>
      </c>
      <c r="AL1078" s="29">
        <f t="shared" ca="1" si="286"/>
        <v>148</v>
      </c>
      <c r="AN1078" s="22">
        <v>45623</v>
      </c>
      <c r="AO1078" s="26">
        <f t="shared" ca="1" si="304"/>
        <v>0.18631374557965552</v>
      </c>
      <c r="AP1078" s="29">
        <f t="shared" ca="1" si="287"/>
        <v>113</v>
      </c>
      <c r="AR1078" s="22">
        <v>45623</v>
      </c>
      <c r="AS1078" s="26">
        <f t="shared" ca="1" si="305"/>
        <v>0.56024631897253863</v>
      </c>
      <c r="AT1078" s="29">
        <f t="shared" ca="1" si="288"/>
        <v>226</v>
      </c>
      <c r="AV1078" s="22">
        <v>45623</v>
      </c>
      <c r="AW1078" s="26">
        <f t="shared" ca="1" si="306"/>
        <v>0.95127660885584298</v>
      </c>
      <c r="AX1078" s="29">
        <f t="shared" ca="1" si="289"/>
        <v>277</v>
      </c>
      <c r="AZ1078" s="22">
        <v>45623</v>
      </c>
      <c r="BA1078" s="26">
        <f t="shared" ca="1" si="307"/>
        <v>0.39837602941330108</v>
      </c>
      <c r="BB1078" s="29">
        <f t="shared" ca="1" si="290"/>
        <v>168</v>
      </c>
      <c r="BC1078"/>
      <c r="BD1078" s="25"/>
      <c r="BF1078" s="22">
        <v>45623</v>
      </c>
      <c r="BG1078" s="26">
        <f t="shared" ca="1" si="308"/>
        <v>0.66341197970628263</v>
      </c>
      <c r="BH1078" s="29">
        <f t="shared" ca="1" si="291"/>
        <v>178</v>
      </c>
      <c r="BJ1078" s="22">
        <v>45623</v>
      </c>
      <c r="BK1078" s="26">
        <f t="shared" ca="1" si="309"/>
        <v>0.57026505615558254</v>
      </c>
      <c r="BL1078" s="29">
        <f t="shared" ca="1" si="292"/>
        <v>173</v>
      </c>
      <c r="BN1078" s="22">
        <v>45623</v>
      </c>
      <c r="BO1078" s="26">
        <f t="shared" ca="1" si="310"/>
        <v>0.93979310539860428</v>
      </c>
      <c r="BP1078" s="29">
        <f t="shared" ca="1" si="293"/>
        <v>186</v>
      </c>
      <c r="BR1078" s="22">
        <v>45623</v>
      </c>
      <c r="BS1078" s="26">
        <f t="shared" ca="1" si="311"/>
        <v>0.33664266811958155</v>
      </c>
      <c r="BT1078" s="29">
        <f t="shared" ca="1" si="294"/>
        <v>155</v>
      </c>
      <c r="BV1078" s="22">
        <v>45623</v>
      </c>
      <c r="BW1078" s="26">
        <f t="shared" ca="1" si="312"/>
        <v>0.73360488316817796</v>
      </c>
      <c r="BX1078" s="29">
        <f t="shared" ca="1" si="295"/>
        <v>214</v>
      </c>
    </row>
    <row r="1079" spans="2:77" ht="15.75" customHeight="1" x14ac:dyDescent="0.2">
      <c r="B1079" s="22">
        <v>45624</v>
      </c>
      <c r="C1079" s="26">
        <f t="shared" ca="1" si="277"/>
        <v>0.39072327248501038</v>
      </c>
      <c r="D1079" s="29">
        <f t="shared" ca="1" si="278"/>
        <v>70</v>
      </c>
      <c r="F1079" s="22"/>
      <c r="G1079" s="26">
        <f t="shared" ca="1" si="296"/>
        <v>0.497792751852696</v>
      </c>
      <c r="H1079" s="29">
        <f t="shared" ca="1" si="279"/>
        <v>216</v>
      </c>
      <c r="J1079" s="22">
        <v>45624</v>
      </c>
      <c r="K1079" s="26">
        <f t="shared" ca="1" si="297"/>
        <v>0.7301732530743682</v>
      </c>
      <c r="L1079" s="29">
        <f t="shared" ca="1" si="280"/>
        <v>157</v>
      </c>
      <c r="N1079" s="22">
        <v>45624</v>
      </c>
      <c r="O1079" s="26">
        <f t="shared" ca="1" si="298"/>
        <v>8.3870888591774828E-2</v>
      </c>
      <c r="P1079" s="29">
        <f t="shared" ca="1" si="281"/>
        <v>209</v>
      </c>
      <c r="R1079" s="22">
        <v>45624</v>
      </c>
      <c r="S1079" s="26">
        <f t="shared" ca="1" si="299"/>
        <v>0.86189818024181786</v>
      </c>
      <c r="T1079" s="29">
        <f t="shared" ca="1" si="282"/>
        <v>149</v>
      </c>
      <c r="V1079" s="22">
        <v>45624</v>
      </c>
      <c r="W1079" s="26">
        <f t="shared" ca="1" si="300"/>
        <v>0.80193141438576998</v>
      </c>
      <c r="X1079" s="29">
        <f t="shared" ca="1" si="283"/>
        <v>238</v>
      </c>
      <c r="Z1079" s="22">
        <v>45624</v>
      </c>
      <c r="AA1079" s="26">
        <f t="shared" ca="1" si="301"/>
        <v>0.46796438572944676</v>
      </c>
      <c r="AB1079" s="29">
        <f t="shared" ca="1" si="284"/>
        <v>269</v>
      </c>
      <c r="AC1079"/>
      <c r="AD1079" s="25"/>
      <c r="AF1079" s="22">
        <v>45624</v>
      </c>
      <c r="AG1079" s="26">
        <f t="shared" ca="1" si="302"/>
        <v>4.3141849250728725E-2</v>
      </c>
      <c r="AH1079" s="29">
        <f t="shared" ca="1" si="285"/>
        <v>178</v>
      </c>
      <c r="AJ1079" s="22">
        <v>45624</v>
      </c>
      <c r="AK1079" s="26">
        <f t="shared" ca="1" si="303"/>
        <v>0.94823106512432587</v>
      </c>
      <c r="AL1079" s="29">
        <f t="shared" ca="1" si="286"/>
        <v>258</v>
      </c>
      <c r="AN1079" s="22">
        <v>45624</v>
      </c>
      <c r="AO1079" s="26">
        <f t="shared" ca="1" si="304"/>
        <v>0.32858926055120341</v>
      </c>
      <c r="AP1079" s="29">
        <f t="shared" ca="1" si="287"/>
        <v>130</v>
      </c>
      <c r="AR1079" s="22">
        <v>45624</v>
      </c>
      <c r="AS1079" s="26">
        <f t="shared" ca="1" si="305"/>
        <v>0.16468037151748771</v>
      </c>
      <c r="AT1079" s="29">
        <f t="shared" ca="1" si="288"/>
        <v>161</v>
      </c>
      <c r="AV1079" s="22">
        <v>45624</v>
      </c>
      <c r="AW1079" s="26">
        <f t="shared" ca="1" si="306"/>
        <v>0.68904035147696363</v>
      </c>
      <c r="AX1079" s="29">
        <f t="shared" ca="1" si="289"/>
        <v>217</v>
      </c>
      <c r="AZ1079" s="22">
        <v>45624</v>
      </c>
      <c r="BA1079" s="26">
        <f t="shared" ca="1" si="307"/>
        <v>0.60520658395370452</v>
      </c>
      <c r="BB1079" s="29">
        <f t="shared" ca="1" si="290"/>
        <v>193</v>
      </c>
      <c r="BC1079"/>
      <c r="BD1079" s="25"/>
      <c r="BF1079" s="22">
        <v>45624</v>
      </c>
      <c r="BG1079" s="26">
        <f t="shared" ca="1" si="308"/>
        <v>0.75490557309918604</v>
      </c>
      <c r="BH1079" s="29">
        <f t="shared" ca="1" si="291"/>
        <v>189</v>
      </c>
      <c r="BJ1079" s="22">
        <v>45624</v>
      </c>
      <c r="BK1079" s="26">
        <f t="shared" ca="1" si="309"/>
        <v>0.14491080985784055</v>
      </c>
      <c r="BL1079" s="29">
        <f t="shared" ca="1" si="292"/>
        <v>119</v>
      </c>
      <c r="BN1079" s="22">
        <v>45624</v>
      </c>
      <c r="BO1079" s="26">
        <f t="shared" ca="1" si="310"/>
        <v>0.92382981976441869</v>
      </c>
      <c r="BP1079" s="29">
        <f t="shared" ca="1" si="293"/>
        <v>181</v>
      </c>
      <c r="BR1079" s="22">
        <v>45624</v>
      </c>
      <c r="BS1079" s="26">
        <f t="shared" ca="1" si="311"/>
        <v>0.25935160051042028</v>
      </c>
      <c r="BT1079" s="29">
        <f t="shared" ca="1" si="294"/>
        <v>144</v>
      </c>
      <c r="BV1079" s="22">
        <v>45624</v>
      </c>
      <c r="BW1079" s="26">
        <f t="shared" ca="1" si="312"/>
        <v>0.76076491238596811</v>
      </c>
      <c r="BX1079" s="29">
        <f t="shared" ca="1" si="295"/>
        <v>219</v>
      </c>
    </row>
    <row r="1080" spans="2:77" ht="15.75" customHeight="1" x14ac:dyDescent="0.2">
      <c r="B1080" s="22">
        <v>45625</v>
      </c>
      <c r="C1080" s="26">
        <f t="shared" ca="1" si="277"/>
        <v>0.98224230555771619</v>
      </c>
      <c r="D1080" s="29">
        <f t="shared" ca="1" si="278"/>
        <v>118</v>
      </c>
      <c r="F1080" s="22"/>
      <c r="G1080" s="26">
        <f t="shared" ca="1" si="296"/>
        <v>0.35452705244018246</v>
      </c>
      <c r="H1080" s="29">
        <f t="shared" ca="1" si="279"/>
        <v>211</v>
      </c>
      <c r="J1080" s="22">
        <v>45625</v>
      </c>
      <c r="K1080" s="26">
        <f t="shared" ca="1" si="297"/>
        <v>0.19910896824708935</v>
      </c>
      <c r="L1080" s="29">
        <f t="shared" ca="1" si="280"/>
        <v>142</v>
      </c>
      <c r="N1080" s="22">
        <v>45625</v>
      </c>
      <c r="O1080" s="26">
        <f t="shared" ca="1" si="298"/>
        <v>9.2271472125162624E-2</v>
      </c>
      <c r="P1080" s="29">
        <f t="shared" ca="1" si="281"/>
        <v>210</v>
      </c>
      <c r="R1080" s="22">
        <v>45625</v>
      </c>
      <c r="S1080" s="26">
        <f t="shared" ca="1" si="299"/>
        <v>0.55227760373761525</v>
      </c>
      <c r="T1080" s="29">
        <f t="shared" ca="1" si="282"/>
        <v>140</v>
      </c>
      <c r="V1080" s="22">
        <v>45625</v>
      </c>
      <c r="W1080" s="26">
        <f t="shared" ca="1" si="300"/>
        <v>0.4451527021753906</v>
      </c>
      <c r="X1080" s="29">
        <f t="shared" ca="1" si="283"/>
        <v>223</v>
      </c>
      <c r="Z1080" s="22">
        <v>45625</v>
      </c>
      <c r="AA1080" s="26">
        <f t="shared" ca="1" si="301"/>
        <v>0.10639527567312823</v>
      </c>
      <c r="AB1080" s="29">
        <f t="shared" ca="1" si="284"/>
        <v>248</v>
      </c>
      <c r="AC1080"/>
      <c r="AD1080" s="25"/>
      <c r="AF1080" s="22">
        <v>45625</v>
      </c>
      <c r="AG1080" s="26">
        <f t="shared" ca="1" si="302"/>
        <v>0.78141743092348825</v>
      </c>
      <c r="AH1080" s="29">
        <f t="shared" ca="1" si="285"/>
        <v>395</v>
      </c>
      <c r="AJ1080" s="22">
        <v>45625</v>
      </c>
      <c r="AK1080" s="26">
        <f t="shared" ca="1" si="303"/>
        <v>8.1312441519193479E-3</v>
      </c>
      <c r="AL1080" s="29">
        <f t="shared" ca="1" si="286"/>
        <v>65</v>
      </c>
      <c r="AN1080" s="22">
        <v>45625</v>
      </c>
      <c r="AO1080" s="26">
        <f t="shared" ca="1" si="304"/>
        <v>0.18378437873986753</v>
      </c>
      <c r="AP1080" s="29">
        <f t="shared" ca="1" si="287"/>
        <v>112</v>
      </c>
      <c r="AR1080" s="22">
        <v>45625</v>
      </c>
      <c r="AS1080" s="26">
        <f t="shared" ca="1" si="305"/>
        <v>0.90879256939370145</v>
      </c>
      <c r="AT1080" s="29">
        <f t="shared" ca="1" si="288"/>
        <v>294</v>
      </c>
      <c r="AV1080" s="22">
        <v>45625</v>
      </c>
      <c r="AW1080" s="26">
        <f t="shared" ca="1" si="306"/>
        <v>0.73384958959902291</v>
      </c>
      <c r="AX1080" s="29">
        <f t="shared" ca="1" si="289"/>
        <v>224</v>
      </c>
      <c r="AZ1080" s="22">
        <v>45625</v>
      </c>
      <c r="BA1080" s="26">
        <f t="shared" ca="1" si="307"/>
        <v>0.51897066215718801</v>
      </c>
      <c r="BB1080" s="29">
        <f t="shared" ca="1" si="290"/>
        <v>183</v>
      </c>
      <c r="BC1080"/>
      <c r="BD1080" s="25"/>
      <c r="BF1080" s="22">
        <v>45625</v>
      </c>
      <c r="BG1080" s="26">
        <f t="shared" ca="1" si="308"/>
        <v>0.77983855984279171</v>
      </c>
      <c r="BH1080" s="29">
        <f t="shared" ca="1" si="291"/>
        <v>193</v>
      </c>
      <c r="BJ1080" s="22">
        <v>45625</v>
      </c>
      <c r="BK1080" s="26">
        <f t="shared" ca="1" si="309"/>
        <v>0.87940412159848491</v>
      </c>
      <c r="BL1080" s="29">
        <f t="shared" ca="1" si="292"/>
        <v>216</v>
      </c>
      <c r="BN1080" s="22">
        <v>45625</v>
      </c>
      <c r="BO1080" s="26">
        <f t="shared" ca="1" si="310"/>
        <v>0.21363402272520204</v>
      </c>
      <c r="BP1080" s="29">
        <f t="shared" ca="1" si="293"/>
        <v>104</v>
      </c>
      <c r="BR1080" s="22">
        <v>45625</v>
      </c>
      <c r="BS1080" s="26">
        <f t="shared" ca="1" si="311"/>
        <v>0.37507743639344759</v>
      </c>
      <c r="BT1080" s="29">
        <f t="shared" ca="1" si="294"/>
        <v>159</v>
      </c>
      <c r="BV1080" s="22">
        <v>45625</v>
      </c>
      <c r="BW1080" s="26">
        <f t="shared" ca="1" si="312"/>
        <v>0.6585536523635287</v>
      </c>
      <c r="BX1080" s="29">
        <f t="shared" ca="1" si="295"/>
        <v>204</v>
      </c>
    </row>
    <row r="1081" spans="2:77" ht="15.75" customHeight="1" x14ac:dyDescent="0.2">
      <c r="B1081" s="22">
        <v>45626</v>
      </c>
      <c r="C1081" s="26">
        <f t="shared" ca="1" si="277"/>
        <v>0.47891241505223148</v>
      </c>
      <c r="D1081" s="29">
        <f t="shared" ca="1" si="278"/>
        <v>74</v>
      </c>
      <c r="E1081">
        <v>2257</v>
      </c>
      <c r="F1081" s="22"/>
      <c r="G1081" s="26">
        <f t="shared" ca="1" si="296"/>
        <v>0.22604504451596219</v>
      </c>
      <c r="H1081" s="29">
        <f t="shared" ca="1" si="279"/>
        <v>205</v>
      </c>
      <c r="I1081">
        <v>2252</v>
      </c>
      <c r="J1081" s="22">
        <v>45626</v>
      </c>
      <c r="K1081" s="26">
        <f t="shared" ca="1" si="297"/>
        <v>0.43986099308274729</v>
      </c>
      <c r="L1081" s="29">
        <f t="shared" ca="1" si="280"/>
        <v>149</v>
      </c>
      <c r="M1081">
        <v>4518</v>
      </c>
      <c r="N1081" s="22">
        <v>45626</v>
      </c>
      <c r="O1081" s="26">
        <f t="shared" ca="1" si="298"/>
        <v>0.38196724898068624</v>
      </c>
      <c r="P1081" s="29">
        <f t="shared" ca="1" si="281"/>
        <v>225</v>
      </c>
      <c r="Q1081">
        <v>6845</v>
      </c>
      <c r="R1081" s="22">
        <v>45626</v>
      </c>
      <c r="S1081" s="26">
        <f t="shared" ca="1" si="299"/>
        <v>0.60699140645627503</v>
      </c>
      <c r="T1081" s="29">
        <f t="shared" ca="1" si="282"/>
        <v>142</v>
      </c>
      <c r="U1081">
        <v>4230</v>
      </c>
      <c r="V1081" s="22">
        <v>45626</v>
      </c>
      <c r="W1081" s="26">
        <f t="shared" ca="1" si="300"/>
        <v>0.58675432675689176</v>
      </c>
      <c r="X1081" s="29">
        <f t="shared" ca="1" si="283"/>
        <v>229</v>
      </c>
      <c r="Y1081">
        <v>6810</v>
      </c>
      <c r="Z1081" s="22">
        <v>45626</v>
      </c>
      <c r="AA1081" s="26">
        <f t="shared" ca="1" si="301"/>
        <v>0.6661807557424686</v>
      </c>
      <c r="AB1081" s="29">
        <f t="shared" ca="1" si="284"/>
        <v>278</v>
      </c>
      <c r="AC1081">
        <v>8193</v>
      </c>
      <c r="AD1081" s="25"/>
      <c r="AF1081" s="22">
        <v>45626</v>
      </c>
      <c r="AG1081" s="26">
        <f t="shared" ca="1" si="302"/>
        <v>0.46310290237538831</v>
      </c>
      <c r="AH1081" s="29">
        <f t="shared" ca="1" si="285"/>
        <v>319</v>
      </c>
      <c r="AI1081">
        <v>8968</v>
      </c>
      <c r="AJ1081" s="22">
        <v>45626</v>
      </c>
      <c r="AK1081" s="26">
        <f t="shared" ca="1" si="303"/>
        <v>0.50728368916344468</v>
      </c>
      <c r="AL1081" s="29">
        <f t="shared" ca="1" si="286"/>
        <v>181</v>
      </c>
      <c r="AM1081">
        <v>5441</v>
      </c>
      <c r="AN1081" s="22">
        <v>45626</v>
      </c>
      <c r="AO1081" s="26">
        <f t="shared" ca="1" si="304"/>
        <v>0.79821347297095857</v>
      </c>
      <c r="AP1081" s="29">
        <f t="shared" ca="1" si="287"/>
        <v>180</v>
      </c>
      <c r="AQ1081">
        <v>4324</v>
      </c>
      <c r="AR1081" s="22">
        <v>45626</v>
      </c>
      <c r="AS1081" s="26">
        <f t="shared" ca="1" si="305"/>
        <v>0.60562255281113531</v>
      </c>
      <c r="AT1081" s="29">
        <f t="shared" ca="1" si="288"/>
        <v>233</v>
      </c>
      <c r="AU1081">
        <v>6728</v>
      </c>
      <c r="AV1081" s="22">
        <v>45626</v>
      </c>
      <c r="AW1081" s="26">
        <f t="shared" ca="1" si="306"/>
        <v>8.8398185364387705E-2</v>
      </c>
      <c r="AX1081" s="29">
        <f t="shared" ca="1" si="289"/>
        <v>123</v>
      </c>
      <c r="AY1081">
        <v>5497</v>
      </c>
      <c r="AZ1081" s="22">
        <v>45626</v>
      </c>
      <c r="BA1081" s="26">
        <f t="shared" ca="1" si="307"/>
        <v>0.11075219826868876</v>
      </c>
      <c r="BB1081" s="29">
        <f t="shared" ca="1" si="290"/>
        <v>122</v>
      </c>
      <c r="BC1081">
        <v>5783</v>
      </c>
      <c r="BD1081" s="25"/>
      <c r="BF1081" s="22">
        <v>45626</v>
      </c>
      <c r="BG1081" s="26">
        <f t="shared" ca="1" si="308"/>
        <v>0.86752709278272366</v>
      </c>
      <c r="BH1081" s="29">
        <f t="shared" ca="1" si="291"/>
        <v>208</v>
      </c>
      <c r="BI1081">
        <v>4441</v>
      </c>
      <c r="BJ1081" s="22">
        <v>45626</v>
      </c>
      <c r="BK1081" s="26">
        <f t="shared" ca="1" si="309"/>
        <v>7.2428233589588942E-2</v>
      </c>
      <c r="BL1081" s="29">
        <f t="shared" ca="1" si="292"/>
        <v>101</v>
      </c>
      <c r="BM1081">
        <v>4918</v>
      </c>
      <c r="BN1081" s="22">
        <v>45626</v>
      </c>
      <c r="BO1081" s="26">
        <f t="shared" ca="1" si="310"/>
        <v>7.5015878618998499E-2</v>
      </c>
      <c r="BP1081" s="29">
        <f t="shared" ca="1" si="293"/>
        <v>81</v>
      </c>
      <c r="BQ1081">
        <v>4038</v>
      </c>
      <c r="BR1081" s="22">
        <v>45626</v>
      </c>
      <c r="BS1081" s="26">
        <f t="shared" ca="1" si="311"/>
        <v>0.44370592158434596</v>
      </c>
      <c r="BT1081" s="29">
        <f t="shared" ca="1" si="294"/>
        <v>167</v>
      </c>
      <c r="BU1081">
        <v>4916</v>
      </c>
      <c r="BV1081" s="22">
        <v>45626</v>
      </c>
      <c r="BW1081" s="26">
        <f t="shared" ca="1" si="312"/>
        <v>0.97252376519102923</v>
      </c>
      <c r="BX1081" s="29">
        <f t="shared" ca="1" si="295"/>
        <v>278</v>
      </c>
      <c r="BY1081">
        <v>5840</v>
      </c>
    </row>
    <row r="1082" spans="2:77" ht="15.75" customHeight="1" x14ac:dyDescent="0.2">
      <c r="B1082" s="22">
        <v>45627</v>
      </c>
      <c r="C1082" s="26">
        <f t="shared" ca="1" si="277"/>
        <v>0.8321073818597936</v>
      </c>
      <c r="D1082" s="29">
        <f ca="1">ROUNDUP(_xlfn.NORM.INV(C1081,C$10,C$12),0)</f>
        <v>74</v>
      </c>
      <c r="F1082" s="22"/>
      <c r="G1082" s="26">
        <f t="shared" ca="1" si="296"/>
        <v>0.55245830436848709</v>
      </c>
      <c r="H1082" s="29">
        <f ca="1">ROUNDUP(_xlfn.NORM.INV(G1081,G$10,G$12),0)</f>
        <v>205</v>
      </c>
      <c r="I1082">
        <v>0</v>
      </c>
      <c r="J1082" s="22">
        <v>45627</v>
      </c>
      <c r="K1082" s="26">
        <f t="shared" ca="1" si="297"/>
        <v>0.20866590278497266</v>
      </c>
      <c r="L1082" s="29">
        <f ca="1">ROUNDUP(_xlfn.NORM.INV(K1081,K$10,K$12),0)</f>
        <v>149</v>
      </c>
      <c r="N1082" s="22">
        <v>45627</v>
      </c>
      <c r="O1082" s="26">
        <f t="shared" ca="1" si="298"/>
        <v>0.6474892781588748</v>
      </c>
      <c r="P1082" s="29">
        <f ca="1">ROUNDUP(_xlfn.NORM.INV(O1081,O$10,O$12),0)</f>
        <v>225</v>
      </c>
      <c r="R1082" s="22">
        <v>45627</v>
      </c>
      <c r="S1082" s="26">
        <f t="shared" ca="1" si="299"/>
        <v>0.13695429255831393</v>
      </c>
      <c r="T1082" s="29">
        <f ca="1">ROUNDUP(_xlfn.NORM.INV(S1081,S$10,S$12),0)</f>
        <v>142</v>
      </c>
      <c r="V1082" s="22">
        <v>45627</v>
      </c>
      <c r="W1082" s="26">
        <f t="shared" ca="1" si="300"/>
        <v>0.20878386607180777</v>
      </c>
      <c r="X1082" s="29">
        <f ca="1">ROUNDUP(_xlfn.NORM.INV(W1081,W$10,W$12),0)</f>
        <v>229</v>
      </c>
      <c r="Z1082" s="22">
        <v>45627</v>
      </c>
      <c r="AA1082" s="26">
        <f t="shared" ca="1" si="301"/>
        <v>0.37079156848073935</v>
      </c>
      <c r="AB1082" s="29">
        <f ca="1">ROUNDUP(_xlfn.NORM.INV(AA1081,AA$10,AA$12),0)</f>
        <v>278</v>
      </c>
      <c r="AC1082"/>
      <c r="AD1082" s="25"/>
      <c r="AF1082" s="22">
        <v>45627</v>
      </c>
      <c r="AG1082" s="26">
        <f t="shared" ca="1" si="302"/>
        <v>8.38635951692972E-2</v>
      </c>
      <c r="AH1082" s="29">
        <f ca="1">ROUNDUP(_xlfn.NORM.INV(AG1081,AG$10,AG$12),0)</f>
        <v>319</v>
      </c>
      <c r="AJ1082" s="22">
        <v>45627</v>
      </c>
      <c r="AK1082" s="26">
        <f t="shared" ca="1" si="303"/>
        <v>0.57910523431615035</v>
      </c>
      <c r="AL1082" s="29">
        <f ca="1">ROUNDUP(_xlfn.NORM.INV(AK1081,AK$10,AK$12),0)</f>
        <v>181</v>
      </c>
      <c r="AN1082" s="22">
        <v>45627</v>
      </c>
      <c r="AO1082" s="26">
        <f t="shared" ca="1" si="304"/>
        <v>0.78451593789022867</v>
      </c>
      <c r="AP1082" s="29">
        <f ca="1">ROUNDUP(_xlfn.NORM.INV(AO1081,AO$10,AO$12),0)</f>
        <v>180</v>
      </c>
      <c r="AR1082" s="22">
        <v>45627</v>
      </c>
      <c r="AS1082" s="26">
        <f t="shared" ca="1" si="305"/>
        <v>0.1444328747730248</v>
      </c>
      <c r="AT1082" s="29">
        <f ca="1">ROUNDUP(_xlfn.NORM.INV(AS1081,AS$10,AS$12),0)</f>
        <v>233</v>
      </c>
      <c r="AV1082" s="22">
        <v>45627</v>
      </c>
      <c r="AW1082" s="26">
        <f t="shared" ca="1" si="306"/>
        <v>5.9979975261711838E-2</v>
      </c>
      <c r="AX1082" s="29">
        <f ca="1">ROUNDUP(_xlfn.NORM.INV(AW1081,AW$10,AW$12),0)</f>
        <v>123</v>
      </c>
      <c r="AZ1082" s="22">
        <v>45627</v>
      </c>
      <c r="BA1082" s="26">
        <f t="shared" ca="1" si="307"/>
        <v>0.16123582824368377</v>
      </c>
      <c r="BB1082" s="29">
        <f ca="1">ROUNDUP(_xlfn.NORM.INV(BA1081,BA$10,BA$12),0)</f>
        <v>122</v>
      </c>
      <c r="BC1082"/>
      <c r="BD1082" s="25"/>
      <c r="BF1082" s="22">
        <v>45627</v>
      </c>
      <c r="BG1082" s="26">
        <f t="shared" ca="1" si="308"/>
        <v>0.10815108836264509</v>
      </c>
      <c r="BH1082" s="29">
        <f ca="1">ROUNDUP(_xlfn.NORM.INV(BG1081,BG$10,BG$12),0)</f>
        <v>208</v>
      </c>
      <c r="BJ1082" s="22">
        <v>45627</v>
      </c>
      <c r="BK1082" s="26">
        <f t="shared" ca="1" si="309"/>
        <v>0.13957090406667472</v>
      </c>
      <c r="BL1082" s="29">
        <f ca="1">ROUNDUP(_xlfn.NORM.INV(BK1081,BK$10,BK$12),0)</f>
        <v>101</v>
      </c>
      <c r="BN1082" s="22">
        <v>45627</v>
      </c>
      <c r="BO1082" s="26">
        <f t="shared" ca="1" si="310"/>
        <v>0.64596883514704384</v>
      </c>
      <c r="BP1082" s="29">
        <f ca="1">ROUNDUP(_xlfn.NORM.INV(BO1081,BO$10,BO$12),0)</f>
        <v>81</v>
      </c>
      <c r="BR1082" s="22">
        <v>45627</v>
      </c>
      <c r="BS1082" s="26">
        <f t="shared" ca="1" si="311"/>
        <v>6.1863087198407274E-2</v>
      </c>
      <c r="BT1082" s="29">
        <f ca="1">ROUNDUP(_xlfn.NORM.INV(BS1081,BS$10,BS$12),0)</f>
        <v>167</v>
      </c>
      <c r="BV1082" s="22">
        <v>45627</v>
      </c>
      <c r="BW1082" s="26">
        <f t="shared" ca="1" si="312"/>
        <v>0.18628646978931862</v>
      </c>
      <c r="BX1082" s="29">
        <f ca="1">ROUNDUP(_xlfn.NORM.INV(BW1081,BW$10,BW$12),0)</f>
        <v>278</v>
      </c>
    </row>
    <row r="1083" spans="2:77" ht="15.75" customHeight="1" x14ac:dyDescent="0.2">
      <c r="B1083" s="22">
        <v>45628</v>
      </c>
      <c r="C1083" s="26">
        <f t="shared" ca="1" si="277"/>
        <v>0.30610127405280307</v>
      </c>
      <c r="D1083" s="29">
        <f t="shared" ca="1" si="278"/>
        <v>65</v>
      </c>
      <c r="F1083" s="22"/>
      <c r="G1083" s="26">
        <f t="shared" ca="1" si="296"/>
        <v>0.81272419629417192</v>
      </c>
      <c r="H1083" s="29">
        <f t="shared" ca="1" si="279"/>
        <v>229</v>
      </c>
      <c r="J1083" s="22">
        <v>45628</v>
      </c>
      <c r="K1083" s="26">
        <f t="shared" ca="1" si="297"/>
        <v>0.15735545039994181</v>
      </c>
      <c r="L1083" s="29">
        <f t="shared" ca="1" si="280"/>
        <v>140</v>
      </c>
      <c r="N1083" s="22">
        <v>45628</v>
      </c>
      <c r="O1083" s="26">
        <f t="shared" ca="1" si="298"/>
        <v>0.57081197169644193</v>
      </c>
      <c r="P1083" s="29">
        <f t="shared" ca="1" si="281"/>
        <v>233</v>
      </c>
      <c r="R1083" s="22">
        <v>45628</v>
      </c>
      <c r="S1083" s="26">
        <f t="shared" ca="1" si="299"/>
        <v>0.73009656993626604</v>
      </c>
      <c r="T1083" s="29">
        <f t="shared" ca="1" si="282"/>
        <v>145</v>
      </c>
      <c r="V1083" s="22">
        <v>45628</v>
      </c>
      <c r="W1083" s="26">
        <f t="shared" ca="1" si="300"/>
        <v>0.21288813080163027</v>
      </c>
      <c r="X1083" s="29">
        <f t="shared" ca="1" si="283"/>
        <v>214</v>
      </c>
      <c r="Z1083" s="22">
        <v>45628</v>
      </c>
      <c r="AA1083" s="26">
        <f t="shared" ca="1" si="301"/>
        <v>0.47534979745654116</v>
      </c>
      <c r="AB1083" s="29">
        <f t="shared" ca="1" si="284"/>
        <v>269</v>
      </c>
      <c r="AC1083"/>
      <c r="AD1083" s="25"/>
      <c r="AF1083" s="22">
        <v>45628</v>
      </c>
      <c r="AG1083" s="26">
        <f t="shared" ca="1" si="302"/>
        <v>0.20101962667881057</v>
      </c>
      <c r="AH1083" s="29">
        <f t="shared" ca="1" si="285"/>
        <v>254</v>
      </c>
      <c r="AJ1083" s="22">
        <v>45628</v>
      </c>
      <c r="AK1083" s="26">
        <f t="shared" ca="1" si="303"/>
        <v>0.26155397737254016</v>
      </c>
      <c r="AL1083" s="29">
        <f t="shared" ca="1" si="286"/>
        <v>150</v>
      </c>
      <c r="AN1083" s="22">
        <v>45628</v>
      </c>
      <c r="AO1083" s="26">
        <f t="shared" ca="1" si="304"/>
        <v>8.1449820661513517E-2</v>
      </c>
      <c r="AP1083" s="29">
        <f t="shared" ca="1" si="287"/>
        <v>93</v>
      </c>
      <c r="AR1083" s="22">
        <v>45628</v>
      </c>
      <c r="AS1083" s="26">
        <f t="shared" ca="1" si="305"/>
        <v>0.83874818709500532</v>
      </c>
      <c r="AT1083" s="29">
        <f t="shared" ca="1" si="288"/>
        <v>274</v>
      </c>
      <c r="AV1083" s="22">
        <v>45628</v>
      </c>
      <c r="AW1083" s="26">
        <f t="shared" ca="1" si="306"/>
        <v>0.56211246720225982</v>
      </c>
      <c r="AX1083" s="29">
        <f t="shared" ca="1" si="289"/>
        <v>200</v>
      </c>
      <c r="AZ1083" s="22">
        <v>45628</v>
      </c>
      <c r="BA1083" s="26">
        <f t="shared" ca="1" si="307"/>
        <v>0.47600325305368729</v>
      </c>
      <c r="BB1083" s="29">
        <f t="shared" ca="1" si="290"/>
        <v>177</v>
      </c>
      <c r="BC1083"/>
      <c r="BD1083" s="25"/>
      <c r="BF1083" s="22">
        <v>45628</v>
      </c>
      <c r="BG1083" s="26">
        <f t="shared" ca="1" si="308"/>
        <v>5.3125432301767472E-2</v>
      </c>
      <c r="BH1083" s="29">
        <f t="shared" ca="1" si="291"/>
        <v>91</v>
      </c>
      <c r="BJ1083" s="22">
        <v>45628</v>
      </c>
      <c r="BK1083" s="26">
        <f t="shared" ca="1" si="309"/>
        <v>0.13776883921920069</v>
      </c>
      <c r="BL1083" s="29">
        <f t="shared" ca="1" si="292"/>
        <v>117</v>
      </c>
      <c r="BN1083" s="22">
        <v>45628</v>
      </c>
      <c r="BO1083" s="26">
        <f t="shared" ca="1" si="310"/>
        <v>0.43251791185654265</v>
      </c>
      <c r="BP1083" s="29">
        <f t="shared" ca="1" si="293"/>
        <v>126</v>
      </c>
      <c r="BR1083" s="22">
        <v>45628</v>
      </c>
      <c r="BS1083" s="26">
        <f t="shared" ca="1" si="311"/>
        <v>0.45816421083543479</v>
      </c>
      <c r="BT1083" s="29">
        <f t="shared" ca="1" si="294"/>
        <v>169</v>
      </c>
      <c r="BV1083" s="22">
        <v>45628</v>
      </c>
      <c r="BW1083" s="26">
        <f t="shared" ca="1" si="312"/>
        <v>0.41947792129369565</v>
      </c>
      <c r="BX1083" s="29">
        <f t="shared" ca="1" si="295"/>
        <v>174</v>
      </c>
    </row>
    <row r="1084" spans="2:77" ht="15.75" customHeight="1" x14ac:dyDescent="0.2">
      <c r="B1084" s="22">
        <v>45629</v>
      </c>
      <c r="C1084" s="26">
        <f t="shared" ca="1" si="277"/>
        <v>0.91152664629764635</v>
      </c>
      <c r="D1084" s="29">
        <f t="shared" ca="1" si="278"/>
        <v>103</v>
      </c>
      <c r="F1084" s="22"/>
      <c r="G1084" s="26">
        <f t="shared" ca="1" si="296"/>
        <v>0.45595853794793395</v>
      </c>
      <c r="H1084" s="29">
        <f t="shared" ca="1" si="279"/>
        <v>214</v>
      </c>
      <c r="J1084" s="22">
        <v>45629</v>
      </c>
      <c r="K1084" s="26">
        <f t="shared" ca="1" si="297"/>
        <v>0.52691499927030672</v>
      </c>
      <c r="L1084" s="29">
        <f t="shared" ca="1" si="280"/>
        <v>151</v>
      </c>
      <c r="N1084" s="22">
        <v>45629</v>
      </c>
      <c r="O1084" s="26">
        <f t="shared" ca="1" si="298"/>
        <v>6.2662763516956321E-3</v>
      </c>
      <c r="P1084" s="29">
        <f t="shared" ca="1" si="281"/>
        <v>192</v>
      </c>
      <c r="R1084" s="22">
        <v>45629</v>
      </c>
      <c r="S1084" s="26">
        <f t="shared" ca="1" si="299"/>
        <v>0.29470385988887238</v>
      </c>
      <c r="T1084" s="29">
        <f t="shared" ca="1" si="282"/>
        <v>134</v>
      </c>
      <c r="V1084" s="22">
        <v>45629</v>
      </c>
      <c r="W1084" s="26">
        <f t="shared" ca="1" si="300"/>
        <v>0.54956409581347299</v>
      </c>
      <c r="X1084" s="29">
        <f t="shared" ca="1" si="283"/>
        <v>227</v>
      </c>
      <c r="Z1084" s="22">
        <v>45629</v>
      </c>
      <c r="AA1084" s="26">
        <f t="shared" ca="1" si="301"/>
        <v>0.64975663772253234</v>
      </c>
      <c r="AB1084" s="29">
        <f t="shared" ca="1" si="284"/>
        <v>277</v>
      </c>
      <c r="AC1084"/>
      <c r="AD1084" s="25"/>
      <c r="AF1084" s="22">
        <v>45629</v>
      </c>
      <c r="AG1084" s="26">
        <f t="shared" ca="1" si="302"/>
        <v>0.51188265493110041</v>
      </c>
      <c r="AH1084" s="29">
        <f t="shared" ca="1" si="285"/>
        <v>330</v>
      </c>
      <c r="AJ1084" s="22">
        <v>45629</v>
      </c>
      <c r="AK1084" s="26">
        <f t="shared" ca="1" si="303"/>
        <v>8.2228824729520866E-2</v>
      </c>
      <c r="AL1084" s="29">
        <f t="shared" ca="1" si="286"/>
        <v>114</v>
      </c>
      <c r="AN1084" s="22">
        <v>45629</v>
      </c>
      <c r="AO1084" s="26">
        <f t="shared" ca="1" si="304"/>
        <v>0.26227285116385013</v>
      </c>
      <c r="AP1084" s="29">
        <f t="shared" ca="1" si="287"/>
        <v>123</v>
      </c>
      <c r="AR1084" s="22">
        <v>45629</v>
      </c>
      <c r="AS1084" s="26">
        <f t="shared" ca="1" si="305"/>
        <v>0.51562871696540424</v>
      </c>
      <c r="AT1084" s="29">
        <f t="shared" ca="1" si="288"/>
        <v>220</v>
      </c>
      <c r="AV1084" s="22">
        <v>45629</v>
      </c>
      <c r="AW1084" s="26">
        <f t="shared" ca="1" si="306"/>
        <v>0.86229637011181304</v>
      </c>
      <c r="AX1084" s="29">
        <f t="shared" ca="1" si="289"/>
        <v>248</v>
      </c>
      <c r="AZ1084" s="22">
        <v>45629</v>
      </c>
      <c r="BA1084" s="26">
        <f t="shared" ca="1" si="307"/>
        <v>7.9864567298325584E-2</v>
      </c>
      <c r="BB1084" s="29">
        <f t="shared" ca="1" si="290"/>
        <v>113</v>
      </c>
      <c r="BC1084"/>
      <c r="BD1084" s="25"/>
      <c r="BF1084" s="22">
        <v>45629</v>
      </c>
      <c r="BG1084" s="26">
        <f t="shared" ca="1" si="308"/>
        <v>0.59162376589318</v>
      </c>
      <c r="BH1084" s="29">
        <f t="shared" ca="1" si="291"/>
        <v>170</v>
      </c>
      <c r="BJ1084" s="22">
        <v>45629</v>
      </c>
      <c r="BK1084" s="26">
        <f t="shared" ca="1" si="309"/>
        <v>0.85683284791376091</v>
      </c>
      <c r="BL1084" s="29">
        <f t="shared" ca="1" si="292"/>
        <v>212</v>
      </c>
      <c r="BN1084" s="22">
        <v>45629</v>
      </c>
      <c r="BO1084" s="26">
        <f t="shared" ca="1" si="310"/>
        <v>0.88375386103927367</v>
      </c>
      <c r="BP1084" s="29">
        <f t="shared" ca="1" si="293"/>
        <v>173</v>
      </c>
      <c r="BR1084" s="22">
        <v>45629</v>
      </c>
      <c r="BS1084" s="26">
        <f t="shared" ca="1" si="311"/>
        <v>0.43845851838917338</v>
      </c>
      <c r="BT1084" s="29">
        <f t="shared" ca="1" si="294"/>
        <v>167</v>
      </c>
      <c r="BV1084" s="22">
        <v>45629</v>
      </c>
      <c r="BW1084" s="26">
        <f t="shared" ca="1" si="312"/>
        <v>0.25361594055611625</v>
      </c>
      <c r="BX1084" s="29">
        <f t="shared" ca="1" si="295"/>
        <v>152</v>
      </c>
    </row>
    <row r="1085" spans="2:77" ht="15.75" customHeight="1" x14ac:dyDescent="0.2">
      <c r="B1085" s="22">
        <v>45630</v>
      </c>
      <c r="C1085" s="26">
        <f t="shared" ca="1" si="277"/>
        <v>9.5628918298054977E-2</v>
      </c>
      <c r="D1085" s="29">
        <f t="shared" ca="1" si="278"/>
        <v>49</v>
      </c>
      <c r="F1085" s="22"/>
      <c r="G1085" s="26">
        <f t="shared" ca="1" si="296"/>
        <v>0.94881644737942317</v>
      </c>
      <c r="H1085" s="29">
        <f t="shared" ca="1" si="279"/>
        <v>239</v>
      </c>
      <c r="J1085" s="22">
        <v>45630</v>
      </c>
      <c r="K1085" s="26">
        <f t="shared" ca="1" si="297"/>
        <v>0.97809509311977771</v>
      </c>
      <c r="L1085" s="29">
        <f t="shared" ca="1" si="280"/>
        <v>171</v>
      </c>
      <c r="N1085" s="22">
        <v>45630</v>
      </c>
      <c r="O1085" s="26">
        <f t="shared" ca="1" si="298"/>
        <v>0.78072834260446755</v>
      </c>
      <c r="P1085" s="29">
        <f t="shared" ca="1" si="281"/>
        <v>242</v>
      </c>
      <c r="R1085" s="22">
        <v>45630</v>
      </c>
      <c r="S1085" s="26">
        <f t="shared" ca="1" si="299"/>
        <v>0.41928330584084161</v>
      </c>
      <c r="T1085" s="29">
        <f t="shared" ca="1" si="282"/>
        <v>137</v>
      </c>
      <c r="V1085" s="22">
        <v>45630</v>
      </c>
      <c r="W1085" s="26">
        <f t="shared" ca="1" si="300"/>
        <v>0.78252762555749822</v>
      </c>
      <c r="X1085" s="29">
        <f t="shared" ca="1" si="283"/>
        <v>237</v>
      </c>
      <c r="Z1085" s="22">
        <v>45630</v>
      </c>
      <c r="AA1085" s="26">
        <f t="shared" ca="1" si="301"/>
        <v>2.0620176843497928E-2</v>
      </c>
      <c r="AB1085" s="29">
        <f t="shared" ca="1" si="284"/>
        <v>234</v>
      </c>
      <c r="AC1085"/>
      <c r="AD1085" s="25"/>
      <c r="AF1085" s="22">
        <v>45630</v>
      </c>
      <c r="AG1085" s="26">
        <f t="shared" ca="1" si="302"/>
        <v>0.1898716539577322</v>
      </c>
      <c r="AH1085" s="29">
        <f t="shared" ca="1" si="285"/>
        <v>251</v>
      </c>
      <c r="AJ1085" s="22">
        <v>45630</v>
      </c>
      <c r="AK1085" s="26">
        <f t="shared" ca="1" si="303"/>
        <v>0.1616069935831288</v>
      </c>
      <c r="AL1085" s="29">
        <f t="shared" ca="1" si="286"/>
        <v>133</v>
      </c>
      <c r="AN1085" s="22">
        <v>45630</v>
      </c>
      <c r="AO1085" s="26">
        <f t="shared" ca="1" si="304"/>
        <v>0.75585541596928318</v>
      </c>
      <c r="AP1085" s="29">
        <f t="shared" ca="1" si="287"/>
        <v>175</v>
      </c>
      <c r="AR1085" s="22">
        <v>45630</v>
      </c>
      <c r="AS1085" s="26">
        <f t="shared" ca="1" si="305"/>
        <v>0.98098203250478255</v>
      </c>
      <c r="AT1085" s="29">
        <f t="shared" ca="1" si="288"/>
        <v>337</v>
      </c>
      <c r="AV1085" s="22">
        <v>45630</v>
      </c>
      <c r="AW1085" s="26">
        <f t="shared" ca="1" si="306"/>
        <v>0.30811348461083965</v>
      </c>
      <c r="AX1085" s="29">
        <f t="shared" ca="1" si="289"/>
        <v>167</v>
      </c>
      <c r="AZ1085" s="22">
        <v>45630</v>
      </c>
      <c r="BA1085" s="26">
        <f t="shared" ca="1" si="307"/>
        <v>0.89710451959737891</v>
      </c>
      <c r="BB1085" s="29">
        <f t="shared" ca="1" si="290"/>
        <v>241</v>
      </c>
      <c r="BC1085"/>
      <c r="BD1085" s="25"/>
      <c r="BF1085" s="22">
        <v>45630</v>
      </c>
      <c r="BG1085" s="26">
        <f t="shared" ca="1" si="308"/>
        <v>0.12675005056423261</v>
      </c>
      <c r="BH1085" s="29">
        <f t="shared" ca="1" si="291"/>
        <v>112</v>
      </c>
      <c r="BJ1085" s="22">
        <v>45630</v>
      </c>
      <c r="BK1085" s="26">
        <f t="shared" ca="1" si="309"/>
        <v>0.78984779034766328</v>
      </c>
      <c r="BL1085" s="29">
        <f t="shared" ca="1" si="292"/>
        <v>200</v>
      </c>
      <c r="BN1085" s="22">
        <v>45630</v>
      </c>
      <c r="BO1085" s="26">
        <f t="shared" ca="1" si="310"/>
        <v>0.7208045301612398</v>
      </c>
      <c r="BP1085" s="29">
        <f t="shared" ca="1" si="293"/>
        <v>152</v>
      </c>
      <c r="BR1085" s="22">
        <v>45630</v>
      </c>
      <c r="BS1085" s="26">
        <f t="shared" ca="1" si="311"/>
        <v>0.52945855212602133</v>
      </c>
      <c r="BT1085" s="29">
        <f t="shared" ca="1" si="294"/>
        <v>177</v>
      </c>
      <c r="BV1085" s="22">
        <v>45630</v>
      </c>
      <c r="BW1085" s="26">
        <f t="shared" ca="1" si="312"/>
        <v>0.43552433337991436</v>
      </c>
      <c r="BX1085" s="29">
        <f t="shared" ca="1" si="295"/>
        <v>176</v>
      </c>
    </row>
    <row r="1086" spans="2:77" ht="15.75" customHeight="1" x14ac:dyDescent="0.2">
      <c r="B1086" s="22">
        <v>45631</v>
      </c>
      <c r="C1086" s="26">
        <f t="shared" ca="1" si="277"/>
        <v>0.84549651783357593</v>
      </c>
      <c r="D1086" s="29">
        <f t="shared" ca="1" si="278"/>
        <v>96</v>
      </c>
      <c r="F1086" s="22"/>
      <c r="G1086" s="26">
        <f t="shared" ca="1" si="296"/>
        <v>0.6584025464197486</v>
      </c>
      <c r="H1086" s="29">
        <f t="shared" ca="1" si="279"/>
        <v>222</v>
      </c>
      <c r="J1086" s="22">
        <v>45631</v>
      </c>
      <c r="K1086" s="26">
        <f t="shared" ca="1" si="297"/>
        <v>0.80653646614246721</v>
      </c>
      <c r="L1086" s="29">
        <f t="shared" ca="1" si="280"/>
        <v>159</v>
      </c>
      <c r="N1086" s="22">
        <v>45631</v>
      </c>
      <c r="O1086" s="26">
        <f t="shared" ca="1" si="298"/>
        <v>0.48420793589538758</v>
      </c>
      <c r="P1086" s="29">
        <f t="shared" ca="1" si="281"/>
        <v>229</v>
      </c>
      <c r="R1086" s="22">
        <v>45631</v>
      </c>
      <c r="S1086" s="26">
        <f t="shared" ca="1" si="299"/>
        <v>0.89873264490766513</v>
      </c>
      <c r="T1086" s="29">
        <f t="shared" ca="1" si="282"/>
        <v>151</v>
      </c>
      <c r="V1086" s="22">
        <v>45631</v>
      </c>
      <c r="W1086" s="26">
        <f t="shared" ca="1" si="300"/>
        <v>0.98545668180252011</v>
      </c>
      <c r="X1086" s="29">
        <f t="shared" ca="1" si="283"/>
        <v>258</v>
      </c>
      <c r="Z1086" s="22">
        <v>45631</v>
      </c>
      <c r="AA1086" s="26">
        <f t="shared" ca="1" si="301"/>
        <v>0.4113822673676033</v>
      </c>
      <c r="AB1086" s="29">
        <f t="shared" ca="1" si="284"/>
        <v>266</v>
      </c>
      <c r="AC1086"/>
      <c r="AD1086" s="25"/>
      <c r="AF1086" s="22">
        <v>45631</v>
      </c>
      <c r="AG1086" s="26">
        <f t="shared" ca="1" si="302"/>
        <v>0.14529274176603857</v>
      </c>
      <c r="AH1086" s="29">
        <f t="shared" ca="1" si="285"/>
        <v>235</v>
      </c>
      <c r="AJ1086" s="22">
        <v>45631</v>
      </c>
      <c r="AK1086" s="26">
        <f t="shared" ca="1" si="303"/>
        <v>0.87973240131460584</v>
      </c>
      <c r="AL1086" s="29">
        <f t="shared" ca="1" si="286"/>
        <v>237</v>
      </c>
      <c r="AN1086" s="22">
        <v>45631</v>
      </c>
      <c r="AO1086" s="26">
        <f t="shared" ca="1" si="304"/>
        <v>0.58158000964530454</v>
      </c>
      <c r="AP1086" s="29">
        <f t="shared" ca="1" si="287"/>
        <v>156</v>
      </c>
      <c r="AR1086" s="22">
        <v>45631</v>
      </c>
      <c r="AS1086" s="26">
        <f t="shared" ca="1" si="305"/>
        <v>0.5030030341006041</v>
      </c>
      <c r="AT1086" s="29">
        <f t="shared" ca="1" si="288"/>
        <v>218</v>
      </c>
      <c r="AV1086" s="22">
        <v>45631</v>
      </c>
      <c r="AW1086" s="26">
        <f t="shared" ca="1" si="306"/>
        <v>0.46546984980427619</v>
      </c>
      <c r="AX1086" s="29">
        <f t="shared" ca="1" si="289"/>
        <v>188</v>
      </c>
      <c r="AZ1086" s="22">
        <v>45631</v>
      </c>
      <c r="BA1086" s="26">
        <f t="shared" ca="1" si="307"/>
        <v>0.62767538989151306</v>
      </c>
      <c r="BB1086" s="29">
        <f t="shared" ca="1" si="290"/>
        <v>196</v>
      </c>
      <c r="BC1086"/>
      <c r="BD1086" s="25"/>
      <c r="BF1086" s="22">
        <v>45631</v>
      </c>
      <c r="BG1086" s="26">
        <f t="shared" ca="1" si="308"/>
        <v>0.28513119522014674</v>
      </c>
      <c r="BH1086" s="29">
        <f t="shared" ca="1" si="291"/>
        <v>136</v>
      </c>
      <c r="BJ1086" s="22">
        <v>45631</v>
      </c>
      <c r="BK1086" s="26">
        <f t="shared" ca="1" si="309"/>
        <v>0.31472262882585478</v>
      </c>
      <c r="BL1086" s="29">
        <f t="shared" ca="1" si="292"/>
        <v>144</v>
      </c>
      <c r="BN1086" s="22">
        <v>45631</v>
      </c>
      <c r="BO1086" s="26">
        <f t="shared" ca="1" si="310"/>
        <v>0.26935321172019144</v>
      </c>
      <c r="BP1086" s="29">
        <f t="shared" ca="1" si="293"/>
        <v>110</v>
      </c>
      <c r="BR1086" s="22">
        <v>45631</v>
      </c>
      <c r="BS1086" s="26">
        <f t="shared" ca="1" si="311"/>
        <v>0.99957189334076457</v>
      </c>
      <c r="BT1086" s="29">
        <f t="shared" ca="1" si="294"/>
        <v>328</v>
      </c>
      <c r="BV1086" s="22">
        <v>45631</v>
      </c>
      <c r="BW1086" s="26">
        <f t="shared" ca="1" si="312"/>
        <v>0.37544478105322965</v>
      </c>
      <c r="BX1086" s="29">
        <f t="shared" ca="1" si="295"/>
        <v>168</v>
      </c>
    </row>
    <row r="1087" spans="2:77" ht="15.75" customHeight="1" x14ac:dyDescent="0.2">
      <c r="B1087" s="22">
        <v>45632</v>
      </c>
      <c r="C1087" s="26">
        <f t="shared" ca="1" si="277"/>
        <v>0.90824786961833281</v>
      </c>
      <c r="D1087" s="29">
        <f t="shared" ca="1" si="278"/>
        <v>102</v>
      </c>
      <c r="F1087" s="22"/>
      <c r="G1087" s="26">
        <f t="shared" ca="1" si="296"/>
        <v>0.72757688239966956</v>
      </c>
      <c r="H1087" s="29">
        <f t="shared" ca="1" si="279"/>
        <v>225</v>
      </c>
      <c r="J1087" s="22">
        <v>45632</v>
      </c>
      <c r="K1087" s="26">
        <f t="shared" ca="1" si="297"/>
        <v>0.16483723314319731</v>
      </c>
      <c r="L1087" s="29">
        <f t="shared" ca="1" si="280"/>
        <v>141</v>
      </c>
      <c r="N1087" s="22">
        <v>45632</v>
      </c>
      <c r="O1087" s="26">
        <f t="shared" ca="1" si="298"/>
        <v>0.32706519674017132</v>
      </c>
      <c r="P1087" s="29">
        <f t="shared" ca="1" si="281"/>
        <v>223</v>
      </c>
      <c r="R1087" s="22">
        <v>45632</v>
      </c>
      <c r="S1087" s="26">
        <f t="shared" ca="1" si="299"/>
        <v>0.99635248321152792</v>
      </c>
      <c r="T1087" s="29">
        <f t="shared" ca="1" si="282"/>
        <v>164</v>
      </c>
      <c r="V1087" s="22">
        <v>45632</v>
      </c>
      <c r="W1087" s="26">
        <f t="shared" ca="1" si="300"/>
        <v>0.30903211615550907</v>
      </c>
      <c r="X1087" s="29">
        <f t="shared" ca="1" si="283"/>
        <v>218</v>
      </c>
      <c r="Z1087" s="22">
        <v>45632</v>
      </c>
      <c r="AA1087" s="26">
        <f t="shared" ca="1" si="301"/>
        <v>0.24918002104463033</v>
      </c>
      <c r="AB1087" s="29">
        <f t="shared" ca="1" si="284"/>
        <v>258</v>
      </c>
      <c r="AC1087"/>
      <c r="AD1087" s="25"/>
      <c r="AF1087" s="22">
        <v>45632</v>
      </c>
      <c r="AG1087" s="26">
        <f t="shared" ca="1" si="302"/>
        <v>0.16812152057979679</v>
      </c>
      <c r="AH1087" s="29">
        <f t="shared" ca="1" si="285"/>
        <v>244</v>
      </c>
      <c r="AJ1087" s="22">
        <v>45632</v>
      </c>
      <c r="AK1087" s="26">
        <f t="shared" ca="1" si="303"/>
        <v>0.35807365545470982</v>
      </c>
      <c r="AL1087" s="29">
        <f t="shared" ca="1" si="286"/>
        <v>163</v>
      </c>
      <c r="AN1087" s="22">
        <v>45632</v>
      </c>
      <c r="AO1087" s="26">
        <f t="shared" ca="1" si="304"/>
        <v>0.97018322352987618</v>
      </c>
      <c r="AP1087" s="29">
        <f t="shared" ca="1" si="287"/>
        <v>222</v>
      </c>
      <c r="AR1087" s="22">
        <v>45632</v>
      </c>
      <c r="AS1087" s="26">
        <f t="shared" ca="1" si="305"/>
        <v>0.3577041954105491</v>
      </c>
      <c r="AT1087" s="29">
        <f t="shared" ca="1" si="288"/>
        <v>196</v>
      </c>
      <c r="AV1087" s="22">
        <v>45632</v>
      </c>
      <c r="AW1087" s="26">
        <f t="shared" ca="1" si="306"/>
        <v>0.30292025500198971</v>
      </c>
      <c r="AX1087" s="29">
        <f t="shared" ca="1" si="289"/>
        <v>166</v>
      </c>
      <c r="AZ1087" s="22">
        <v>45632</v>
      </c>
      <c r="BA1087" s="26">
        <f t="shared" ca="1" si="307"/>
        <v>0.64296131632140929</v>
      </c>
      <c r="BB1087" s="29">
        <f t="shared" ca="1" si="290"/>
        <v>198</v>
      </c>
      <c r="BC1087"/>
      <c r="BD1087" s="25"/>
      <c r="BF1087" s="22">
        <v>45632</v>
      </c>
      <c r="BG1087" s="26">
        <f t="shared" ca="1" si="308"/>
        <v>0.50751162246595105</v>
      </c>
      <c r="BH1087" s="29">
        <f t="shared" ca="1" si="291"/>
        <v>161</v>
      </c>
      <c r="BJ1087" s="22">
        <v>45632</v>
      </c>
      <c r="BK1087" s="26">
        <f t="shared" ca="1" si="309"/>
        <v>0.66672584716470296</v>
      </c>
      <c r="BL1087" s="29">
        <f t="shared" ca="1" si="292"/>
        <v>184</v>
      </c>
      <c r="BN1087" s="22">
        <v>45632</v>
      </c>
      <c r="BO1087" s="26">
        <f t="shared" ca="1" si="310"/>
        <v>5.7269111741139578E-2</v>
      </c>
      <c r="BP1087" s="29">
        <f t="shared" ca="1" si="293"/>
        <v>76</v>
      </c>
      <c r="BR1087" s="22">
        <v>45632</v>
      </c>
      <c r="BS1087" s="26">
        <f t="shared" ca="1" si="311"/>
        <v>0.98962131367664652</v>
      </c>
      <c r="BT1087" s="29">
        <f t="shared" ca="1" si="294"/>
        <v>281</v>
      </c>
      <c r="BV1087" s="22">
        <v>45632</v>
      </c>
      <c r="BW1087" s="26">
        <f t="shared" ca="1" si="312"/>
        <v>0.36126025877900991</v>
      </c>
      <c r="BX1087" s="29">
        <f t="shared" ca="1" si="295"/>
        <v>167</v>
      </c>
    </row>
    <row r="1088" spans="2:77" ht="15.75" customHeight="1" x14ac:dyDescent="0.2">
      <c r="B1088" s="22">
        <v>45633</v>
      </c>
      <c r="C1088" s="26">
        <f t="shared" ca="1" si="277"/>
        <v>0.14689694521808017</v>
      </c>
      <c r="D1088" s="29">
        <f t="shared" ca="1" si="278"/>
        <v>55</v>
      </c>
      <c r="F1088" s="22"/>
      <c r="G1088" s="26">
        <f t="shared" ca="1" si="296"/>
        <v>0.57411293335293978</v>
      </c>
      <c r="H1088" s="29">
        <f t="shared" ca="1" si="279"/>
        <v>219</v>
      </c>
      <c r="J1088" s="22">
        <v>45633</v>
      </c>
      <c r="K1088" s="26">
        <f t="shared" ca="1" si="297"/>
        <v>0.86432170981103917</v>
      </c>
      <c r="L1088" s="29">
        <f t="shared" ca="1" si="280"/>
        <v>161</v>
      </c>
      <c r="N1088" s="22">
        <v>45633</v>
      </c>
      <c r="O1088" s="26">
        <f t="shared" ca="1" si="298"/>
        <v>2.2918899960165162E-2</v>
      </c>
      <c r="P1088" s="29">
        <f t="shared" ca="1" si="281"/>
        <v>199</v>
      </c>
      <c r="R1088" s="22">
        <v>45633</v>
      </c>
      <c r="S1088" s="26">
        <f t="shared" ca="1" si="299"/>
        <v>0.21423693709132696</v>
      </c>
      <c r="T1088" s="29">
        <f t="shared" ca="1" si="282"/>
        <v>132</v>
      </c>
      <c r="V1088" s="22">
        <v>45633</v>
      </c>
      <c r="W1088" s="26">
        <f t="shared" ca="1" si="300"/>
        <v>0.20087290105005096</v>
      </c>
      <c r="X1088" s="29">
        <f t="shared" ca="1" si="283"/>
        <v>213</v>
      </c>
      <c r="Z1088" s="22">
        <v>45633</v>
      </c>
      <c r="AA1088" s="26">
        <f t="shared" ca="1" si="301"/>
        <v>0.36149275403189429</v>
      </c>
      <c r="AB1088" s="29">
        <f t="shared" ca="1" si="284"/>
        <v>264</v>
      </c>
      <c r="AC1088"/>
      <c r="AD1088" s="25"/>
      <c r="AF1088" s="22">
        <v>45633</v>
      </c>
      <c r="AG1088" s="26">
        <f t="shared" ca="1" si="302"/>
        <v>0.54749975995758815</v>
      </c>
      <c r="AH1088" s="29">
        <f t="shared" ca="1" si="285"/>
        <v>338</v>
      </c>
      <c r="AJ1088" s="22">
        <v>45633</v>
      </c>
      <c r="AK1088" s="26">
        <f t="shared" ca="1" si="303"/>
        <v>0.21583047509714259</v>
      </c>
      <c r="AL1088" s="29">
        <f t="shared" ca="1" si="286"/>
        <v>143</v>
      </c>
      <c r="AN1088" s="22">
        <v>45633</v>
      </c>
      <c r="AO1088" s="26">
        <f t="shared" ca="1" si="304"/>
        <v>0.42618479530038145</v>
      </c>
      <c r="AP1088" s="29">
        <f t="shared" ca="1" si="287"/>
        <v>140</v>
      </c>
      <c r="AR1088" s="22">
        <v>45633</v>
      </c>
      <c r="AS1088" s="26">
        <f t="shared" ca="1" si="305"/>
        <v>0.96162465378951356</v>
      </c>
      <c r="AT1088" s="29">
        <f t="shared" ca="1" si="288"/>
        <v>320</v>
      </c>
      <c r="AV1088" s="22">
        <v>45633</v>
      </c>
      <c r="AW1088" s="26">
        <f t="shared" ca="1" si="306"/>
        <v>0.37361968734938544</v>
      </c>
      <c r="AX1088" s="29">
        <f t="shared" ca="1" si="289"/>
        <v>176</v>
      </c>
      <c r="AZ1088" s="22">
        <v>45633</v>
      </c>
      <c r="BA1088" s="26">
        <f t="shared" ca="1" si="307"/>
        <v>0.52055166809014253</v>
      </c>
      <c r="BB1088" s="29">
        <f t="shared" ca="1" si="290"/>
        <v>183</v>
      </c>
      <c r="BC1088"/>
      <c r="BD1088" s="25"/>
      <c r="BF1088" s="22">
        <v>45633</v>
      </c>
      <c r="BG1088" s="26">
        <f t="shared" ca="1" si="308"/>
        <v>0.20209569818181849</v>
      </c>
      <c r="BH1088" s="29">
        <f t="shared" ca="1" si="291"/>
        <v>125</v>
      </c>
      <c r="BJ1088" s="22">
        <v>45633</v>
      </c>
      <c r="BK1088" s="26">
        <f t="shared" ca="1" si="309"/>
        <v>5.2927561063522144E-2</v>
      </c>
      <c r="BL1088" s="29">
        <f t="shared" ca="1" si="292"/>
        <v>94</v>
      </c>
      <c r="BN1088" s="22">
        <v>45633</v>
      </c>
      <c r="BO1088" s="26">
        <f t="shared" ca="1" si="310"/>
        <v>0.71295763919885258</v>
      </c>
      <c r="BP1088" s="29">
        <f t="shared" ca="1" si="293"/>
        <v>151</v>
      </c>
      <c r="BR1088" s="22">
        <v>45633</v>
      </c>
      <c r="BS1088" s="26">
        <f t="shared" ca="1" si="311"/>
        <v>0.7568250744455336</v>
      </c>
      <c r="BT1088" s="29">
        <f t="shared" ca="1" si="294"/>
        <v>206</v>
      </c>
      <c r="BV1088" s="22">
        <v>45633</v>
      </c>
      <c r="BW1088" s="26">
        <f t="shared" ca="1" si="312"/>
        <v>0.30038508419212229</v>
      </c>
      <c r="BX1088" s="29">
        <f t="shared" ca="1" si="295"/>
        <v>158</v>
      </c>
    </row>
    <row r="1089" spans="2:76" ht="15.75" customHeight="1" x14ac:dyDescent="0.2">
      <c r="B1089" s="22">
        <v>45634</v>
      </c>
      <c r="C1089" s="26">
        <f t="shared" ca="1" si="277"/>
        <v>0.45931412386114945</v>
      </c>
      <c r="D1089" s="29">
        <f t="shared" ca="1" si="278"/>
        <v>73</v>
      </c>
      <c r="F1089" s="22"/>
      <c r="G1089" s="26">
        <f t="shared" ca="1" si="296"/>
        <v>0.87572599713613231</v>
      </c>
      <c r="H1089" s="29">
        <f t="shared" ca="1" si="279"/>
        <v>232</v>
      </c>
      <c r="J1089" s="22">
        <v>45634</v>
      </c>
      <c r="K1089" s="26">
        <f t="shared" ca="1" si="297"/>
        <v>0.12260018966424469</v>
      </c>
      <c r="L1089" s="29">
        <f t="shared" ca="1" si="280"/>
        <v>139</v>
      </c>
      <c r="N1089" s="22">
        <v>45634</v>
      </c>
      <c r="O1089" s="26">
        <f t="shared" ca="1" si="298"/>
        <v>0.90877145648953472</v>
      </c>
      <c r="P1089" s="29">
        <f t="shared" ca="1" si="281"/>
        <v>250</v>
      </c>
      <c r="R1089" s="22">
        <v>45634</v>
      </c>
      <c r="S1089" s="26">
        <f t="shared" ca="1" si="299"/>
        <v>0.48055863659110643</v>
      </c>
      <c r="T1089" s="29">
        <f t="shared" ca="1" si="282"/>
        <v>139</v>
      </c>
      <c r="V1089" s="22">
        <v>45634</v>
      </c>
      <c r="W1089" s="26">
        <f t="shared" ca="1" si="300"/>
        <v>0.22162615597496693</v>
      </c>
      <c r="X1089" s="29">
        <f t="shared" ca="1" si="283"/>
        <v>214</v>
      </c>
      <c r="Z1089" s="22">
        <v>45634</v>
      </c>
      <c r="AA1089" s="26">
        <f t="shared" ca="1" si="301"/>
        <v>0.2427690278032657</v>
      </c>
      <c r="AB1089" s="29">
        <f t="shared" ca="1" si="284"/>
        <v>258</v>
      </c>
      <c r="AC1089"/>
      <c r="AD1089" s="25"/>
      <c r="AF1089" s="22">
        <v>45634</v>
      </c>
      <c r="AG1089" s="26">
        <f t="shared" ca="1" si="302"/>
        <v>0.24521305883424072</v>
      </c>
      <c r="AH1089" s="29">
        <f t="shared" ca="1" si="285"/>
        <v>267</v>
      </c>
      <c r="AJ1089" s="22">
        <v>45634</v>
      </c>
      <c r="AK1089" s="26">
        <f t="shared" ca="1" si="303"/>
        <v>0.52102794220638482</v>
      </c>
      <c r="AL1089" s="29">
        <f t="shared" ca="1" si="286"/>
        <v>183</v>
      </c>
      <c r="AN1089" s="22">
        <v>45634</v>
      </c>
      <c r="AO1089" s="26">
        <f t="shared" ca="1" si="304"/>
        <v>0.47830473940422746</v>
      </c>
      <c r="AP1089" s="29">
        <f t="shared" ca="1" si="287"/>
        <v>146</v>
      </c>
      <c r="AR1089" s="22">
        <v>45634</v>
      </c>
      <c r="AS1089" s="26">
        <f t="shared" ca="1" si="305"/>
        <v>0.18021761465742803</v>
      </c>
      <c r="AT1089" s="29">
        <f t="shared" ca="1" si="288"/>
        <v>164</v>
      </c>
      <c r="AV1089" s="22">
        <v>45634</v>
      </c>
      <c r="AW1089" s="26">
        <f t="shared" ca="1" si="306"/>
        <v>0.22783674881591798</v>
      </c>
      <c r="AX1089" s="29">
        <f t="shared" ca="1" si="289"/>
        <v>154</v>
      </c>
      <c r="AZ1089" s="22">
        <v>45634</v>
      </c>
      <c r="BA1089" s="26">
        <f t="shared" ca="1" si="307"/>
        <v>0.89268539819639414</v>
      </c>
      <c r="BB1089" s="29">
        <f t="shared" ca="1" si="290"/>
        <v>240</v>
      </c>
      <c r="BC1089"/>
      <c r="BD1089" s="25"/>
      <c r="BF1089" s="22">
        <v>45634</v>
      </c>
      <c r="BG1089" s="26">
        <f t="shared" ca="1" si="308"/>
        <v>0.99304471825586105</v>
      </c>
      <c r="BH1089" s="29">
        <f t="shared" ca="1" si="291"/>
        <v>265</v>
      </c>
      <c r="BJ1089" s="22">
        <v>45634</v>
      </c>
      <c r="BK1089" s="26">
        <f t="shared" ca="1" si="309"/>
        <v>0.63290306276632635</v>
      </c>
      <c r="BL1089" s="29">
        <f t="shared" ca="1" si="292"/>
        <v>180</v>
      </c>
      <c r="BN1089" s="22">
        <v>45634</v>
      </c>
      <c r="BO1089" s="26">
        <f t="shared" ca="1" si="310"/>
        <v>0.12560522207211577</v>
      </c>
      <c r="BP1089" s="29">
        <f t="shared" ca="1" si="293"/>
        <v>91</v>
      </c>
      <c r="BR1089" s="22">
        <v>45634</v>
      </c>
      <c r="BS1089" s="26">
        <f t="shared" ca="1" si="311"/>
        <v>0.86991216365354362</v>
      </c>
      <c r="BT1089" s="29">
        <f t="shared" ca="1" si="294"/>
        <v>226</v>
      </c>
      <c r="BV1089" s="22">
        <v>45634</v>
      </c>
      <c r="BW1089" s="26">
        <f t="shared" ca="1" si="312"/>
        <v>8.0083136497919427E-2</v>
      </c>
      <c r="BX1089" s="29">
        <f t="shared" ca="1" si="295"/>
        <v>115</v>
      </c>
    </row>
    <row r="1090" spans="2:76" ht="15.75" customHeight="1" x14ac:dyDescent="0.2">
      <c r="B1090" s="22">
        <v>45635</v>
      </c>
      <c r="C1090" s="26">
        <f t="shared" ca="1" si="277"/>
        <v>0.71883823041108397</v>
      </c>
      <c r="D1090" s="29">
        <f t="shared" ca="1" si="278"/>
        <v>87</v>
      </c>
      <c r="F1090" s="22"/>
      <c r="G1090" s="26">
        <f t="shared" ca="1" si="296"/>
        <v>0.9294847960591881</v>
      </c>
      <c r="H1090" s="29">
        <f t="shared" ca="1" si="279"/>
        <v>237</v>
      </c>
      <c r="J1090" s="22">
        <v>45635</v>
      </c>
      <c r="K1090" s="26">
        <f t="shared" ca="1" si="297"/>
        <v>0.68408447156621333</v>
      </c>
      <c r="L1090" s="29">
        <f t="shared" ca="1" si="280"/>
        <v>155</v>
      </c>
      <c r="N1090" s="22">
        <v>45635</v>
      </c>
      <c r="O1090" s="26">
        <f t="shared" ca="1" si="298"/>
        <v>0.60224940566705065</v>
      </c>
      <c r="P1090" s="29">
        <f t="shared" ca="1" si="281"/>
        <v>234</v>
      </c>
      <c r="R1090" s="22">
        <v>45635</v>
      </c>
      <c r="S1090" s="26">
        <f t="shared" ca="1" si="299"/>
        <v>0.16137177106564071</v>
      </c>
      <c r="T1090" s="29">
        <f t="shared" ca="1" si="282"/>
        <v>130</v>
      </c>
      <c r="V1090" s="22">
        <v>45635</v>
      </c>
      <c r="W1090" s="26">
        <f t="shared" ca="1" si="300"/>
        <v>0.94703976445237081</v>
      </c>
      <c r="X1090" s="29">
        <f t="shared" ca="1" si="283"/>
        <v>250</v>
      </c>
      <c r="Z1090" s="22">
        <v>45635</v>
      </c>
      <c r="AA1090" s="26">
        <f t="shared" ca="1" si="301"/>
        <v>0.54135316455593285</v>
      </c>
      <c r="AB1090" s="29">
        <f t="shared" ca="1" si="284"/>
        <v>272</v>
      </c>
      <c r="AC1090"/>
      <c r="AD1090" s="25"/>
      <c r="AF1090" s="22">
        <v>45635</v>
      </c>
      <c r="AG1090" s="26">
        <f t="shared" ca="1" si="302"/>
        <v>0.36719542960381069</v>
      </c>
      <c r="AH1090" s="29">
        <f t="shared" ca="1" si="285"/>
        <v>298</v>
      </c>
      <c r="AJ1090" s="22">
        <v>45635</v>
      </c>
      <c r="AK1090" s="26">
        <f t="shared" ca="1" si="303"/>
        <v>0.16777026139550189</v>
      </c>
      <c r="AL1090" s="29">
        <f t="shared" ca="1" si="286"/>
        <v>134</v>
      </c>
      <c r="AN1090" s="22">
        <v>45635</v>
      </c>
      <c r="AO1090" s="26">
        <f t="shared" ca="1" si="304"/>
        <v>0.237048800794604</v>
      </c>
      <c r="AP1090" s="29">
        <f t="shared" ca="1" si="287"/>
        <v>120</v>
      </c>
      <c r="AR1090" s="22">
        <v>45635</v>
      </c>
      <c r="AS1090" s="26">
        <f t="shared" ca="1" si="305"/>
        <v>0.77694730827873215</v>
      </c>
      <c r="AT1090" s="29">
        <f t="shared" ca="1" si="288"/>
        <v>261</v>
      </c>
      <c r="AV1090" s="22">
        <v>45635</v>
      </c>
      <c r="AW1090" s="26">
        <f t="shared" ca="1" si="306"/>
        <v>0.95368230831833356</v>
      </c>
      <c r="AX1090" s="29">
        <f t="shared" ca="1" si="289"/>
        <v>278</v>
      </c>
      <c r="AZ1090" s="22">
        <v>45635</v>
      </c>
      <c r="BA1090" s="26">
        <f t="shared" ca="1" si="307"/>
        <v>0.32929865627347965</v>
      </c>
      <c r="BB1090" s="29">
        <f t="shared" ca="1" si="290"/>
        <v>159</v>
      </c>
      <c r="BC1090"/>
      <c r="BD1090" s="25"/>
      <c r="BF1090" s="22">
        <v>45635</v>
      </c>
      <c r="BG1090" s="26">
        <f t="shared" ca="1" si="308"/>
        <v>0.14829493241631231</v>
      </c>
      <c r="BH1090" s="29">
        <f t="shared" ca="1" si="291"/>
        <v>116</v>
      </c>
      <c r="BJ1090" s="22">
        <v>45635</v>
      </c>
      <c r="BK1090" s="26">
        <f t="shared" ca="1" si="309"/>
        <v>0.48281456998779904</v>
      </c>
      <c r="BL1090" s="29">
        <f t="shared" ca="1" si="292"/>
        <v>163</v>
      </c>
      <c r="BN1090" s="22">
        <v>45635</v>
      </c>
      <c r="BO1090" s="26">
        <f t="shared" ca="1" si="310"/>
        <v>2.2373859983910727E-2</v>
      </c>
      <c r="BP1090" s="29">
        <f t="shared" ca="1" si="293"/>
        <v>61</v>
      </c>
      <c r="BR1090" s="22">
        <v>45635</v>
      </c>
      <c r="BS1090" s="26">
        <f t="shared" ca="1" si="311"/>
        <v>0.6671676749123342</v>
      </c>
      <c r="BT1090" s="29">
        <f t="shared" ca="1" si="294"/>
        <v>194</v>
      </c>
      <c r="BV1090" s="22">
        <v>45635</v>
      </c>
      <c r="BW1090" s="26">
        <f t="shared" ca="1" si="312"/>
        <v>9.2788045167629729E-2</v>
      </c>
      <c r="BX1090" s="29">
        <f t="shared" ca="1" si="295"/>
        <v>119</v>
      </c>
    </row>
    <row r="1091" spans="2:76" ht="15.75" customHeight="1" x14ac:dyDescent="0.2">
      <c r="B1091" s="22">
        <v>45636</v>
      </c>
      <c r="C1091" s="26">
        <f t="shared" ca="1" si="277"/>
        <v>0.45166979242886318</v>
      </c>
      <c r="D1091" s="29">
        <f t="shared" ca="1" si="278"/>
        <v>73</v>
      </c>
      <c r="F1091" s="22"/>
      <c r="G1091" s="26">
        <f t="shared" ca="1" si="296"/>
        <v>0.16837094194736768</v>
      </c>
      <c r="H1091" s="29">
        <f t="shared" ca="1" si="279"/>
        <v>202</v>
      </c>
      <c r="J1091" s="22">
        <v>45636</v>
      </c>
      <c r="K1091" s="26">
        <f t="shared" ca="1" si="297"/>
        <v>0.79734425776037876</v>
      </c>
      <c r="L1091" s="29">
        <f t="shared" ca="1" si="280"/>
        <v>159</v>
      </c>
      <c r="N1091" s="22">
        <v>45636</v>
      </c>
      <c r="O1091" s="26">
        <f t="shared" ca="1" si="298"/>
        <v>0.92644760227292677</v>
      </c>
      <c r="P1091" s="29">
        <f t="shared" ca="1" si="281"/>
        <v>252</v>
      </c>
      <c r="R1091" s="22">
        <v>45636</v>
      </c>
      <c r="S1091" s="26">
        <f t="shared" ca="1" si="299"/>
        <v>0.78263483446371118</v>
      </c>
      <c r="T1091" s="29">
        <f t="shared" ca="1" si="282"/>
        <v>146</v>
      </c>
      <c r="V1091" s="22">
        <v>45636</v>
      </c>
      <c r="W1091" s="26">
        <f t="shared" ca="1" si="300"/>
        <v>0.48199319230675997</v>
      </c>
      <c r="X1091" s="29">
        <f t="shared" ca="1" si="283"/>
        <v>225</v>
      </c>
      <c r="Z1091" s="22">
        <v>45636</v>
      </c>
      <c r="AA1091" s="26">
        <f t="shared" ca="1" si="301"/>
        <v>4.4643371095208551E-2</v>
      </c>
      <c r="AB1091" s="29">
        <f t="shared" ca="1" si="284"/>
        <v>240</v>
      </c>
      <c r="AC1091"/>
      <c r="AD1091" s="25"/>
      <c r="AF1091" s="22">
        <v>45636</v>
      </c>
      <c r="AG1091" s="26">
        <f t="shared" ca="1" si="302"/>
        <v>0.24067902036582933</v>
      </c>
      <c r="AH1091" s="29">
        <f t="shared" ca="1" si="285"/>
        <v>266</v>
      </c>
      <c r="AJ1091" s="22">
        <v>45636</v>
      </c>
      <c r="AK1091" s="26">
        <f t="shared" ca="1" si="303"/>
        <v>0.71536181365725371</v>
      </c>
      <c r="AL1091" s="29">
        <f t="shared" ca="1" si="286"/>
        <v>208</v>
      </c>
      <c r="AN1091" s="22">
        <v>45636</v>
      </c>
      <c r="AO1091" s="26">
        <f t="shared" ca="1" si="304"/>
        <v>0.72121400083367548</v>
      </c>
      <c r="AP1091" s="29">
        <f t="shared" ca="1" si="287"/>
        <v>171</v>
      </c>
      <c r="AR1091" s="22">
        <v>45636</v>
      </c>
      <c r="AS1091" s="26">
        <f t="shared" ca="1" si="305"/>
        <v>0.37957181780171723</v>
      </c>
      <c r="AT1091" s="29">
        <f t="shared" ca="1" si="288"/>
        <v>200</v>
      </c>
      <c r="AV1091" s="22">
        <v>45636</v>
      </c>
      <c r="AW1091" s="26">
        <f t="shared" ca="1" si="306"/>
        <v>0.77516937716040168</v>
      </c>
      <c r="AX1091" s="29">
        <f t="shared" ca="1" si="289"/>
        <v>231</v>
      </c>
      <c r="AZ1091" s="22">
        <v>45636</v>
      </c>
      <c r="BA1091" s="26">
        <f t="shared" ca="1" si="307"/>
        <v>6.0346205507903372E-2</v>
      </c>
      <c r="BB1091" s="29">
        <f t="shared" ca="1" si="290"/>
        <v>106</v>
      </c>
      <c r="BC1091"/>
      <c r="BD1091" s="25"/>
      <c r="BF1091" s="22">
        <v>45636</v>
      </c>
      <c r="BG1091" s="26">
        <f t="shared" ca="1" si="308"/>
        <v>0.169361207353943</v>
      </c>
      <c r="BH1091" s="29">
        <f t="shared" ca="1" si="291"/>
        <v>119</v>
      </c>
      <c r="BJ1091" s="22">
        <v>45636</v>
      </c>
      <c r="BK1091" s="26">
        <f t="shared" ca="1" si="309"/>
        <v>0.11129564487205723</v>
      </c>
      <c r="BL1091" s="29">
        <f t="shared" ca="1" si="292"/>
        <v>112</v>
      </c>
      <c r="BN1091" s="22">
        <v>45636</v>
      </c>
      <c r="BO1091" s="26">
        <f t="shared" ca="1" si="310"/>
        <v>0.44269278308100901</v>
      </c>
      <c r="BP1091" s="29">
        <f t="shared" ca="1" si="293"/>
        <v>126</v>
      </c>
      <c r="BR1091" s="22">
        <v>45636</v>
      </c>
      <c r="BS1091" s="26">
        <f t="shared" ca="1" si="311"/>
        <v>0.7750458967629279</v>
      </c>
      <c r="BT1091" s="29">
        <f t="shared" ca="1" si="294"/>
        <v>209</v>
      </c>
      <c r="BV1091" s="22">
        <v>45636</v>
      </c>
      <c r="BW1091" s="26">
        <f t="shared" ca="1" si="312"/>
        <v>0.25685607421541168</v>
      </c>
      <c r="BX1091" s="29">
        <f t="shared" ca="1" si="295"/>
        <v>152</v>
      </c>
    </row>
    <row r="1092" spans="2:76" ht="15.75" customHeight="1" x14ac:dyDescent="0.2">
      <c r="B1092" s="22">
        <v>45637</v>
      </c>
      <c r="C1092" s="26">
        <f t="shared" ca="1" si="277"/>
        <v>0.85069408010941006</v>
      </c>
      <c r="D1092" s="29">
        <f t="shared" ca="1" si="278"/>
        <v>96</v>
      </c>
      <c r="F1092" s="22"/>
      <c r="G1092" s="26">
        <f t="shared" ca="1" si="296"/>
        <v>0.32879592330587271</v>
      </c>
      <c r="H1092" s="29">
        <f t="shared" ca="1" si="279"/>
        <v>210</v>
      </c>
      <c r="J1092" s="22">
        <v>45637</v>
      </c>
      <c r="K1092" s="26">
        <f t="shared" ca="1" si="297"/>
        <v>3.7437350833486427E-2</v>
      </c>
      <c r="L1092" s="29">
        <f t="shared" ca="1" si="280"/>
        <v>133</v>
      </c>
      <c r="N1092" s="22">
        <v>45637</v>
      </c>
      <c r="O1092" s="26">
        <f t="shared" ca="1" si="298"/>
        <v>0.66258157563768383</v>
      </c>
      <c r="P1092" s="29">
        <f t="shared" ca="1" si="281"/>
        <v>236</v>
      </c>
      <c r="R1092" s="22">
        <v>45637</v>
      </c>
      <c r="S1092" s="26">
        <f t="shared" ca="1" si="299"/>
        <v>0.85161319234590527</v>
      </c>
      <c r="T1092" s="29">
        <f t="shared" ca="1" si="282"/>
        <v>149</v>
      </c>
      <c r="V1092" s="22">
        <v>45637</v>
      </c>
      <c r="W1092" s="26">
        <f t="shared" ca="1" si="300"/>
        <v>0.18813576132770082</v>
      </c>
      <c r="X1092" s="29">
        <f t="shared" ca="1" si="283"/>
        <v>212</v>
      </c>
      <c r="Z1092" s="22">
        <v>45637</v>
      </c>
      <c r="AA1092" s="26">
        <f t="shared" ca="1" si="301"/>
        <v>0.73772544363714188</v>
      </c>
      <c r="AB1092" s="29">
        <f t="shared" ca="1" si="284"/>
        <v>282</v>
      </c>
      <c r="AC1092"/>
      <c r="AD1092" s="25"/>
      <c r="AF1092" s="22">
        <v>45637</v>
      </c>
      <c r="AG1092" s="26">
        <f t="shared" ca="1" si="302"/>
        <v>0.57053341363966559</v>
      </c>
      <c r="AH1092" s="29">
        <f t="shared" ca="1" si="285"/>
        <v>343</v>
      </c>
      <c r="AJ1092" s="22">
        <v>45637</v>
      </c>
      <c r="AK1092" s="26">
        <f t="shared" ca="1" si="303"/>
        <v>0.10265941769970321</v>
      </c>
      <c r="AL1092" s="29">
        <f t="shared" ca="1" si="286"/>
        <v>120</v>
      </c>
      <c r="AN1092" s="22">
        <v>45637</v>
      </c>
      <c r="AO1092" s="26">
        <f t="shared" ca="1" si="304"/>
        <v>0.74448969673780307</v>
      </c>
      <c r="AP1092" s="29">
        <f t="shared" ca="1" si="287"/>
        <v>173</v>
      </c>
      <c r="AR1092" s="22">
        <v>45637</v>
      </c>
      <c r="AS1092" s="26">
        <f t="shared" ca="1" si="305"/>
        <v>0.40549778104455181</v>
      </c>
      <c r="AT1092" s="29">
        <f t="shared" ca="1" si="288"/>
        <v>203</v>
      </c>
      <c r="AV1092" s="22">
        <v>45637</v>
      </c>
      <c r="AW1092" s="26">
        <f t="shared" ca="1" si="306"/>
        <v>0.54320824232043063</v>
      </c>
      <c r="AX1092" s="29">
        <f t="shared" ca="1" si="289"/>
        <v>198</v>
      </c>
      <c r="AZ1092" s="22">
        <v>45637</v>
      </c>
      <c r="BA1092" s="26">
        <f t="shared" ca="1" si="307"/>
        <v>0.6623945795175824</v>
      </c>
      <c r="BB1092" s="29">
        <f t="shared" ca="1" si="290"/>
        <v>200</v>
      </c>
      <c r="BC1092"/>
      <c r="BD1092" s="25"/>
      <c r="BF1092" s="22">
        <v>45637</v>
      </c>
      <c r="BG1092" s="26">
        <f t="shared" ca="1" si="308"/>
        <v>0.85148195616092381</v>
      </c>
      <c r="BH1092" s="29">
        <f t="shared" ca="1" si="291"/>
        <v>204</v>
      </c>
      <c r="BJ1092" s="22">
        <v>45637</v>
      </c>
      <c r="BK1092" s="26">
        <f t="shared" ca="1" si="309"/>
        <v>0.74691189121186741</v>
      </c>
      <c r="BL1092" s="29">
        <f t="shared" ca="1" si="292"/>
        <v>194</v>
      </c>
      <c r="BN1092" s="22">
        <v>45637</v>
      </c>
      <c r="BO1092" s="26">
        <f t="shared" ca="1" si="310"/>
        <v>0.56633681107956035</v>
      </c>
      <c r="BP1092" s="29">
        <f t="shared" ca="1" si="293"/>
        <v>137</v>
      </c>
      <c r="BR1092" s="22">
        <v>45637</v>
      </c>
      <c r="BS1092" s="26">
        <f t="shared" ca="1" si="311"/>
        <v>8.0828317769999769E-2</v>
      </c>
      <c r="BT1092" s="29">
        <f t="shared" ca="1" si="294"/>
        <v>109</v>
      </c>
      <c r="BV1092" s="22">
        <v>45637</v>
      </c>
      <c r="BW1092" s="26">
        <f t="shared" ca="1" si="312"/>
        <v>0.87622142320419494</v>
      </c>
      <c r="BX1092" s="29">
        <f t="shared" ca="1" si="295"/>
        <v>241</v>
      </c>
    </row>
    <row r="1093" spans="2:76" ht="15.75" customHeight="1" x14ac:dyDescent="0.2">
      <c r="B1093" s="22">
        <v>45638</v>
      </c>
      <c r="C1093" s="26">
        <f t="shared" ca="1" si="277"/>
        <v>0.87079511533133303</v>
      </c>
      <c r="D1093" s="29">
        <f t="shared" ca="1" si="278"/>
        <v>98</v>
      </c>
      <c r="F1093" s="22"/>
      <c r="G1093" s="26">
        <f t="shared" ca="1" si="296"/>
        <v>4.247732163933049E-2</v>
      </c>
      <c r="H1093" s="29">
        <f t="shared" ca="1" si="279"/>
        <v>191</v>
      </c>
      <c r="J1093" s="22">
        <v>45638</v>
      </c>
      <c r="K1093" s="26">
        <f t="shared" ca="1" si="297"/>
        <v>0.80966621903553559</v>
      </c>
      <c r="L1093" s="29">
        <f t="shared" ca="1" si="280"/>
        <v>159</v>
      </c>
      <c r="N1093" s="22">
        <v>45638</v>
      </c>
      <c r="O1093" s="26">
        <f t="shared" ca="1" si="298"/>
        <v>0.61548417987294324</v>
      </c>
      <c r="P1093" s="29">
        <f t="shared" ca="1" si="281"/>
        <v>234</v>
      </c>
      <c r="R1093" s="22">
        <v>45638</v>
      </c>
      <c r="S1093" s="26">
        <f t="shared" ca="1" si="299"/>
        <v>0.57667992673482182</v>
      </c>
      <c r="T1093" s="29">
        <f t="shared" ca="1" si="282"/>
        <v>141</v>
      </c>
      <c r="V1093" s="22">
        <v>45638</v>
      </c>
      <c r="W1093" s="26">
        <f t="shared" ca="1" si="300"/>
        <v>0.94728347279997327</v>
      </c>
      <c r="X1093" s="29">
        <f t="shared" ca="1" si="283"/>
        <v>250</v>
      </c>
      <c r="Z1093" s="22">
        <v>45638</v>
      </c>
      <c r="AA1093" s="26">
        <f t="shared" ca="1" si="301"/>
        <v>0.26613552045746092</v>
      </c>
      <c r="AB1093" s="29">
        <f t="shared" ca="1" si="284"/>
        <v>259</v>
      </c>
      <c r="AC1093"/>
      <c r="AD1093" s="25"/>
      <c r="AF1093" s="22">
        <v>45638</v>
      </c>
      <c r="AG1093" s="26">
        <f t="shared" ca="1" si="302"/>
        <v>0.41728694448038661</v>
      </c>
      <c r="AH1093" s="29">
        <f t="shared" ca="1" si="285"/>
        <v>309</v>
      </c>
      <c r="AJ1093" s="22">
        <v>45638</v>
      </c>
      <c r="AK1093" s="26">
        <f t="shared" ca="1" si="303"/>
        <v>0.51393327967953473</v>
      </c>
      <c r="AL1093" s="29">
        <f t="shared" ca="1" si="286"/>
        <v>182</v>
      </c>
      <c r="AN1093" s="22">
        <v>45638</v>
      </c>
      <c r="AO1093" s="26">
        <f t="shared" ca="1" si="304"/>
        <v>5.1221395892709465E-2</v>
      </c>
      <c r="AP1093" s="29">
        <f t="shared" ca="1" si="287"/>
        <v>84</v>
      </c>
      <c r="AR1093" s="22">
        <v>45638</v>
      </c>
      <c r="AS1093" s="26">
        <f t="shared" ca="1" si="305"/>
        <v>5.6014806769496994E-2</v>
      </c>
      <c r="AT1093" s="29">
        <f t="shared" ca="1" si="288"/>
        <v>125</v>
      </c>
      <c r="AV1093" s="22">
        <v>45638</v>
      </c>
      <c r="AW1093" s="26">
        <f t="shared" ca="1" si="306"/>
        <v>7.6402108389261869E-4</v>
      </c>
      <c r="AX1093" s="29">
        <f t="shared" ca="1" si="289"/>
        <v>30</v>
      </c>
      <c r="AZ1093" s="22">
        <v>45638</v>
      </c>
      <c r="BA1093" s="26">
        <f t="shared" ca="1" si="307"/>
        <v>9.0993698492213282E-3</v>
      </c>
      <c r="BB1093" s="29">
        <f t="shared" ca="1" si="290"/>
        <v>67</v>
      </c>
      <c r="BC1093"/>
      <c r="BD1093" s="25"/>
      <c r="BF1093" s="22">
        <v>45638</v>
      </c>
      <c r="BG1093" s="26">
        <f t="shared" ca="1" si="308"/>
        <v>0.84343628934062309</v>
      </c>
      <c r="BH1093" s="29">
        <f t="shared" ca="1" si="291"/>
        <v>203</v>
      </c>
      <c r="BJ1093" s="22">
        <v>45638</v>
      </c>
      <c r="BK1093" s="26">
        <f t="shared" ca="1" si="309"/>
        <v>0.86739252273788969</v>
      </c>
      <c r="BL1093" s="29">
        <f t="shared" ca="1" si="292"/>
        <v>214</v>
      </c>
      <c r="BN1093" s="22">
        <v>45638</v>
      </c>
      <c r="BO1093" s="26">
        <f t="shared" ca="1" si="310"/>
        <v>0.41365242121995072</v>
      </c>
      <c r="BP1093" s="29">
        <f t="shared" ca="1" si="293"/>
        <v>124</v>
      </c>
      <c r="BR1093" s="22">
        <v>45638</v>
      </c>
      <c r="BS1093" s="26">
        <f t="shared" ca="1" si="311"/>
        <v>0.12146106775704069</v>
      </c>
      <c r="BT1093" s="29">
        <f t="shared" ca="1" si="294"/>
        <v>120</v>
      </c>
      <c r="BV1093" s="22">
        <v>45638</v>
      </c>
      <c r="BW1093" s="26">
        <f t="shared" ca="1" si="312"/>
        <v>0.15036099769721345</v>
      </c>
      <c r="BX1093" s="29">
        <f t="shared" ca="1" si="295"/>
        <v>133</v>
      </c>
    </row>
    <row r="1094" spans="2:76" ht="15.75" customHeight="1" x14ac:dyDescent="0.2">
      <c r="B1094" s="22">
        <v>45639</v>
      </c>
      <c r="C1094" s="26">
        <f t="shared" ca="1" si="277"/>
        <v>0.8724614653524726</v>
      </c>
      <c r="D1094" s="29">
        <f t="shared" ca="1" si="278"/>
        <v>98</v>
      </c>
      <c r="F1094" s="22"/>
      <c r="G1094" s="26">
        <f t="shared" ca="1" si="296"/>
        <v>0.27459863659867123</v>
      </c>
      <c r="H1094" s="29">
        <f t="shared" ca="1" si="279"/>
        <v>207</v>
      </c>
      <c r="J1094" s="22">
        <v>45639</v>
      </c>
      <c r="K1094" s="26">
        <f t="shared" ca="1" si="297"/>
        <v>0.95109973407296888</v>
      </c>
      <c r="L1094" s="29">
        <f t="shared" ca="1" si="280"/>
        <v>167</v>
      </c>
      <c r="N1094" s="22">
        <v>45639</v>
      </c>
      <c r="O1094" s="26">
        <f t="shared" ca="1" si="298"/>
        <v>0.7160512499285685</v>
      </c>
      <c r="P1094" s="29">
        <f t="shared" ca="1" si="281"/>
        <v>239</v>
      </c>
      <c r="R1094" s="22">
        <v>45639</v>
      </c>
      <c r="S1094" s="26">
        <f t="shared" ca="1" si="299"/>
        <v>0.48846285142946166</v>
      </c>
      <c r="T1094" s="29">
        <f t="shared" ca="1" si="282"/>
        <v>139</v>
      </c>
      <c r="V1094" s="22">
        <v>45639</v>
      </c>
      <c r="W1094" s="26">
        <f t="shared" ca="1" si="300"/>
        <v>0.4338206194339046</v>
      </c>
      <c r="X1094" s="29">
        <f t="shared" ca="1" si="283"/>
        <v>223</v>
      </c>
      <c r="Z1094" s="22">
        <v>45639</v>
      </c>
      <c r="AA1094" s="26">
        <f t="shared" ca="1" si="301"/>
        <v>0.67173539792109216</v>
      </c>
      <c r="AB1094" s="29">
        <f t="shared" ca="1" si="284"/>
        <v>279</v>
      </c>
      <c r="AC1094"/>
      <c r="AD1094" s="25"/>
      <c r="AF1094" s="22">
        <v>45639</v>
      </c>
      <c r="AG1094" s="26">
        <f t="shared" ca="1" si="302"/>
        <v>0.64702414680613696</v>
      </c>
      <c r="AH1094" s="29">
        <f t="shared" ca="1" si="285"/>
        <v>360</v>
      </c>
      <c r="AJ1094" s="22">
        <v>45639</v>
      </c>
      <c r="AK1094" s="26">
        <f t="shared" ca="1" si="303"/>
        <v>0.62074571281487911</v>
      </c>
      <c r="AL1094" s="29">
        <f t="shared" ca="1" si="286"/>
        <v>195</v>
      </c>
      <c r="AN1094" s="22">
        <v>45639</v>
      </c>
      <c r="AO1094" s="26">
        <f t="shared" ca="1" si="304"/>
        <v>0.87401104904195481</v>
      </c>
      <c r="AP1094" s="29">
        <f t="shared" ca="1" si="287"/>
        <v>193</v>
      </c>
      <c r="AR1094" s="22">
        <v>45639</v>
      </c>
      <c r="AS1094" s="26">
        <f t="shared" ca="1" si="305"/>
        <v>0.83439326479084375</v>
      </c>
      <c r="AT1094" s="29">
        <f t="shared" ca="1" si="288"/>
        <v>273</v>
      </c>
      <c r="AV1094" s="22">
        <v>45639</v>
      </c>
      <c r="AW1094" s="26">
        <f t="shared" ca="1" si="306"/>
        <v>0.87482084583246911</v>
      </c>
      <c r="AX1094" s="29">
        <f t="shared" ca="1" si="289"/>
        <v>251</v>
      </c>
      <c r="AZ1094" s="22">
        <v>45639</v>
      </c>
      <c r="BA1094" s="26">
        <f t="shared" ca="1" si="307"/>
        <v>0.60450373302413962</v>
      </c>
      <c r="BB1094" s="29">
        <f t="shared" ca="1" si="290"/>
        <v>193</v>
      </c>
      <c r="BC1094"/>
      <c r="BD1094" s="25"/>
      <c r="BF1094" s="22">
        <v>45639</v>
      </c>
      <c r="BG1094" s="26">
        <f t="shared" ca="1" si="308"/>
        <v>0.79325067727772181</v>
      </c>
      <c r="BH1094" s="29">
        <f t="shared" ca="1" si="291"/>
        <v>195</v>
      </c>
      <c r="BJ1094" s="22">
        <v>45639</v>
      </c>
      <c r="BK1094" s="26">
        <f t="shared" ca="1" si="309"/>
        <v>0.4005136351405002</v>
      </c>
      <c r="BL1094" s="29">
        <f t="shared" ca="1" si="292"/>
        <v>154</v>
      </c>
      <c r="BN1094" s="22">
        <v>45639</v>
      </c>
      <c r="BO1094" s="26">
        <f t="shared" ca="1" si="310"/>
        <v>0.23835279645771423</v>
      </c>
      <c r="BP1094" s="29">
        <f t="shared" ca="1" si="293"/>
        <v>107</v>
      </c>
      <c r="BR1094" s="22">
        <v>45639</v>
      </c>
      <c r="BS1094" s="26">
        <f t="shared" ca="1" si="311"/>
        <v>0.29049070465754112</v>
      </c>
      <c r="BT1094" s="29">
        <f t="shared" ca="1" si="294"/>
        <v>149</v>
      </c>
      <c r="BV1094" s="22">
        <v>45639</v>
      </c>
      <c r="BW1094" s="26">
        <f t="shared" ca="1" si="312"/>
        <v>0.52973822455427844</v>
      </c>
      <c r="BX1094" s="29">
        <f t="shared" ca="1" si="295"/>
        <v>188</v>
      </c>
    </row>
    <row r="1095" spans="2:76" ht="15.75" customHeight="1" x14ac:dyDescent="0.2">
      <c r="B1095" s="22">
        <v>45640</v>
      </c>
      <c r="C1095" s="26">
        <f t="shared" ca="1" si="277"/>
        <v>0.92806812828314733</v>
      </c>
      <c r="D1095" s="29">
        <f t="shared" ca="1" si="278"/>
        <v>105</v>
      </c>
      <c r="F1095" s="22"/>
      <c r="G1095" s="26">
        <f t="shared" ca="1" si="296"/>
        <v>0.20698958945484991</v>
      </c>
      <c r="H1095" s="29">
        <f t="shared" ca="1" si="279"/>
        <v>204</v>
      </c>
      <c r="J1095" s="22">
        <v>45640</v>
      </c>
      <c r="K1095" s="26">
        <f t="shared" ca="1" si="297"/>
        <v>0.90101670721904703</v>
      </c>
      <c r="L1095" s="29">
        <f t="shared" ca="1" si="280"/>
        <v>163</v>
      </c>
      <c r="N1095" s="22">
        <v>45640</v>
      </c>
      <c r="O1095" s="26">
        <f t="shared" ca="1" si="298"/>
        <v>0.83553312947395408</v>
      </c>
      <c r="P1095" s="29">
        <f t="shared" ca="1" si="281"/>
        <v>245</v>
      </c>
      <c r="R1095" s="22">
        <v>45640</v>
      </c>
      <c r="S1095" s="26">
        <f t="shared" ca="1" si="299"/>
        <v>0.40026284112741006</v>
      </c>
      <c r="T1095" s="29">
        <f t="shared" ca="1" si="282"/>
        <v>137</v>
      </c>
      <c r="V1095" s="22">
        <v>45640</v>
      </c>
      <c r="W1095" s="26">
        <f t="shared" ca="1" si="300"/>
        <v>0.63001148332365831</v>
      </c>
      <c r="X1095" s="29">
        <f t="shared" ca="1" si="283"/>
        <v>230</v>
      </c>
      <c r="Z1095" s="22">
        <v>45640</v>
      </c>
      <c r="AA1095" s="26">
        <f t="shared" ca="1" si="301"/>
        <v>0.67717937815565199</v>
      </c>
      <c r="AB1095" s="29">
        <f t="shared" ca="1" si="284"/>
        <v>279</v>
      </c>
      <c r="AC1095"/>
      <c r="AD1095" s="25"/>
      <c r="AF1095" s="22">
        <v>45640</v>
      </c>
      <c r="AG1095" s="26">
        <f t="shared" ca="1" si="302"/>
        <v>0.22047034926374431</v>
      </c>
      <c r="AH1095" s="29">
        <f t="shared" ca="1" si="285"/>
        <v>260</v>
      </c>
      <c r="AJ1095" s="22">
        <v>45640</v>
      </c>
      <c r="AK1095" s="26">
        <f t="shared" ca="1" si="303"/>
        <v>0.78655669910251025</v>
      </c>
      <c r="AL1095" s="29">
        <f t="shared" ca="1" si="286"/>
        <v>218</v>
      </c>
      <c r="AN1095" s="22">
        <v>45640</v>
      </c>
      <c r="AO1095" s="26">
        <f t="shared" ca="1" si="304"/>
        <v>0.54396402070493466</v>
      </c>
      <c r="AP1095" s="29">
        <f t="shared" ca="1" si="287"/>
        <v>152</v>
      </c>
      <c r="AR1095" s="22">
        <v>45640</v>
      </c>
      <c r="AS1095" s="26">
        <f t="shared" ca="1" si="305"/>
        <v>0.47281336990046141</v>
      </c>
      <c r="AT1095" s="29">
        <f t="shared" ca="1" si="288"/>
        <v>213</v>
      </c>
      <c r="AV1095" s="22">
        <v>45640</v>
      </c>
      <c r="AW1095" s="26">
        <f t="shared" ca="1" si="306"/>
        <v>0.71226680936971953</v>
      </c>
      <c r="AX1095" s="29">
        <f t="shared" ca="1" si="289"/>
        <v>221</v>
      </c>
      <c r="AZ1095" s="22">
        <v>45640</v>
      </c>
      <c r="BA1095" s="26">
        <f t="shared" ca="1" si="307"/>
        <v>0.40509903459129437</v>
      </c>
      <c r="BB1095" s="29">
        <f t="shared" ca="1" si="290"/>
        <v>169</v>
      </c>
      <c r="BC1095"/>
      <c r="BD1095" s="25"/>
      <c r="BF1095" s="22">
        <v>45640</v>
      </c>
      <c r="BG1095" s="26">
        <f t="shared" ca="1" si="308"/>
        <v>0.33187728046139953</v>
      </c>
      <c r="BH1095" s="29">
        <f t="shared" ca="1" si="291"/>
        <v>142</v>
      </c>
      <c r="BJ1095" s="22">
        <v>45640</v>
      </c>
      <c r="BK1095" s="26">
        <f t="shared" ca="1" si="309"/>
        <v>0.65409936372387667</v>
      </c>
      <c r="BL1095" s="29">
        <f t="shared" ca="1" si="292"/>
        <v>182</v>
      </c>
      <c r="BN1095" s="22">
        <v>45640</v>
      </c>
      <c r="BO1095" s="26">
        <f t="shared" ca="1" si="310"/>
        <v>0.15234079540619927</v>
      </c>
      <c r="BP1095" s="29">
        <f t="shared" ca="1" si="293"/>
        <v>96</v>
      </c>
      <c r="BR1095" s="22">
        <v>45640</v>
      </c>
      <c r="BS1095" s="26">
        <f t="shared" ca="1" si="311"/>
        <v>0.82851982237328814</v>
      </c>
      <c r="BT1095" s="29">
        <f t="shared" ca="1" si="294"/>
        <v>218</v>
      </c>
      <c r="BV1095" s="22">
        <v>45640</v>
      </c>
      <c r="BW1095" s="26">
        <f t="shared" ca="1" si="312"/>
        <v>0.41884474866373156</v>
      </c>
      <c r="BX1095" s="29">
        <f t="shared" ca="1" si="295"/>
        <v>174</v>
      </c>
    </row>
    <row r="1096" spans="2:76" ht="15.75" customHeight="1" x14ac:dyDescent="0.2">
      <c r="B1096" s="22">
        <v>45641</v>
      </c>
      <c r="C1096" s="26">
        <f t="shared" ca="1" si="277"/>
        <v>0.53818074644284386</v>
      </c>
      <c r="D1096" s="29">
        <f t="shared" ca="1" si="278"/>
        <v>77</v>
      </c>
      <c r="F1096" s="22"/>
      <c r="G1096" s="26">
        <f t="shared" ca="1" si="296"/>
        <v>0.50675191299286637</v>
      </c>
      <c r="H1096" s="29">
        <f t="shared" ca="1" si="279"/>
        <v>216</v>
      </c>
      <c r="J1096" s="22">
        <v>45641</v>
      </c>
      <c r="K1096" s="26">
        <f t="shared" ca="1" si="297"/>
        <v>0.27402674838474361</v>
      </c>
      <c r="L1096" s="29">
        <f t="shared" ca="1" si="280"/>
        <v>144</v>
      </c>
      <c r="N1096" s="22">
        <v>45641</v>
      </c>
      <c r="O1096" s="26">
        <f t="shared" ca="1" si="298"/>
        <v>0.15808656100788709</v>
      </c>
      <c r="P1096" s="29">
        <f t="shared" ca="1" si="281"/>
        <v>215</v>
      </c>
      <c r="R1096" s="22">
        <v>45641</v>
      </c>
      <c r="S1096" s="26">
        <f t="shared" ca="1" si="299"/>
        <v>0.68982971930712933</v>
      </c>
      <c r="T1096" s="29">
        <f t="shared" ca="1" si="282"/>
        <v>144</v>
      </c>
      <c r="V1096" s="22">
        <v>45641</v>
      </c>
      <c r="W1096" s="26">
        <f t="shared" ca="1" si="300"/>
        <v>0.15365463435464211</v>
      </c>
      <c r="X1096" s="29">
        <f t="shared" ca="1" si="283"/>
        <v>210</v>
      </c>
      <c r="Z1096" s="22">
        <v>45641</v>
      </c>
      <c r="AA1096" s="26">
        <f t="shared" ca="1" si="301"/>
        <v>0.4903506258824476</v>
      </c>
      <c r="AB1096" s="29">
        <f t="shared" ca="1" si="284"/>
        <v>270</v>
      </c>
      <c r="AC1096"/>
      <c r="AD1096" s="25"/>
      <c r="AF1096" s="22">
        <v>45641</v>
      </c>
      <c r="AG1096" s="26">
        <f t="shared" ca="1" si="302"/>
        <v>4.2441578783809497E-2</v>
      </c>
      <c r="AH1096" s="29">
        <f t="shared" ca="1" si="285"/>
        <v>177</v>
      </c>
      <c r="AJ1096" s="22">
        <v>45641</v>
      </c>
      <c r="AK1096" s="26">
        <f t="shared" ca="1" si="303"/>
        <v>0.40773984137901331</v>
      </c>
      <c r="AL1096" s="29">
        <f t="shared" ca="1" si="286"/>
        <v>169</v>
      </c>
      <c r="AN1096" s="22">
        <v>45641</v>
      </c>
      <c r="AO1096" s="26">
        <f t="shared" ca="1" si="304"/>
        <v>0.48653296476579333</v>
      </c>
      <c r="AP1096" s="29">
        <f t="shared" ca="1" si="287"/>
        <v>146</v>
      </c>
      <c r="AR1096" s="22">
        <v>45641</v>
      </c>
      <c r="AS1096" s="26">
        <f t="shared" ca="1" si="305"/>
        <v>0.22450837749652275</v>
      </c>
      <c r="AT1096" s="29">
        <f t="shared" ca="1" si="288"/>
        <v>173</v>
      </c>
      <c r="AV1096" s="22">
        <v>45641</v>
      </c>
      <c r="AW1096" s="26">
        <f t="shared" ca="1" si="306"/>
        <v>0.44677939382466292</v>
      </c>
      <c r="AX1096" s="29">
        <f t="shared" ca="1" si="289"/>
        <v>185</v>
      </c>
      <c r="AZ1096" s="22">
        <v>45641</v>
      </c>
      <c r="BA1096" s="26">
        <f t="shared" ca="1" si="307"/>
        <v>0.5851820855910469</v>
      </c>
      <c r="BB1096" s="29">
        <f t="shared" ca="1" si="290"/>
        <v>191</v>
      </c>
      <c r="BC1096"/>
      <c r="BD1096" s="25"/>
      <c r="BF1096" s="22">
        <v>45641</v>
      </c>
      <c r="BG1096" s="26">
        <f t="shared" ca="1" si="308"/>
        <v>0.76577370704591741</v>
      </c>
      <c r="BH1096" s="29">
        <f t="shared" ca="1" si="291"/>
        <v>191</v>
      </c>
      <c r="BJ1096" s="22">
        <v>45641</v>
      </c>
      <c r="BK1096" s="26">
        <f t="shared" ca="1" si="309"/>
        <v>0.94828967729192692</v>
      </c>
      <c r="BL1096" s="29">
        <f t="shared" ca="1" si="292"/>
        <v>237</v>
      </c>
      <c r="BN1096" s="22">
        <v>45641</v>
      </c>
      <c r="BO1096" s="26">
        <f t="shared" ca="1" si="310"/>
        <v>0.16814827859279891</v>
      </c>
      <c r="BP1096" s="29">
        <f t="shared" ca="1" si="293"/>
        <v>98</v>
      </c>
      <c r="BR1096" s="22">
        <v>45641</v>
      </c>
      <c r="BS1096" s="26">
        <f t="shared" ca="1" si="311"/>
        <v>0.12897129591762635</v>
      </c>
      <c r="BT1096" s="29">
        <f t="shared" ca="1" si="294"/>
        <v>122</v>
      </c>
      <c r="BV1096" s="22">
        <v>45641</v>
      </c>
      <c r="BW1096" s="26">
        <f t="shared" ca="1" si="312"/>
        <v>0.77063346155712931</v>
      </c>
      <c r="BX1096" s="29">
        <f t="shared" ca="1" si="295"/>
        <v>220</v>
      </c>
    </row>
    <row r="1097" spans="2:76" ht="15.75" customHeight="1" x14ac:dyDescent="0.2">
      <c r="B1097" s="22">
        <v>45642</v>
      </c>
      <c r="C1097" s="26">
        <f t="shared" ca="1" si="277"/>
        <v>0.14024082704535168</v>
      </c>
      <c r="D1097" s="29">
        <f t="shared" ca="1" si="278"/>
        <v>54</v>
      </c>
      <c r="F1097" s="22"/>
      <c r="G1097" s="26">
        <f t="shared" ca="1" si="296"/>
        <v>0.85652589660051137</v>
      </c>
      <c r="H1097" s="29">
        <f t="shared" ca="1" si="279"/>
        <v>231</v>
      </c>
      <c r="J1097" s="22">
        <v>45642</v>
      </c>
      <c r="K1097" s="26">
        <f t="shared" ca="1" si="297"/>
        <v>0.96211566964196826</v>
      </c>
      <c r="L1097" s="29">
        <f t="shared" ca="1" si="280"/>
        <v>168</v>
      </c>
      <c r="N1097" s="22">
        <v>45642</v>
      </c>
      <c r="O1097" s="26">
        <f t="shared" ca="1" si="298"/>
        <v>1.9593110252191681E-2</v>
      </c>
      <c r="P1097" s="29">
        <f t="shared" ca="1" si="281"/>
        <v>198</v>
      </c>
      <c r="R1097" s="22">
        <v>45642</v>
      </c>
      <c r="S1097" s="26">
        <f t="shared" ca="1" si="299"/>
        <v>0.28540893120685684</v>
      </c>
      <c r="T1097" s="29">
        <f t="shared" ca="1" si="282"/>
        <v>134</v>
      </c>
      <c r="V1097" s="22">
        <v>45642</v>
      </c>
      <c r="W1097" s="26">
        <f t="shared" ca="1" si="300"/>
        <v>0.68336991010361892</v>
      </c>
      <c r="X1097" s="29">
        <f t="shared" ca="1" si="283"/>
        <v>233</v>
      </c>
      <c r="Z1097" s="22">
        <v>45642</v>
      </c>
      <c r="AA1097" s="26">
        <f t="shared" ca="1" si="301"/>
        <v>0.96393421286142655</v>
      </c>
      <c r="AB1097" s="29">
        <f t="shared" ca="1" si="284"/>
        <v>303</v>
      </c>
      <c r="AC1097"/>
      <c r="AD1097" s="25"/>
      <c r="AF1097" s="22">
        <v>45642</v>
      </c>
      <c r="AG1097" s="26">
        <f t="shared" ca="1" si="302"/>
        <v>0.70479899380584887</v>
      </c>
      <c r="AH1097" s="29">
        <f t="shared" ca="1" si="285"/>
        <v>374</v>
      </c>
      <c r="AJ1097" s="22">
        <v>45642</v>
      </c>
      <c r="AK1097" s="26">
        <f t="shared" ca="1" si="303"/>
        <v>0.81558052975357498</v>
      </c>
      <c r="AL1097" s="29">
        <f t="shared" ca="1" si="286"/>
        <v>223</v>
      </c>
      <c r="AN1097" s="22">
        <v>45642</v>
      </c>
      <c r="AO1097" s="26">
        <f t="shared" ca="1" si="304"/>
        <v>0.3765230220174629</v>
      </c>
      <c r="AP1097" s="29">
        <f t="shared" ca="1" si="287"/>
        <v>135</v>
      </c>
      <c r="AR1097" s="22">
        <v>45642</v>
      </c>
      <c r="AS1097" s="26">
        <f t="shared" ca="1" si="305"/>
        <v>0.14756727997426111</v>
      </c>
      <c r="AT1097" s="29">
        <f t="shared" ca="1" si="288"/>
        <v>157</v>
      </c>
      <c r="AV1097" s="22">
        <v>45642</v>
      </c>
      <c r="AW1097" s="26">
        <f t="shared" ca="1" si="306"/>
        <v>0.32793195350797133</v>
      </c>
      <c r="AX1097" s="29">
        <f t="shared" ca="1" si="289"/>
        <v>169</v>
      </c>
      <c r="AZ1097" s="22">
        <v>45642</v>
      </c>
      <c r="BA1097" s="26">
        <f t="shared" ca="1" si="307"/>
        <v>0.66786893880605791</v>
      </c>
      <c r="BB1097" s="29">
        <f t="shared" ca="1" si="290"/>
        <v>201</v>
      </c>
      <c r="BC1097"/>
      <c r="BD1097" s="25"/>
      <c r="BF1097" s="22">
        <v>45642</v>
      </c>
      <c r="BG1097" s="26">
        <f t="shared" ca="1" si="308"/>
        <v>0.60582116707598754</v>
      </c>
      <c r="BH1097" s="29">
        <f t="shared" ca="1" si="291"/>
        <v>172</v>
      </c>
      <c r="BJ1097" s="22">
        <v>45642</v>
      </c>
      <c r="BK1097" s="26">
        <f t="shared" ca="1" si="309"/>
        <v>0.23965257923987593</v>
      </c>
      <c r="BL1097" s="29">
        <f t="shared" ca="1" si="292"/>
        <v>134</v>
      </c>
      <c r="BN1097" s="22">
        <v>45642</v>
      </c>
      <c r="BO1097" s="26">
        <f t="shared" ca="1" si="310"/>
        <v>0.49060099408504965</v>
      </c>
      <c r="BP1097" s="29">
        <f t="shared" ca="1" si="293"/>
        <v>131</v>
      </c>
      <c r="BR1097" s="22">
        <v>45642</v>
      </c>
      <c r="BS1097" s="26">
        <f t="shared" ca="1" si="311"/>
        <v>0.10497093505255484</v>
      </c>
      <c r="BT1097" s="29">
        <f t="shared" ca="1" si="294"/>
        <v>116</v>
      </c>
      <c r="BV1097" s="22">
        <v>45642</v>
      </c>
      <c r="BW1097" s="26">
        <f t="shared" ca="1" si="312"/>
        <v>0.51853208690547847</v>
      </c>
      <c r="BX1097" s="29">
        <f t="shared" ca="1" si="295"/>
        <v>186</v>
      </c>
    </row>
    <row r="1098" spans="2:76" ht="15.75" customHeight="1" x14ac:dyDescent="0.2">
      <c r="B1098" s="22">
        <v>45643</v>
      </c>
      <c r="C1098" s="26">
        <f t="shared" ca="1" si="277"/>
        <v>0.8122584112886686</v>
      </c>
      <c r="D1098" s="29">
        <f t="shared" ca="1" si="278"/>
        <v>93</v>
      </c>
      <c r="F1098" s="22"/>
      <c r="G1098" s="26">
        <f t="shared" ca="1" si="296"/>
        <v>0.67939434255323061</v>
      </c>
      <c r="H1098" s="29">
        <f t="shared" ca="1" si="279"/>
        <v>223</v>
      </c>
      <c r="J1098" s="22">
        <v>45643</v>
      </c>
      <c r="K1098" s="26">
        <f t="shared" ca="1" si="297"/>
        <v>0.95499262396965312</v>
      </c>
      <c r="L1098" s="29">
        <f t="shared" ca="1" si="280"/>
        <v>167</v>
      </c>
      <c r="N1098" s="22">
        <v>45643</v>
      </c>
      <c r="O1098" s="26">
        <f t="shared" ca="1" si="298"/>
        <v>0.1015404090564388</v>
      </c>
      <c r="P1098" s="29">
        <f t="shared" ca="1" si="281"/>
        <v>210</v>
      </c>
      <c r="R1098" s="22">
        <v>45643</v>
      </c>
      <c r="S1098" s="26">
        <f t="shared" ca="1" si="299"/>
        <v>0.28516591937836</v>
      </c>
      <c r="T1098" s="29">
        <f t="shared" ca="1" si="282"/>
        <v>134</v>
      </c>
      <c r="V1098" s="22">
        <v>45643</v>
      </c>
      <c r="W1098" s="26">
        <f t="shared" ca="1" si="300"/>
        <v>0.64102279919660288</v>
      </c>
      <c r="X1098" s="29">
        <f t="shared" ca="1" si="283"/>
        <v>231</v>
      </c>
      <c r="Z1098" s="22">
        <v>45643</v>
      </c>
      <c r="AA1098" s="26">
        <f t="shared" ca="1" si="301"/>
        <v>0.25635065716841265</v>
      </c>
      <c r="AB1098" s="29">
        <f t="shared" ca="1" si="284"/>
        <v>259</v>
      </c>
      <c r="AC1098"/>
      <c r="AD1098" s="25"/>
      <c r="AF1098" s="22">
        <v>45643</v>
      </c>
      <c r="AG1098" s="26">
        <f t="shared" ca="1" si="302"/>
        <v>0.44011875091567021</v>
      </c>
      <c r="AH1098" s="29">
        <f t="shared" ca="1" si="285"/>
        <v>314</v>
      </c>
      <c r="AJ1098" s="22">
        <v>45643</v>
      </c>
      <c r="AK1098" s="26">
        <f t="shared" ca="1" si="303"/>
        <v>0.45901822871024711</v>
      </c>
      <c r="AL1098" s="29">
        <f t="shared" ca="1" si="286"/>
        <v>175</v>
      </c>
      <c r="AN1098" s="22">
        <v>45643</v>
      </c>
      <c r="AO1098" s="26">
        <f t="shared" ca="1" si="304"/>
        <v>0.59325776857357226</v>
      </c>
      <c r="AP1098" s="29">
        <f t="shared" ca="1" si="287"/>
        <v>157</v>
      </c>
      <c r="AR1098" s="22">
        <v>45643</v>
      </c>
      <c r="AS1098" s="26">
        <f t="shared" ca="1" si="305"/>
        <v>0.79587750672085389</v>
      </c>
      <c r="AT1098" s="29">
        <f t="shared" ca="1" si="288"/>
        <v>265</v>
      </c>
      <c r="AV1098" s="22">
        <v>45643</v>
      </c>
      <c r="AW1098" s="26">
        <f t="shared" ca="1" si="306"/>
        <v>0.12034742627090267</v>
      </c>
      <c r="AX1098" s="29">
        <f t="shared" ca="1" si="289"/>
        <v>132</v>
      </c>
      <c r="AZ1098" s="22">
        <v>45643</v>
      </c>
      <c r="BA1098" s="26">
        <f t="shared" ca="1" si="307"/>
        <v>0.47381964503919916</v>
      </c>
      <c r="BB1098" s="29">
        <f t="shared" ca="1" si="290"/>
        <v>177</v>
      </c>
      <c r="BC1098"/>
      <c r="BD1098" s="25"/>
      <c r="BF1098" s="22">
        <v>45643</v>
      </c>
      <c r="BG1098" s="26">
        <f t="shared" ca="1" si="308"/>
        <v>0.1146134792279998</v>
      </c>
      <c r="BH1098" s="29">
        <f t="shared" ca="1" si="291"/>
        <v>109</v>
      </c>
      <c r="BJ1098" s="22">
        <v>45643</v>
      </c>
      <c r="BK1098" s="26">
        <f t="shared" ca="1" si="309"/>
        <v>9.8827246626494447E-2</v>
      </c>
      <c r="BL1098" s="29">
        <f t="shared" ca="1" si="292"/>
        <v>109</v>
      </c>
      <c r="BN1098" s="22">
        <v>45643</v>
      </c>
      <c r="BO1098" s="26">
        <f t="shared" ca="1" si="310"/>
        <v>0.36509437941948619</v>
      </c>
      <c r="BP1098" s="29">
        <f t="shared" ca="1" si="293"/>
        <v>119</v>
      </c>
      <c r="BR1098" s="22">
        <v>45643</v>
      </c>
      <c r="BS1098" s="26">
        <f t="shared" ca="1" si="311"/>
        <v>0.57142722704888926</v>
      </c>
      <c r="BT1098" s="29">
        <f t="shared" ca="1" si="294"/>
        <v>182</v>
      </c>
      <c r="BV1098" s="22">
        <v>45643</v>
      </c>
      <c r="BW1098" s="26">
        <f t="shared" ca="1" si="312"/>
        <v>0.58797053993016712</v>
      </c>
      <c r="BX1098" s="29">
        <f t="shared" ca="1" si="295"/>
        <v>195</v>
      </c>
    </row>
    <row r="1099" spans="2:76" ht="15.75" customHeight="1" x14ac:dyDescent="0.2">
      <c r="B1099" s="22">
        <v>45644</v>
      </c>
      <c r="C1099" s="26">
        <f t="shared" ca="1" si="277"/>
        <v>0.88833940562631708</v>
      </c>
      <c r="D1099" s="29">
        <v>0</v>
      </c>
      <c r="F1099" s="22"/>
      <c r="G1099" s="26">
        <f t="shared" ca="1" si="296"/>
        <v>0.38158801929474051</v>
      </c>
      <c r="H1099" s="29">
        <v>0</v>
      </c>
      <c r="J1099" s="22">
        <v>45644</v>
      </c>
      <c r="K1099" s="26">
        <f t="shared" ca="1" si="297"/>
        <v>0.46475629347748248</v>
      </c>
      <c r="L1099" s="29">
        <v>0</v>
      </c>
      <c r="N1099" s="22">
        <v>45644</v>
      </c>
      <c r="O1099" s="26">
        <f t="shared" ca="1" si="298"/>
        <v>0.37470717941245646</v>
      </c>
      <c r="P1099" s="29">
        <v>0</v>
      </c>
      <c r="R1099" s="22">
        <v>45644</v>
      </c>
      <c r="S1099" s="26">
        <f t="shared" ca="1" si="299"/>
        <v>0.41104616005022532</v>
      </c>
      <c r="T1099" s="29">
        <v>0</v>
      </c>
      <c r="V1099" s="22">
        <v>45644</v>
      </c>
      <c r="W1099" s="26">
        <f t="shared" ca="1" si="300"/>
        <v>0.46639894343477672</v>
      </c>
      <c r="X1099" s="29">
        <v>0</v>
      </c>
      <c r="Z1099" s="22">
        <v>45644</v>
      </c>
      <c r="AA1099" s="26">
        <f t="shared" ca="1" si="301"/>
        <v>0.1083530716336083</v>
      </c>
      <c r="AB1099" s="29">
        <v>0</v>
      </c>
      <c r="AC1099"/>
      <c r="AD1099" s="25"/>
      <c r="AF1099" s="22">
        <v>45644</v>
      </c>
      <c r="AG1099" s="26">
        <f t="shared" ca="1" si="302"/>
        <v>0.67883633278019095</v>
      </c>
      <c r="AH1099" s="29">
        <v>0</v>
      </c>
      <c r="AJ1099" s="22">
        <v>45644</v>
      </c>
      <c r="AK1099" s="26">
        <f t="shared" ca="1" si="303"/>
        <v>0.54082962433353443</v>
      </c>
      <c r="AL1099" s="29">
        <v>0</v>
      </c>
      <c r="AN1099" s="22">
        <v>45644</v>
      </c>
      <c r="AO1099" s="26">
        <f t="shared" ca="1" si="304"/>
        <v>0.4232706433194493</v>
      </c>
      <c r="AP1099" s="29">
        <v>0</v>
      </c>
      <c r="AR1099" s="22">
        <v>45644</v>
      </c>
      <c r="AS1099" s="26">
        <f t="shared" ca="1" si="305"/>
        <v>0.848422207254932</v>
      </c>
      <c r="AT1099" s="29">
        <v>0</v>
      </c>
      <c r="AV1099" s="22">
        <v>45644</v>
      </c>
      <c r="AW1099" s="26">
        <f t="shared" ca="1" si="306"/>
        <v>0.69446485516987255</v>
      </c>
      <c r="AX1099" s="29">
        <v>0</v>
      </c>
      <c r="AZ1099" s="22">
        <v>45644</v>
      </c>
      <c r="BA1099" s="26">
        <f t="shared" ca="1" si="307"/>
        <v>0.14079047739881301</v>
      </c>
      <c r="BB1099" s="29">
        <v>0</v>
      </c>
      <c r="BC1099"/>
      <c r="BD1099" s="25"/>
      <c r="BF1099" s="22">
        <v>45644</v>
      </c>
      <c r="BG1099" s="26">
        <f t="shared" ca="1" si="308"/>
        <v>3.6688914091104974E-2</v>
      </c>
      <c r="BH1099" s="29">
        <v>0</v>
      </c>
      <c r="BJ1099" s="22">
        <v>45644</v>
      </c>
      <c r="BK1099" s="26">
        <f t="shared" ca="1" si="309"/>
        <v>0.80958259544834354</v>
      </c>
      <c r="BL1099" s="29">
        <v>0</v>
      </c>
      <c r="BN1099" s="22">
        <v>45644</v>
      </c>
      <c r="BO1099" s="26">
        <f t="shared" ca="1" si="310"/>
        <v>0.36672375797308931</v>
      </c>
      <c r="BP1099" s="29">
        <v>0</v>
      </c>
      <c r="BR1099" s="22">
        <v>45644</v>
      </c>
      <c r="BS1099" s="26">
        <f t="shared" ca="1" si="311"/>
        <v>0.57858071299963398</v>
      </c>
      <c r="BT1099" s="29">
        <v>0</v>
      </c>
      <c r="BV1099" s="22">
        <v>45644</v>
      </c>
      <c r="BW1099" s="26">
        <f t="shared" ca="1" si="312"/>
        <v>0.17819977587314162</v>
      </c>
      <c r="BX1099" s="29">
        <v>0</v>
      </c>
    </row>
    <row r="1100" spans="2:76" ht="15.75" customHeight="1" x14ac:dyDescent="0.2">
      <c r="B1100" s="22">
        <v>45645</v>
      </c>
      <c r="C1100" s="26">
        <f t="shared" ca="1" si="277"/>
        <v>0.67560261633860508</v>
      </c>
      <c r="D1100" s="29">
        <v>0</v>
      </c>
      <c r="F1100" s="22"/>
      <c r="G1100" s="26">
        <f t="shared" ca="1" si="296"/>
        <v>0.8894864234289539</v>
      </c>
      <c r="H1100" s="29">
        <v>0</v>
      </c>
      <c r="J1100" s="22">
        <v>45645</v>
      </c>
      <c r="K1100" s="26">
        <f t="shared" ca="1" si="297"/>
        <v>0.68433111394771395</v>
      </c>
      <c r="L1100" s="29">
        <v>0</v>
      </c>
      <c r="N1100" s="22">
        <v>45645</v>
      </c>
      <c r="O1100" s="26">
        <f t="shared" ca="1" si="298"/>
        <v>0.74381935530885157</v>
      </c>
      <c r="P1100" s="29">
        <v>0</v>
      </c>
      <c r="R1100" s="22">
        <v>45645</v>
      </c>
      <c r="S1100" s="26">
        <f t="shared" ca="1" si="299"/>
        <v>0.88597643109408386</v>
      </c>
      <c r="T1100" s="29">
        <v>0</v>
      </c>
      <c r="V1100" s="22">
        <v>45645</v>
      </c>
      <c r="W1100" s="26">
        <f t="shared" ca="1" si="300"/>
        <v>0.26486841066962585</v>
      </c>
      <c r="X1100" s="29">
        <v>0</v>
      </c>
      <c r="Z1100" s="22">
        <v>45645</v>
      </c>
      <c r="AA1100" s="26">
        <f t="shared" ca="1" si="301"/>
        <v>0.35461912324602063</v>
      </c>
      <c r="AB1100" s="29">
        <v>0</v>
      </c>
      <c r="AC1100"/>
      <c r="AD1100" s="25"/>
      <c r="AF1100" s="22">
        <v>45645</v>
      </c>
      <c r="AG1100" s="26">
        <f t="shared" ca="1" si="302"/>
        <v>0.91566198082412542</v>
      </c>
      <c r="AH1100" s="29">
        <v>0</v>
      </c>
      <c r="AJ1100" s="22">
        <v>45645</v>
      </c>
      <c r="AK1100" s="26">
        <f t="shared" ca="1" si="303"/>
        <v>0.16415652517459034</v>
      </c>
      <c r="AL1100" s="29">
        <v>0</v>
      </c>
      <c r="AN1100" s="22">
        <v>45645</v>
      </c>
      <c r="AO1100" s="26">
        <f t="shared" ca="1" si="304"/>
        <v>0.72540413728548125</v>
      </c>
      <c r="AP1100" s="29">
        <v>0</v>
      </c>
      <c r="AR1100" s="22">
        <v>45645</v>
      </c>
      <c r="AS1100" s="26">
        <f t="shared" ca="1" si="305"/>
        <v>1.4476474265771033E-3</v>
      </c>
      <c r="AT1100" s="29">
        <v>0</v>
      </c>
      <c r="AV1100" s="22">
        <v>45645</v>
      </c>
      <c r="AW1100" s="26">
        <f t="shared" ca="1" si="306"/>
        <v>0.73121219736924203</v>
      </c>
      <c r="AX1100" s="29">
        <v>0</v>
      </c>
      <c r="AZ1100" s="22">
        <v>45645</v>
      </c>
      <c r="BA1100" s="26">
        <f t="shared" ca="1" si="307"/>
        <v>0.63067086409558915</v>
      </c>
      <c r="BB1100" s="29">
        <v>0</v>
      </c>
      <c r="BC1100"/>
      <c r="BD1100" s="25"/>
      <c r="BF1100" s="22">
        <v>45645</v>
      </c>
      <c r="BG1100" s="26">
        <f t="shared" ca="1" si="308"/>
        <v>0.70650597360748879</v>
      </c>
      <c r="BH1100" s="29">
        <v>0</v>
      </c>
      <c r="BJ1100" s="22">
        <v>45645</v>
      </c>
      <c r="BK1100" s="26">
        <f t="shared" ca="1" si="309"/>
        <v>0.70376526920246685</v>
      </c>
      <c r="BL1100" s="29">
        <v>0</v>
      </c>
      <c r="BN1100" s="22">
        <v>45645</v>
      </c>
      <c r="BO1100" s="26">
        <f t="shared" ca="1" si="310"/>
        <v>0.48420561052322653</v>
      </c>
      <c r="BP1100" s="29">
        <v>0</v>
      </c>
      <c r="BR1100" s="22">
        <v>45645</v>
      </c>
      <c r="BS1100" s="26">
        <f t="shared" ca="1" si="311"/>
        <v>0.7718113817942478</v>
      </c>
      <c r="BT1100" s="29">
        <v>0</v>
      </c>
      <c r="BV1100" s="22">
        <v>45645</v>
      </c>
      <c r="BW1100" s="26">
        <f t="shared" ca="1" si="312"/>
        <v>0.16845650277593605</v>
      </c>
      <c r="BX1100" s="29">
        <v>0</v>
      </c>
    </row>
    <row r="1101" spans="2:76" ht="15.75" customHeight="1" x14ac:dyDescent="0.2">
      <c r="B1101" s="22">
        <v>45646</v>
      </c>
      <c r="C1101" s="26">
        <f t="shared" ca="1" si="277"/>
        <v>0.43859503650722109</v>
      </c>
      <c r="D1101" s="29">
        <v>0</v>
      </c>
      <c r="F1101" s="22"/>
      <c r="G1101" s="26">
        <f t="shared" ca="1" si="296"/>
        <v>0.34191570602821331</v>
      </c>
      <c r="H1101" s="29">
        <v>0</v>
      </c>
      <c r="J1101" s="22">
        <v>45646</v>
      </c>
      <c r="K1101" s="26">
        <f t="shared" ca="1" si="297"/>
        <v>0.24946811762285526</v>
      </c>
      <c r="L1101" s="29">
        <v>0</v>
      </c>
      <c r="N1101" s="22">
        <v>45646</v>
      </c>
      <c r="O1101" s="26">
        <f t="shared" ca="1" si="298"/>
        <v>0.29957290430198236</v>
      </c>
      <c r="P1101" s="29">
        <v>0</v>
      </c>
      <c r="R1101" s="22">
        <v>45646</v>
      </c>
      <c r="S1101" s="26">
        <f t="shared" ca="1" si="299"/>
        <v>0.34125825543178778</v>
      </c>
      <c r="T1101" s="29">
        <v>0</v>
      </c>
      <c r="V1101" s="22">
        <v>45646</v>
      </c>
      <c r="W1101" s="26">
        <f t="shared" ca="1" si="300"/>
        <v>0.84206659842991527</v>
      </c>
      <c r="X1101" s="29">
        <v>0</v>
      </c>
      <c r="Z1101" s="22">
        <v>45646</v>
      </c>
      <c r="AA1101" s="26">
        <f t="shared" ca="1" si="301"/>
        <v>0.41880492205511732</v>
      </c>
      <c r="AB1101" s="29">
        <v>0</v>
      </c>
      <c r="AC1101"/>
      <c r="AD1101" s="25"/>
      <c r="AF1101" s="22">
        <v>45646</v>
      </c>
      <c r="AG1101" s="26">
        <f t="shared" ca="1" si="302"/>
        <v>0.7299430795378159</v>
      </c>
      <c r="AH1101" s="29">
        <v>0</v>
      </c>
      <c r="AJ1101" s="22">
        <v>45646</v>
      </c>
      <c r="AK1101" s="26">
        <f t="shared" ca="1" si="303"/>
        <v>0.75706752536508026</v>
      </c>
      <c r="AL1101" s="29">
        <v>0</v>
      </c>
      <c r="AN1101" s="22">
        <v>45646</v>
      </c>
      <c r="AO1101" s="26">
        <f t="shared" ca="1" si="304"/>
        <v>0.41739962377706807</v>
      </c>
      <c r="AP1101" s="29">
        <v>0</v>
      </c>
      <c r="AR1101" s="22">
        <v>45646</v>
      </c>
      <c r="AS1101" s="26">
        <f t="shared" ca="1" si="305"/>
        <v>0.4174484710685743</v>
      </c>
      <c r="AT1101" s="29">
        <v>0</v>
      </c>
      <c r="AV1101" s="22">
        <v>45646</v>
      </c>
      <c r="AW1101" s="26">
        <f t="shared" ca="1" si="306"/>
        <v>0.9630284298474926</v>
      </c>
      <c r="AX1101" s="29">
        <v>0</v>
      </c>
      <c r="AZ1101" s="22">
        <v>45646</v>
      </c>
      <c r="BA1101" s="26">
        <f t="shared" ca="1" si="307"/>
        <v>0.32415993015771893</v>
      </c>
      <c r="BB1101" s="29">
        <v>0</v>
      </c>
      <c r="BC1101"/>
      <c r="BD1101" s="25"/>
      <c r="BF1101" s="22">
        <v>45646</v>
      </c>
      <c r="BG1101" s="26">
        <f t="shared" ca="1" si="308"/>
        <v>0.87262901471004983</v>
      </c>
      <c r="BH1101" s="29">
        <v>0</v>
      </c>
      <c r="BJ1101" s="22">
        <v>45646</v>
      </c>
      <c r="BK1101" s="26">
        <f t="shared" ca="1" si="309"/>
        <v>0.86834244677807704</v>
      </c>
      <c r="BL1101" s="29">
        <v>0</v>
      </c>
      <c r="BN1101" s="22">
        <v>45646</v>
      </c>
      <c r="BO1101" s="26">
        <f t="shared" ca="1" si="310"/>
        <v>0.66417053634081868</v>
      </c>
      <c r="BP1101" s="29">
        <v>0</v>
      </c>
      <c r="BR1101" s="22">
        <v>45646</v>
      </c>
      <c r="BS1101" s="26">
        <f t="shared" ca="1" si="311"/>
        <v>0.83657580361557426</v>
      </c>
      <c r="BT1101" s="29">
        <v>0</v>
      </c>
      <c r="BV1101" s="22">
        <v>45646</v>
      </c>
      <c r="BW1101" s="26">
        <f t="shared" ca="1" si="312"/>
        <v>4.5992379000581063E-2</v>
      </c>
      <c r="BX1101" s="29">
        <v>0</v>
      </c>
    </row>
    <row r="1102" spans="2:76" ht="15.75" customHeight="1" x14ac:dyDescent="0.2">
      <c r="B1102" s="22">
        <v>45647</v>
      </c>
      <c r="C1102" s="26">
        <f t="shared" ca="1" si="277"/>
        <v>0.80442345493271661</v>
      </c>
      <c r="D1102" s="29">
        <v>0</v>
      </c>
      <c r="F1102" s="22"/>
      <c r="G1102" s="26">
        <f t="shared" ca="1" si="296"/>
        <v>0.51077381969112945</v>
      </c>
      <c r="H1102" s="29">
        <v>0</v>
      </c>
      <c r="J1102" s="22">
        <v>45647</v>
      </c>
      <c r="K1102" s="26">
        <f t="shared" ca="1" si="297"/>
        <v>0.96948472007440056</v>
      </c>
      <c r="L1102" s="29">
        <v>0</v>
      </c>
      <c r="N1102" s="22">
        <v>45647</v>
      </c>
      <c r="O1102" s="26">
        <f t="shared" ca="1" si="298"/>
        <v>0.69305840945954889</v>
      </c>
      <c r="P1102" s="29">
        <v>0</v>
      </c>
      <c r="R1102" s="22">
        <v>45647</v>
      </c>
      <c r="S1102" s="26">
        <f t="shared" ca="1" si="299"/>
        <v>0.75967722735415932</v>
      </c>
      <c r="T1102" s="29">
        <v>0</v>
      </c>
      <c r="V1102" s="22">
        <v>45647</v>
      </c>
      <c r="W1102" s="26">
        <f t="shared" ca="1" si="300"/>
        <v>0.56383938202818629</v>
      </c>
      <c r="X1102" s="29">
        <v>0</v>
      </c>
      <c r="Z1102" s="22">
        <v>45647</v>
      </c>
      <c r="AA1102" s="26">
        <f t="shared" ca="1" si="301"/>
        <v>0.28254579475155706</v>
      </c>
      <c r="AB1102" s="29">
        <v>0</v>
      </c>
      <c r="AC1102"/>
      <c r="AD1102" s="25"/>
      <c r="AF1102" s="22">
        <v>45647</v>
      </c>
      <c r="AG1102" s="26">
        <f t="shared" ca="1" si="302"/>
        <v>0.84578960081900656</v>
      </c>
      <c r="AH1102" s="29">
        <v>0</v>
      </c>
      <c r="AJ1102" s="22">
        <v>45647</v>
      </c>
      <c r="AK1102" s="26">
        <f t="shared" ca="1" si="303"/>
        <v>0.98692844091951504</v>
      </c>
      <c r="AL1102" s="29">
        <v>0</v>
      </c>
      <c r="AN1102" s="22">
        <v>45647</v>
      </c>
      <c r="AO1102" s="26">
        <f t="shared" ca="1" si="304"/>
        <v>0.25227729367131468</v>
      </c>
      <c r="AP1102" s="29">
        <v>0</v>
      </c>
      <c r="AR1102" s="22">
        <v>45647</v>
      </c>
      <c r="AS1102" s="26">
        <f t="shared" ca="1" si="305"/>
        <v>0.55435363648064295</v>
      </c>
      <c r="AT1102" s="29">
        <v>0</v>
      </c>
      <c r="AV1102" s="22">
        <v>45647</v>
      </c>
      <c r="AW1102" s="26">
        <f t="shared" ca="1" si="306"/>
        <v>0.97696052856669224</v>
      </c>
      <c r="AX1102" s="29">
        <v>0</v>
      </c>
      <c r="AZ1102" s="22">
        <v>45647</v>
      </c>
      <c r="BA1102" s="26">
        <f t="shared" ca="1" si="307"/>
        <v>0.82212486871578305</v>
      </c>
      <c r="BB1102" s="29">
        <v>0</v>
      </c>
      <c r="BC1102"/>
      <c r="BD1102" s="25"/>
      <c r="BF1102" s="22">
        <v>45647</v>
      </c>
      <c r="BG1102" s="26">
        <f t="shared" ca="1" si="308"/>
        <v>0.77058422994342457</v>
      </c>
      <c r="BH1102" s="29">
        <v>0</v>
      </c>
      <c r="BJ1102" s="22">
        <v>45647</v>
      </c>
      <c r="BK1102" s="26">
        <f t="shared" ca="1" si="309"/>
        <v>0.78237360177749293</v>
      </c>
      <c r="BL1102" s="29">
        <v>0</v>
      </c>
      <c r="BN1102" s="22">
        <v>45647</v>
      </c>
      <c r="BO1102" s="26">
        <f t="shared" ca="1" si="310"/>
        <v>0.19440048978363933</v>
      </c>
      <c r="BP1102" s="29">
        <v>0</v>
      </c>
      <c r="BR1102" s="22">
        <v>45647</v>
      </c>
      <c r="BS1102" s="26">
        <f t="shared" ca="1" si="311"/>
        <v>0.23497466459960792</v>
      </c>
      <c r="BT1102" s="29">
        <v>0</v>
      </c>
      <c r="BV1102" s="22">
        <v>45647</v>
      </c>
      <c r="BW1102" s="26">
        <f t="shared" ca="1" si="312"/>
        <v>0.82099708760607615</v>
      </c>
      <c r="BX1102" s="29">
        <v>0</v>
      </c>
    </row>
    <row r="1103" spans="2:76" ht="15.75" customHeight="1" x14ac:dyDescent="0.2">
      <c r="B1103" s="22">
        <v>45648</v>
      </c>
      <c r="C1103" s="26">
        <f t="shared" ca="1" si="277"/>
        <v>0.64253889802538955</v>
      </c>
      <c r="D1103" s="29">
        <v>0</v>
      </c>
      <c r="F1103" s="22"/>
      <c r="G1103" s="26">
        <f t="shared" ca="1" si="296"/>
        <v>0.20695508345417324</v>
      </c>
      <c r="H1103" s="29">
        <v>0</v>
      </c>
      <c r="J1103" s="22">
        <v>45648</v>
      </c>
      <c r="K1103" s="26">
        <f t="shared" ca="1" si="297"/>
        <v>0.35798938072808406</v>
      </c>
      <c r="L1103" s="29">
        <v>0</v>
      </c>
      <c r="N1103" s="22">
        <v>45648</v>
      </c>
      <c r="O1103" s="26">
        <f t="shared" ca="1" si="298"/>
        <v>9.7575007263626667E-2</v>
      </c>
      <c r="P1103" s="29">
        <v>0</v>
      </c>
      <c r="R1103" s="22">
        <v>45648</v>
      </c>
      <c r="S1103" s="26">
        <f t="shared" ca="1" si="299"/>
        <v>0.62451867468948896</v>
      </c>
      <c r="T1103" s="29">
        <v>0</v>
      </c>
      <c r="V1103" s="22">
        <v>45648</v>
      </c>
      <c r="W1103" s="26">
        <f t="shared" ca="1" si="300"/>
        <v>0.68013862969569594</v>
      </c>
      <c r="X1103" s="29">
        <v>0</v>
      </c>
      <c r="Z1103" s="22">
        <v>45648</v>
      </c>
      <c r="AA1103" s="26">
        <f t="shared" ca="1" si="301"/>
        <v>0.5254059471730167</v>
      </c>
      <c r="AB1103" s="29">
        <v>0</v>
      </c>
      <c r="AC1103"/>
      <c r="AD1103" s="25"/>
      <c r="AF1103" s="22">
        <v>45648</v>
      </c>
      <c r="AG1103" s="26">
        <f t="shared" ca="1" si="302"/>
        <v>0.24501979864493473</v>
      </c>
      <c r="AH1103" s="29">
        <v>0</v>
      </c>
      <c r="AJ1103" s="22">
        <v>45648</v>
      </c>
      <c r="AK1103" s="26">
        <f t="shared" ca="1" si="303"/>
        <v>3.38264370211806E-2</v>
      </c>
      <c r="AL1103" s="29">
        <v>0</v>
      </c>
      <c r="AN1103" s="22">
        <v>45648</v>
      </c>
      <c r="AO1103" s="26">
        <f t="shared" ca="1" si="304"/>
        <v>0.42708692641995227</v>
      </c>
      <c r="AP1103" s="29">
        <v>0</v>
      </c>
      <c r="AR1103" s="22">
        <v>45648</v>
      </c>
      <c r="AS1103" s="26">
        <f t="shared" ca="1" si="305"/>
        <v>0.84630139765548584</v>
      </c>
      <c r="AT1103" s="29">
        <v>0</v>
      </c>
      <c r="AV1103" s="22">
        <v>45648</v>
      </c>
      <c r="AW1103" s="26">
        <f t="shared" ca="1" si="306"/>
        <v>0.44144669612324872</v>
      </c>
      <c r="AX1103" s="29">
        <v>0</v>
      </c>
      <c r="AZ1103" s="22">
        <v>45648</v>
      </c>
      <c r="BA1103" s="26">
        <f t="shared" ca="1" si="307"/>
        <v>0.77432784293120815</v>
      </c>
      <c r="BB1103" s="29">
        <v>0</v>
      </c>
      <c r="BC1103"/>
      <c r="BD1103" s="25"/>
      <c r="BF1103" s="22">
        <v>45648</v>
      </c>
      <c r="BG1103" s="26">
        <f t="shared" ca="1" si="308"/>
        <v>0.97279762236456957</v>
      </c>
      <c r="BH1103" s="29">
        <v>0</v>
      </c>
      <c r="BJ1103" s="22">
        <v>45648</v>
      </c>
      <c r="BK1103" s="26">
        <f t="shared" ca="1" si="309"/>
        <v>0.34149397737890108</v>
      </c>
      <c r="BL1103" s="29">
        <v>0</v>
      </c>
      <c r="BN1103" s="22">
        <v>45648</v>
      </c>
      <c r="BO1103" s="26">
        <f t="shared" ca="1" si="310"/>
        <v>0.91268836646628204</v>
      </c>
      <c r="BP1103" s="29">
        <v>0</v>
      </c>
      <c r="BR1103" s="22">
        <v>45648</v>
      </c>
      <c r="BS1103" s="26">
        <f t="shared" ca="1" si="311"/>
        <v>0.69485623083971682</v>
      </c>
      <c r="BT1103" s="29">
        <v>0</v>
      </c>
      <c r="BV1103" s="22">
        <v>45648</v>
      </c>
      <c r="BW1103" s="26">
        <f t="shared" ca="1" si="312"/>
        <v>7.9058050465011132E-2</v>
      </c>
      <c r="BX1103" s="29">
        <v>0</v>
      </c>
    </row>
    <row r="1104" spans="2:76" ht="15.75" customHeight="1" x14ac:dyDescent="0.2">
      <c r="B1104" s="22">
        <v>45649</v>
      </c>
      <c r="C1104" s="26">
        <f t="shared" ca="1" si="277"/>
        <v>0.4403905282868471</v>
      </c>
      <c r="D1104" s="29">
        <v>0</v>
      </c>
      <c r="F1104" s="22"/>
      <c r="G1104" s="26">
        <f t="shared" ca="1" si="296"/>
        <v>0.34513224871868431</v>
      </c>
      <c r="H1104" s="29">
        <v>0</v>
      </c>
      <c r="J1104" s="22">
        <v>45649</v>
      </c>
      <c r="K1104" s="26">
        <f t="shared" ca="1" si="297"/>
        <v>0.89521118174718739</v>
      </c>
      <c r="L1104" s="29">
        <v>0</v>
      </c>
      <c r="N1104" s="22">
        <v>45649</v>
      </c>
      <c r="O1104" s="26">
        <f t="shared" ca="1" si="298"/>
        <v>0.16363401065356975</v>
      </c>
      <c r="P1104" s="29">
        <v>0</v>
      </c>
      <c r="R1104" s="22">
        <v>45649</v>
      </c>
      <c r="S1104" s="26">
        <f t="shared" ca="1" si="299"/>
        <v>0.15635499464387126</v>
      </c>
      <c r="T1104" s="29">
        <v>0</v>
      </c>
      <c r="V1104" s="22">
        <v>45649</v>
      </c>
      <c r="W1104" s="26">
        <f t="shared" ca="1" si="300"/>
        <v>0.89950212746168146</v>
      </c>
      <c r="X1104" s="29">
        <v>0</v>
      </c>
      <c r="Z1104" s="22">
        <v>45649</v>
      </c>
      <c r="AA1104" s="26">
        <f t="shared" ca="1" si="301"/>
        <v>0.43632379734026461</v>
      </c>
      <c r="AB1104" s="29">
        <v>0</v>
      </c>
      <c r="AC1104"/>
      <c r="AD1104" s="25"/>
      <c r="AF1104" s="22">
        <v>45649</v>
      </c>
      <c r="AG1104" s="26">
        <f t="shared" ca="1" si="302"/>
        <v>0.66473231412035438</v>
      </c>
      <c r="AH1104" s="29">
        <v>0</v>
      </c>
      <c r="AJ1104" s="22">
        <v>45649</v>
      </c>
      <c r="AK1104" s="26">
        <f t="shared" ca="1" si="303"/>
        <v>0.8461035228973911</v>
      </c>
      <c r="AL1104" s="29">
        <v>0</v>
      </c>
      <c r="AN1104" s="22">
        <v>45649</v>
      </c>
      <c r="AO1104" s="26">
        <f t="shared" ca="1" si="304"/>
        <v>0.25881502835688786</v>
      </c>
      <c r="AP1104" s="29">
        <v>0</v>
      </c>
      <c r="AR1104" s="22">
        <v>45649</v>
      </c>
      <c r="AS1104" s="26">
        <f t="shared" ca="1" si="305"/>
        <v>0.4338828795995876</v>
      </c>
      <c r="AT1104" s="29">
        <v>0</v>
      </c>
      <c r="AV1104" s="22">
        <v>45649</v>
      </c>
      <c r="AW1104" s="26">
        <f t="shared" ca="1" si="306"/>
        <v>0.65545076740620933</v>
      </c>
      <c r="AX1104" s="29">
        <v>0</v>
      </c>
      <c r="AZ1104" s="22">
        <v>45649</v>
      </c>
      <c r="BA1104" s="26">
        <f t="shared" ca="1" si="307"/>
        <v>0.40786090835074562</v>
      </c>
      <c r="BB1104" s="29">
        <v>0</v>
      </c>
      <c r="BC1104"/>
      <c r="BD1104" s="25"/>
      <c r="BF1104" s="22">
        <v>45649</v>
      </c>
      <c r="BG1104" s="26">
        <f t="shared" ca="1" si="308"/>
        <v>0.15132486938142431</v>
      </c>
      <c r="BH1104" s="29">
        <v>0</v>
      </c>
      <c r="BJ1104" s="22">
        <v>45649</v>
      </c>
      <c r="BK1104" s="26">
        <f t="shared" ca="1" si="309"/>
        <v>0.12503880782073284</v>
      </c>
      <c r="BL1104" s="29">
        <v>0</v>
      </c>
      <c r="BN1104" s="22">
        <v>45649</v>
      </c>
      <c r="BO1104" s="26">
        <f t="shared" ca="1" si="310"/>
        <v>0.38575767918164339</v>
      </c>
      <c r="BP1104" s="29">
        <v>0</v>
      </c>
      <c r="BR1104" s="22">
        <v>45649</v>
      </c>
      <c r="BS1104" s="26">
        <f t="shared" ca="1" si="311"/>
        <v>0.69271819889379793</v>
      </c>
      <c r="BT1104" s="29">
        <v>0</v>
      </c>
      <c r="BV1104" s="22">
        <v>45649</v>
      </c>
      <c r="BW1104" s="26">
        <f t="shared" ca="1" si="312"/>
        <v>0.42513978706026045</v>
      </c>
      <c r="BX1104" s="29">
        <v>0</v>
      </c>
    </row>
    <row r="1105" spans="2:77" ht="15.75" customHeight="1" x14ac:dyDescent="0.2">
      <c r="B1105" s="22">
        <v>45650</v>
      </c>
      <c r="C1105" s="26">
        <f t="shared" ca="1" si="277"/>
        <v>0.47892355368024619</v>
      </c>
      <c r="D1105" s="29">
        <v>0</v>
      </c>
      <c r="F1105" s="22"/>
      <c r="G1105" s="26">
        <f t="shared" ca="1" si="296"/>
        <v>0.75294724231615762</v>
      </c>
      <c r="H1105" s="29">
        <v>0</v>
      </c>
      <c r="J1105" s="22">
        <v>45650</v>
      </c>
      <c r="K1105" s="26">
        <f t="shared" ca="1" si="297"/>
        <v>5.4382445425588899E-2</v>
      </c>
      <c r="L1105" s="29">
        <v>0</v>
      </c>
      <c r="N1105" s="22">
        <v>45650</v>
      </c>
      <c r="O1105" s="26">
        <f t="shared" ca="1" si="298"/>
        <v>0.76178901404282684</v>
      </c>
      <c r="P1105" s="29">
        <v>0</v>
      </c>
      <c r="R1105" s="22">
        <v>45650</v>
      </c>
      <c r="S1105" s="26">
        <f t="shared" ca="1" si="299"/>
        <v>0.81446247889660961</v>
      </c>
      <c r="T1105" s="29">
        <v>0</v>
      </c>
      <c r="V1105" s="22">
        <v>45650</v>
      </c>
      <c r="W1105" s="26">
        <f t="shared" ca="1" si="300"/>
        <v>0.39271053016194857</v>
      </c>
      <c r="X1105" s="29">
        <v>0</v>
      </c>
      <c r="Z1105" s="22">
        <v>45650</v>
      </c>
      <c r="AA1105" s="26">
        <f t="shared" ca="1" si="301"/>
        <v>0.29669314651253953</v>
      </c>
      <c r="AB1105" s="29">
        <v>0</v>
      </c>
      <c r="AC1105"/>
      <c r="AD1105" s="25"/>
      <c r="AF1105" s="22">
        <v>45650</v>
      </c>
      <c r="AG1105" s="26">
        <f t="shared" ca="1" si="302"/>
        <v>0.57437977430135534</v>
      </c>
      <c r="AH1105" s="29">
        <v>0</v>
      </c>
      <c r="AJ1105" s="22">
        <v>45650</v>
      </c>
      <c r="AK1105" s="26">
        <f t="shared" ca="1" si="303"/>
        <v>0.26634862194779074</v>
      </c>
      <c r="AL1105" s="29">
        <v>0</v>
      </c>
      <c r="AN1105" s="22">
        <v>45650</v>
      </c>
      <c r="AO1105" s="26">
        <f t="shared" ca="1" si="304"/>
        <v>0.69034698270094186</v>
      </c>
      <c r="AP1105" s="29">
        <v>0</v>
      </c>
      <c r="AR1105" s="22">
        <v>45650</v>
      </c>
      <c r="AS1105" s="26">
        <f t="shared" ca="1" si="305"/>
        <v>0.70717828943162064</v>
      </c>
      <c r="AT1105" s="29">
        <v>0</v>
      </c>
      <c r="AV1105" s="22">
        <v>45650</v>
      </c>
      <c r="AW1105" s="26">
        <f t="shared" ca="1" si="306"/>
        <v>0.50707622329129032</v>
      </c>
      <c r="AX1105" s="29">
        <v>0</v>
      </c>
      <c r="AZ1105" s="22">
        <v>45650</v>
      </c>
      <c r="BA1105" s="26">
        <f t="shared" ca="1" si="307"/>
        <v>0.15454684064352353</v>
      </c>
      <c r="BB1105" s="29">
        <v>0</v>
      </c>
      <c r="BC1105"/>
      <c r="BD1105" s="25"/>
      <c r="BF1105" s="22">
        <v>45650</v>
      </c>
      <c r="BG1105" s="26">
        <f t="shared" ca="1" si="308"/>
        <v>0.39106568475506154</v>
      </c>
      <c r="BH1105" s="29">
        <v>0</v>
      </c>
      <c r="BJ1105" s="22">
        <v>45650</v>
      </c>
      <c r="BK1105" s="26">
        <f t="shared" ca="1" si="309"/>
        <v>0.26306194055416088</v>
      </c>
      <c r="BL1105" s="29">
        <v>0</v>
      </c>
      <c r="BN1105" s="22">
        <v>45650</v>
      </c>
      <c r="BO1105" s="26">
        <f t="shared" ca="1" si="310"/>
        <v>0.41265814140380408</v>
      </c>
      <c r="BP1105" s="29">
        <v>0</v>
      </c>
      <c r="BR1105" s="22">
        <v>45650</v>
      </c>
      <c r="BS1105" s="26">
        <f t="shared" ca="1" si="311"/>
        <v>0.60111250310209896</v>
      </c>
      <c r="BT1105" s="29">
        <v>0</v>
      </c>
      <c r="BV1105" s="22">
        <v>45650</v>
      </c>
      <c r="BW1105" s="26">
        <f t="shared" ca="1" si="312"/>
        <v>0.82561064024410835</v>
      </c>
      <c r="BX1105" s="29">
        <v>0</v>
      </c>
    </row>
    <row r="1106" spans="2:77" ht="15.75" customHeight="1" x14ac:dyDescent="0.2">
      <c r="B1106" s="22">
        <v>45651</v>
      </c>
      <c r="C1106" s="26">
        <f t="shared" ca="1" si="277"/>
        <v>0.43482379640019453</v>
      </c>
      <c r="D1106" s="29">
        <v>0</v>
      </c>
      <c r="F1106" s="22"/>
      <c r="G1106" s="26">
        <f t="shared" ca="1" si="296"/>
        <v>0.78284726142216354</v>
      </c>
      <c r="H1106" s="29">
        <v>0</v>
      </c>
      <c r="J1106" s="22">
        <v>45651</v>
      </c>
      <c r="K1106" s="26">
        <f t="shared" ca="1" si="297"/>
        <v>0.79945494574625553</v>
      </c>
      <c r="L1106" s="29">
        <v>0</v>
      </c>
      <c r="N1106" s="22">
        <v>45651</v>
      </c>
      <c r="O1106" s="26">
        <f t="shared" ca="1" si="298"/>
        <v>0.69702609962290685</v>
      </c>
      <c r="P1106" s="29">
        <v>0</v>
      </c>
      <c r="R1106" s="22">
        <v>45651</v>
      </c>
      <c r="S1106" s="26">
        <f t="shared" ca="1" si="299"/>
        <v>4.9677798996536349E-2</v>
      </c>
      <c r="T1106" s="29">
        <v>0</v>
      </c>
      <c r="V1106" s="22">
        <v>45651</v>
      </c>
      <c r="W1106" s="26">
        <f t="shared" ca="1" si="300"/>
        <v>0.79640986957501414</v>
      </c>
      <c r="X1106" s="29">
        <v>0</v>
      </c>
      <c r="Z1106" s="22">
        <v>45651</v>
      </c>
      <c r="AA1106" s="26">
        <f t="shared" ca="1" si="301"/>
        <v>0.10811395746036145</v>
      </c>
      <c r="AB1106" s="29">
        <v>0</v>
      </c>
      <c r="AC1106"/>
      <c r="AD1106" s="25"/>
      <c r="AF1106" s="22">
        <v>45651</v>
      </c>
      <c r="AG1106" s="26">
        <f t="shared" ca="1" si="302"/>
        <v>0.21403438856670542</v>
      </c>
      <c r="AH1106" s="29">
        <v>0</v>
      </c>
      <c r="AJ1106" s="22">
        <v>45651</v>
      </c>
      <c r="AK1106" s="26">
        <f t="shared" ca="1" si="303"/>
        <v>0.38271209080278079</v>
      </c>
      <c r="AL1106" s="29">
        <v>0</v>
      </c>
      <c r="AN1106" s="22">
        <v>45651</v>
      </c>
      <c r="AO1106" s="26">
        <f t="shared" ca="1" si="304"/>
        <v>0.5504841227760221</v>
      </c>
      <c r="AP1106" s="29">
        <v>0</v>
      </c>
      <c r="AR1106" s="22">
        <v>45651</v>
      </c>
      <c r="AS1106" s="26">
        <f t="shared" ca="1" si="305"/>
        <v>0.7464670660897037</v>
      </c>
      <c r="AT1106" s="29">
        <v>0</v>
      </c>
      <c r="AV1106" s="22">
        <v>45651</v>
      </c>
      <c r="AW1106" s="26">
        <f t="shared" ca="1" si="306"/>
        <v>0.21674946630790548</v>
      </c>
      <c r="AX1106" s="29">
        <v>0</v>
      </c>
      <c r="AZ1106" s="22">
        <v>45651</v>
      </c>
      <c r="BA1106" s="26">
        <f t="shared" ca="1" si="307"/>
        <v>0.58504182277700612</v>
      </c>
      <c r="BB1106" s="29">
        <v>0</v>
      </c>
      <c r="BC1106"/>
      <c r="BD1106" s="25"/>
      <c r="BF1106" s="22">
        <v>45651</v>
      </c>
      <c r="BG1106" s="26">
        <f t="shared" ca="1" si="308"/>
        <v>3.5019168995704231E-2</v>
      </c>
      <c r="BH1106" s="29">
        <v>0</v>
      </c>
      <c r="BJ1106" s="22">
        <v>45651</v>
      </c>
      <c r="BK1106" s="26">
        <f t="shared" ca="1" si="309"/>
        <v>0.35240370946238353</v>
      </c>
      <c r="BL1106" s="29">
        <v>0</v>
      </c>
      <c r="BN1106" s="22">
        <v>45651</v>
      </c>
      <c r="BO1106" s="26">
        <f t="shared" ca="1" si="310"/>
        <v>0.46798275659896882</v>
      </c>
      <c r="BP1106" s="29">
        <v>0</v>
      </c>
      <c r="BR1106" s="22">
        <v>45651</v>
      </c>
      <c r="BS1106" s="26">
        <f t="shared" ca="1" si="311"/>
        <v>4.7328944208714918E-2</v>
      </c>
      <c r="BT1106" s="29">
        <v>0</v>
      </c>
      <c r="BV1106" s="22">
        <v>45651</v>
      </c>
      <c r="BW1106" s="26">
        <f t="shared" ca="1" si="312"/>
        <v>0.77935436686807347</v>
      </c>
      <c r="BX1106" s="29">
        <v>0</v>
      </c>
    </row>
    <row r="1107" spans="2:77" ht="15.75" customHeight="1" x14ac:dyDescent="0.2">
      <c r="B1107" s="22">
        <v>45652</v>
      </c>
      <c r="C1107" s="26">
        <f t="shared" ca="1" si="277"/>
        <v>0.86706932380165347</v>
      </c>
      <c r="D1107" s="29">
        <v>0</v>
      </c>
      <c r="F1107" s="22"/>
      <c r="G1107" s="26">
        <f t="shared" ca="1" si="296"/>
        <v>0.56936238864475119</v>
      </c>
      <c r="H1107" s="29">
        <v>0</v>
      </c>
      <c r="J1107" s="22">
        <v>45652</v>
      </c>
      <c r="K1107" s="26">
        <f t="shared" ca="1" si="297"/>
        <v>0.29105586385442217</v>
      </c>
      <c r="L1107" s="29">
        <v>0</v>
      </c>
      <c r="N1107" s="22">
        <v>45652</v>
      </c>
      <c r="O1107" s="26">
        <f t="shared" ca="1" si="298"/>
        <v>0.78371479332549798</v>
      </c>
      <c r="P1107" s="29">
        <v>0</v>
      </c>
      <c r="R1107" s="22">
        <v>45652</v>
      </c>
      <c r="S1107" s="26">
        <f t="shared" ca="1" si="299"/>
        <v>0.47051327316402025</v>
      </c>
      <c r="T1107" s="29">
        <v>0</v>
      </c>
      <c r="V1107" s="22">
        <v>45652</v>
      </c>
      <c r="W1107" s="26">
        <f t="shared" ca="1" si="300"/>
        <v>0.16699996740030931</v>
      </c>
      <c r="X1107" s="29">
        <v>0</v>
      </c>
      <c r="Z1107" s="22">
        <v>45652</v>
      </c>
      <c r="AA1107" s="26">
        <f t="shared" ca="1" si="301"/>
        <v>0.23873540312257413</v>
      </c>
      <c r="AB1107" s="29">
        <v>0</v>
      </c>
      <c r="AC1107"/>
      <c r="AD1107" s="25"/>
      <c r="AF1107" s="22">
        <v>45652</v>
      </c>
      <c r="AG1107" s="26">
        <f t="shared" ca="1" si="302"/>
        <v>0.43551133891901661</v>
      </c>
      <c r="AH1107" s="29">
        <v>0</v>
      </c>
      <c r="AJ1107" s="22">
        <v>45652</v>
      </c>
      <c r="AK1107" s="26">
        <f t="shared" ca="1" si="303"/>
        <v>0.81131936416742445</v>
      </c>
      <c r="AL1107" s="29">
        <v>0</v>
      </c>
      <c r="AN1107" s="22">
        <v>45652</v>
      </c>
      <c r="AO1107" s="26">
        <f t="shared" ca="1" si="304"/>
        <v>0.71506852602704085</v>
      </c>
      <c r="AP1107" s="29">
        <v>0</v>
      </c>
      <c r="AR1107" s="22">
        <v>45652</v>
      </c>
      <c r="AS1107" s="26">
        <f t="shared" ca="1" si="305"/>
        <v>0.5255190881118218</v>
      </c>
      <c r="AT1107" s="29">
        <v>0</v>
      </c>
      <c r="AV1107" s="22">
        <v>45652</v>
      </c>
      <c r="AW1107" s="26">
        <f t="shared" ca="1" si="306"/>
        <v>0.57297814668062508</v>
      </c>
      <c r="AX1107" s="29">
        <v>0</v>
      </c>
      <c r="AZ1107" s="22">
        <v>45652</v>
      </c>
      <c r="BA1107" s="26">
        <f t="shared" ca="1" si="307"/>
        <v>5.9350033016334014E-2</v>
      </c>
      <c r="BB1107" s="29">
        <v>0</v>
      </c>
      <c r="BC1107"/>
      <c r="BD1107" s="25"/>
      <c r="BF1107" s="22">
        <v>45652</v>
      </c>
      <c r="BG1107" s="26">
        <f t="shared" ca="1" si="308"/>
        <v>0.491306112922272</v>
      </c>
      <c r="BH1107" s="29">
        <v>0</v>
      </c>
      <c r="BJ1107" s="22">
        <v>45652</v>
      </c>
      <c r="BK1107" s="26">
        <f t="shared" ca="1" si="309"/>
        <v>0.71592405126859837</v>
      </c>
      <c r="BL1107" s="29">
        <v>0</v>
      </c>
      <c r="BN1107" s="22">
        <v>45652</v>
      </c>
      <c r="BO1107" s="26">
        <f t="shared" ca="1" si="310"/>
        <v>0.6684729306383449</v>
      </c>
      <c r="BP1107" s="29">
        <v>0</v>
      </c>
      <c r="BR1107" s="22">
        <v>45652</v>
      </c>
      <c r="BS1107" s="26">
        <f t="shared" ca="1" si="311"/>
        <v>0.72712270925559708</v>
      </c>
      <c r="BT1107" s="29">
        <v>0</v>
      </c>
      <c r="BV1107" s="22">
        <v>45652</v>
      </c>
      <c r="BW1107" s="26">
        <f t="shared" ca="1" si="312"/>
        <v>0.91677943779240234</v>
      </c>
      <c r="BX1107" s="29">
        <v>0</v>
      </c>
    </row>
    <row r="1108" spans="2:77" ht="15.75" customHeight="1" x14ac:dyDescent="0.2">
      <c r="B1108" s="22">
        <v>45653</v>
      </c>
      <c r="C1108" s="26">
        <f t="shared" ref="C1108:C1112" ca="1" si="313">RAND()</f>
        <v>0.19719923665476446</v>
      </c>
      <c r="D1108" s="29">
        <v>0</v>
      </c>
      <c r="F1108" s="22"/>
      <c r="G1108" s="26">
        <f t="shared" ca="1" si="296"/>
        <v>0.34935518787556386</v>
      </c>
      <c r="H1108" s="29">
        <v>0</v>
      </c>
      <c r="J1108" s="22">
        <v>45653</v>
      </c>
      <c r="K1108" s="26">
        <f t="shared" ca="1" si="297"/>
        <v>0.26818007864969939</v>
      </c>
      <c r="L1108" s="29">
        <v>0</v>
      </c>
      <c r="N1108" s="22">
        <v>45653</v>
      </c>
      <c r="O1108" s="26">
        <f t="shared" ca="1" si="298"/>
        <v>0.61128148741425137</v>
      </c>
      <c r="P1108" s="29">
        <v>0</v>
      </c>
      <c r="R1108" s="22">
        <v>45653</v>
      </c>
      <c r="S1108" s="26">
        <f t="shared" ca="1" si="299"/>
        <v>0.94661057129717463</v>
      </c>
      <c r="T1108" s="29">
        <v>0</v>
      </c>
      <c r="V1108" s="22">
        <v>45653</v>
      </c>
      <c r="W1108" s="26">
        <f t="shared" ca="1" si="300"/>
        <v>0.39519161313735474</v>
      </c>
      <c r="X1108" s="29">
        <v>0</v>
      </c>
      <c r="Z1108" s="22">
        <v>45653</v>
      </c>
      <c r="AA1108" s="26">
        <f t="shared" ca="1" si="301"/>
        <v>0.15932286828252262</v>
      </c>
      <c r="AB1108" s="29">
        <v>0</v>
      </c>
      <c r="AC1108"/>
      <c r="AD1108" s="25"/>
      <c r="AF1108" s="22">
        <v>45653</v>
      </c>
      <c r="AG1108" s="26">
        <f t="shared" ca="1" si="302"/>
        <v>0.96200927787893586</v>
      </c>
      <c r="AH1108" s="29">
        <v>0</v>
      </c>
      <c r="AJ1108" s="22">
        <v>45653</v>
      </c>
      <c r="AK1108" s="26">
        <f t="shared" ca="1" si="303"/>
        <v>0.40430142858179896</v>
      </c>
      <c r="AL1108" s="29">
        <v>0</v>
      </c>
      <c r="AN1108" s="22">
        <v>45653</v>
      </c>
      <c r="AO1108" s="26">
        <f t="shared" ca="1" si="304"/>
        <v>3.4027236388119886E-2</v>
      </c>
      <c r="AP1108" s="29">
        <v>0</v>
      </c>
      <c r="AR1108" s="22">
        <v>45653</v>
      </c>
      <c r="AS1108" s="26">
        <f t="shared" ca="1" si="305"/>
        <v>0.94780748002554782</v>
      </c>
      <c r="AT1108" s="29">
        <v>0</v>
      </c>
      <c r="AV1108" s="22">
        <v>45653</v>
      </c>
      <c r="AW1108" s="26">
        <f t="shared" ca="1" si="306"/>
        <v>0.61450712546592623</v>
      </c>
      <c r="AX1108" s="29">
        <v>0</v>
      </c>
      <c r="AZ1108" s="22">
        <v>45653</v>
      </c>
      <c r="BA1108" s="26">
        <f t="shared" ca="1" si="307"/>
        <v>0.59474999679829765</v>
      </c>
      <c r="BB1108" s="29">
        <v>0</v>
      </c>
      <c r="BC1108"/>
      <c r="BD1108" s="25"/>
      <c r="BF1108" s="22">
        <v>45653</v>
      </c>
      <c r="BG1108" s="26">
        <f t="shared" ca="1" si="308"/>
        <v>0.47839087418522874</v>
      </c>
      <c r="BH1108" s="29">
        <v>0</v>
      </c>
      <c r="BJ1108" s="22">
        <v>45653</v>
      </c>
      <c r="BK1108" s="26">
        <f t="shared" ca="1" si="309"/>
        <v>0.37806875379928262</v>
      </c>
      <c r="BL1108" s="29">
        <v>0</v>
      </c>
      <c r="BN1108" s="22">
        <v>45653</v>
      </c>
      <c r="BO1108" s="26">
        <f t="shared" ca="1" si="310"/>
        <v>0.76051440219485933</v>
      </c>
      <c r="BP1108" s="29">
        <v>0</v>
      </c>
      <c r="BR1108" s="22">
        <v>45653</v>
      </c>
      <c r="BS1108" s="26">
        <f t="shared" ca="1" si="311"/>
        <v>0.46000783523694633</v>
      </c>
      <c r="BT1108" s="29">
        <v>0</v>
      </c>
      <c r="BV1108" s="22">
        <v>45653</v>
      </c>
      <c r="BW1108" s="26">
        <f t="shared" ca="1" si="312"/>
        <v>0.64228433643807137</v>
      </c>
      <c r="BX1108" s="29">
        <v>0</v>
      </c>
    </row>
    <row r="1109" spans="2:77" ht="15.75" customHeight="1" x14ac:dyDescent="0.2">
      <c r="B1109" s="22">
        <v>45654</v>
      </c>
      <c r="C1109" s="26">
        <f t="shared" ca="1" si="313"/>
        <v>0.66855920340050434</v>
      </c>
      <c r="D1109" s="29">
        <v>0</v>
      </c>
      <c r="F1109" s="22"/>
      <c r="G1109" s="26">
        <f t="shared" ca="1" si="296"/>
        <v>9.3248486740033942E-2</v>
      </c>
      <c r="H1109" s="29">
        <v>0</v>
      </c>
      <c r="J1109" s="22">
        <v>45654</v>
      </c>
      <c r="K1109" s="26">
        <f t="shared" ca="1" si="297"/>
        <v>0.37507863481814074</v>
      </c>
      <c r="L1109" s="29">
        <v>0</v>
      </c>
      <c r="N1109" s="22">
        <v>45654</v>
      </c>
      <c r="O1109" s="26">
        <f t="shared" ca="1" si="298"/>
        <v>3.7914981918296231E-2</v>
      </c>
      <c r="P1109" s="29">
        <v>0</v>
      </c>
      <c r="R1109" s="22">
        <v>45654</v>
      </c>
      <c r="S1109" s="26">
        <f t="shared" ca="1" si="299"/>
        <v>0.41629299466286962</v>
      </c>
      <c r="T1109" s="29">
        <v>0</v>
      </c>
      <c r="V1109" s="22">
        <v>45654</v>
      </c>
      <c r="W1109" s="26">
        <f t="shared" ca="1" si="300"/>
        <v>0.32243437098941563</v>
      </c>
      <c r="X1109" s="29">
        <v>0</v>
      </c>
      <c r="Z1109" s="22">
        <v>45654</v>
      </c>
      <c r="AA1109" s="26">
        <f t="shared" ca="1" si="301"/>
        <v>0.27128215664897248</v>
      </c>
      <c r="AB1109" s="29">
        <v>0</v>
      </c>
      <c r="AC1109"/>
      <c r="AD1109" s="25"/>
      <c r="AF1109" s="22">
        <v>45654</v>
      </c>
      <c r="AG1109" s="26">
        <f t="shared" ca="1" si="302"/>
        <v>0.98716942928392726</v>
      </c>
      <c r="AH1109" s="29">
        <v>0</v>
      </c>
      <c r="AJ1109" s="22">
        <v>45654</v>
      </c>
      <c r="AK1109" s="26">
        <f t="shared" ca="1" si="303"/>
        <v>0.54777031091154815</v>
      </c>
      <c r="AL1109" s="29">
        <v>0</v>
      </c>
      <c r="AN1109" s="22">
        <v>45654</v>
      </c>
      <c r="AO1109" s="26">
        <f t="shared" ca="1" si="304"/>
        <v>0.43098268564687214</v>
      </c>
      <c r="AP1109" s="29">
        <v>0</v>
      </c>
      <c r="AR1109" s="22">
        <v>45654</v>
      </c>
      <c r="AS1109" s="26">
        <f t="shared" ca="1" si="305"/>
        <v>0.58406446719541394</v>
      </c>
      <c r="AT1109" s="29">
        <v>0</v>
      </c>
      <c r="AV1109" s="22">
        <v>45654</v>
      </c>
      <c r="AW1109" s="26">
        <f t="shared" ca="1" si="306"/>
        <v>0.26226622049067649</v>
      </c>
      <c r="AX1109" s="29">
        <v>0</v>
      </c>
      <c r="AZ1109" s="22">
        <v>45654</v>
      </c>
      <c r="BA1109" s="26">
        <f t="shared" ca="1" si="307"/>
        <v>0.37953222815497212</v>
      </c>
      <c r="BB1109" s="29">
        <v>0</v>
      </c>
      <c r="BC1109"/>
      <c r="BD1109" s="25"/>
      <c r="BF1109" s="22">
        <v>45654</v>
      </c>
      <c r="BG1109" s="26">
        <f t="shared" ca="1" si="308"/>
        <v>0.3215904742803104</v>
      </c>
      <c r="BH1109" s="29">
        <v>0</v>
      </c>
      <c r="BJ1109" s="22">
        <v>45654</v>
      </c>
      <c r="BK1109" s="26">
        <f t="shared" ca="1" si="309"/>
        <v>0.46883413611854929</v>
      </c>
      <c r="BL1109" s="29">
        <v>0</v>
      </c>
      <c r="BN1109" s="22">
        <v>45654</v>
      </c>
      <c r="BO1109" s="26">
        <f t="shared" ca="1" si="310"/>
        <v>0.27503918701394214</v>
      </c>
      <c r="BP1109" s="29">
        <v>0</v>
      </c>
      <c r="BR1109" s="22">
        <v>45654</v>
      </c>
      <c r="BS1109" s="26">
        <f t="shared" ca="1" si="311"/>
        <v>0.99976953286401238</v>
      </c>
      <c r="BT1109" s="29">
        <v>0</v>
      </c>
      <c r="BV1109" s="22">
        <v>45654</v>
      </c>
      <c r="BW1109" s="26">
        <f t="shared" ca="1" si="312"/>
        <v>0.98952842708062805</v>
      </c>
      <c r="BX1109" s="29">
        <v>0</v>
      </c>
    </row>
    <row r="1110" spans="2:77" ht="15.75" customHeight="1" x14ac:dyDescent="0.2">
      <c r="B1110" s="22">
        <v>45655</v>
      </c>
      <c r="C1110" s="26">
        <f t="shared" ca="1" si="313"/>
        <v>0.48409162615668544</v>
      </c>
      <c r="D1110" s="29">
        <v>0</v>
      </c>
      <c r="F1110" s="22"/>
      <c r="G1110" s="26">
        <f t="shared" ca="1" si="296"/>
        <v>0.57918200767273598</v>
      </c>
      <c r="H1110" s="29">
        <v>0</v>
      </c>
      <c r="J1110" s="22">
        <v>45655</v>
      </c>
      <c r="K1110" s="26">
        <f t="shared" ca="1" si="297"/>
        <v>0.64465920929677123</v>
      </c>
      <c r="L1110" s="29">
        <v>0</v>
      </c>
      <c r="N1110" s="22">
        <v>45655</v>
      </c>
      <c r="O1110" s="26">
        <f t="shared" ca="1" si="298"/>
        <v>0.71705525155822858</v>
      </c>
      <c r="P1110" s="29">
        <v>0</v>
      </c>
      <c r="R1110" s="22">
        <v>45655</v>
      </c>
      <c r="S1110" s="26">
        <f t="shared" ca="1" si="299"/>
        <v>0.38424504868224607</v>
      </c>
      <c r="T1110" s="29">
        <v>0</v>
      </c>
      <c r="V1110" s="22">
        <v>45655</v>
      </c>
      <c r="W1110" s="26">
        <f t="shared" ca="1" si="300"/>
        <v>0.54679873065006046</v>
      </c>
      <c r="X1110" s="29">
        <v>0</v>
      </c>
      <c r="Z1110" s="22">
        <v>45655</v>
      </c>
      <c r="AA1110" s="26">
        <f t="shared" ca="1" si="301"/>
        <v>0.60547290285863875</v>
      </c>
      <c r="AB1110" s="29">
        <v>0</v>
      </c>
      <c r="AC1110"/>
      <c r="AD1110" s="25"/>
      <c r="AF1110" s="22">
        <v>45655</v>
      </c>
      <c r="AG1110" s="26">
        <f t="shared" ca="1" si="302"/>
        <v>0.13588796263925718</v>
      </c>
      <c r="AH1110" s="29">
        <v>0</v>
      </c>
      <c r="AJ1110" s="22">
        <v>45655</v>
      </c>
      <c r="AK1110" s="26">
        <f t="shared" ca="1" si="303"/>
        <v>9.9831412982231305E-2</v>
      </c>
      <c r="AL1110" s="29">
        <v>0</v>
      </c>
      <c r="AN1110" s="22">
        <v>45655</v>
      </c>
      <c r="AO1110" s="26">
        <f t="shared" ca="1" si="304"/>
        <v>0.85243647824048407</v>
      </c>
      <c r="AP1110" s="29">
        <v>0</v>
      </c>
      <c r="AR1110" s="22">
        <v>45655</v>
      </c>
      <c r="AS1110" s="26">
        <f t="shared" ca="1" si="305"/>
        <v>1.5075149408021793E-2</v>
      </c>
      <c r="AT1110" s="29">
        <v>0</v>
      </c>
      <c r="AV1110" s="22">
        <v>45655</v>
      </c>
      <c r="AW1110" s="26">
        <f t="shared" ca="1" si="306"/>
        <v>0.21197296118778408</v>
      </c>
      <c r="AX1110" s="29">
        <v>0</v>
      </c>
      <c r="AZ1110" s="22">
        <v>45655</v>
      </c>
      <c r="BA1110" s="26">
        <f t="shared" ca="1" si="307"/>
        <v>1.5943488450552379E-2</v>
      </c>
      <c r="BB1110" s="29">
        <v>0</v>
      </c>
      <c r="BC1110"/>
      <c r="BD1110" s="25"/>
      <c r="BF1110" s="22">
        <v>45655</v>
      </c>
      <c r="BG1110" s="26">
        <f t="shared" ca="1" si="308"/>
        <v>0.53224906151148177</v>
      </c>
      <c r="BH1110" s="29">
        <v>0</v>
      </c>
      <c r="BJ1110" s="22">
        <v>45655</v>
      </c>
      <c r="BK1110" s="26">
        <f t="shared" ca="1" si="309"/>
        <v>0.65878310797891126</v>
      </c>
      <c r="BL1110" s="29">
        <v>0</v>
      </c>
      <c r="BN1110" s="22">
        <v>45655</v>
      </c>
      <c r="BO1110" s="26">
        <f t="shared" ca="1" si="310"/>
        <v>0.78633559154012045</v>
      </c>
      <c r="BP1110" s="29">
        <v>0</v>
      </c>
      <c r="BR1110" s="22">
        <v>45655</v>
      </c>
      <c r="BS1110" s="26">
        <f t="shared" ca="1" si="311"/>
        <v>0.89246811803956438</v>
      </c>
      <c r="BT1110" s="29">
        <v>0</v>
      </c>
      <c r="BV1110" s="22">
        <v>45655</v>
      </c>
      <c r="BW1110" s="26">
        <f t="shared" ca="1" si="312"/>
        <v>0.7811345319883356</v>
      </c>
      <c r="BX1110" s="29">
        <v>0</v>
      </c>
    </row>
    <row r="1111" spans="2:77" ht="15.75" customHeight="1" x14ac:dyDescent="0.2">
      <c r="B1111" s="22">
        <v>45656</v>
      </c>
      <c r="C1111" s="26">
        <f t="shared" ca="1" si="313"/>
        <v>0.51381961547137867</v>
      </c>
      <c r="D1111" s="29">
        <v>0</v>
      </c>
      <c r="F1111" s="22"/>
      <c r="G1111" s="26">
        <f t="shared" ca="1" si="296"/>
        <v>0.11597072844552647</v>
      </c>
      <c r="H1111" s="29">
        <v>0</v>
      </c>
      <c r="J1111" s="22">
        <v>45656</v>
      </c>
      <c r="K1111" s="26">
        <f t="shared" ca="1" si="297"/>
        <v>6.5192943223134292E-2</v>
      </c>
      <c r="L1111" s="29">
        <v>0</v>
      </c>
      <c r="N1111" s="22">
        <v>45656</v>
      </c>
      <c r="O1111" s="26">
        <f t="shared" ca="1" si="298"/>
        <v>0.65643621687169607</v>
      </c>
      <c r="P1111" s="29">
        <v>0</v>
      </c>
      <c r="R1111" s="22">
        <v>45656</v>
      </c>
      <c r="S1111" s="26">
        <f t="shared" ca="1" si="299"/>
        <v>0.28499731489062174</v>
      </c>
      <c r="T1111" s="29">
        <v>0</v>
      </c>
      <c r="V1111" s="22">
        <v>45656</v>
      </c>
      <c r="W1111" s="26">
        <f t="shared" ca="1" si="300"/>
        <v>0.74753589513239915</v>
      </c>
      <c r="X1111" s="29">
        <v>0</v>
      </c>
      <c r="Z1111" s="22">
        <v>45656</v>
      </c>
      <c r="AA1111" s="26">
        <f t="shared" ca="1" si="301"/>
        <v>0.53622529863054835</v>
      </c>
      <c r="AB1111" s="29">
        <v>0</v>
      </c>
      <c r="AC1111"/>
      <c r="AD1111" s="25"/>
      <c r="AF1111" s="22">
        <v>45656</v>
      </c>
      <c r="AG1111" s="26">
        <f t="shared" ca="1" si="302"/>
        <v>0.24606917872712342</v>
      </c>
      <c r="AH1111" s="29">
        <v>0</v>
      </c>
      <c r="AJ1111" s="22">
        <v>45656</v>
      </c>
      <c r="AK1111" s="26">
        <f t="shared" ca="1" si="303"/>
        <v>0.61556012514885561</v>
      </c>
      <c r="AL1111" s="29">
        <v>0</v>
      </c>
      <c r="AN1111" s="22">
        <v>45656</v>
      </c>
      <c r="AO1111" s="26">
        <f t="shared" ca="1" si="304"/>
        <v>0.88491671742996658</v>
      </c>
      <c r="AP1111" s="29">
        <v>0</v>
      </c>
      <c r="AR1111" s="22">
        <v>45656</v>
      </c>
      <c r="AS1111" s="26">
        <f t="shared" ca="1" si="305"/>
        <v>0.58980843908116154</v>
      </c>
      <c r="AT1111" s="29">
        <v>0</v>
      </c>
      <c r="AV1111" s="22">
        <v>45656</v>
      </c>
      <c r="AW1111" s="26">
        <f t="shared" ca="1" si="306"/>
        <v>0.3442560867534189</v>
      </c>
      <c r="AX1111" s="29">
        <v>0</v>
      </c>
      <c r="AZ1111" s="22">
        <v>45656</v>
      </c>
      <c r="BA1111" s="26">
        <f t="shared" ca="1" si="307"/>
        <v>3.5440198620191765E-2</v>
      </c>
      <c r="BB1111" s="29">
        <v>0</v>
      </c>
      <c r="BC1111"/>
      <c r="BD1111" s="25"/>
      <c r="BF1111" s="22">
        <v>45656</v>
      </c>
      <c r="BG1111" s="26">
        <f t="shared" ca="1" si="308"/>
        <v>0.4099372430346967</v>
      </c>
      <c r="BH1111" s="29">
        <v>0</v>
      </c>
      <c r="BJ1111" s="22">
        <v>45656</v>
      </c>
      <c r="BK1111" s="26">
        <f t="shared" ca="1" si="309"/>
        <v>0.20244392371104325</v>
      </c>
      <c r="BL1111" s="29">
        <v>0</v>
      </c>
      <c r="BN1111" s="22">
        <v>45656</v>
      </c>
      <c r="BO1111" s="26">
        <f t="shared" ca="1" si="310"/>
        <v>0.34161798105897823</v>
      </c>
      <c r="BP1111" s="29">
        <v>0</v>
      </c>
      <c r="BR1111" s="22">
        <v>45656</v>
      </c>
      <c r="BS1111" s="26">
        <f t="shared" ca="1" si="311"/>
        <v>0.5405359264433961</v>
      </c>
      <c r="BT1111" s="29">
        <v>0</v>
      </c>
      <c r="BV1111" s="22">
        <v>45656</v>
      </c>
      <c r="BW1111" s="26">
        <f t="shared" ca="1" si="312"/>
        <v>0.95048515419465263</v>
      </c>
      <c r="BX1111" s="29">
        <v>0</v>
      </c>
    </row>
    <row r="1112" spans="2:77" ht="15.75" customHeight="1" x14ac:dyDescent="0.2">
      <c r="B1112" s="23">
        <v>45657</v>
      </c>
      <c r="C1112" s="32">
        <f t="shared" ca="1" si="313"/>
        <v>0.89602614275895454</v>
      </c>
      <c r="D1112" s="33">
        <v>0</v>
      </c>
      <c r="E1112">
        <v>1381</v>
      </c>
      <c r="F1112" s="23"/>
      <c r="G1112" s="32">
        <f t="shared" ca="1" si="296"/>
        <v>0.47270003463266974</v>
      </c>
      <c r="H1112" s="33">
        <v>0</v>
      </c>
      <c r="J1112" s="23">
        <v>45657</v>
      </c>
      <c r="K1112" s="32">
        <f t="shared" ca="1" si="297"/>
        <v>0.21502982481334276</v>
      </c>
      <c r="L1112" s="33">
        <v>0</v>
      </c>
      <c r="M1112">
        <v>2524</v>
      </c>
      <c r="N1112" s="23">
        <v>45657</v>
      </c>
      <c r="O1112" s="32">
        <f t="shared" ca="1" si="298"/>
        <v>0.70172674404387603</v>
      </c>
      <c r="P1112" s="33">
        <v>0</v>
      </c>
      <c r="Q1112">
        <v>3999</v>
      </c>
      <c r="R1112" s="23">
        <v>45657</v>
      </c>
      <c r="S1112" s="32">
        <f t="shared" ca="1" si="299"/>
        <v>0.89835363778274524</v>
      </c>
      <c r="T1112" s="33">
        <v>0</v>
      </c>
      <c r="U1112">
        <v>2333</v>
      </c>
      <c r="V1112" s="23">
        <v>45657</v>
      </c>
      <c r="W1112" s="32">
        <f t="shared" ca="1" si="300"/>
        <v>0.73643071353284029</v>
      </c>
      <c r="X1112" s="33">
        <v>0</v>
      </c>
      <c r="Y1112">
        <v>3809</v>
      </c>
      <c r="Z1112" s="23">
        <v>45657</v>
      </c>
      <c r="AA1112" s="32">
        <f t="shared" ca="1" si="301"/>
        <v>0.85166587592709309</v>
      </c>
      <c r="AB1112" s="33">
        <v>0</v>
      </c>
      <c r="AC1112">
        <v>4609</v>
      </c>
      <c r="AD1112" s="25"/>
      <c r="AF1112" s="23">
        <v>45657</v>
      </c>
      <c r="AG1112" s="32">
        <f t="shared" ca="1" si="302"/>
        <v>0.32490061368838441</v>
      </c>
      <c r="AH1112" s="33">
        <v>0</v>
      </c>
      <c r="AI1112">
        <v>5964</v>
      </c>
      <c r="AJ1112" s="23">
        <v>45657</v>
      </c>
      <c r="AK1112" s="32">
        <f t="shared" ca="1" si="303"/>
        <v>0.4334372087232653</v>
      </c>
      <c r="AL1112" s="33">
        <v>0</v>
      </c>
      <c r="AM1112">
        <v>3140</v>
      </c>
      <c r="AN1112" s="23">
        <v>45657</v>
      </c>
      <c r="AO1112" s="32">
        <f t="shared" ca="1" si="304"/>
        <v>0.86525605395082794</v>
      </c>
      <c r="AP1112" s="33">
        <v>0</v>
      </c>
      <c r="AQ1112">
        <v>2463</v>
      </c>
      <c r="AR1112" s="23">
        <v>45657</v>
      </c>
      <c r="AS1112" s="32">
        <f t="shared" ca="1" si="305"/>
        <v>0.64103629775970083</v>
      </c>
      <c r="AT1112" s="33">
        <v>0</v>
      </c>
      <c r="AU1112">
        <v>3784</v>
      </c>
      <c r="AV1112" s="23">
        <v>45657</v>
      </c>
      <c r="AW1112" s="32">
        <f t="shared" ca="1" si="306"/>
        <v>4.2242150953610169E-2</v>
      </c>
      <c r="AX1112" s="33">
        <v>0</v>
      </c>
      <c r="AY1112">
        <v>3480</v>
      </c>
      <c r="AZ1112" s="23">
        <v>45657</v>
      </c>
      <c r="BA1112" s="32">
        <f t="shared" ca="1" si="307"/>
        <v>0.94700814848832171</v>
      </c>
      <c r="BB1112" s="33">
        <v>0</v>
      </c>
      <c r="BC1112">
        <v>2854</v>
      </c>
      <c r="BD1112" s="25"/>
      <c r="BF1112" s="23">
        <v>45657</v>
      </c>
      <c r="BG1112" s="32">
        <f t="shared" ca="1" si="308"/>
        <v>0.83517468340949363</v>
      </c>
      <c r="BH1112" s="33">
        <v>0</v>
      </c>
      <c r="BI1112">
        <v>2945</v>
      </c>
      <c r="BJ1112" s="23">
        <v>45657</v>
      </c>
      <c r="BK1112" s="32">
        <f t="shared" ca="1" si="309"/>
        <v>0.31601783726568899</v>
      </c>
      <c r="BL1112" s="33">
        <v>0</v>
      </c>
      <c r="BM1112">
        <v>3099</v>
      </c>
      <c r="BN1112" s="23">
        <v>45657</v>
      </c>
      <c r="BO1112" s="32">
        <f t="shared" ca="1" si="310"/>
        <v>0.26023976326501574</v>
      </c>
      <c r="BP1112" s="33">
        <v>0</v>
      </c>
      <c r="BQ1112">
        <v>2105</v>
      </c>
      <c r="BR1112" s="23">
        <v>45657</v>
      </c>
      <c r="BS1112" s="32">
        <f t="shared" ca="1" si="311"/>
        <v>0.5456212098425971</v>
      </c>
      <c r="BT1112" s="33">
        <v>0</v>
      </c>
      <c r="BU1112">
        <v>2837</v>
      </c>
      <c r="BV1112" s="23">
        <v>45657</v>
      </c>
      <c r="BW1112" s="32">
        <f t="shared" ca="1" si="312"/>
        <v>4.2672445315543595E-3</v>
      </c>
      <c r="BX1112" s="33">
        <v>0</v>
      </c>
      <c r="BY1112">
        <v>2780</v>
      </c>
    </row>
    <row r="1113" spans="2:77" ht="15.75" customHeight="1" x14ac:dyDescent="0.2">
      <c r="B1113" s="5"/>
      <c r="C1113" s="6"/>
      <c r="D1113" s="7"/>
      <c r="E1113" s="24"/>
      <c r="F1113" s="24"/>
      <c r="G1113" s="24"/>
      <c r="H1113" s="24"/>
      <c r="AR1113" s="23"/>
    </row>
    <row r="1114" spans="2:77" ht="15.75" customHeight="1" x14ac:dyDescent="0.2">
      <c r="E1114" s="24"/>
      <c r="F1114" s="24"/>
      <c r="G1114" s="24"/>
      <c r="H1114" s="24"/>
    </row>
  </sheetData>
  <mergeCells count="19">
    <mergeCell ref="B6:C6"/>
    <mergeCell ref="B7:C7"/>
    <mergeCell ref="F7:G7"/>
    <mergeCell ref="J7:K7"/>
    <mergeCell ref="N7:O7"/>
    <mergeCell ref="AN7:AO7"/>
    <mergeCell ref="AR7:AS7"/>
    <mergeCell ref="AV7:AW7"/>
    <mergeCell ref="AZ7:BA7"/>
    <mergeCell ref="R7:S7"/>
    <mergeCell ref="V7:W7"/>
    <mergeCell ref="Z7:AA7"/>
    <mergeCell ref="AF7:AG7"/>
    <mergeCell ref="AJ7:AK7"/>
    <mergeCell ref="BF7:BG7"/>
    <mergeCell ref="BJ7:BK7"/>
    <mergeCell ref="BN7:BO7"/>
    <mergeCell ref="BR7:BS7"/>
    <mergeCell ref="BV7:BW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Feuil1.compute">
                <anchor moveWithCells="1" sizeWithCells="1">
                  <from>
                    <xdr:col>2</xdr:col>
                    <xdr:colOff>66675</xdr:colOff>
                    <xdr:row>1</xdr:row>
                    <xdr:rowOff>9525</xdr:rowOff>
                  </from>
                  <to>
                    <xdr:col>5</xdr:col>
                    <xdr:colOff>1143000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total">
                <anchor moveWithCells="1" sizeWithCells="1">
                  <from>
                    <xdr:col>6</xdr:col>
                    <xdr:colOff>1009650</xdr:colOff>
                    <xdr:row>0</xdr:row>
                    <xdr:rowOff>152400</xdr:rowOff>
                  </from>
                  <to>
                    <xdr:col>11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2:BT379"/>
  <sheetViews>
    <sheetView tabSelected="1" zoomScale="85" zoomScaleNormal="85" workbookViewId="0">
      <selection activeCell="L16" sqref="L16"/>
    </sheetView>
  </sheetViews>
  <sheetFormatPr baseColWidth="10" defaultRowHeight="12.75" x14ac:dyDescent="0.2"/>
  <cols>
    <col min="1" max="1" width="24.140625" bestFit="1" customWidth="1"/>
    <col min="2" max="2" width="20.28515625" bestFit="1" customWidth="1"/>
    <col min="3" max="3" width="13.42578125" bestFit="1" customWidth="1"/>
    <col min="4" max="4" width="25.7109375" bestFit="1" customWidth="1"/>
    <col min="6" max="6" width="17.140625" bestFit="1" customWidth="1"/>
    <col min="7" max="7" width="15" bestFit="1" customWidth="1"/>
    <col min="8" max="8" width="20.85546875" bestFit="1" customWidth="1"/>
    <col min="10" max="10" width="17.140625" bestFit="1" customWidth="1"/>
    <col min="11" max="11" width="15" bestFit="1" customWidth="1"/>
    <col min="12" max="12" width="20.85546875" bestFit="1" customWidth="1"/>
    <col min="14" max="14" width="17.140625" bestFit="1" customWidth="1"/>
    <col min="15" max="15" width="15" bestFit="1" customWidth="1"/>
    <col min="16" max="16" width="20.85546875" bestFit="1" customWidth="1"/>
    <col min="18" max="18" width="17.140625" bestFit="1" customWidth="1"/>
    <col min="19" max="19" width="13.42578125" bestFit="1" customWidth="1"/>
    <col min="20" max="20" width="20.85546875" bestFit="1" customWidth="1"/>
    <col min="22" max="22" width="17.140625" bestFit="1" customWidth="1"/>
    <col min="23" max="23" width="15" bestFit="1" customWidth="1"/>
    <col min="24" max="24" width="20.85546875" bestFit="1" customWidth="1"/>
    <col min="26" max="26" width="17.140625" bestFit="1" customWidth="1"/>
    <col min="27" max="27" width="15" bestFit="1" customWidth="1"/>
    <col min="28" max="28" width="20.85546875" bestFit="1" customWidth="1"/>
    <col min="30" max="30" width="17.140625" bestFit="1" customWidth="1"/>
    <col min="31" max="31" width="15" bestFit="1" customWidth="1"/>
    <col min="32" max="32" width="20.85546875" bestFit="1" customWidth="1"/>
    <col min="34" max="34" width="17.140625" bestFit="1" customWidth="1"/>
    <col min="35" max="35" width="15" bestFit="1" customWidth="1"/>
    <col min="36" max="36" width="20.85546875" bestFit="1" customWidth="1"/>
    <col min="38" max="38" width="17.140625" bestFit="1" customWidth="1"/>
    <col min="39" max="39" width="13.42578125" bestFit="1" customWidth="1"/>
    <col min="40" max="40" width="20.85546875" bestFit="1" customWidth="1"/>
    <col min="42" max="42" width="17.140625" bestFit="1" customWidth="1"/>
    <col min="43" max="43" width="15" bestFit="1" customWidth="1"/>
    <col min="44" max="44" width="20.85546875" bestFit="1" customWidth="1"/>
    <col min="46" max="46" width="17.140625" bestFit="1" customWidth="1"/>
    <col min="47" max="47" width="15" bestFit="1" customWidth="1"/>
    <col min="48" max="48" width="20.85546875" bestFit="1" customWidth="1"/>
    <col min="50" max="50" width="17.140625" bestFit="1" customWidth="1"/>
    <col min="51" max="51" width="15" bestFit="1" customWidth="1"/>
    <col min="52" max="52" width="20.85546875" bestFit="1" customWidth="1"/>
    <col min="54" max="54" width="17.140625" bestFit="1" customWidth="1"/>
    <col min="55" max="55" width="15" bestFit="1" customWidth="1"/>
    <col min="56" max="56" width="20.85546875" bestFit="1" customWidth="1"/>
    <col min="58" max="58" width="17.140625" bestFit="1" customWidth="1"/>
    <col min="59" max="59" width="15" bestFit="1" customWidth="1"/>
    <col min="60" max="60" width="20.85546875" bestFit="1" customWidth="1"/>
    <col min="62" max="62" width="17.140625" bestFit="1" customWidth="1"/>
    <col min="63" max="63" width="13.42578125" bestFit="1" customWidth="1"/>
    <col min="64" max="64" width="20.85546875" bestFit="1" customWidth="1"/>
    <col min="66" max="66" width="17.140625" bestFit="1" customWidth="1"/>
    <col min="67" max="67" width="15" bestFit="1" customWidth="1"/>
    <col min="68" max="68" width="20.85546875" bestFit="1" customWidth="1"/>
    <col min="70" max="70" width="17.140625" bestFit="1" customWidth="1"/>
    <col min="71" max="71" width="15" bestFit="1" customWidth="1"/>
    <col min="72" max="72" width="20.85546875" bestFit="1" customWidth="1"/>
  </cols>
  <sheetData>
    <row r="2" spans="1:72" s="41" customFormat="1" x14ac:dyDescent="0.2">
      <c r="B2" s="28" t="s">
        <v>0</v>
      </c>
      <c r="C2" s="2">
        <f>'Nombre campus'!$C$5</f>
        <v>500</v>
      </c>
      <c r="F2" s="28" t="s">
        <v>0</v>
      </c>
      <c r="G2" s="2">
        <f>'Nombre campus'!C6</f>
        <v>1436</v>
      </c>
      <c r="H2" s="42"/>
      <c r="I2" s="42"/>
      <c r="J2" s="28" t="s">
        <v>0</v>
      </c>
      <c r="K2" s="2">
        <f>'Nombre campus'!C7</f>
        <v>1000</v>
      </c>
      <c r="L2" s="42"/>
      <c r="M2" s="42"/>
      <c r="N2" s="28" t="s">
        <v>0</v>
      </c>
      <c r="O2" s="2">
        <f>'Nombre campus'!C8</f>
        <v>1529</v>
      </c>
      <c r="P2" s="42"/>
      <c r="Q2" s="42"/>
      <c r="R2" s="28" t="s">
        <v>0</v>
      </c>
      <c r="S2" s="2">
        <f>'Nombre campus'!C9</f>
        <v>925</v>
      </c>
      <c r="T2" s="42"/>
      <c r="U2" s="42"/>
      <c r="V2" s="28" t="s">
        <v>0</v>
      </c>
      <c r="W2" s="2">
        <f>'Nombre campus'!C10</f>
        <v>1500</v>
      </c>
      <c r="X2" s="42"/>
      <c r="Y2" s="42"/>
      <c r="Z2" s="28" t="s">
        <v>0</v>
      </c>
      <c r="AA2" s="2">
        <f>'Nombre campus'!C11</f>
        <v>1800</v>
      </c>
      <c r="AB2" s="42"/>
      <c r="AC2" s="42"/>
      <c r="AD2" s="28" t="s">
        <v>0</v>
      </c>
      <c r="AE2" s="2">
        <f>'Nombre campus'!C12</f>
        <v>2180</v>
      </c>
      <c r="AF2" s="42"/>
      <c r="AG2" s="42"/>
      <c r="AH2" s="28" t="s">
        <v>0</v>
      </c>
      <c r="AI2" s="2">
        <f>'Nombre campus'!C13</f>
        <v>1199</v>
      </c>
      <c r="AJ2" s="42"/>
      <c r="AK2" s="42"/>
      <c r="AL2" s="28" t="s">
        <v>0</v>
      </c>
      <c r="AM2" s="2">
        <f>'Nombre campus'!C14</f>
        <v>981</v>
      </c>
      <c r="AN2" s="42"/>
      <c r="AO2" s="42"/>
      <c r="AP2" s="28" t="s">
        <v>0</v>
      </c>
      <c r="AQ2" s="2">
        <f>'Nombre campus'!C15</f>
        <v>1445</v>
      </c>
      <c r="AR2" s="42"/>
      <c r="AS2" s="42"/>
      <c r="AT2" s="28" t="s">
        <v>0</v>
      </c>
      <c r="AU2" s="2">
        <f>'Nombre campus'!C16</f>
        <v>1278</v>
      </c>
      <c r="AV2" s="42"/>
      <c r="AW2" s="42"/>
      <c r="AX2" s="28" t="s">
        <v>0</v>
      </c>
      <c r="AY2" s="2">
        <f>'Nombre campus'!C17</f>
        <v>1199</v>
      </c>
      <c r="AZ2" s="42"/>
      <c r="BA2" s="42"/>
      <c r="BB2" s="28" t="s">
        <v>0</v>
      </c>
      <c r="BC2" s="2">
        <f>'Nombre campus'!C18</f>
        <v>1064</v>
      </c>
      <c r="BD2" s="42"/>
      <c r="BE2" s="42"/>
      <c r="BF2" s="28" t="s">
        <v>0</v>
      </c>
      <c r="BG2" s="2">
        <f>'Nombre campus'!C19</f>
        <v>1097</v>
      </c>
      <c r="BH2" s="42"/>
      <c r="BI2" s="42"/>
      <c r="BJ2" s="28" t="s">
        <v>0</v>
      </c>
      <c r="BK2" s="2">
        <f>'Nombre campus'!C20</f>
        <v>873</v>
      </c>
      <c r="BL2" s="42"/>
      <c r="BM2" s="42"/>
      <c r="BN2" s="28" t="s">
        <v>0</v>
      </c>
      <c r="BO2" s="2">
        <f>'Nombre campus'!C21</f>
        <v>1157</v>
      </c>
      <c r="BP2" s="42"/>
      <c r="BQ2" s="42"/>
      <c r="BR2" s="28" t="s">
        <v>0</v>
      </c>
      <c r="BS2" s="2">
        <f>'Nombre campus'!C22</f>
        <v>1223</v>
      </c>
    </row>
    <row r="3" spans="1:72" s="41" customFormat="1" x14ac:dyDescent="0.2">
      <c r="B3" s="28" t="s">
        <v>1</v>
      </c>
      <c r="C3" s="3">
        <v>0.2</v>
      </c>
      <c r="F3" s="28" t="s">
        <v>1</v>
      </c>
      <c r="G3" s="3">
        <v>0.15</v>
      </c>
      <c r="H3" s="42"/>
      <c r="I3" s="42"/>
      <c r="J3" s="28" t="s">
        <v>1</v>
      </c>
      <c r="K3" s="3">
        <f>G3</f>
        <v>0.15</v>
      </c>
      <c r="L3" s="42"/>
      <c r="M3" s="42"/>
      <c r="N3" s="28" t="s">
        <v>1</v>
      </c>
      <c r="O3" s="3">
        <f>G3</f>
        <v>0.15</v>
      </c>
      <c r="P3" s="42"/>
      <c r="Q3" s="42"/>
      <c r="R3" s="28" t="s">
        <v>1</v>
      </c>
      <c r="S3" s="3">
        <f>G3</f>
        <v>0.15</v>
      </c>
      <c r="T3" s="42"/>
      <c r="U3" s="42"/>
      <c r="V3" s="28" t="s">
        <v>1</v>
      </c>
      <c r="W3" s="3">
        <f>G3</f>
        <v>0.15</v>
      </c>
      <c r="X3" s="42"/>
      <c r="Y3" s="42"/>
      <c r="Z3" s="28" t="s">
        <v>1</v>
      </c>
      <c r="AA3" s="3">
        <f>G3</f>
        <v>0.15</v>
      </c>
      <c r="AB3" s="42"/>
      <c r="AC3" s="42"/>
      <c r="AD3" s="28" t="s">
        <v>1</v>
      </c>
      <c r="AE3" s="3">
        <f>G3</f>
        <v>0.15</v>
      </c>
      <c r="AF3" s="42"/>
      <c r="AG3" s="42"/>
      <c r="AH3" s="28" t="s">
        <v>1</v>
      </c>
      <c r="AI3" s="3">
        <f>G3</f>
        <v>0.15</v>
      </c>
      <c r="AJ3" s="42"/>
      <c r="AK3" s="42"/>
      <c r="AL3" s="28" t="s">
        <v>1</v>
      </c>
      <c r="AM3" s="3">
        <f>G3</f>
        <v>0.15</v>
      </c>
      <c r="AN3" s="42"/>
      <c r="AO3" s="42"/>
      <c r="AP3" s="28" t="s">
        <v>1</v>
      </c>
      <c r="AQ3" s="3">
        <f>G3</f>
        <v>0.15</v>
      </c>
      <c r="AR3" s="42"/>
      <c r="AS3" s="42"/>
      <c r="AT3" s="28" t="s">
        <v>1</v>
      </c>
      <c r="AU3" s="3">
        <f>G3</f>
        <v>0.15</v>
      </c>
      <c r="AV3" s="42"/>
      <c r="AW3" s="42"/>
      <c r="AX3" s="28" t="s">
        <v>1</v>
      </c>
      <c r="AY3" s="3">
        <f>G3</f>
        <v>0.15</v>
      </c>
      <c r="AZ3" s="42"/>
      <c r="BA3" s="42"/>
      <c r="BB3" s="28" t="s">
        <v>1</v>
      </c>
      <c r="BC3" s="3">
        <f>G3</f>
        <v>0.15</v>
      </c>
      <c r="BD3" s="42"/>
      <c r="BE3" s="42"/>
      <c r="BF3" s="28" t="s">
        <v>1</v>
      </c>
      <c r="BG3" s="3">
        <f>G3</f>
        <v>0.15</v>
      </c>
      <c r="BH3" s="42"/>
      <c r="BI3" s="42"/>
      <c r="BJ3" s="28" t="s">
        <v>1</v>
      </c>
      <c r="BK3" s="3">
        <f>G3</f>
        <v>0.15</v>
      </c>
      <c r="BL3" s="42"/>
      <c r="BM3" s="42"/>
      <c r="BN3" s="28" t="s">
        <v>1</v>
      </c>
      <c r="BO3" s="3">
        <f>G3</f>
        <v>0.15</v>
      </c>
      <c r="BP3" s="42"/>
      <c r="BQ3" s="42"/>
      <c r="BR3" s="28" t="s">
        <v>1</v>
      </c>
      <c r="BS3" s="3">
        <f>G3</f>
        <v>0.15</v>
      </c>
    </row>
    <row r="4" spans="1:72" s="41" customFormat="1" x14ac:dyDescent="0.2">
      <c r="B4" s="28" t="s">
        <v>2</v>
      </c>
      <c r="C4" s="2">
        <f>C2*C3</f>
        <v>100</v>
      </c>
      <c r="F4" s="28" t="s">
        <v>2</v>
      </c>
      <c r="G4" s="2">
        <f>G2*G3</f>
        <v>215.4</v>
      </c>
      <c r="H4" s="42"/>
      <c r="I4" s="42"/>
      <c r="J4" s="28" t="s">
        <v>2</v>
      </c>
      <c r="K4" s="2">
        <f>K2*K3</f>
        <v>150</v>
      </c>
      <c r="L4" s="42"/>
      <c r="M4" s="42"/>
      <c r="N4" s="28" t="s">
        <v>2</v>
      </c>
      <c r="O4" s="2">
        <f>O2*O3</f>
        <v>229.35</v>
      </c>
      <c r="P4" s="42"/>
      <c r="Q4" s="42"/>
      <c r="R4" s="28" t="s">
        <v>2</v>
      </c>
      <c r="S4" s="2">
        <f>S2*S3</f>
        <v>138.75</v>
      </c>
      <c r="T4" s="42"/>
      <c r="U4" s="42"/>
      <c r="V4" s="28" t="s">
        <v>2</v>
      </c>
      <c r="W4" s="2">
        <f>W2*W3</f>
        <v>225</v>
      </c>
      <c r="X4" s="42"/>
      <c r="Y4" s="42"/>
      <c r="Z4" s="28" t="s">
        <v>2</v>
      </c>
      <c r="AA4" s="2">
        <f>AA2*AA3</f>
        <v>270</v>
      </c>
      <c r="AB4" s="42"/>
      <c r="AC4" s="42"/>
      <c r="AD4" s="28" t="s">
        <v>2</v>
      </c>
      <c r="AE4" s="2">
        <f>AE2*AE3</f>
        <v>327</v>
      </c>
      <c r="AF4" s="42"/>
      <c r="AG4" s="42"/>
      <c r="AH4" s="28" t="s">
        <v>2</v>
      </c>
      <c r="AI4" s="2">
        <f>AI2*AI3</f>
        <v>179.85</v>
      </c>
      <c r="AJ4" s="42"/>
      <c r="AK4" s="42"/>
      <c r="AL4" s="28" t="s">
        <v>2</v>
      </c>
      <c r="AM4" s="2">
        <f>AM2*AM3</f>
        <v>147.15</v>
      </c>
      <c r="AN4" s="42"/>
      <c r="AO4" s="42"/>
      <c r="AP4" s="28" t="s">
        <v>2</v>
      </c>
      <c r="AQ4" s="2">
        <f>AQ2*AQ3</f>
        <v>216.75</v>
      </c>
      <c r="AR4" s="42"/>
      <c r="AS4" s="42"/>
      <c r="AT4" s="28" t="s">
        <v>2</v>
      </c>
      <c r="AU4" s="2">
        <f>AU2*AU3</f>
        <v>191.7</v>
      </c>
      <c r="AV4" s="42"/>
      <c r="AW4" s="42"/>
      <c r="AX4" s="28" t="s">
        <v>2</v>
      </c>
      <c r="AY4" s="2">
        <f>AY2*AY3</f>
        <v>179.85</v>
      </c>
      <c r="AZ4" s="42"/>
      <c r="BA4" s="42"/>
      <c r="BB4" s="28" t="s">
        <v>2</v>
      </c>
      <c r="BC4" s="2">
        <f>BC2*BC3</f>
        <v>159.6</v>
      </c>
      <c r="BD4" s="42"/>
      <c r="BE4" s="42"/>
      <c r="BF4" s="28" t="s">
        <v>2</v>
      </c>
      <c r="BG4" s="2">
        <f>BG2*BG3</f>
        <v>164.54999999999998</v>
      </c>
      <c r="BH4" s="42"/>
      <c r="BI4" s="42"/>
      <c r="BJ4" s="28" t="s">
        <v>2</v>
      </c>
      <c r="BK4" s="2">
        <f>BK2*BK3</f>
        <v>130.94999999999999</v>
      </c>
      <c r="BL4" s="42"/>
      <c r="BM4" s="42"/>
      <c r="BN4" s="28" t="s">
        <v>2</v>
      </c>
      <c r="BO4" s="2">
        <f>BO2*BO3</f>
        <v>173.54999999999998</v>
      </c>
      <c r="BP4" s="42"/>
      <c r="BQ4" s="42"/>
      <c r="BR4" s="28" t="s">
        <v>2</v>
      </c>
      <c r="BS4" s="2">
        <f>BS2*BS3</f>
        <v>183.45</v>
      </c>
    </row>
    <row r="5" spans="1:72" s="41" customFormat="1" x14ac:dyDescent="0.2">
      <c r="B5" s="28" t="s">
        <v>3</v>
      </c>
      <c r="C5" s="3">
        <v>0.04</v>
      </c>
      <c r="F5" s="28" t="s">
        <v>3</v>
      </c>
      <c r="G5" s="3">
        <v>0.04</v>
      </c>
      <c r="H5" s="42"/>
      <c r="I5" s="42"/>
      <c r="J5" s="28" t="s">
        <v>3</v>
      </c>
      <c r="K5" s="3">
        <f>G5</f>
        <v>0.04</v>
      </c>
      <c r="L5" s="42"/>
      <c r="M5" s="42"/>
      <c r="N5" s="28" t="s">
        <v>3</v>
      </c>
      <c r="O5" s="3">
        <f>G5</f>
        <v>0.04</v>
      </c>
      <c r="P5" s="42"/>
      <c r="Q5" s="42"/>
      <c r="R5" s="28" t="s">
        <v>3</v>
      </c>
      <c r="S5" s="3">
        <f>G5</f>
        <v>0.04</v>
      </c>
      <c r="T5" s="42"/>
      <c r="U5" s="42"/>
      <c r="V5" s="28" t="s">
        <v>3</v>
      </c>
      <c r="W5" s="3">
        <f>G5</f>
        <v>0.04</v>
      </c>
      <c r="X5" s="42"/>
      <c r="Y5" s="42"/>
      <c r="Z5" s="28" t="s">
        <v>3</v>
      </c>
      <c r="AA5" s="3">
        <f>G5</f>
        <v>0.04</v>
      </c>
      <c r="AB5" s="42"/>
      <c r="AC5" s="42"/>
      <c r="AD5" s="28" t="s">
        <v>3</v>
      </c>
      <c r="AE5" s="3">
        <f>G5</f>
        <v>0.04</v>
      </c>
      <c r="AF5" s="42"/>
      <c r="AG5" s="42"/>
      <c r="AH5" s="28" t="s">
        <v>3</v>
      </c>
      <c r="AI5" s="3">
        <f>G5</f>
        <v>0.04</v>
      </c>
      <c r="AJ5" s="42"/>
      <c r="AK5" s="42"/>
      <c r="AL5" s="28" t="s">
        <v>3</v>
      </c>
      <c r="AM5" s="3">
        <f>G5</f>
        <v>0.04</v>
      </c>
      <c r="AN5" s="42"/>
      <c r="AO5" s="42"/>
      <c r="AP5" s="28" t="s">
        <v>3</v>
      </c>
      <c r="AQ5" s="3">
        <f>G5</f>
        <v>0.04</v>
      </c>
      <c r="AR5" s="42"/>
      <c r="AS5" s="42"/>
      <c r="AT5" s="28" t="s">
        <v>3</v>
      </c>
      <c r="AU5" s="3">
        <f>G5</f>
        <v>0.04</v>
      </c>
      <c r="AV5" s="42"/>
      <c r="AW5" s="42"/>
      <c r="AX5" s="28" t="s">
        <v>3</v>
      </c>
      <c r="AY5" s="3">
        <f>G5</f>
        <v>0.04</v>
      </c>
      <c r="AZ5" s="42"/>
      <c r="BA5" s="42"/>
      <c r="BB5" s="28" t="s">
        <v>3</v>
      </c>
      <c r="BC5" s="3">
        <f>G5</f>
        <v>0.04</v>
      </c>
      <c r="BD5" s="42"/>
      <c r="BE5" s="42"/>
      <c r="BF5" s="28" t="s">
        <v>3</v>
      </c>
      <c r="BG5" s="3">
        <f>G5</f>
        <v>0.04</v>
      </c>
      <c r="BH5" s="42"/>
      <c r="BI5" s="42"/>
      <c r="BJ5" s="28" t="s">
        <v>3</v>
      </c>
      <c r="BK5" s="3">
        <f>G5</f>
        <v>0.04</v>
      </c>
      <c r="BL5" s="42"/>
      <c r="BM5" s="42"/>
      <c r="BN5" s="28" t="s">
        <v>3</v>
      </c>
      <c r="BO5" s="3">
        <f>G5</f>
        <v>0.04</v>
      </c>
      <c r="BP5" s="42"/>
      <c r="BQ5" s="42"/>
      <c r="BR5" s="28" t="s">
        <v>3</v>
      </c>
      <c r="BS5" s="3">
        <f>G5</f>
        <v>0.04</v>
      </c>
    </row>
    <row r="6" spans="1:72" x14ac:dyDescent="0.2">
      <c r="B6" s="28" t="s">
        <v>4</v>
      </c>
      <c r="C6" s="2">
        <f>C2*C5</f>
        <v>20</v>
      </c>
      <c r="F6" s="28" t="s">
        <v>4</v>
      </c>
      <c r="G6" s="2">
        <f>G2*G5</f>
        <v>57.44</v>
      </c>
      <c r="H6" s="42"/>
      <c r="I6" s="42"/>
      <c r="J6" s="28" t="s">
        <v>4</v>
      </c>
      <c r="K6" s="2">
        <f>K2*K5</f>
        <v>40</v>
      </c>
      <c r="L6" s="42"/>
      <c r="M6" s="42"/>
      <c r="N6" s="28" t="s">
        <v>4</v>
      </c>
      <c r="O6" s="2">
        <f>O2*O5</f>
        <v>61.160000000000004</v>
      </c>
      <c r="P6" s="42"/>
      <c r="Q6" s="42"/>
      <c r="R6" s="28" t="s">
        <v>4</v>
      </c>
      <c r="S6" s="2">
        <f>S2*S5</f>
        <v>37</v>
      </c>
      <c r="T6" s="42"/>
      <c r="U6" s="42"/>
      <c r="V6" s="28" t="s">
        <v>4</v>
      </c>
      <c r="W6" s="2">
        <f>W2*W5</f>
        <v>60</v>
      </c>
      <c r="X6" s="42"/>
      <c r="Y6" s="42"/>
      <c r="Z6" s="28" t="s">
        <v>4</v>
      </c>
      <c r="AA6" s="2">
        <f>AA2*AA5</f>
        <v>72</v>
      </c>
      <c r="AB6" s="42"/>
      <c r="AC6" s="42"/>
      <c r="AD6" s="28" t="s">
        <v>4</v>
      </c>
      <c r="AE6" s="2">
        <f>AE2*AE5</f>
        <v>87.2</v>
      </c>
      <c r="AF6" s="42"/>
      <c r="AG6" s="42"/>
      <c r="AH6" s="28" t="s">
        <v>4</v>
      </c>
      <c r="AI6" s="2">
        <f>AI2*AI5</f>
        <v>47.96</v>
      </c>
      <c r="AJ6" s="42"/>
      <c r="AK6" s="42"/>
      <c r="AL6" s="28" t="s">
        <v>4</v>
      </c>
      <c r="AM6" s="2">
        <f>AM2*AM5</f>
        <v>39.24</v>
      </c>
      <c r="AN6" s="42"/>
      <c r="AO6" s="42"/>
      <c r="AP6" s="28" t="s">
        <v>4</v>
      </c>
      <c r="AQ6" s="2">
        <f>AQ2*AQ5</f>
        <v>57.800000000000004</v>
      </c>
      <c r="AR6" s="42"/>
      <c r="AS6" s="42"/>
      <c r="AT6" s="28" t="s">
        <v>4</v>
      </c>
      <c r="AU6" s="2">
        <f>AU2*AU5</f>
        <v>51.120000000000005</v>
      </c>
      <c r="AV6" s="42"/>
      <c r="AW6" s="42"/>
      <c r="AX6" s="28" t="s">
        <v>4</v>
      </c>
      <c r="AY6" s="2">
        <f>AY2*AY5</f>
        <v>47.96</v>
      </c>
      <c r="AZ6" s="42"/>
      <c r="BA6" s="42"/>
      <c r="BB6" s="28" t="s">
        <v>4</v>
      </c>
      <c r="BC6" s="2">
        <f>BC2*BC5</f>
        <v>42.56</v>
      </c>
      <c r="BD6" s="42"/>
      <c r="BE6" s="42"/>
      <c r="BF6" s="28" t="s">
        <v>4</v>
      </c>
      <c r="BG6" s="2">
        <f>BG2*BG5</f>
        <v>43.88</v>
      </c>
      <c r="BH6" s="42"/>
      <c r="BI6" s="42"/>
      <c r="BJ6" s="28" t="s">
        <v>4</v>
      </c>
      <c r="BK6" s="2">
        <f>BK2*BK5</f>
        <v>34.92</v>
      </c>
      <c r="BL6" s="42"/>
      <c r="BM6" s="42"/>
      <c r="BN6" s="28" t="s">
        <v>4</v>
      </c>
      <c r="BO6" s="2">
        <f>BO2*BO5</f>
        <v>46.28</v>
      </c>
      <c r="BP6" s="42"/>
      <c r="BQ6" s="42"/>
      <c r="BR6" s="28" t="s">
        <v>4</v>
      </c>
      <c r="BS6" s="2">
        <f>BS2*BS5</f>
        <v>48.92</v>
      </c>
    </row>
    <row r="7" spans="1:72" s="41" customFormat="1" x14ac:dyDescent="0.2">
      <c r="B7" s="28" t="s">
        <v>5</v>
      </c>
      <c r="C7" s="2">
        <f>3*C6</f>
        <v>60</v>
      </c>
      <c r="F7" s="28" t="s">
        <v>5</v>
      </c>
      <c r="G7" s="2">
        <f>3*G6</f>
        <v>172.32</v>
      </c>
      <c r="H7" s="42"/>
      <c r="I7" s="42"/>
      <c r="J7" s="28" t="s">
        <v>5</v>
      </c>
      <c r="K7" s="2">
        <f>3*K6</f>
        <v>120</v>
      </c>
      <c r="L7" s="42"/>
      <c r="M7" s="42"/>
      <c r="N7" s="28" t="s">
        <v>5</v>
      </c>
      <c r="O7" s="2">
        <f>3*O6</f>
        <v>183.48000000000002</v>
      </c>
      <c r="P7" s="42"/>
      <c r="Q7" s="42"/>
      <c r="R7" s="28" t="s">
        <v>5</v>
      </c>
      <c r="S7" s="2">
        <f>3*S6</f>
        <v>111</v>
      </c>
      <c r="T7" s="42"/>
      <c r="U7" s="42"/>
      <c r="V7" s="28" t="s">
        <v>5</v>
      </c>
      <c r="W7" s="2">
        <f>3*W6</f>
        <v>180</v>
      </c>
      <c r="X7" s="42"/>
      <c r="Y7" s="42"/>
      <c r="Z7" s="28" t="s">
        <v>5</v>
      </c>
      <c r="AA7" s="2">
        <f>3*AA6</f>
        <v>216</v>
      </c>
      <c r="AB7" s="42"/>
      <c r="AC7" s="42"/>
      <c r="AD7" s="28" t="s">
        <v>5</v>
      </c>
      <c r="AE7" s="2">
        <f>3*AE6</f>
        <v>261.60000000000002</v>
      </c>
      <c r="AF7" s="42"/>
      <c r="AG7" s="42"/>
      <c r="AH7" s="28" t="s">
        <v>5</v>
      </c>
      <c r="AI7" s="2">
        <f>3*AI6</f>
        <v>143.88</v>
      </c>
      <c r="AJ7" s="42"/>
      <c r="AK7" s="42"/>
      <c r="AL7" s="28" t="s">
        <v>5</v>
      </c>
      <c r="AM7" s="2">
        <f>3*AM6</f>
        <v>117.72</v>
      </c>
      <c r="AN7" s="42"/>
      <c r="AO7" s="42"/>
      <c r="AP7" s="28" t="s">
        <v>5</v>
      </c>
      <c r="AQ7" s="2">
        <f>3*AQ6</f>
        <v>173.4</v>
      </c>
      <c r="AR7" s="42"/>
      <c r="AS7" s="42"/>
      <c r="AT7" s="28" t="s">
        <v>5</v>
      </c>
      <c r="AU7" s="2">
        <f>3*AU6</f>
        <v>153.36000000000001</v>
      </c>
      <c r="AV7" s="42"/>
      <c r="AW7" s="42"/>
      <c r="AX7" s="28" t="s">
        <v>5</v>
      </c>
      <c r="AY7" s="2">
        <f>3*AY6</f>
        <v>143.88</v>
      </c>
      <c r="AZ7" s="42"/>
      <c r="BA7" s="42"/>
      <c r="BB7" s="28" t="s">
        <v>5</v>
      </c>
      <c r="BC7" s="2">
        <f>3*BC6</f>
        <v>127.68</v>
      </c>
      <c r="BD7" s="42"/>
      <c r="BE7" s="42"/>
      <c r="BF7" s="28" t="s">
        <v>5</v>
      </c>
      <c r="BG7" s="2">
        <f>3*BG6</f>
        <v>131.64000000000001</v>
      </c>
      <c r="BH7" s="42"/>
      <c r="BI7" s="42"/>
      <c r="BJ7" s="28" t="s">
        <v>5</v>
      </c>
      <c r="BK7" s="2">
        <f>3*BK6</f>
        <v>104.76</v>
      </c>
      <c r="BL7" s="42"/>
      <c r="BM7" s="42"/>
      <c r="BN7" s="28" t="s">
        <v>5</v>
      </c>
      <c r="BO7" s="2">
        <f>3*BO6</f>
        <v>138.84</v>
      </c>
      <c r="BP7" s="42"/>
      <c r="BQ7" s="42"/>
      <c r="BR7" s="28" t="s">
        <v>5</v>
      </c>
      <c r="BS7" s="2">
        <f>3*BS6</f>
        <v>146.76</v>
      </c>
    </row>
    <row r="8" spans="1:72" s="41" customFormat="1" x14ac:dyDescent="0.2">
      <c r="B8" s="28" t="s">
        <v>6</v>
      </c>
      <c r="C8" s="4">
        <f>6*C6</f>
        <v>120</v>
      </c>
      <c r="F8" s="28" t="s">
        <v>6</v>
      </c>
      <c r="G8" s="4">
        <f>6*G6</f>
        <v>344.64</v>
      </c>
      <c r="H8" s="42"/>
      <c r="I8" s="42"/>
      <c r="J8" s="28" t="s">
        <v>6</v>
      </c>
      <c r="K8" s="4">
        <f>6*K6</f>
        <v>240</v>
      </c>
      <c r="L8" s="42"/>
      <c r="M8" s="42"/>
      <c r="N8" s="28" t="s">
        <v>6</v>
      </c>
      <c r="O8" s="4">
        <f>6*O6</f>
        <v>366.96000000000004</v>
      </c>
      <c r="P8" s="42"/>
      <c r="Q8" s="42"/>
      <c r="R8" s="28" t="s">
        <v>6</v>
      </c>
      <c r="S8" s="4">
        <f>6*S6</f>
        <v>222</v>
      </c>
      <c r="T8" s="42"/>
      <c r="U8" s="42"/>
      <c r="V8" s="28" t="s">
        <v>6</v>
      </c>
      <c r="W8" s="4">
        <f>6*W6</f>
        <v>360</v>
      </c>
      <c r="X8" s="42"/>
      <c r="Y8" s="42"/>
      <c r="Z8" s="28" t="s">
        <v>6</v>
      </c>
      <c r="AA8" s="4">
        <f>6*AA6</f>
        <v>432</v>
      </c>
      <c r="AB8" s="42"/>
      <c r="AC8" s="42"/>
      <c r="AD8" s="28" t="s">
        <v>6</v>
      </c>
      <c r="AE8" s="4">
        <f>6*AE6</f>
        <v>523.20000000000005</v>
      </c>
      <c r="AF8" s="42"/>
      <c r="AG8" s="42"/>
      <c r="AH8" s="28" t="s">
        <v>6</v>
      </c>
      <c r="AI8" s="4">
        <f>6*AI6</f>
        <v>287.76</v>
      </c>
      <c r="AJ8" s="42"/>
      <c r="AK8" s="42"/>
      <c r="AL8" s="28" t="s">
        <v>6</v>
      </c>
      <c r="AM8" s="4">
        <f>6*AM6</f>
        <v>235.44</v>
      </c>
      <c r="AN8" s="42"/>
      <c r="AO8" s="42"/>
      <c r="AP8" s="28" t="s">
        <v>6</v>
      </c>
      <c r="AQ8" s="4">
        <f>6*AQ6</f>
        <v>346.8</v>
      </c>
      <c r="AR8" s="42"/>
      <c r="AS8" s="42"/>
      <c r="AT8" s="28" t="s">
        <v>6</v>
      </c>
      <c r="AU8" s="4">
        <f>6*AU6</f>
        <v>306.72000000000003</v>
      </c>
      <c r="AV8" s="42"/>
      <c r="AW8" s="42"/>
      <c r="AX8" s="28" t="s">
        <v>6</v>
      </c>
      <c r="AY8" s="4">
        <f>6*AY6</f>
        <v>287.76</v>
      </c>
      <c r="AZ8" s="42"/>
      <c r="BA8" s="42"/>
      <c r="BB8" s="28" t="s">
        <v>6</v>
      </c>
      <c r="BC8" s="4">
        <f>6*BC6</f>
        <v>255.36</v>
      </c>
      <c r="BD8" s="42"/>
      <c r="BE8" s="42"/>
      <c r="BF8" s="28" t="s">
        <v>6</v>
      </c>
      <c r="BG8" s="4">
        <f>6*BG6</f>
        <v>263.28000000000003</v>
      </c>
      <c r="BH8" s="42"/>
      <c r="BI8" s="42"/>
      <c r="BJ8" s="28" t="s">
        <v>6</v>
      </c>
      <c r="BK8" s="4">
        <f>6*BK6</f>
        <v>209.52</v>
      </c>
      <c r="BL8" s="42"/>
      <c r="BM8" s="42"/>
      <c r="BN8" s="28" t="s">
        <v>6</v>
      </c>
      <c r="BO8" s="4">
        <f>6*BO6</f>
        <v>277.68</v>
      </c>
      <c r="BP8" s="42"/>
      <c r="BQ8" s="42"/>
      <c r="BR8" s="28" t="s">
        <v>6</v>
      </c>
      <c r="BS8" s="4">
        <f>6*BS6</f>
        <v>293.52</v>
      </c>
    </row>
    <row r="13" spans="1:72" x14ac:dyDescent="0.2">
      <c r="B13" s="47" t="str">
        <f>'Nombre campus'!B5</f>
        <v>G. Charpak</v>
      </c>
      <c r="C13" s="48"/>
      <c r="D13" s="27"/>
      <c r="E13" s="24"/>
      <c r="F13" s="47" t="str">
        <f>'Nombre campus'!B6</f>
        <v>Mines ICM</v>
      </c>
      <c r="G13" s="48"/>
      <c r="H13" s="27"/>
      <c r="I13" s="40"/>
      <c r="J13" s="51" t="str">
        <f>'Nombre campus'!B7</f>
        <v>Mines Albi</v>
      </c>
      <c r="K13" s="51"/>
      <c r="L13" s="49"/>
      <c r="M13" s="40"/>
      <c r="N13" s="47" t="str">
        <f>'Nombre campus'!B8</f>
        <v>Telecom Paris</v>
      </c>
      <c r="O13" s="48"/>
      <c r="P13" s="27"/>
      <c r="Q13" s="40"/>
      <c r="R13" s="47" t="str">
        <f>'Nombre campus'!B9</f>
        <v xml:space="preserve">Telecom sud Paris </v>
      </c>
      <c r="S13" s="48"/>
      <c r="T13" s="27"/>
      <c r="U13" s="40"/>
      <c r="V13" s="51" t="str">
        <f>'Nombre campus'!B10</f>
        <v>IMT Business school</v>
      </c>
      <c r="W13" s="51"/>
      <c r="X13" s="49"/>
      <c r="Y13" s="40"/>
      <c r="Z13" s="47" t="str">
        <f>'Nombre campus'!B11</f>
        <v>IMT Atlantique</v>
      </c>
      <c r="AA13" s="48"/>
      <c r="AB13" s="27"/>
      <c r="AC13" s="40"/>
      <c r="AD13" s="51" t="str">
        <f>'Nombre campus'!B12</f>
        <v>IMT Douai</v>
      </c>
      <c r="AE13" s="51"/>
      <c r="AF13" s="49"/>
      <c r="AG13" s="40"/>
      <c r="AH13" s="47" t="str">
        <f>'Nombre campus'!B13</f>
        <v>Campus 1</v>
      </c>
      <c r="AI13" s="48"/>
      <c r="AJ13" s="27"/>
      <c r="AK13" s="40"/>
      <c r="AL13" s="51" t="str">
        <f>'Nombre campus'!B14</f>
        <v>Campus 2</v>
      </c>
      <c r="AM13" s="51"/>
      <c r="AN13" s="49"/>
      <c r="AO13" s="40"/>
      <c r="AP13" s="47" t="str">
        <f>'Nombre campus'!B15</f>
        <v>Campus 3</v>
      </c>
      <c r="AQ13" s="48"/>
      <c r="AR13" s="27"/>
      <c r="AS13" s="40"/>
      <c r="AT13" s="47" t="str">
        <f>'Nombre campus'!B16</f>
        <v>Campus 4</v>
      </c>
      <c r="AU13" s="48"/>
      <c r="AV13" s="27"/>
      <c r="AW13" s="40"/>
      <c r="AX13" s="51" t="str">
        <f>'Nombre campus'!B17</f>
        <v>Campus 5</v>
      </c>
      <c r="AY13" s="51"/>
      <c r="AZ13" s="49"/>
      <c r="BA13" s="25"/>
      <c r="BB13" s="47" t="str">
        <f>'Nombre campus'!B18</f>
        <v>Campus 6</v>
      </c>
      <c r="BC13" s="48"/>
      <c r="BD13" s="27"/>
      <c r="BE13" s="40"/>
      <c r="BF13" s="51" t="str">
        <f>'Nombre campus'!B19</f>
        <v>Campus 7</v>
      </c>
      <c r="BG13" s="51"/>
      <c r="BH13" s="49"/>
      <c r="BI13" s="40"/>
      <c r="BJ13" s="47" t="str">
        <f>'Nombre campus'!B20</f>
        <v>Campus 8</v>
      </c>
      <c r="BK13" s="48"/>
      <c r="BL13" s="27"/>
      <c r="BM13" s="40"/>
      <c r="BN13" s="51" t="str">
        <f>'Nombre campus'!B21</f>
        <v>Campus 9</v>
      </c>
      <c r="BO13" s="51"/>
      <c r="BP13" s="49"/>
      <c r="BQ13" s="40"/>
      <c r="BR13" s="47" t="str">
        <f>'Nombre campus'!B22</f>
        <v>Campus 10</v>
      </c>
      <c r="BS13" s="48"/>
      <c r="BT13" s="27"/>
    </row>
    <row r="14" spans="1:72" x14ac:dyDescent="0.2">
      <c r="A14" s="31" t="s">
        <v>7</v>
      </c>
      <c r="B14" s="49" t="s">
        <v>8</v>
      </c>
      <c r="C14" s="10" t="s">
        <v>37</v>
      </c>
      <c r="D14" s="49" t="s">
        <v>9</v>
      </c>
      <c r="F14" s="49" t="s">
        <v>8</v>
      </c>
      <c r="G14" s="10" t="s">
        <v>37</v>
      </c>
      <c r="H14" s="49" t="s">
        <v>9</v>
      </c>
      <c r="J14" s="49" t="s">
        <v>8</v>
      </c>
      <c r="K14" s="10" t="s">
        <v>37</v>
      </c>
      <c r="L14" s="49" t="s">
        <v>9</v>
      </c>
      <c r="N14" s="49" t="s">
        <v>8</v>
      </c>
      <c r="O14" s="10" t="s">
        <v>37</v>
      </c>
      <c r="P14" s="49" t="s">
        <v>9</v>
      </c>
      <c r="R14" s="49" t="s">
        <v>8</v>
      </c>
      <c r="S14" s="10" t="s">
        <v>37</v>
      </c>
      <c r="T14" s="49" t="s">
        <v>9</v>
      </c>
      <c r="V14" s="49" t="s">
        <v>8</v>
      </c>
      <c r="W14" s="10" t="s">
        <v>37</v>
      </c>
      <c r="X14" s="49" t="s">
        <v>9</v>
      </c>
      <c r="Z14" s="49" t="s">
        <v>8</v>
      </c>
      <c r="AA14" s="10" t="s">
        <v>37</v>
      </c>
      <c r="AB14" s="49" t="s">
        <v>9</v>
      </c>
      <c r="AD14" s="49" t="s">
        <v>8</v>
      </c>
      <c r="AE14" s="10" t="s">
        <v>37</v>
      </c>
      <c r="AF14" s="49" t="s">
        <v>9</v>
      </c>
      <c r="AH14" s="49" t="s">
        <v>8</v>
      </c>
      <c r="AI14" s="10" t="s">
        <v>37</v>
      </c>
      <c r="AJ14" s="49" t="s">
        <v>9</v>
      </c>
      <c r="AL14" s="49" t="s">
        <v>8</v>
      </c>
      <c r="AM14" s="10" t="s">
        <v>37</v>
      </c>
      <c r="AN14" s="49" t="s">
        <v>9</v>
      </c>
      <c r="AP14" s="49" t="s">
        <v>8</v>
      </c>
      <c r="AQ14" s="10" t="s">
        <v>37</v>
      </c>
      <c r="AR14" s="49" t="s">
        <v>9</v>
      </c>
      <c r="AT14" s="49" t="s">
        <v>8</v>
      </c>
      <c r="AU14" s="10" t="s">
        <v>37</v>
      </c>
      <c r="AV14" s="49" t="s">
        <v>9</v>
      </c>
      <c r="AX14" s="49" t="s">
        <v>8</v>
      </c>
      <c r="AY14" s="10" t="s">
        <v>37</v>
      </c>
      <c r="AZ14" s="49" t="s">
        <v>9</v>
      </c>
      <c r="BB14" s="49" t="s">
        <v>8</v>
      </c>
      <c r="BC14" s="10" t="s">
        <v>37</v>
      </c>
      <c r="BD14" s="49" t="s">
        <v>9</v>
      </c>
      <c r="BF14" s="49" t="s">
        <v>8</v>
      </c>
      <c r="BG14" s="10" t="s">
        <v>37</v>
      </c>
      <c r="BH14" s="49" t="s">
        <v>9</v>
      </c>
      <c r="BJ14" s="49" t="s">
        <v>8</v>
      </c>
      <c r="BK14" s="10" t="s">
        <v>37</v>
      </c>
      <c r="BL14" s="49" t="s">
        <v>9</v>
      </c>
      <c r="BN14" s="49" t="s">
        <v>8</v>
      </c>
      <c r="BO14" s="10" t="s">
        <v>37</v>
      </c>
      <c r="BP14" s="49" t="s">
        <v>9</v>
      </c>
      <c r="BR14" s="49" t="s">
        <v>8</v>
      </c>
      <c r="BS14" s="10" t="s">
        <v>37</v>
      </c>
      <c r="BT14" s="49" t="s">
        <v>9</v>
      </c>
    </row>
    <row r="15" spans="1:72" x14ac:dyDescent="0.2">
      <c r="A15" s="22">
        <v>44562</v>
      </c>
      <c r="B15" s="50">
        <f t="shared" ref="B15:B269" ca="1" si="0">RAND()</f>
        <v>0.44972339558304142</v>
      </c>
      <c r="C15" s="8">
        <v>1</v>
      </c>
      <c r="D15" s="49">
        <v>0</v>
      </c>
      <c r="F15" s="50">
        <f t="shared" ref="F15:F269" ca="1" si="1">RAND()</f>
        <v>0.54337140396786687</v>
      </c>
      <c r="G15" s="8">
        <v>1</v>
      </c>
      <c r="H15" s="49">
        <v>0</v>
      </c>
      <c r="J15" s="50">
        <f t="shared" ref="J15:J269" ca="1" si="2">RAND()</f>
        <v>0.96731452153240183</v>
      </c>
      <c r="K15" s="8">
        <v>1</v>
      </c>
      <c r="L15" s="49">
        <v>0</v>
      </c>
      <c r="N15" s="50">
        <f t="shared" ref="N15:N269" ca="1" si="3">RAND()</f>
        <v>0.81716593058946785</v>
      </c>
      <c r="O15" s="8">
        <v>1</v>
      </c>
      <c r="P15" s="49">
        <v>0</v>
      </c>
      <c r="R15" s="50">
        <f t="shared" ref="R15:R269" ca="1" si="4">RAND()</f>
        <v>0.2314018798839097</v>
      </c>
      <c r="S15" s="8">
        <v>1</v>
      </c>
      <c r="T15" s="49">
        <v>0</v>
      </c>
      <c r="V15" s="50">
        <f t="shared" ref="V15:V269" ca="1" si="5">RAND()</f>
        <v>0.14753869282238674</v>
      </c>
      <c r="W15" s="8">
        <v>1</v>
      </c>
      <c r="X15" s="49">
        <v>0</v>
      </c>
      <c r="Z15" s="50">
        <f t="shared" ref="Z15:Z269" ca="1" si="6">RAND()</f>
        <v>0.2280153827806094</v>
      </c>
      <c r="AA15" s="8">
        <v>1</v>
      </c>
      <c r="AB15" s="49">
        <v>0</v>
      </c>
      <c r="AD15" s="50">
        <f t="shared" ref="AD15:AD269" ca="1" si="7">RAND()</f>
        <v>0.78998393218514984</v>
      </c>
      <c r="AE15" s="8">
        <v>1</v>
      </c>
      <c r="AF15" s="49">
        <v>0</v>
      </c>
      <c r="AH15" s="50">
        <f t="shared" ref="AH15:AH269" ca="1" si="8">RAND()</f>
        <v>0.28111417629557978</v>
      </c>
      <c r="AI15" s="8">
        <v>1</v>
      </c>
      <c r="AJ15" s="49">
        <v>0</v>
      </c>
      <c r="AL15" s="50">
        <f t="shared" ref="AL15:AL269" ca="1" si="9">RAND()</f>
        <v>0.22826689785917431</v>
      </c>
      <c r="AM15" s="8">
        <v>1</v>
      </c>
      <c r="AN15" s="49">
        <v>0</v>
      </c>
      <c r="AP15" s="50">
        <f t="shared" ref="AP15:AP269" ca="1" si="10">RAND()</f>
        <v>0.67273728232895735</v>
      </c>
      <c r="AQ15" s="8">
        <v>1</v>
      </c>
      <c r="AR15" s="49">
        <v>0</v>
      </c>
      <c r="AT15" s="50">
        <f t="shared" ref="AT15:AT269" ca="1" si="11">RAND()</f>
        <v>0.29599632846712909</v>
      </c>
      <c r="AU15" s="8">
        <v>1</v>
      </c>
      <c r="AV15" s="49">
        <v>0</v>
      </c>
      <c r="AX15" s="50">
        <f t="shared" ref="AX15:AX269" ca="1" si="12">RAND()</f>
        <v>5.1128329220177071E-2</v>
      </c>
      <c r="AY15" s="8">
        <v>1</v>
      </c>
      <c r="AZ15" s="49">
        <v>0</v>
      </c>
      <c r="BB15" s="50">
        <f t="shared" ref="BB15:BB269" ca="1" si="13">RAND()</f>
        <v>0.28482132792526449</v>
      </c>
      <c r="BC15" s="8">
        <v>1</v>
      </c>
      <c r="BD15" s="49">
        <v>0</v>
      </c>
      <c r="BF15" s="50">
        <f t="shared" ref="BF15:BF269" ca="1" si="14">RAND()</f>
        <v>0.31220763634306614</v>
      </c>
      <c r="BG15" s="8">
        <v>1</v>
      </c>
      <c r="BH15" s="49">
        <v>0</v>
      </c>
      <c r="BJ15" s="50">
        <f t="shared" ref="BJ15:BJ269" ca="1" si="15">RAND()</f>
        <v>0.23851810528839268</v>
      </c>
      <c r="BK15" s="8">
        <v>1</v>
      </c>
      <c r="BL15" s="49">
        <v>0</v>
      </c>
      <c r="BN15" s="50">
        <f t="shared" ref="BN15:BN269" ca="1" si="16">RAND()</f>
        <v>0.48463226326847353</v>
      </c>
      <c r="BO15" s="8">
        <v>1</v>
      </c>
      <c r="BP15" s="49">
        <v>0</v>
      </c>
      <c r="BR15" s="50">
        <f t="shared" ref="BR15:BR269" ca="1" si="17">RAND()</f>
        <v>0.27067896056463103</v>
      </c>
      <c r="BS15" s="8">
        <v>1</v>
      </c>
      <c r="BT15" s="49">
        <v>0</v>
      </c>
    </row>
    <row r="16" spans="1:72" x14ac:dyDescent="0.2">
      <c r="A16" s="22">
        <v>44563</v>
      </c>
      <c r="B16" s="50">
        <f t="shared" ca="1" si="0"/>
        <v>9.6985782883207472E-2</v>
      </c>
      <c r="C16" s="8">
        <v>1</v>
      </c>
      <c r="D16" s="49">
        <v>0</v>
      </c>
      <c r="F16" s="50">
        <f t="shared" ca="1" si="1"/>
        <v>0.85374547684286806</v>
      </c>
      <c r="G16" s="8">
        <v>1</v>
      </c>
      <c r="H16" s="49">
        <v>0</v>
      </c>
      <c r="J16" s="50">
        <f t="shared" ca="1" si="2"/>
        <v>0.94260256165618983</v>
      </c>
      <c r="K16" s="8">
        <v>1</v>
      </c>
      <c r="L16" s="49">
        <v>0</v>
      </c>
      <c r="N16" s="50">
        <f t="shared" ca="1" si="3"/>
        <v>0.29481515965880345</v>
      </c>
      <c r="O16" s="8">
        <v>1</v>
      </c>
      <c r="P16" s="49">
        <v>0</v>
      </c>
      <c r="R16" s="50">
        <f t="shared" ca="1" si="4"/>
        <v>0.50968274140555181</v>
      </c>
      <c r="S16" s="8">
        <v>1</v>
      </c>
      <c r="T16" s="49">
        <v>0</v>
      </c>
      <c r="V16" s="50">
        <f t="shared" ca="1" si="5"/>
        <v>0.1033206205748981</v>
      </c>
      <c r="W16" s="8">
        <v>1</v>
      </c>
      <c r="X16" s="49">
        <v>0</v>
      </c>
      <c r="Z16" s="50">
        <f t="shared" ca="1" si="6"/>
        <v>0.43041310742259919</v>
      </c>
      <c r="AA16" s="8">
        <v>1</v>
      </c>
      <c r="AB16" s="49">
        <v>0</v>
      </c>
      <c r="AD16" s="50">
        <f t="shared" ca="1" si="7"/>
        <v>0.58337871863297341</v>
      </c>
      <c r="AE16" s="8">
        <v>1</v>
      </c>
      <c r="AF16" s="49">
        <v>0</v>
      </c>
      <c r="AH16" s="50">
        <f t="shared" ca="1" si="8"/>
        <v>0.45623857081668551</v>
      </c>
      <c r="AI16" s="8">
        <v>1</v>
      </c>
      <c r="AJ16" s="49">
        <v>0</v>
      </c>
      <c r="AL16" s="50">
        <f t="shared" ca="1" si="9"/>
        <v>0.2686951748310793</v>
      </c>
      <c r="AM16" s="8">
        <v>1</v>
      </c>
      <c r="AN16" s="49">
        <v>0</v>
      </c>
      <c r="AP16" s="50">
        <f t="shared" ca="1" si="10"/>
        <v>0.98428746573946013</v>
      </c>
      <c r="AQ16" s="8">
        <v>1</v>
      </c>
      <c r="AR16" s="49">
        <v>0</v>
      </c>
      <c r="AT16" s="50">
        <f t="shared" ca="1" si="11"/>
        <v>0.46223797588594084</v>
      </c>
      <c r="AU16" s="8">
        <v>1</v>
      </c>
      <c r="AV16" s="49">
        <v>0</v>
      </c>
      <c r="AX16" s="50">
        <f t="shared" ca="1" si="12"/>
        <v>0.67260177044992453</v>
      </c>
      <c r="AY16" s="8">
        <v>1</v>
      </c>
      <c r="AZ16" s="49">
        <v>0</v>
      </c>
      <c r="BB16" s="50">
        <f t="shared" ca="1" si="13"/>
        <v>0.8773160889722964</v>
      </c>
      <c r="BC16" s="8">
        <v>1</v>
      </c>
      <c r="BD16" s="49">
        <v>0</v>
      </c>
      <c r="BF16" s="50">
        <f t="shared" ca="1" si="14"/>
        <v>0.93831511426284497</v>
      </c>
      <c r="BG16" s="8">
        <v>1</v>
      </c>
      <c r="BH16" s="49">
        <v>0</v>
      </c>
      <c r="BJ16" s="50">
        <f t="shared" ca="1" si="15"/>
        <v>0.45198458409365205</v>
      </c>
      <c r="BK16" s="8">
        <v>1</v>
      </c>
      <c r="BL16" s="49">
        <v>0</v>
      </c>
      <c r="BN16" s="50">
        <f t="shared" ca="1" si="16"/>
        <v>0.29720907841000066</v>
      </c>
      <c r="BO16" s="8">
        <v>1</v>
      </c>
      <c r="BP16" s="49">
        <v>0</v>
      </c>
      <c r="BR16" s="50">
        <f t="shared" ca="1" si="17"/>
        <v>5.9125324615793229E-2</v>
      </c>
      <c r="BS16" s="8">
        <v>1</v>
      </c>
      <c r="BT16" s="49">
        <v>0</v>
      </c>
    </row>
    <row r="17" spans="1:72" x14ac:dyDescent="0.2">
      <c r="A17" s="22">
        <v>44564</v>
      </c>
      <c r="B17" s="50">
        <f t="shared" ca="1" si="0"/>
        <v>0.71661210520275243</v>
      </c>
      <c r="C17" s="8">
        <v>1</v>
      </c>
      <c r="D17" s="49">
        <v>0</v>
      </c>
      <c r="F17" s="50">
        <f t="shared" ca="1" si="1"/>
        <v>0.19578631444701011</v>
      </c>
      <c r="G17" s="8">
        <v>1</v>
      </c>
      <c r="H17" s="49">
        <v>0</v>
      </c>
      <c r="J17" s="50">
        <f t="shared" ca="1" si="2"/>
        <v>0.11370640065604187</v>
      </c>
      <c r="K17" s="8">
        <v>1</v>
      </c>
      <c r="L17" s="49">
        <v>0</v>
      </c>
      <c r="N17" s="50">
        <f t="shared" ca="1" si="3"/>
        <v>0.1423078669388923</v>
      </c>
      <c r="O17" s="8">
        <v>1</v>
      </c>
      <c r="P17" s="49">
        <v>0</v>
      </c>
      <c r="R17" s="50">
        <f t="shared" ca="1" si="4"/>
        <v>0.78975419354749465</v>
      </c>
      <c r="S17" s="8">
        <v>1</v>
      </c>
      <c r="T17" s="49">
        <v>0</v>
      </c>
      <c r="V17" s="50">
        <f t="shared" ca="1" si="5"/>
        <v>0.23318465557077905</v>
      </c>
      <c r="W17" s="8">
        <v>1</v>
      </c>
      <c r="X17" s="49">
        <v>0</v>
      </c>
      <c r="Z17" s="50">
        <f t="shared" ca="1" si="6"/>
        <v>0.4110343381646232</v>
      </c>
      <c r="AA17" s="8">
        <v>1</v>
      </c>
      <c r="AB17" s="49">
        <v>0</v>
      </c>
      <c r="AD17" s="50">
        <f t="shared" ca="1" si="7"/>
        <v>6.39583758030422E-2</v>
      </c>
      <c r="AE17" s="8">
        <v>1</v>
      </c>
      <c r="AF17" s="49">
        <v>0</v>
      </c>
      <c r="AH17" s="50">
        <f t="shared" ca="1" si="8"/>
        <v>0.41035909219938604</v>
      </c>
      <c r="AI17" s="8">
        <v>1</v>
      </c>
      <c r="AJ17" s="49">
        <v>0</v>
      </c>
      <c r="AL17" s="50">
        <f t="shared" ca="1" si="9"/>
        <v>0.7369195401723071</v>
      </c>
      <c r="AM17" s="8">
        <v>1</v>
      </c>
      <c r="AN17" s="49">
        <v>0</v>
      </c>
      <c r="AP17" s="50">
        <f t="shared" ca="1" si="10"/>
        <v>0.18661696346498446</v>
      </c>
      <c r="AQ17" s="8">
        <v>1</v>
      </c>
      <c r="AR17" s="49">
        <v>0</v>
      </c>
      <c r="AT17" s="50">
        <f t="shared" ca="1" si="11"/>
        <v>0.12053136665647601</v>
      </c>
      <c r="AU17" s="8">
        <v>1</v>
      </c>
      <c r="AV17" s="49">
        <v>0</v>
      </c>
      <c r="AX17" s="50">
        <f t="shared" ca="1" si="12"/>
        <v>0.96536288375509116</v>
      </c>
      <c r="AY17" s="8">
        <v>1</v>
      </c>
      <c r="AZ17" s="49">
        <v>0</v>
      </c>
      <c r="BB17" s="50">
        <f t="shared" ca="1" si="13"/>
        <v>0.76869328023500105</v>
      </c>
      <c r="BC17" s="8">
        <v>1</v>
      </c>
      <c r="BD17" s="49">
        <v>0</v>
      </c>
      <c r="BF17" s="50">
        <f t="shared" ca="1" si="14"/>
        <v>0.23823429703609933</v>
      </c>
      <c r="BG17" s="8">
        <v>1</v>
      </c>
      <c r="BH17" s="49">
        <v>0</v>
      </c>
      <c r="BJ17" s="50">
        <f t="shared" ca="1" si="15"/>
        <v>0.407076741584113</v>
      </c>
      <c r="BK17" s="8">
        <v>1</v>
      </c>
      <c r="BL17" s="49">
        <v>0</v>
      </c>
      <c r="BN17" s="50">
        <f t="shared" ca="1" si="16"/>
        <v>0.67700729834449247</v>
      </c>
      <c r="BO17" s="8">
        <v>1</v>
      </c>
      <c r="BP17" s="49">
        <v>0</v>
      </c>
      <c r="BR17" s="50">
        <f t="shared" ca="1" si="17"/>
        <v>0.67392842371108264</v>
      </c>
      <c r="BS17" s="8">
        <v>1</v>
      </c>
      <c r="BT17" s="49">
        <v>0</v>
      </c>
    </row>
    <row r="18" spans="1:72" x14ac:dyDescent="0.2">
      <c r="A18" s="22">
        <v>44565</v>
      </c>
      <c r="B18" s="50">
        <f t="shared" ca="1" si="0"/>
        <v>0.45162369152249215</v>
      </c>
      <c r="C18" s="8">
        <v>0.8</v>
      </c>
      <c r="D18" s="49">
        <f ca="1">ROUNDUP(_xlfn.NORM.INV(B18,C$4*C18,C$6*C18),0)</f>
        <v>79</v>
      </c>
      <c r="F18" s="50">
        <f t="shared" ca="1" si="1"/>
        <v>0.26409777310971172</v>
      </c>
      <c r="G18" s="8">
        <v>0.8</v>
      </c>
      <c r="H18" s="49">
        <f ca="1">ROUNDUP(_xlfn.NORM.INV(F18,G$4*G18,G$6*G18),0)</f>
        <v>144</v>
      </c>
      <c r="J18" s="50">
        <f t="shared" ca="1" si="2"/>
        <v>0.10617221142588895</v>
      </c>
      <c r="K18" s="8">
        <v>0.8</v>
      </c>
      <c r="L18" s="49">
        <f ca="1">ROUNDUP(_xlfn.NORM.INV(J18,K$4*K18,K$6*K18),0)</f>
        <v>81</v>
      </c>
      <c r="N18" s="50">
        <f t="shared" ca="1" si="3"/>
        <v>0.34180213652902169</v>
      </c>
      <c r="O18" s="8">
        <v>0.8</v>
      </c>
      <c r="P18" s="49">
        <f ca="1">ROUNDUP(_xlfn.NORM.INV(N18,O$4*O18,O$6*O18),0)</f>
        <v>164</v>
      </c>
      <c r="R18" s="50">
        <f t="shared" ca="1" si="4"/>
        <v>0.22991712715569657</v>
      </c>
      <c r="S18" s="8">
        <v>0.8</v>
      </c>
      <c r="T18" s="49">
        <f ca="1">ROUNDUP(_xlfn.NORM.INV(R18,S$4*S18,S$6*S18),0)</f>
        <v>90</v>
      </c>
      <c r="V18" s="50">
        <f t="shared" ca="1" si="5"/>
        <v>0.77900448182738447</v>
      </c>
      <c r="W18" s="8">
        <v>0.8</v>
      </c>
      <c r="X18" s="49">
        <f ca="1">ROUNDUP(_xlfn.NORM.INV(V18,W$4*W18,W$6*W18),0)</f>
        <v>217</v>
      </c>
      <c r="Z18" s="50">
        <f t="shared" ca="1" si="6"/>
        <v>0.48273873747076468</v>
      </c>
      <c r="AA18" s="8">
        <v>0.8</v>
      </c>
      <c r="AB18" s="49">
        <f ca="1">ROUNDUP(_xlfn.NORM.INV(Z18,AA$4*AA18,AA$6*AA18),0)</f>
        <v>214</v>
      </c>
      <c r="AD18" s="50">
        <f t="shared" ca="1" si="7"/>
        <v>0.95230866697479866</v>
      </c>
      <c r="AE18" s="8">
        <v>0.8</v>
      </c>
      <c r="AF18" s="49">
        <f ca="1">ROUNDUP(_xlfn.NORM.INV(AD18,AE$4*AE18,AE$6*AE18),0)</f>
        <v>378</v>
      </c>
      <c r="AH18" s="50">
        <f t="shared" ca="1" si="8"/>
        <v>0.22503546432443378</v>
      </c>
      <c r="AI18" s="8">
        <v>0.8</v>
      </c>
      <c r="AJ18" s="49">
        <f ca="1">ROUNDUP(_xlfn.NORM.INV(AH18,AI$4*AI18,AI$6*AI18),0)</f>
        <v>115</v>
      </c>
      <c r="AL18" s="50">
        <f t="shared" ca="1" si="9"/>
        <v>0.30678868853698871</v>
      </c>
      <c r="AM18" s="8">
        <v>0.8</v>
      </c>
      <c r="AN18" s="49">
        <f ca="1">ROUNDUP(_xlfn.NORM.INV(AL18,AM$4*AM18,AM$6*AM18),0)</f>
        <v>102</v>
      </c>
      <c r="AP18" s="50">
        <f t="shared" ca="1" si="10"/>
        <v>5.0148518266613484E-2</v>
      </c>
      <c r="AQ18" s="8">
        <v>0.8</v>
      </c>
      <c r="AR18" s="49">
        <f ca="1">ROUNDUP(_xlfn.NORM.INV(AP18,AQ$4*AQ18,AQ$6*AQ18),0)</f>
        <v>98</v>
      </c>
      <c r="AT18" s="50">
        <f t="shared" ca="1" si="11"/>
        <v>0.23808651305885664</v>
      </c>
      <c r="AU18" s="8">
        <v>0.8</v>
      </c>
      <c r="AV18" s="49">
        <f ca="1">ROUNDUP(_xlfn.NORM.INV(AT18,AU$4*AU18,AU$6*AU18),0)</f>
        <v>125</v>
      </c>
      <c r="AX18" s="50">
        <f t="shared" ca="1" si="12"/>
        <v>0.69149154309664307</v>
      </c>
      <c r="AY18" s="8">
        <v>0.8</v>
      </c>
      <c r="AZ18" s="49">
        <f ca="1">ROUNDUP(_xlfn.NORM.INV(AX18,AY$4*AY18,AY$6*AY18),0)</f>
        <v>164</v>
      </c>
      <c r="BB18" s="50">
        <f t="shared" ca="1" si="13"/>
        <v>0.80596686827845376</v>
      </c>
      <c r="BC18" s="8">
        <v>0.8</v>
      </c>
      <c r="BD18" s="49">
        <f ca="1">ROUNDUP(_xlfn.NORM.INV(BB18,BC$4*BC18,BC$6*BC18),0)</f>
        <v>158</v>
      </c>
      <c r="BF18" s="50">
        <f t="shared" ca="1" si="14"/>
        <v>0.85173082539955169</v>
      </c>
      <c r="BG18" s="8">
        <v>0.8</v>
      </c>
      <c r="BH18" s="49">
        <f ca="1">ROUNDUP(_xlfn.NORM.INV(BF18,BG$4*BG18,BG$6*BG18),0)</f>
        <v>169</v>
      </c>
      <c r="BJ18" s="50">
        <f t="shared" ca="1" si="15"/>
        <v>0.70219070285003238</v>
      </c>
      <c r="BK18" s="8">
        <v>0.8</v>
      </c>
      <c r="BL18" s="49">
        <f ca="1">ROUNDUP(_xlfn.NORM.INV(BJ18,BK$4*BK18,BK$6*BK18),0)</f>
        <v>120</v>
      </c>
      <c r="BN18" s="50">
        <f t="shared" ca="1" si="16"/>
        <v>0.3116387189545019</v>
      </c>
      <c r="BO18" s="8">
        <v>0.8</v>
      </c>
      <c r="BP18" s="49">
        <f ca="1">ROUNDUP(_xlfn.NORM.INV(BN18,BO$4*BO18,BO$6*BO18),0)</f>
        <v>121</v>
      </c>
      <c r="BR18" s="50">
        <f t="shared" ca="1" si="17"/>
        <v>0.63996169277626058</v>
      </c>
      <c r="BS18" s="8">
        <v>0.8</v>
      </c>
      <c r="BT18" s="49">
        <f ca="1">ROUNDUP(_xlfn.NORM.INV(BR18,BS$4*BS18,BS$6*BS18),0)</f>
        <v>161</v>
      </c>
    </row>
    <row r="19" spans="1:72" x14ac:dyDescent="0.2">
      <c r="A19" s="22">
        <v>44566</v>
      </c>
      <c r="B19" s="50">
        <f t="shared" ca="1" si="0"/>
        <v>0.70880134854851484</v>
      </c>
      <c r="C19" s="8">
        <v>0.8</v>
      </c>
      <c r="D19" s="49">
        <f t="shared" ref="D19:D50" ca="1" si="18">ROUNDUP(_xlfn.NORM.INV(B19,C$4*C19,C$6*C19),0)</f>
        <v>89</v>
      </c>
      <c r="F19" s="50">
        <f t="shared" ca="1" si="1"/>
        <v>0.50150023431104407</v>
      </c>
      <c r="G19" s="8">
        <v>0.8</v>
      </c>
      <c r="H19" s="49">
        <f t="shared" ref="H19:H46" ca="1" si="19">ROUNDUP(_xlfn.NORM.INV(F19,G$4*G19,G$6*G19),0)</f>
        <v>173</v>
      </c>
      <c r="J19" s="50">
        <f t="shared" ca="1" si="2"/>
        <v>0.42560083743652433</v>
      </c>
      <c r="K19" s="8">
        <v>0.8</v>
      </c>
      <c r="L19" s="49">
        <f t="shared" ref="L19:L46" ca="1" si="20">ROUNDUP(_xlfn.NORM.INV(J19,K$4*K19,K$6*K19),0)</f>
        <v>114</v>
      </c>
      <c r="N19" s="50">
        <f t="shared" ca="1" si="3"/>
        <v>0.72844053184685242</v>
      </c>
      <c r="O19" s="8">
        <v>0.8</v>
      </c>
      <c r="P19" s="49">
        <f t="shared" ref="P19:P46" ca="1" si="21">ROUNDUP(_xlfn.NORM.INV(N19,O$4*O19,O$6*O19),0)</f>
        <v>214</v>
      </c>
      <c r="R19" s="50">
        <f t="shared" ca="1" si="4"/>
        <v>0.82661235833842195</v>
      </c>
      <c r="S19" s="8">
        <v>0.8</v>
      </c>
      <c r="T19" s="49">
        <f t="shared" ref="T19:T46" ca="1" si="22">ROUNDUP(_xlfn.NORM.INV(R19,S$4*S19,S$6*S19),0)</f>
        <v>139</v>
      </c>
      <c r="V19" s="50">
        <f t="shared" ca="1" si="5"/>
        <v>0.32811147503021909</v>
      </c>
      <c r="W19" s="8">
        <v>0.8</v>
      </c>
      <c r="X19" s="49">
        <f t="shared" ref="X19:X46" ca="1" si="23">ROUNDUP(_xlfn.NORM.INV(V19,W$4*W19,W$6*W19),0)</f>
        <v>159</v>
      </c>
      <c r="Z19" s="50">
        <f t="shared" ca="1" si="6"/>
        <v>0.89668912122650746</v>
      </c>
      <c r="AA19" s="8">
        <v>0.8</v>
      </c>
      <c r="AB19" s="49">
        <f t="shared" ref="AB19:AB46" ca="1" si="24">ROUNDUP(_xlfn.NORM.INV(Z19,AA$4*AA19,AA$6*AA19),0)</f>
        <v>289</v>
      </c>
      <c r="AD19" s="50">
        <f t="shared" ca="1" si="7"/>
        <v>0.50805673113565697</v>
      </c>
      <c r="AE19" s="8">
        <v>0.8</v>
      </c>
      <c r="AF19" s="49">
        <f t="shared" ref="AF19:AF46" ca="1" si="25">ROUNDUP(_xlfn.NORM.INV(AD19,AE$4*AE19,AE$6*AE19),0)</f>
        <v>264</v>
      </c>
      <c r="AH19" s="50">
        <f t="shared" ca="1" si="8"/>
        <v>0.50382098101669748</v>
      </c>
      <c r="AI19" s="8">
        <v>0.8</v>
      </c>
      <c r="AJ19" s="49">
        <f t="shared" ref="AJ19:AJ46" ca="1" si="26">ROUNDUP(_xlfn.NORM.INV(AH19,AI$4*AI19,AI$6*AI19),0)</f>
        <v>145</v>
      </c>
      <c r="AL19" s="50">
        <f t="shared" ca="1" si="9"/>
        <v>0.19435352783246107</v>
      </c>
      <c r="AM19" s="8">
        <v>0.8</v>
      </c>
      <c r="AN19" s="49">
        <f t="shared" ref="AN19:AN46" ca="1" si="27">ROUNDUP(_xlfn.NORM.INV(AL19,AM$4*AM19,AM$6*AM19),0)</f>
        <v>91</v>
      </c>
      <c r="AP19" s="50">
        <f t="shared" ca="1" si="10"/>
        <v>4.2458644594619677E-2</v>
      </c>
      <c r="AQ19" s="8">
        <v>0.8</v>
      </c>
      <c r="AR19" s="49">
        <f t="shared" ref="AR19:AR46" ca="1" si="28">ROUNDUP(_xlfn.NORM.INV(AP19,AQ$4*AQ19,AQ$6*AQ19),0)</f>
        <v>94</v>
      </c>
      <c r="AT19" s="50">
        <f t="shared" ca="1" si="11"/>
        <v>0.38874276926210083</v>
      </c>
      <c r="AU19" s="8">
        <v>0.8</v>
      </c>
      <c r="AV19" s="49">
        <f t="shared" ref="AV19:AV46" ca="1" si="29">ROUNDUP(_xlfn.NORM.INV(AT19,AU$4*AU19,AU$6*AU19),0)</f>
        <v>142</v>
      </c>
      <c r="AX19" s="50">
        <f t="shared" ca="1" si="12"/>
        <v>0.48523814533287346</v>
      </c>
      <c r="AY19" s="8">
        <v>0.8</v>
      </c>
      <c r="AZ19" s="49">
        <f t="shared" ref="AZ19:AZ46" ca="1" si="30">ROUNDUP(_xlfn.NORM.INV(AX19,AY$4*AY19,AY$6*AY19),0)</f>
        <v>143</v>
      </c>
      <c r="BB19" s="50">
        <f t="shared" ca="1" si="13"/>
        <v>0.19569415408564961</v>
      </c>
      <c r="BC19" s="8">
        <v>0.8</v>
      </c>
      <c r="BD19" s="49">
        <f t="shared" ref="BD19:BD46" ca="1" si="31">ROUNDUP(_xlfn.NORM.INV(BB19,BC$4*BC19,BC$6*BC19),0)</f>
        <v>99</v>
      </c>
      <c r="BF19" s="50">
        <f t="shared" ca="1" si="14"/>
        <v>8.9396630529375964E-2</v>
      </c>
      <c r="BG19" s="8">
        <v>0.8</v>
      </c>
      <c r="BH19" s="49">
        <f t="shared" ref="BH19:BH46" ca="1" si="32">ROUNDUP(_xlfn.NORM.INV(BF19,BG$4*BG19,BG$6*BG19),0)</f>
        <v>85</v>
      </c>
      <c r="BJ19" s="50">
        <f t="shared" ca="1" si="15"/>
        <v>3.5466572297409571E-2</v>
      </c>
      <c r="BK19" s="8">
        <v>0.8</v>
      </c>
      <c r="BL19" s="49">
        <f t="shared" ref="BL19:BL46" ca="1" si="33">ROUNDUP(_xlfn.NORM.INV(BJ19,BK$4*BK19,BK$6*BK19),0)</f>
        <v>55</v>
      </c>
      <c r="BN19" s="50">
        <f t="shared" ca="1" si="16"/>
        <v>0.11114191743395208</v>
      </c>
      <c r="BO19" s="8">
        <v>0.8</v>
      </c>
      <c r="BP19" s="49">
        <f t="shared" ref="BP19:BP46" ca="1" si="34">ROUNDUP(_xlfn.NORM.INV(BN19,BO$4*BO19,BO$6*BO19),0)</f>
        <v>94</v>
      </c>
      <c r="BR19" s="50">
        <f t="shared" ca="1" si="17"/>
        <v>0.65329029065555622</v>
      </c>
      <c r="BS19" s="8">
        <v>0.8</v>
      </c>
      <c r="BT19" s="49">
        <f t="shared" ref="BT19:BT46" ca="1" si="35">ROUNDUP(_xlfn.NORM.INV(BR19,BS$4*BS19,BS$6*BS19),0)</f>
        <v>163</v>
      </c>
    </row>
    <row r="20" spans="1:72" x14ac:dyDescent="0.2">
      <c r="A20" s="22">
        <v>44567</v>
      </c>
      <c r="B20" s="50">
        <f t="shared" ca="1" si="0"/>
        <v>0.56665784972554201</v>
      </c>
      <c r="C20" s="8">
        <v>0.8</v>
      </c>
      <c r="D20" s="49">
        <f t="shared" ca="1" si="18"/>
        <v>83</v>
      </c>
      <c r="F20" s="50">
        <f t="shared" ca="1" si="1"/>
        <v>0.42371851138539895</v>
      </c>
      <c r="G20" s="8">
        <v>0.8</v>
      </c>
      <c r="H20" s="49">
        <f t="shared" ca="1" si="19"/>
        <v>164</v>
      </c>
      <c r="J20" s="50">
        <f t="shared" ca="1" si="2"/>
        <v>0.21466872353530575</v>
      </c>
      <c r="K20" s="8">
        <v>0.8</v>
      </c>
      <c r="L20" s="49">
        <f t="shared" ca="1" si="20"/>
        <v>95</v>
      </c>
      <c r="N20" s="50">
        <f t="shared" ca="1" si="3"/>
        <v>0.55056539521204251</v>
      </c>
      <c r="O20" s="8">
        <v>0.8</v>
      </c>
      <c r="P20" s="49">
        <f t="shared" ca="1" si="21"/>
        <v>190</v>
      </c>
      <c r="R20" s="50">
        <f t="shared" ca="1" si="4"/>
        <v>0.26794721142057865</v>
      </c>
      <c r="S20" s="8">
        <v>0.8</v>
      </c>
      <c r="T20" s="49">
        <f t="shared" ca="1" si="22"/>
        <v>93</v>
      </c>
      <c r="V20" s="50">
        <f t="shared" ca="1" si="5"/>
        <v>0.10517121478131841</v>
      </c>
      <c r="W20" s="8">
        <v>0.8</v>
      </c>
      <c r="X20" s="49">
        <f t="shared" ca="1" si="23"/>
        <v>120</v>
      </c>
      <c r="Z20" s="50">
        <f t="shared" ca="1" si="6"/>
        <v>0.85328292734798894</v>
      </c>
      <c r="AA20" s="8">
        <v>0.8</v>
      </c>
      <c r="AB20" s="49">
        <f t="shared" ca="1" si="24"/>
        <v>277</v>
      </c>
      <c r="AD20" s="50">
        <f t="shared" ca="1" si="7"/>
        <v>0.75299838465470237</v>
      </c>
      <c r="AE20" s="8">
        <v>0.8</v>
      </c>
      <c r="AF20" s="49">
        <f t="shared" ca="1" si="25"/>
        <v>310</v>
      </c>
      <c r="AH20" s="50">
        <f t="shared" ca="1" si="8"/>
        <v>2.9098633602332447E-3</v>
      </c>
      <c r="AI20" s="8">
        <v>0.8</v>
      </c>
      <c r="AJ20" s="49">
        <f t="shared" ca="1" si="26"/>
        <v>39</v>
      </c>
      <c r="AL20" s="50">
        <f t="shared" ca="1" si="9"/>
        <v>0.81546921162687203</v>
      </c>
      <c r="AM20" s="8">
        <v>0.8</v>
      </c>
      <c r="AN20" s="49">
        <f t="shared" ca="1" si="27"/>
        <v>146</v>
      </c>
      <c r="AP20" s="50">
        <f t="shared" ca="1" si="10"/>
        <v>0.53024092641137133</v>
      </c>
      <c r="AQ20" s="8">
        <v>0.8</v>
      </c>
      <c r="AR20" s="49">
        <f t="shared" ca="1" si="28"/>
        <v>177</v>
      </c>
      <c r="AT20" s="50">
        <f t="shared" ca="1" si="11"/>
        <v>0.35513792075169781</v>
      </c>
      <c r="AU20" s="8">
        <v>0.8</v>
      </c>
      <c r="AV20" s="49">
        <f t="shared" ca="1" si="29"/>
        <v>139</v>
      </c>
      <c r="AX20" s="50">
        <f t="shared" ca="1" si="12"/>
        <v>0.85930978380459488</v>
      </c>
      <c r="AY20" s="8">
        <v>0.8</v>
      </c>
      <c r="AZ20" s="49">
        <f t="shared" ca="1" si="30"/>
        <v>186</v>
      </c>
      <c r="BB20" s="50">
        <f t="shared" ca="1" si="13"/>
        <v>0.2445183715484196</v>
      </c>
      <c r="BC20" s="8">
        <v>0.8</v>
      </c>
      <c r="BD20" s="49">
        <f t="shared" ca="1" si="31"/>
        <v>105</v>
      </c>
      <c r="BF20" s="50">
        <f t="shared" ca="1" si="14"/>
        <v>0.30657227688041178</v>
      </c>
      <c r="BG20" s="8">
        <v>0.8</v>
      </c>
      <c r="BH20" s="49">
        <f t="shared" ca="1" si="32"/>
        <v>114</v>
      </c>
      <c r="BJ20" s="50">
        <f t="shared" ca="1" si="15"/>
        <v>0.23608428818167893</v>
      </c>
      <c r="BK20" s="8">
        <v>0.8</v>
      </c>
      <c r="BL20" s="49">
        <f t="shared" ca="1" si="33"/>
        <v>85</v>
      </c>
      <c r="BN20" s="50">
        <f t="shared" ca="1" si="16"/>
        <v>0.95307504570252299</v>
      </c>
      <c r="BO20" s="8">
        <v>0.8</v>
      </c>
      <c r="BP20" s="49">
        <f t="shared" ca="1" si="34"/>
        <v>201</v>
      </c>
      <c r="BR20" s="50">
        <f t="shared" ca="1" si="17"/>
        <v>0.10300620894151236</v>
      </c>
      <c r="BS20" s="8">
        <v>0.8</v>
      </c>
      <c r="BT20" s="49">
        <f t="shared" ca="1" si="35"/>
        <v>98</v>
      </c>
    </row>
    <row r="21" spans="1:72" x14ac:dyDescent="0.2">
      <c r="A21" s="22">
        <v>44568</v>
      </c>
      <c r="B21" s="50">
        <f t="shared" ca="1" si="0"/>
        <v>0.38505179222057251</v>
      </c>
      <c r="C21" s="8">
        <v>0.8</v>
      </c>
      <c r="D21" s="49">
        <f t="shared" ca="1" si="18"/>
        <v>76</v>
      </c>
      <c r="F21" s="50">
        <f t="shared" ca="1" si="1"/>
        <v>0.20124137259157482</v>
      </c>
      <c r="G21" s="8">
        <v>0.8</v>
      </c>
      <c r="H21" s="49">
        <f t="shared" ca="1" si="19"/>
        <v>134</v>
      </c>
      <c r="J21" s="50">
        <f t="shared" ca="1" si="2"/>
        <v>0.48147624961820945</v>
      </c>
      <c r="K21" s="8">
        <v>0.8</v>
      </c>
      <c r="L21" s="49">
        <f t="shared" ca="1" si="20"/>
        <v>119</v>
      </c>
      <c r="N21" s="50">
        <f t="shared" ca="1" si="3"/>
        <v>0.92159050598545633</v>
      </c>
      <c r="O21" s="8">
        <v>0.8</v>
      </c>
      <c r="P21" s="49">
        <f t="shared" ca="1" si="21"/>
        <v>253</v>
      </c>
      <c r="R21" s="50">
        <f t="shared" ca="1" si="4"/>
        <v>0.4174143165771439</v>
      </c>
      <c r="S21" s="8">
        <v>0.8</v>
      </c>
      <c r="T21" s="49">
        <f t="shared" ca="1" si="22"/>
        <v>105</v>
      </c>
      <c r="V21" s="50">
        <f t="shared" ca="1" si="5"/>
        <v>0.3452533662896351</v>
      </c>
      <c r="W21" s="8">
        <v>0.8</v>
      </c>
      <c r="X21" s="49">
        <f t="shared" ca="1" si="23"/>
        <v>161</v>
      </c>
      <c r="Z21" s="50">
        <f t="shared" ca="1" si="6"/>
        <v>0.85845139283290295</v>
      </c>
      <c r="AA21" s="8">
        <v>0.8</v>
      </c>
      <c r="AB21" s="49">
        <f t="shared" ca="1" si="24"/>
        <v>278</v>
      </c>
      <c r="AD21" s="50">
        <f t="shared" ca="1" si="7"/>
        <v>0.61357481512032241</v>
      </c>
      <c r="AE21" s="8">
        <v>0.8</v>
      </c>
      <c r="AF21" s="49">
        <f t="shared" ca="1" si="25"/>
        <v>282</v>
      </c>
      <c r="AH21" s="50">
        <f t="shared" ca="1" si="8"/>
        <v>6.8493552594250273E-2</v>
      </c>
      <c r="AI21" s="8">
        <v>0.8</v>
      </c>
      <c r="AJ21" s="49">
        <f t="shared" ca="1" si="26"/>
        <v>87</v>
      </c>
      <c r="AL21" s="50">
        <f t="shared" ca="1" si="9"/>
        <v>0.54687991244070688</v>
      </c>
      <c r="AM21" s="8">
        <v>0.8</v>
      </c>
      <c r="AN21" s="49">
        <f t="shared" ca="1" si="27"/>
        <v>122</v>
      </c>
      <c r="AP21" s="50">
        <f t="shared" ca="1" si="10"/>
        <v>0.98017099922580797</v>
      </c>
      <c r="AQ21" s="8">
        <v>0.8</v>
      </c>
      <c r="AR21" s="49">
        <f t="shared" ca="1" si="28"/>
        <v>269</v>
      </c>
      <c r="AT21" s="50">
        <f t="shared" ca="1" si="11"/>
        <v>0.87923923583351171</v>
      </c>
      <c r="AU21" s="8">
        <v>0.8</v>
      </c>
      <c r="AV21" s="49">
        <f t="shared" ca="1" si="29"/>
        <v>202</v>
      </c>
      <c r="AX21" s="50">
        <f t="shared" ca="1" si="12"/>
        <v>0.47767758416701778</v>
      </c>
      <c r="AY21" s="8">
        <v>0.8</v>
      </c>
      <c r="AZ21" s="49">
        <f t="shared" ca="1" si="30"/>
        <v>142</v>
      </c>
      <c r="BB21" s="50">
        <f t="shared" ca="1" si="13"/>
        <v>0.66174526226783204</v>
      </c>
      <c r="BC21" s="8">
        <v>0.8</v>
      </c>
      <c r="BD21" s="49">
        <f t="shared" ca="1" si="31"/>
        <v>142</v>
      </c>
      <c r="BF21" s="50">
        <f t="shared" ca="1" si="14"/>
        <v>0.14684655727272922</v>
      </c>
      <c r="BG21" s="8">
        <v>0.8</v>
      </c>
      <c r="BH21" s="49">
        <f t="shared" ca="1" si="32"/>
        <v>95</v>
      </c>
      <c r="BJ21" s="50">
        <f t="shared" ca="1" si="15"/>
        <v>0.6140612476923023</v>
      </c>
      <c r="BK21" s="8">
        <v>0.8</v>
      </c>
      <c r="BL21" s="49">
        <f t="shared" ca="1" si="33"/>
        <v>113</v>
      </c>
      <c r="BN21" s="50">
        <f t="shared" ca="1" si="16"/>
        <v>0.17117878667110398</v>
      </c>
      <c r="BO21" s="8">
        <v>0.8</v>
      </c>
      <c r="BP21" s="49">
        <f t="shared" ca="1" si="34"/>
        <v>104</v>
      </c>
      <c r="BR21" s="50">
        <f t="shared" ca="1" si="17"/>
        <v>0.33693046770362023</v>
      </c>
      <c r="BS21" s="8">
        <v>0.8</v>
      </c>
      <c r="BT21" s="49">
        <f t="shared" ca="1" si="35"/>
        <v>131</v>
      </c>
    </row>
    <row r="22" spans="1:72" x14ac:dyDescent="0.2">
      <c r="A22" s="22">
        <v>44569</v>
      </c>
      <c r="B22" s="50">
        <f t="shared" ca="1" si="0"/>
        <v>0.1661091429917988</v>
      </c>
      <c r="C22" s="8">
        <v>0.8</v>
      </c>
      <c r="D22" s="49">
        <f t="shared" ca="1" si="18"/>
        <v>65</v>
      </c>
      <c r="F22" s="50">
        <f t="shared" ca="1" si="1"/>
        <v>0.91268822853498255</v>
      </c>
      <c r="G22" s="8">
        <v>0.8</v>
      </c>
      <c r="H22" s="49">
        <f t="shared" ca="1" si="19"/>
        <v>235</v>
      </c>
      <c r="J22" s="50">
        <f t="shared" ca="1" si="2"/>
        <v>0.33162496612068493</v>
      </c>
      <c r="K22" s="8">
        <v>0.8</v>
      </c>
      <c r="L22" s="49">
        <f t="shared" ca="1" si="20"/>
        <v>107</v>
      </c>
      <c r="N22" s="50">
        <f t="shared" ca="1" si="3"/>
        <v>0.27582840420186094</v>
      </c>
      <c r="O22" s="8">
        <v>0.8</v>
      </c>
      <c r="P22" s="49">
        <f t="shared" ca="1" si="21"/>
        <v>155</v>
      </c>
      <c r="R22" s="50">
        <f t="shared" ca="1" si="4"/>
        <v>0.58517949611319542</v>
      </c>
      <c r="S22" s="8">
        <v>0.8</v>
      </c>
      <c r="T22" s="49">
        <f t="shared" ca="1" si="22"/>
        <v>118</v>
      </c>
      <c r="V22" s="50">
        <f t="shared" ca="1" si="5"/>
        <v>0.80618207020100985</v>
      </c>
      <c r="W22" s="8">
        <v>0.8</v>
      </c>
      <c r="X22" s="49">
        <f t="shared" ca="1" si="23"/>
        <v>222</v>
      </c>
      <c r="Z22" s="50">
        <f t="shared" ca="1" si="6"/>
        <v>0.19309915819570422</v>
      </c>
      <c r="AA22" s="8">
        <v>0.8</v>
      </c>
      <c r="AB22" s="49">
        <f t="shared" ca="1" si="24"/>
        <v>167</v>
      </c>
      <c r="AD22" s="50">
        <f t="shared" ca="1" si="7"/>
        <v>0.54811644448958008</v>
      </c>
      <c r="AE22" s="8">
        <v>0.8</v>
      </c>
      <c r="AF22" s="49">
        <f t="shared" ca="1" si="25"/>
        <v>271</v>
      </c>
      <c r="AH22" s="50">
        <f t="shared" ca="1" si="8"/>
        <v>0.39970715418341607</v>
      </c>
      <c r="AI22" s="8">
        <v>0.8</v>
      </c>
      <c r="AJ22" s="49">
        <f t="shared" ca="1" si="26"/>
        <v>135</v>
      </c>
      <c r="AL22" s="50">
        <f t="shared" ca="1" si="9"/>
        <v>0.77177389737157431</v>
      </c>
      <c r="AM22" s="8">
        <v>0.8</v>
      </c>
      <c r="AN22" s="49">
        <f t="shared" ca="1" si="27"/>
        <v>142</v>
      </c>
      <c r="AP22" s="50">
        <f t="shared" ca="1" si="10"/>
        <v>0.48129590545012313</v>
      </c>
      <c r="AQ22" s="8">
        <v>0.8</v>
      </c>
      <c r="AR22" s="49">
        <f t="shared" ca="1" si="28"/>
        <v>172</v>
      </c>
      <c r="AT22" s="50">
        <f t="shared" ca="1" si="11"/>
        <v>0.16012119625518262</v>
      </c>
      <c r="AU22" s="8">
        <v>0.8</v>
      </c>
      <c r="AV22" s="49">
        <f t="shared" ca="1" si="29"/>
        <v>113</v>
      </c>
      <c r="AX22" s="50">
        <f t="shared" ca="1" si="12"/>
        <v>0.84472484751354704</v>
      </c>
      <c r="AY22" s="8">
        <v>0.8</v>
      </c>
      <c r="AZ22" s="49">
        <f t="shared" ca="1" si="30"/>
        <v>183</v>
      </c>
      <c r="BB22" s="50">
        <f t="shared" ca="1" si="13"/>
        <v>0.55105767057886523</v>
      </c>
      <c r="BC22" s="8">
        <v>0.8</v>
      </c>
      <c r="BD22" s="49">
        <f t="shared" ca="1" si="31"/>
        <v>133</v>
      </c>
      <c r="BF22" s="50">
        <f t="shared" ca="1" si="14"/>
        <v>0.26429941933497847</v>
      </c>
      <c r="BG22" s="8">
        <v>0.8</v>
      </c>
      <c r="BH22" s="49">
        <f t="shared" ca="1" si="32"/>
        <v>110</v>
      </c>
      <c r="BJ22" s="50">
        <f t="shared" ca="1" si="15"/>
        <v>2.2965972532827172E-2</v>
      </c>
      <c r="BK22" s="8">
        <v>0.8</v>
      </c>
      <c r="BL22" s="49">
        <f t="shared" ca="1" si="33"/>
        <v>49</v>
      </c>
      <c r="BN22" s="50">
        <f t="shared" ca="1" si="16"/>
        <v>0.81276707754829691</v>
      </c>
      <c r="BO22" s="8">
        <v>0.8</v>
      </c>
      <c r="BP22" s="49">
        <f t="shared" ca="1" si="34"/>
        <v>172</v>
      </c>
      <c r="BR22" s="50">
        <f t="shared" ca="1" si="17"/>
        <v>0.28801809979648818</v>
      </c>
      <c r="BS22" s="8">
        <v>0.8</v>
      </c>
      <c r="BT22" s="49">
        <f t="shared" ca="1" si="35"/>
        <v>125</v>
      </c>
    </row>
    <row r="23" spans="1:72" x14ac:dyDescent="0.2">
      <c r="A23" s="22">
        <v>44570</v>
      </c>
      <c r="B23" s="50">
        <f t="shared" ca="1" si="0"/>
        <v>0.17084529339793186</v>
      </c>
      <c r="C23" s="8">
        <v>0.8</v>
      </c>
      <c r="D23" s="49">
        <f t="shared" ca="1" si="18"/>
        <v>65</v>
      </c>
      <c r="F23" s="50">
        <f t="shared" ca="1" si="1"/>
        <v>0.39373363322088062</v>
      </c>
      <c r="G23" s="8">
        <v>0.8</v>
      </c>
      <c r="H23" s="49">
        <f t="shared" ca="1" si="19"/>
        <v>160</v>
      </c>
      <c r="J23" s="50">
        <f t="shared" ca="1" si="2"/>
        <v>0.34659566187483071</v>
      </c>
      <c r="K23" s="8">
        <v>0.8</v>
      </c>
      <c r="L23" s="49">
        <f t="shared" ca="1" si="20"/>
        <v>108</v>
      </c>
      <c r="N23" s="50">
        <f t="shared" ca="1" si="3"/>
        <v>0.63446857186432348</v>
      </c>
      <c r="O23" s="8">
        <v>0.8</v>
      </c>
      <c r="P23" s="49">
        <f t="shared" ca="1" si="21"/>
        <v>201</v>
      </c>
      <c r="R23" s="50">
        <f t="shared" ca="1" si="4"/>
        <v>0.73327351595010493</v>
      </c>
      <c r="S23" s="8">
        <v>0.8</v>
      </c>
      <c r="T23" s="49">
        <f t="shared" ca="1" si="22"/>
        <v>130</v>
      </c>
      <c r="V23" s="50">
        <f t="shared" ca="1" si="5"/>
        <v>7.1553313147268094E-2</v>
      </c>
      <c r="W23" s="8">
        <v>0.8</v>
      </c>
      <c r="X23" s="49">
        <f t="shared" ca="1" si="23"/>
        <v>110</v>
      </c>
      <c r="Z23" s="50">
        <f t="shared" ca="1" si="6"/>
        <v>3.733675656665969E-2</v>
      </c>
      <c r="AA23" s="8">
        <v>0.8</v>
      </c>
      <c r="AB23" s="49">
        <f t="shared" ca="1" si="24"/>
        <v>114</v>
      </c>
      <c r="AD23" s="50">
        <f t="shared" ca="1" si="7"/>
        <v>0.64535420103155572</v>
      </c>
      <c r="AE23" s="8">
        <v>0.8</v>
      </c>
      <c r="AF23" s="49">
        <f t="shared" ca="1" si="25"/>
        <v>288</v>
      </c>
      <c r="AH23" s="50">
        <f t="shared" ca="1" si="8"/>
        <v>0.69841056245233113</v>
      </c>
      <c r="AI23" s="8">
        <v>0.8</v>
      </c>
      <c r="AJ23" s="49">
        <f t="shared" ca="1" si="26"/>
        <v>164</v>
      </c>
      <c r="AL23" s="50">
        <f t="shared" ca="1" si="9"/>
        <v>0.8705192220336947</v>
      </c>
      <c r="AM23" s="8">
        <v>0.8</v>
      </c>
      <c r="AN23" s="49">
        <f t="shared" ca="1" si="27"/>
        <v>154</v>
      </c>
      <c r="AP23" s="50">
        <f t="shared" ca="1" si="10"/>
        <v>0.88363052230745542</v>
      </c>
      <c r="AQ23" s="8">
        <v>0.8</v>
      </c>
      <c r="AR23" s="49">
        <f t="shared" ca="1" si="28"/>
        <v>229</v>
      </c>
      <c r="AT23" s="50">
        <f t="shared" ca="1" si="11"/>
        <v>7.7044564741364452E-2</v>
      </c>
      <c r="AU23" s="8">
        <v>0.8</v>
      </c>
      <c r="AV23" s="49">
        <f t="shared" ca="1" si="29"/>
        <v>96</v>
      </c>
      <c r="AX23" s="50">
        <f t="shared" ca="1" si="12"/>
        <v>7.124057382899629E-2</v>
      </c>
      <c r="AY23" s="8">
        <v>0.8</v>
      </c>
      <c r="AZ23" s="49">
        <f t="shared" ca="1" si="30"/>
        <v>88</v>
      </c>
      <c r="BB23" s="50">
        <f t="shared" ca="1" si="13"/>
        <v>0.2976241734248648</v>
      </c>
      <c r="BC23" s="8">
        <v>0.8</v>
      </c>
      <c r="BD23" s="49">
        <f t="shared" ca="1" si="31"/>
        <v>110</v>
      </c>
      <c r="BF23" s="50">
        <f t="shared" ca="1" si="14"/>
        <v>0.70954199867652967</v>
      </c>
      <c r="BG23" s="8">
        <v>0.8</v>
      </c>
      <c r="BH23" s="49">
        <f t="shared" ca="1" si="32"/>
        <v>152</v>
      </c>
      <c r="BJ23" s="50">
        <f t="shared" ca="1" si="15"/>
        <v>0.27737691778659956</v>
      </c>
      <c r="BK23" s="8">
        <v>0.8</v>
      </c>
      <c r="BL23" s="49">
        <f t="shared" ca="1" si="33"/>
        <v>89</v>
      </c>
      <c r="BN23" s="50">
        <f t="shared" ca="1" si="16"/>
        <v>0.61777892233908538</v>
      </c>
      <c r="BO23" s="8">
        <v>0.8</v>
      </c>
      <c r="BP23" s="49">
        <f t="shared" ca="1" si="34"/>
        <v>150</v>
      </c>
      <c r="BR23" s="50">
        <f t="shared" ca="1" si="17"/>
        <v>0.75132758658556409</v>
      </c>
      <c r="BS23" s="8">
        <v>0.8</v>
      </c>
      <c r="BT23" s="49">
        <f t="shared" ca="1" si="35"/>
        <v>174</v>
      </c>
    </row>
    <row r="24" spans="1:72" x14ac:dyDescent="0.2">
      <c r="A24" s="22">
        <v>44571</v>
      </c>
      <c r="B24" s="50">
        <f t="shared" ca="1" si="0"/>
        <v>0.54237333874224436</v>
      </c>
      <c r="C24" s="8">
        <v>0.8</v>
      </c>
      <c r="D24" s="49">
        <f t="shared" ca="1" si="18"/>
        <v>82</v>
      </c>
      <c r="F24" s="50">
        <f t="shared" ca="1" si="1"/>
        <v>0.50543980498519181</v>
      </c>
      <c r="G24" s="8">
        <v>0.8</v>
      </c>
      <c r="H24" s="49">
        <f t="shared" ca="1" si="19"/>
        <v>173</v>
      </c>
      <c r="J24" s="50">
        <f t="shared" ca="1" si="2"/>
        <v>0.29505832199524262</v>
      </c>
      <c r="K24" s="8">
        <v>0.8</v>
      </c>
      <c r="L24" s="49">
        <f t="shared" ca="1" si="20"/>
        <v>103</v>
      </c>
      <c r="N24" s="50">
        <f t="shared" ca="1" si="3"/>
        <v>0.36250637852548562</v>
      </c>
      <c r="O24" s="8">
        <v>0.8</v>
      </c>
      <c r="P24" s="49">
        <f t="shared" ca="1" si="21"/>
        <v>167</v>
      </c>
      <c r="R24" s="50">
        <f t="shared" ca="1" si="4"/>
        <v>0.82405308623100626</v>
      </c>
      <c r="S24" s="8">
        <v>0.8</v>
      </c>
      <c r="T24" s="49">
        <f t="shared" ca="1" si="22"/>
        <v>139</v>
      </c>
      <c r="V24" s="50">
        <f t="shared" ca="1" si="5"/>
        <v>0.91245561108169126</v>
      </c>
      <c r="W24" s="8">
        <v>0.8</v>
      </c>
      <c r="X24" s="49">
        <f t="shared" ca="1" si="23"/>
        <v>246</v>
      </c>
      <c r="Z24" s="50">
        <f t="shared" ca="1" si="6"/>
        <v>0.17535558343914881</v>
      </c>
      <c r="AA24" s="8">
        <v>0.8</v>
      </c>
      <c r="AB24" s="49">
        <f t="shared" ca="1" si="24"/>
        <v>163</v>
      </c>
      <c r="AD24" s="50">
        <f t="shared" ca="1" si="7"/>
        <v>0.45895494525709279</v>
      </c>
      <c r="AE24" s="8">
        <v>0.8</v>
      </c>
      <c r="AF24" s="49">
        <f t="shared" ca="1" si="25"/>
        <v>255</v>
      </c>
      <c r="AH24" s="50">
        <f t="shared" ca="1" si="8"/>
        <v>0.20295539014969566</v>
      </c>
      <c r="AI24" s="8">
        <v>0.8</v>
      </c>
      <c r="AJ24" s="49">
        <f t="shared" ca="1" si="26"/>
        <v>112</v>
      </c>
      <c r="AL24" s="50">
        <f t="shared" ca="1" si="9"/>
        <v>0.42362975701583794</v>
      </c>
      <c r="AM24" s="8">
        <v>0.8</v>
      </c>
      <c r="AN24" s="49">
        <f t="shared" ca="1" si="27"/>
        <v>112</v>
      </c>
      <c r="AP24" s="50">
        <f t="shared" ca="1" si="10"/>
        <v>0.55580004486082446</v>
      </c>
      <c r="AQ24" s="8">
        <v>0.8</v>
      </c>
      <c r="AR24" s="49">
        <f t="shared" ca="1" si="28"/>
        <v>180</v>
      </c>
      <c r="AT24" s="50">
        <f t="shared" ca="1" si="11"/>
        <v>0.99765586859925071</v>
      </c>
      <c r="AU24" s="8">
        <v>0.8</v>
      </c>
      <c r="AV24" s="49">
        <f t="shared" ca="1" si="29"/>
        <v>270</v>
      </c>
      <c r="AX24" s="50">
        <f t="shared" ca="1" si="12"/>
        <v>0.8353051071345069</v>
      </c>
      <c r="AY24" s="8">
        <v>0.8</v>
      </c>
      <c r="AZ24" s="49">
        <f t="shared" ca="1" si="30"/>
        <v>182</v>
      </c>
      <c r="BB24" s="50">
        <f t="shared" ca="1" si="13"/>
        <v>0.45182664253280358</v>
      </c>
      <c r="BC24" s="8">
        <v>0.8</v>
      </c>
      <c r="BD24" s="49">
        <f t="shared" ca="1" si="31"/>
        <v>124</v>
      </c>
      <c r="BF24" s="50">
        <f t="shared" ca="1" si="14"/>
        <v>0.7028126873966386</v>
      </c>
      <c r="BG24" s="8">
        <v>0.8</v>
      </c>
      <c r="BH24" s="49">
        <f t="shared" ca="1" si="32"/>
        <v>151</v>
      </c>
      <c r="BJ24" s="50">
        <f t="shared" ca="1" si="15"/>
        <v>3.4589267785493316E-2</v>
      </c>
      <c r="BK24" s="8">
        <v>0.8</v>
      </c>
      <c r="BL24" s="49">
        <f t="shared" ca="1" si="33"/>
        <v>54</v>
      </c>
      <c r="BN24" s="50">
        <f t="shared" ca="1" si="16"/>
        <v>0.22671601193817426</v>
      </c>
      <c r="BO24" s="8">
        <v>0.8</v>
      </c>
      <c r="BP24" s="49">
        <f t="shared" ca="1" si="34"/>
        <v>112</v>
      </c>
      <c r="BR24" s="50">
        <f t="shared" ca="1" si="17"/>
        <v>0.29229249456055528</v>
      </c>
      <c r="BS24" s="8">
        <v>0.8</v>
      </c>
      <c r="BT24" s="49">
        <f t="shared" ca="1" si="35"/>
        <v>126</v>
      </c>
    </row>
    <row r="25" spans="1:72" x14ac:dyDescent="0.2">
      <c r="A25" s="22">
        <v>44572</v>
      </c>
      <c r="B25" s="50">
        <f t="shared" ca="1" si="0"/>
        <v>0.32253884372468078</v>
      </c>
      <c r="C25" s="8">
        <v>0.8</v>
      </c>
      <c r="D25" s="49">
        <f t="shared" ca="1" si="18"/>
        <v>73</v>
      </c>
      <c r="F25" s="50">
        <f t="shared" ca="1" si="1"/>
        <v>0.6686636159863284</v>
      </c>
      <c r="G25" s="8">
        <v>0.8</v>
      </c>
      <c r="H25" s="49">
        <f t="shared" ca="1" si="19"/>
        <v>193</v>
      </c>
      <c r="J25" s="50">
        <f t="shared" ca="1" si="2"/>
        <v>0.48720692994496329</v>
      </c>
      <c r="K25" s="8">
        <v>0.8</v>
      </c>
      <c r="L25" s="49">
        <f t="shared" ca="1" si="20"/>
        <v>119</v>
      </c>
      <c r="N25" s="50">
        <f t="shared" ca="1" si="3"/>
        <v>0.18286272243957191</v>
      </c>
      <c r="O25" s="8">
        <v>0.8</v>
      </c>
      <c r="P25" s="49">
        <f t="shared" ca="1" si="21"/>
        <v>140</v>
      </c>
      <c r="R25" s="50">
        <f t="shared" ca="1" si="4"/>
        <v>9.6329656706218514E-2</v>
      </c>
      <c r="S25" s="8">
        <v>0.8</v>
      </c>
      <c r="T25" s="49">
        <f t="shared" ca="1" si="22"/>
        <v>73</v>
      </c>
      <c r="V25" s="50">
        <f t="shared" ca="1" si="5"/>
        <v>0.81530343440786446</v>
      </c>
      <c r="W25" s="8">
        <v>0.8</v>
      </c>
      <c r="X25" s="49">
        <f t="shared" ca="1" si="23"/>
        <v>224</v>
      </c>
      <c r="Z25" s="50">
        <f t="shared" ca="1" si="6"/>
        <v>3.65233774817465E-2</v>
      </c>
      <c r="AA25" s="8">
        <v>0.8</v>
      </c>
      <c r="AB25" s="49">
        <f t="shared" ca="1" si="24"/>
        <v>113</v>
      </c>
      <c r="AD25" s="50">
        <f t="shared" ca="1" si="7"/>
        <v>0.76532727717983084</v>
      </c>
      <c r="AE25" s="8">
        <v>0.8</v>
      </c>
      <c r="AF25" s="49">
        <f t="shared" ca="1" si="25"/>
        <v>313</v>
      </c>
      <c r="AH25" s="50">
        <f t="shared" ca="1" si="8"/>
        <v>0.11283212716895807</v>
      </c>
      <c r="AI25" s="8">
        <v>0.8</v>
      </c>
      <c r="AJ25" s="49">
        <f t="shared" ca="1" si="26"/>
        <v>98</v>
      </c>
      <c r="AL25" s="50">
        <f t="shared" ca="1" si="9"/>
        <v>0.99520934366039104</v>
      </c>
      <c r="AM25" s="8">
        <v>0.8</v>
      </c>
      <c r="AN25" s="49">
        <f t="shared" ca="1" si="27"/>
        <v>200</v>
      </c>
      <c r="AP25" s="50">
        <f t="shared" ca="1" si="10"/>
        <v>0.30243493051936432</v>
      </c>
      <c r="AQ25" s="8">
        <v>0.8</v>
      </c>
      <c r="AR25" s="49">
        <f t="shared" ca="1" si="28"/>
        <v>150</v>
      </c>
      <c r="AT25" s="50">
        <f t="shared" ca="1" si="11"/>
        <v>0.7219616786086579</v>
      </c>
      <c r="AU25" s="8">
        <v>0.8</v>
      </c>
      <c r="AV25" s="49">
        <f t="shared" ca="1" si="29"/>
        <v>178</v>
      </c>
      <c r="AX25" s="50">
        <f t="shared" ca="1" si="12"/>
        <v>0.12664172890567971</v>
      </c>
      <c r="AY25" s="8">
        <v>0.8</v>
      </c>
      <c r="AZ25" s="49">
        <f t="shared" ca="1" si="30"/>
        <v>101</v>
      </c>
      <c r="BB25" s="50">
        <f t="shared" ca="1" si="13"/>
        <v>0.65316657027390113</v>
      </c>
      <c r="BC25" s="8">
        <v>0.8</v>
      </c>
      <c r="BD25" s="49">
        <f t="shared" ca="1" si="31"/>
        <v>142</v>
      </c>
      <c r="BF25" s="50">
        <f t="shared" ca="1" si="14"/>
        <v>0.66455924591176807</v>
      </c>
      <c r="BG25" s="8">
        <v>0.8</v>
      </c>
      <c r="BH25" s="49">
        <f t="shared" ca="1" si="32"/>
        <v>147</v>
      </c>
      <c r="BJ25" s="50">
        <f t="shared" ca="1" si="15"/>
        <v>0.16276314073033726</v>
      </c>
      <c r="BK25" s="8">
        <v>0.8</v>
      </c>
      <c r="BL25" s="49">
        <f t="shared" ca="1" si="33"/>
        <v>78</v>
      </c>
      <c r="BN25" s="50">
        <f t="shared" ca="1" si="16"/>
        <v>0.38236991322810232</v>
      </c>
      <c r="BO25" s="8">
        <v>0.8</v>
      </c>
      <c r="BP25" s="49">
        <f t="shared" ca="1" si="34"/>
        <v>128</v>
      </c>
      <c r="BR25" s="50">
        <f t="shared" ca="1" si="17"/>
        <v>0.47662867215545968</v>
      </c>
      <c r="BS25" s="8">
        <v>0.8</v>
      </c>
      <c r="BT25" s="49">
        <f t="shared" ca="1" si="35"/>
        <v>145</v>
      </c>
    </row>
    <row r="26" spans="1:72" x14ac:dyDescent="0.2">
      <c r="A26" s="22">
        <v>44573</v>
      </c>
      <c r="B26" s="50">
        <f t="shared" ca="1" si="0"/>
        <v>0.54164066546608824</v>
      </c>
      <c r="C26" s="8">
        <v>0.8</v>
      </c>
      <c r="D26" s="49">
        <f t="shared" ca="1" si="18"/>
        <v>82</v>
      </c>
      <c r="F26" s="50">
        <f t="shared" ca="1" si="1"/>
        <v>1.8383525518936406E-2</v>
      </c>
      <c r="G26" s="8">
        <v>0.8</v>
      </c>
      <c r="H26" s="49">
        <f t="shared" ca="1" si="19"/>
        <v>77</v>
      </c>
      <c r="J26" s="50">
        <f t="shared" ca="1" si="2"/>
        <v>0.43584402323366922</v>
      </c>
      <c r="K26" s="8">
        <v>0.8</v>
      </c>
      <c r="L26" s="49">
        <f t="shared" ca="1" si="20"/>
        <v>115</v>
      </c>
      <c r="N26" s="50">
        <f t="shared" ca="1" si="3"/>
        <v>0.3126321387695854</v>
      </c>
      <c r="O26" s="8">
        <v>0.8</v>
      </c>
      <c r="P26" s="49">
        <f t="shared" ca="1" si="21"/>
        <v>160</v>
      </c>
      <c r="R26" s="50">
        <f t="shared" ca="1" si="4"/>
        <v>0.60434674479575734</v>
      </c>
      <c r="S26" s="8">
        <v>0.8</v>
      </c>
      <c r="T26" s="49">
        <f t="shared" ca="1" si="22"/>
        <v>119</v>
      </c>
      <c r="V26" s="50">
        <f t="shared" ca="1" si="5"/>
        <v>8.1867715992831713E-2</v>
      </c>
      <c r="W26" s="8">
        <v>0.8</v>
      </c>
      <c r="X26" s="49">
        <f t="shared" ca="1" si="23"/>
        <v>114</v>
      </c>
      <c r="Z26" s="50">
        <f t="shared" ca="1" si="6"/>
        <v>0.49901987782537405</v>
      </c>
      <c r="AA26" s="8">
        <v>0.8</v>
      </c>
      <c r="AB26" s="49">
        <f t="shared" ca="1" si="24"/>
        <v>216</v>
      </c>
      <c r="AD26" s="50">
        <f t="shared" ca="1" si="7"/>
        <v>0.73413295486386643</v>
      </c>
      <c r="AE26" s="8">
        <v>0.8</v>
      </c>
      <c r="AF26" s="49">
        <f t="shared" ca="1" si="25"/>
        <v>306</v>
      </c>
      <c r="AH26" s="50">
        <f t="shared" ca="1" si="8"/>
        <v>0.80670208024739631</v>
      </c>
      <c r="AI26" s="8">
        <v>0.8</v>
      </c>
      <c r="AJ26" s="49">
        <f t="shared" ca="1" si="26"/>
        <v>178</v>
      </c>
      <c r="AL26" s="50">
        <f t="shared" ca="1" si="9"/>
        <v>0.80610957678731565</v>
      </c>
      <c r="AM26" s="8">
        <v>0.8</v>
      </c>
      <c r="AN26" s="49">
        <f t="shared" ca="1" si="27"/>
        <v>145</v>
      </c>
      <c r="AP26" s="50">
        <f t="shared" ca="1" si="10"/>
        <v>0.26629343356764101</v>
      </c>
      <c r="AQ26" s="8">
        <v>0.8</v>
      </c>
      <c r="AR26" s="49">
        <f t="shared" ca="1" si="28"/>
        <v>145</v>
      </c>
      <c r="AT26" s="50">
        <f t="shared" ca="1" si="11"/>
        <v>0.2193525030791228</v>
      </c>
      <c r="AU26" s="8">
        <v>0.8</v>
      </c>
      <c r="AV26" s="49">
        <f t="shared" ca="1" si="29"/>
        <v>122</v>
      </c>
      <c r="AX26" s="50">
        <f t="shared" ca="1" si="12"/>
        <v>0.38433265881008272</v>
      </c>
      <c r="AY26" s="8">
        <v>0.8</v>
      </c>
      <c r="AZ26" s="49">
        <f t="shared" ca="1" si="30"/>
        <v>133</v>
      </c>
      <c r="BB26" s="50">
        <f t="shared" ca="1" si="13"/>
        <v>0.98108893863636326</v>
      </c>
      <c r="BC26" s="8">
        <v>0.8</v>
      </c>
      <c r="BD26" s="49">
        <f t="shared" ca="1" si="31"/>
        <v>199</v>
      </c>
      <c r="BF26" s="50">
        <f t="shared" ca="1" si="14"/>
        <v>0.68418546245941869</v>
      </c>
      <c r="BG26" s="8">
        <v>0.8</v>
      </c>
      <c r="BH26" s="49">
        <f t="shared" ca="1" si="32"/>
        <v>149</v>
      </c>
      <c r="BJ26" s="50">
        <f t="shared" ca="1" si="15"/>
        <v>0.96346758527523291</v>
      </c>
      <c r="BK26" s="8">
        <v>0.8</v>
      </c>
      <c r="BL26" s="49">
        <f t="shared" ca="1" si="33"/>
        <v>155</v>
      </c>
      <c r="BN26" s="50">
        <f t="shared" ca="1" si="16"/>
        <v>0.18082402287722588</v>
      </c>
      <c r="BO26" s="8">
        <v>0.8</v>
      </c>
      <c r="BP26" s="49">
        <f t="shared" ca="1" si="34"/>
        <v>106</v>
      </c>
      <c r="BR26" s="50">
        <f t="shared" ca="1" si="17"/>
        <v>0.30710557210158484</v>
      </c>
      <c r="BS26" s="8">
        <v>0.8</v>
      </c>
      <c r="BT26" s="49">
        <f t="shared" ca="1" si="35"/>
        <v>128</v>
      </c>
    </row>
    <row r="27" spans="1:72" x14ac:dyDescent="0.2">
      <c r="A27" s="22">
        <v>44574</v>
      </c>
      <c r="B27" s="50">
        <f t="shared" ca="1" si="0"/>
        <v>0.34877222915761352</v>
      </c>
      <c r="C27" s="8">
        <v>0.8</v>
      </c>
      <c r="D27" s="49">
        <f t="shared" ca="1" si="18"/>
        <v>74</v>
      </c>
      <c r="F27" s="50">
        <f t="shared" ca="1" si="1"/>
        <v>0.51562203629051895</v>
      </c>
      <c r="G27" s="8">
        <v>0.8</v>
      </c>
      <c r="H27" s="49">
        <f t="shared" ca="1" si="19"/>
        <v>175</v>
      </c>
      <c r="J27" s="50">
        <f t="shared" ca="1" si="2"/>
        <v>0.77723133378060494</v>
      </c>
      <c r="K27" s="8">
        <v>0.8</v>
      </c>
      <c r="L27" s="49">
        <f t="shared" ca="1" si="20"/>
        <v>145</v>
      </c>
      <c r="N27" s="50">
        <f t="shared" ca="1" si="3"/>
        <v>0.98400144835100611</v>
      </c>
      <c r="O27" s="8">
        <v>0.8</v>
      </c>
      <c r="P27" s="49">
        <f t="shared" ca="1" si="21"/>
        <v>289</v>
      </c>
      <c r="R27" s="50">
        <f t="shared" ca="1" si="4"/>
        <v>0.32381279270798413</v>
      </c>
      <c r="S27" s="8">
        <v>0.8</v>
      </c>
      <c r="T27" s="49">
        <f t="shared" ca="1" si="22"/>
        <v>98</v>
      </c>
      <c r="V27" s="50">
        <f t="shared" ca="1" si="5"/>
        <v>0.18655117626376549</v>
      </c>
      <c r="W27" s="8">
        <v>0.8</v>
      </c>
      <c r="X27" s="49">
        <f t="shared" ca="1" si="23"/>
        <v>138</v>
      </c>
      <c r="Z27" s="50">
        <f t="shared" ca="1" si="6"/>
        <v>0.80939059752513565</v>
      </c>
      <c r="AA27" s="8">
        <v>0.8</v>
      </c>
      <c r="AB27" s="49">
        <f t="shared" ca="1" si="24"/>
        <v>267</v>
      </c>
      <c r="AD27" s="50">
        <f t="shared" ca="1" si="7"/>
        <v>0.26796949516395807</v>
      </c>
      <c r="AE27" s="8">
        <v>0.8</v>
      </c>
      <c r="AF27" s="49">
        <f t="shared" ca="1" si="25"/>
        <v>219</v>
      </c>
      <c r="AH27" s="50">
        <f t="shared" ca="1" si="8"/>
        <v>2.6277747808447494E-2</v>
      </c>
      <c r="AI27" s="8">
        <v>0.8</v>
      </c>
      <c r="AJ27" s="49">
        <f t="shared" ca="1" si="26"/>
        <v>70</v>
      </c>
      <c r="AL27" s="50">
        <f t="shared" ca="1" si="9"/>
        <v>0.60913437537842041</v>
      </c>
      <c r="AM27" s="8">
        <v>0.8</v>
      </c>
      <c r="AN27" s="49">
        <f t="shared" ca="1" si="27"/>
        <v>127</v>
      </c>
      <c r="AP27" s="50">
        <f t="shared" ca="1" si="10"/>
        <v>0.31044853577366527</v>
      </c>
      <c r="AQ27" s="8">
        <v>0.8</v>
      </c>
      <c r="AR27" s="49">
        <f t="shared" ca="1" si="28"/>
        <v>151</v>
      </c>
      <c r="AT27" s="50">
        <f t="shared" ca="1" si="11"/>
        <v>0.87949155381675359</v>
      </c>
      <c r="AU27" s="8">
        <v>0.8</v>
      </c>
      <c r="AV27" s="49">
        <f t="shared" ca="1" si="29"/>
        <v>202</v>
      </c>
      <c r="AX27" s="50">
        <f t="shared" ca="1" si="12"/>
        <v>0.3235754377349489</v>
      </c>
      <c r="AY27" s="8">
        <v>0.8</v>
      </c>
      <c r="AZ27" s="49">
        <f t="shared" ca="1" si="30"/>
        <v>127</v>
      </c>
      <c r="BB27" s="50">
        <f t="shared" ca="1" si="13"/>
        <v>0.2452625243953227</v>
      </c>
      <c r="BC27" s="8">
        <v>0.8</v>
      </c>
      <c r="BD27" s="49">
        <f t="shared" ca="1" si="31"/>
        <v>105</v>
      </c>
      <c r="BF27" s="50">
        <f t="shared" ca="1" si="14"/>
        <v>0.54237090068600213</v>
      </c>
      <c r="BG27" s="8">
        <v>0.8</v>
      </c>
      <c r="BH27" s="49">
        <f t="shared" ca="1" si="32"/>
        <v>136</v>
      </c>
      <c r="BJ27" s="50">
        <f t="shared" ca="1" si="15"/>
        <v>0.87019077505649578</v>
      </c>
      <c r="BK27" s="8">
        <v>0.8</v>
      </c>
      <c r="BL27" s="49">
        <f t="shared" ca="1" si="33"/>
        <v>137</v>
      </c>
      <c r="BN27" s="50">
        <f t="shared" ca="1" si="16"/>
        <v>0.54314296533153772</v>
      </c>
      <c r="BO27" s="8">
        <v>0.8</v>
      </c>
      <c r="BP27" s="49">
        <f t="shared" ca="1" si="34"/>
        <v>143</v>
      </c>
      <c r="BR27" s="50">
        <f t="shared" ca="1" si="17"/>
        <v>0.32237782188247999</v>
      </c>
      <c r="BS27" s="8">
        <v>0.8</v>
      </c>
      <c r="BT27" s="49">
        <f t="shared" ca="1" si="35"/>
        <v>129</v>
      </c>
    </row>
    <row r="28" spans="1:72" x14ac:dyDescent="0.2">
      <c r="A28" s="22">
        <v>44575</v>
      </c>
      <c r="B28" s="50">
        <f t="shared" ca="1" si="0"/>
        <v>0.6723024366135083</v>
      </c>
      <c r="C28" s="8">
        <v>0.8</v>
      </c>
      <c r="D28" s="49">
        <f t="shared" ca="1" si="18"/>
        <v>88</v>
      </c>
      <c r="F28" s="50">
        <f t="shared" ca="1" si="1"/>
        <v>0.78874361621398081</v>
      </c>
      <c r="G28" s="8">
        <v>0.8</v>
      </c>
      <c r="H28" s="49">
        <f t="shared" ca="1" si="19"/>
        <v>210</v>
      </c>
      <c r="J28" s="50">
        <f t="shared" ca="1" si="2"/>
        <v>0.37548017009698487</v>
      </c>
      <c r="K28" s="8">
        <v>0.8</v>
      </c>
      <c r="L28" s="49">
        <f t="shared" ca="1" si="20"/>
        <v>110</v>
      </c>
      <c r="N28" s="50">
        <f t="shared" ca="1" si="3"/>
        <v>1.7302016220122063E-4</v>
      </c>
      <c r="O28" s="8">
        <v>0.8</v>
      </c>
      <c r="P28" s="49">
        <f t="shared" ca="1" si="21"/>
        <v>9</v>
      </c>
      <c r="R28" s="50">
        <f t="shared" ca="1" si="4"/>
        <v>0.31256291282821602</v>
      </c>
      <c r="S28" s="8">
        <v>0.8</v>
      </c>
      <c r="T28" s="49">
        <f t="shared" ca="1" si="22"/>
        <v>97</v>
      </c>
      <c r="V28" s="50">
        <f t="shared" ca="1" si="5"/>
        <v>0.95232760597953914</v>
      </c>
      <c r="W28" s="8">
        <v>0.8</v>
      </c>
      <c r="X28" s="49">
        <f t="shared" ca="1" si="23"/>
        <v>261</v>
      </c>
      <c r="Z28" s="50">
        <f t="shared" ca="1" si="6"/>
        <v>0.6204446725126691</v>
      </c>
      <c r="AA28" s="8">
        <v>0.8</v>
      </c>
      <c r="AB28" s="49">
        <f t="shared" ca="1" si="24"/>
        <v>234</v>
      </c>
      <c r="AD28" s="50">
        <f t="shared" ca="1" si="7"/>
        <v>0.34990451770268649</v>
      </c>
      <c r="AE28" s="8">
        <v>0.8</v>
      </c>
      <c r="AF28" s="49">
        <f t="shared" ca="1" si="25"/>
        <v>235</v>
      </c>
      <c r="AH28" s="50">
        <f t="shared" ca="1" si="8"/>
        <v>0.40810421233343475</v>
      </c>
      <c r="AI28" s="8">
        <v>0.8</v>
      </c>
      <c r="AJ28" s="49">
        <f t="shared" ca="1" si="26"/>
        <v>135</v>
      </c>
      <c r="AL28" s="50">
        <f t="shared" ca="1" si="9"/>
        <v>0.6904825294050656</v>
      </c>
      <c r="AM28" s="8">
        <v>0.8</v>
      </c>
      <c r="AN28" s="49">
        <f t="shared" ca="1" si="27"/>
        <v>134</v>
      </c>
      <c r="AP28" s="50">
        <f t="shared" ca="1" si="10"/>
        <v>0.37313004621305357</v>
      </c>
      <c r="AQ28" s="8">
        <v>0.8</v>
      </c>
      <c r="AR28" s="49">
        <f t="shared" ca="1" si="28"/>
        <v>159</v>
      </c>
      <c r="AT28" s="50">
        <f t="shared" ca="1" si="11"/>
        <v>0.87496323719142477</v>
      </c>
      <c r="AU28" s="8">
        <v>0.8</v>
      </c>
      <c r="AV28" s="49">
        <f t="shared" ca="1" si="29"/>
        <v>201</v>
      </c>
      <c r="AX28" s="50">
        <f t="shared" ca="1" si="12"/>
        <v>0.40624522158770848</v>
      </c>
      <c r="AY28" s="8">
        <v>0.8</v>
      </c>
      <c r="AZ28" s="49">
        <f t="shared" ca="1" si="30"/>
        <v>135</v>
      </c>
      <c r="BB28" s="50">
        <f t="shared" ca="1" si="13"/>
        <v>0.18672637695648719</v>
      </c>
      <c r="BC28" s="8">
        <v>0.8</v>
      </c>
      <c r="BD28" s="49">
        <f t="shared" ca="1" si="31"/>
        <v>98</v>
      </c>
      <c r="BF28" s="50">
        <f t="shared" ca="1" si="14"/>
        <v>0.43955368333721623</v>
      </c>
      <c r="BG28" s="8">
        <v>0.8</v>
      </c>
      <c r="BH28" s="49">
        <f t="shared" ca="1" si="32"/>
        <v>127</v>
      </c>
      <c r="BJ28" s="50">
        <f t="shared" ca="1" si="15"/>
        <v>0.18112183818578032</v>
      </c>
      <c r="BK28" s="8">
        <v>0.8</v>
      </c>
      <c r="BL28" s="49">
        <f t="shared" ca="1" si="33"/>
        <v>80</v>
      </c>
      <c r="BN28" s="50">
        <f t="shared" ca="1" si="16"/>
        <v>0.30327434385528118</v>
      </c>
      <c r="BO28" s="8">
        <v>0.8</v>
      </c>
      <c r="BP28" s="49">
        <f t="shared" ca="1" si="34"/>
        <v>120</v>
      </c>
      <c r="BR28" s="50">
        <f t="shared" ca="1" si="17"/>
        <v>0.58231860848489503</v>
      </c>
      <c r="BS28" s="8">
        <v>0.8</v>
      </c>
      <c r="BT28" s="49">
        <f t="shared" ca="1" si="35"/>
        <v>155</v>
      </c>
    </row>
    <row r="29" spans="1:72" x14ac:dyDescent="0.2">
      <c r="A29" s="22">
        <v>44576</v>
      </c>
      <c r="B29" s="50">
        <f t="shared" ca="1" si="0"/>
        <v>0.6090326244528389</v>
      </c>
      <c r="C29" s="8">
        <v>0.8</v>
      </c>
      <c r="D29" s="49">
        <f t="shared" ca="1" si="18"/>
        <v>85</v>
      </c>
      <c r="F29" s="50">
        <f t="shared" ca="1" si="1"/>
        <v>6.0467128394477987E-3</v>
      </c>
      <c r="G29" s="8">
        <v>0.8</v>
      </c>
      <c r="H29" s="49">
        <f t="shared" ca="1" si="19"/>
        <v>58</v>
      </c>
      <c r="J29" s="50">
        <f t="shared" ca="1" si="2"/>
        <v>0.45632895582373401</v>
      </c>
      <c r="K29" s="8">
        <v>0.8</v>
      </c>
      <c r="L29" s="49">
        <f t="shared" ca="1" si="20"/>
        <v>117</v>
      </c>
      <c r="N29" s="50">
        <f t="shared" ca="1" si="3"/>
        <v>0.60395189627773571</v>
      </c>
      <c r="O29" s="8">
        <v>0.8</v>
      </c>
      <c r="P29" s="49">
        <f t="shared" ca="1" si="21"/>
        <v>197</v>
      </c>
      <c r="R29" s="50">
        <f t="shared" ca="1" si="4"/>
        <v>0.58172567767143424</v>
      </c>
      <c r="S29" s="8">
        <v>0.8</v>
      </c>
      <c r="T29" s="49">
        <f t="shared" ca="1" si="22"/>
        <v>118</v>
      </c>
      <c r="V29" s="50">
        <f t="shared" ca="1" si="5"/>
        <v>0.10992650035932339</v>
      </c>
      <c r="W29" s="8">
        <v>0.8</v>
      </c>
      <c r="X29" s="49">
        <f t="shared" ca="1" si="23"/>
        <v>122</v>
      </c>
      <c r="Z29" s="50">
        <f t="shared" ca="1" si="6"/>
        <v>0.6163355016417259</v>
      </c>
      <c r="AA29" s="8">
        <v>0.8</v>
      </c>
      <c r="AB29" s="49">
        <f t="shared" ca="1" si="24"/>
        <v>234</v>
      </c>
      <c r="AD29" s="50">
        <f t="shared" ca="1" si="7"/>
        <v>0.8686474025060732</v>
      </c>
      <c r="AE29" s="8">
        <v>0.8</v>
      </c>
      <c r="AF29" s="49">
        <f t="shared" ca="1" si="25"/>
        <v>340</v>
      </c>
      <c r="AH29" s="50">
        <f t="shared" ca="1" si="8"/>
        <v>0.96632303134525832</v>
      </c>
      <c r="AI29" s="8">
        <v>0.8</v>
      </c>
      <c r="AJ29" s="49">
        <f t="shared" ca="1" si="26"/>
        <v>215</v>
      </c>
      <c r="AL29" s="50">
        <f t="shared" ca="1" si="9"/>
        <v>0.91107315150450829</v>
      </c>
      <c r="AM29" s="8">
        <v>0.8</v>
      </c>
      <c r="AN29" s="49">
        <f t="shared" ca="1" si="27"/>
        <v>161</v>
      </c>
      <c r="AP29" s="50">
        <f t="shared" ca="1" si="10"/>
        <v>0.9764266539122598</v>
      </c>
      <c r="AQ29" s="8">
        <v>0.8</v>
      </c>
      <c r="AR29" s="49">
        <f t="shared" ca="1" si="28"/>
        <v>266</v>
      </c>
      <c r="AT29" s="50">
        <f t="shared" ca="1" si="11"/>
        <v>7.4692392974735844E-2</v>
      </c>
      <c r="AU29" s="8">
        <v>0.8</v>
      </c>
      <c r="AV29" s="49">
        <f t="shared" ca="1" si="29"/>
        <v>95</v>
      </c>
      <c r="AX29" s="50">
        <f t="shared" ca="1" si="12"/>
        <v>0.81799274896011231</v>
      </c>
      <c r="AY29" s="8">
        <v>0.8</v>
      </c>
      <c r="AZ29" s="49">
        <f t="shared" ca="1" si="30"/>
        <v>179</v>
      </c>
      <c r="BB29" s="50">
        <f t="shared" ca="1" si="13"/>
        <v>0.22670598323158653</v>
      </c>
      <c r="BC29" s="8">
        <v>0.8</v>
      </c>
      <c r="BD29" s="49">
        <f t="shared" ca="1" si="31"/>
        <v>103</v>
      </c>
      <c r="BF29" s="50">
        <f t="shared" ca="1" si="14"/>
        <v>7.682657271658333E-2</v>
      </c>
      <c r="BG29" s="8">
        <v>0.8</v>
      </c>
      <c r="BH29" s="49">
        <f t="shared" ca="1" si="32"/>
        <v>82</v>
      </c>
      <c r="BJ29" s="50">
        <f t="shared" ca="1" si="15"/>
        <v>0.12634653021519937</v>
      </c>
      <c r="BK29" s="8">
        <v>0.8</v>
      </c>
      <c r="BL29" s="49">
        <f t="shared" ca="1" si="33"/>
        <v>73</v>
      </c>
      <c r="BN29" s="50">
        <f t="shared" ca="1" si="16"/>
        <v>7.6209758162347652E-2</v>
      </c>
      <c r="BO29" s="8">
        <v>0.8</v>
      </c>
      <c r="BP29" s="49">
        <f t="shared" ca="1" si="34"/>
        <v>86</v>
      </c>
      <c r="BR29" s="50">
        <f t="shared" ca="1" si="17"/>
        <v>0.65103394535221204</v>
      </c>
      <c r="BS29" s="8">
        <v>0.8</v>
      </c>
      <c r="BT29" s="49">
        <f t="shared" ca="1" si="35"/>
        <v>162</v>
      </c>
    </row>
    <row r="30" spans="1:72" x14ac:dyDescent="0.2">
      <c r="A30" s="22">
        <v>44577</v>
      </c>
      <c r="B30" s="50">
        <f t="shared" ca="1" si="0"/>
        <v>0.15003272630480147</v>
      </c>
      <c r="C30" s="8">
        <v>0.8</v>
      </c>
      <c r="D30" s="49">
        <f t="shared" ca="1" si="18"/>
        <v>64</v>
      </c>
      <c r="F30" s="50">
        <f t="shared" ca="1" si="1"/>
        <v>0.37027766233725756</v>
      </c>
      <c r="G30" s="8">
        <v>0.8</v>
      </c>
      <c r="H30" s="49">
        <f t="shared" ca="1" si="19"/>
        <v>158</v>
      </c>
      <c r="J30" s="50">
        <f t="shared" ca="1" si="2"/>
        <v>0.22758265525134003</v>
      </c>
      <c r="K30" s="8">
        <v>0.8</v>
      </c>
      <c r="L30" s="49">
        <f t="shared" ca="1" si="20"/>
        <v>97</v>
      </c>
      <c r="N30" s="50">
        <f t="shared" ca="1" si="3"/>
        <v>0.84829606970392912</v>
      </c>
      <c r="O30" s="8">
        <v>0.8</v>
      </c>
      <c r="P30" s="49">
        <f t="shared" ca="1" si="21"/>
        <v>234</v>
      </c>
      <c r="R30" s="50">
        <f t="shared" ca="1" si="4"/>
        <v>0.28110806299104063</v>
      </c>
      <c r="S30" s="8">
        <v>0.8</v>
      </c>
      <c r="T30" s="49">
        <f t="shared" ca="1" si="22"/>
        <v>94</v>
      </c>
      <c r="V30" s="50">
        <f t="shared" ca="1" si="5"/>
        <v>0.60835049470439029</v>
      </c>
      <c r="W30" s="8">
        <v>0.8</v>
      </c>
      <c r="X30" s="49">
        <f t="shared" ca="1" si="23"/>
        <v>194</v>
      </c>
      <c r="Z30" s="50">
        <f t="shared" ca="1" si="6"/>
        <v>0.5307449876350705</v>
      </c>
      <c r="AA30" s="8">
        <v>0.8</v>
      </c>
      <c r="AB30" s="49">
        <f t="shared" ca="1" si="24"/>
        <v>221</v>
      </c>
      <c r="AD30" s="50">
        <f t="shared" ca="1" si="7"/>
        <v>2.7898887184823362E-2</v>
      </c>
      <c r="AE30" s="8">
        <v>0.8</v>
      </c>
      <c r="AF30" s="49">
        <f t="shared" ca="1" si="25"/>
        <v>129</v>
      </c>
      <c r="AH30" s="50">
        <f t="shared" ca="1" si="8"/>
        <v>0.84593608388245756</v>
      </c>
      <c r="AI30" s="8">
        <v>0.8</v>
      </c>
      <c r="AJ30" s="49">
        <f t="shared" ca="1" si="26"/>
        <v>183</v>
      </c>
      <c r="AL30" s="50">
        <f t="shared" ca="1" si="9"/>
        <v>0.27221002770323643</v>
      </c>
      <c r="AM30" s="8">
        <v>0.8</v>
      </c>
      <c r="AN30" s="49">
        <f t="shared" ca="1" si="27"/>
        <v>99</v>
      </c>
      <c r="AP30" s="50">
        <f t="shared" ca="1" si="10"/>
        <v>2.9148699575965331E-2</v>
      </c>
      <c r="AQ30" s="8">
        <v>0.8</v>
      </c>
      <c r="AR30" s="49">
        <f t="shared" ca="1" si="28"/>
        <v>86</v>
      </c>
      <c r="AT30" s="50">
        <f t="shared" ca="1" si="11"/>
        <v>0.29847669279580336</v>
      </c>
      <c r="AU30" s="8">
        <v>0.8</v>
      </c>
      <c r="AV30" s="49">
        <f t="shared" ca="1" si="29"/>
        <v>132</v>
      </c>
      <c r="AX30" s="50">
        <f t="shared" ca="1" si="12"/>
        <v>0.7109753198581289</v>
      </c>
      <c r="AY30" s="8">
        <v>0.8</v>
      </c>
      <c r="AZ30" s="49">
        <f t="shared" ca="1" si="30"/>
        <v>166</v>
      </c>
      <c r="BB30" s="50">
        <f t="shared" ca="1" si="13"/>
        <v>0.78873402521682368</v>
      </c>
      <c r="BC30" s="8">
        <v>0.8</v>
      </c>
      <c r="BD30" s="49">
        <f t="shared" ca="1" si="31"/>
        <v>155</v>
      </c>
      <c r="BF30" s="50">
        <f t="shared" ca="1" si="14"/>
        <v>0.32571580326171101</v>
      </c>
      <c r="BG30" s="8">
        <v>0.8</v>
      </c>
      <c r="BH30" s="49">
        <f t="shared" ca="1" si="32"/>
        <v>116</v>
      </c>
      <c r="BJ30" s="50">
        <f t="shared" ca="1" si="15"/>
        <v>0.48566316199663939</v>
      </c>
      <c r="BK30" s="8">
        <v>0.8</v>
      </c>
      <c r="BL30" s="49">
        <f t="shared" ca="1" si="33"/>
        <v>104</v>
      </c>
      <c r="BN30" s="50">
        <f t="shared" ca="1" si="16"/>
        <v>0.83401170921656687</v>
      </c>
      <c r="BO30" s="8">
        <v>0.8</v>
      </c>
      <c r="BP30" s="49">
        <f t="shared" ca="1" si="34"/>
        <v>175</v>
      </c>
      <c r="BR30" s="50">
        <f t="shared" ca="1" si="17"/>
        <v>0.60474437332964337</v>
      </c>
      <c r="BS30" s="8">
        <v>0.8</v>
      </c>
      <c r="BT30" s="49">
        <f t="shared" ca="1" si="35"/>
        <v>158</v>
      </c>
    </row>
    <row r="31" spans="1:72" x14ac:dyDescent="0.2">
      <c r="A31" s="22">
        <v>44578</v>
      </c>
      <c r="B31" s="50">
        <f t="shared" ca="1" si="0"/>
        <v>0.15897150789456682</v>
      </c>
      <c r="C31" s="8">
        <v>0.8</v>
      </c>
      <c r="D31" s="49">
        <f t="shared" ca="1" si="18"/>
        <v>65</v>
      </c>
      <c r="F31" s="50">
        <f t="shared" ca="1" si="1"/>
        <v>0.63886252174648506</v>
      </c>
      <c r="G31" s="8">
        <v>0.8</v>
      </c>
      <c r="H31" s="49">
        <f t="shared" ca="1" si="19"/>
        <v>189</v>
      </c>
      <c r="J31" s="50">
        <f t="shared" ca="1" si="2"/>
        <v>2.6814422351623013E-2</v>
      </c>
      <c r="K31" s="8">
        <v>0.8</v>
      </c>
      <c r="L31" s="49">
        <f t="shared" ca="1" si="20"/>
        <v>59</v>
      </c>
      <c r="N31" s="50">
        <f t="shared" ca="1" si="3"/>
        <v>0.90841232819417284</v>
      </c>
      <c r="O31" s="8">
        <v>0.8</v>
      </c>
      <c r="P31" s="49">
        <f t="shared" ca="1" si="21"/>
        <v>249</v>
      </c>
      <c r="R31" s="50">
        <f t="shared" ca="1" si="4"/>
        <v>0.94000198540586333</v>
      </c>
      <c r="S31" s="8">
        <v>0.8</v>
      </c>
      <c r="T31" s="49">
        <f t="shared" ca="1" si="22"/>
        <v>158</v>
      </c>
      <c r="V31" s="50">
        <f t="shared" ca="1" si="5"/>
        <v>0.7342037098313251</v>
      </c>
      <c r="W31" s="8">
        <v>0.8</v>
      </c>
      <c r="X31" s="49">
        <f t="shared" ca="1" si="23"/>
        <v>211</v>
      </c>
      <c r="Z31" s="50">
        <f t="shared" ca="1" si="6"/>
        <v>0.81759952738637898</v>
      </c>
      <c r="AA31" s="8">
        <v>0.8</v>
      </c>
      <c r="AB31" s="49">
        <f t="shared" ca="1" si="24"/>
        <v>269</v>
      </c>
      <c r="AD31" s="50">
        <f t="shared" ca="1" si="7"/>
        <v>0.18621155716546756</v>
      </c>
      <c r="AE31" s="8">
        <v>0.8</v>
      </c>
      <c r="AF31" s="49">
        <f t="shared" ca="1" si="25"/>
        <v>200</v>
      </c>
      <c r="AH31" s="50">
        <f t="shared" ca="1" si="8"/>
        <v>0.65675714752886816</v>
      </c>
      <c r="AI31" s="8">
        <v>0.8</v>
      </c>
      <c r="AJ31" s="49">
        <f t="shared" ca="1" si="26"/>
        <v>160</v>
      </c>
      <c r="AL31" s="50">
        <f t="shared" ca="1" si="9"/>
        <v>0.11736764116870801</v>
      </c>
      <c r="AM31" s="8">
        <v>0.8</v>
      </c>
      <c r="AN31" s="49">
        <f t="shared" ca="1" si="27"/>
        <v>81</v>
      </c>
      <c r="AP31" s="50">
        <f t="shared" ca="1" si="10"/>
        <v>0.55186533793497494</v>
      </c>
      <c r="AQ31" s="8">
        <v>0.8</v>
      </c>
      <c r="AR31" s="49">
        <f t="shared" ca="1" si="28"/>
        <v>180</v>
      </c>
      <c r="AT31" s="50">
        <f t="shared" ca="1" si="11"/>
        <v>0.93027694448068809</v>
      </c>
      <c r="AU31" s="8">
        <v>0.8</v>
      </c>
      <c r="AV31" s="49">
        <f t="shared" ca="1" si="29"/>
        <v>214</v>
      </c>
      <c r="AX31" s="50">
        <f t="shared" ca="1" si="12"/>
        <v>0.19721686185065812</v>
      </c>
      <c r="AY31" s="8">
        <v>0.8</v>
      </c>
      <c r="AZ31" s="49">
        <f t="shared" ca="1" si="30"/>
        <v>112</v>
      </c>
      <c r="BB31" s="50">
        <f t="shared" ca="1" si="13"/>
        <v>0.29429970268443539</v>
      </c>
      <c r="BC31" s="8">
        <v>0.8</v>
      </c>
      <c r="BD31" s="49">
        <f t="shared" ca="1" si="31"/>
        <v>110</v>
      </c>
      <c r="BF31" s="50">
        <f t="shared" ca="1" si="14"/>
        <v>0.84076825740340511</v>
      </c>
      <c r="BG31" s="8">
        <v>0.8</v>
      </c>
      <c r="BH31" s="49">
        <f t="shared" ca="1" si="32"/>
        <v>167</v>
      </c>
      <c r="BJ31" s="50">
        <f t="shared" ca="1" si="15"/>
        <v>0.64728040652033914</v>
      </c>
      <c r="BK31" s="8">
        <v>0.8</v>
      </c>
      <c r="BL31" s="49">
        <f t="shared" ca="1" si="33"/>
        <v>116</v>
      </c>
      <c r="BN31" s="50">
        <f t="shared" ca="1" si="16"/>
        <v>0.49310786802659423</v>
      </c>
      <c r="BO31" s="8">
        <v>0.8</v>
      </c>
      <c r="BP31" s="49">
        <f t="shared" ca="1" si="34"/>
        <v>139</v>
      </c>
      <c r="BR31" s="50">
        <f t="shared" ca="1" si="17"/>
        <v>0.46965392926175686</v>
      </c>
      <c r="BS31" s="8">
        <v>0.8</v>
      </c>
      <c r="BT31" s="49">
        <f t="shared" ca="1" si="35"/>
        <v>144</v>
      </c>
    </row>
    <row r="32" spans="1:72" x14ac:dyDescent="0.2">
      <c r="A32" s="22">
        <v>44579</v>
      </c>
      <c r="B32" s="50">
        <f t="shared" ca="1" si="0"/>
        <v>2.6330416496448072E-2</v>
      </c>
      <c r="C32" s="8">
        <v>0.8</v>
      </c>
      <c r="D32" s="49">
        <f t="shared" ca="1" si="18"/>
        <v>49</v>
      </c>
      <c r="F32" s="50">
        <f t="shared" ca="1" si="1"/>
        <v>0.99360577461112254</v>
      </c>
      <c r="G32" s="8">
        <v>0.8</v>
      </c>
      <c r="H32" s="49">
        <f t="shared" ca="1" si="19"/>
        <v>287</v>
      </c>
      <c r="J32" s="50">
        <f t="shared" ca="1" si="2"/>
        <v>0.55770957443444769</v>
      </c>
      <c r="K32" s="8">
        <v>0.8</v>
      </c>
      <c r="L32" s="49">
        <f t="shared" ca="1" si="20"/>
        <v>125</v>
      </c>
      <c r="N32" s="50">
        <f t="shared" ca="1" si="3"/>
        <v>0.39592112353549869</v>
      </c>
      <c r="O32" s="8">
        <v>0.8</v>
      </c>
      <c r="P32" s="49">
        <f t="shared" ca="1" si="21"/>
        <v>171</v>
      </c>
      <c r="R32" s="50">
        <f t="shared" ca="1" si="4"/>
        <v>0.95724297739965991</v>
      </c>
      <c r="S32" s="8">
        <v>0.8</v>
      </c>
      <c r="T32" s="49">
        <f t="shared" ca="1" si="22"/>
        <v>162</v>
      </c>
      <c r="V32" s="50">
        <f t="shared" ca="1" si="5"/>
        <v>0.78859356612174314</v>
      </c>
      <c r="W32" s="8">
        <v>0.8</v>
      </c>
      <c r="X32" s="49">
        <f t="shared" ca="1" si="23"/>
        <v>219</v>
      </c>
      <c r="Z32" s="50">
        <f t="shared" ca="1" si="6"/>
        <v>7.1911686562443733E-2</v>
      </c>
      <c r="AA32" s="8">
        <v>0.8</v>
      </c>
      <c r="AB32" s="49">
        <f t="shared" ca="1" si="24"/>
        <v>132</v>
      </c>
      <c r="AD32" s="50">
        <f t="shared" ca="1" si="7"/>
        <v>0.24072661527329764</v>
      </c>
      <c r="AE32" s="8">
        <v>0.8</v>
      </c>
      <c r="AF32" s="49">
        <f t="shared" ca="1" si="25"/>
        <v>213</v>
      </c>
      <c r="AH32" s="50">
        <f t="shared" ca="1" si="8"/>
        <v>0.35004123547365207</v>
      </c>
      <c r="AI32" s="8">
        <v>0.8</v>
      </c>
      <c r="AJ32" s="49">
        <f t="shared" ca="1" si="26"/>
        <v>130</v>
      </c>
      <c r="AL32" s="50">
        <f t="shared" ca="1" si="9"/>
        <v>0.99121890203421847</v>
      </c>
      <c r="AM32" s="8">
        <v>0.8</v>
      </c>
      <c r="AN32" s="49">
        <f t="shared" ca="1" si="27"/>
        <v>193</v>
      </c>
      <c r="AP32" s="50">
        <f t="shared" ca="1" si="10"/>
        <v>0.68116109424770332</v>
      </c>
      <c r="AQ32" s="8">
        <v>0.8</v>
      </c>
      <c r="AR32" s="49">
        <f t="shared" ca="1" si="28"/>
        <v>196</v>
      </c>
      <c r="AT32" s="50">
        <f t="shared" ca="1" si="11"/>
        <v>0.49854279015017422</v>
      </c>
      <c r="AU32" s="8">
        <v>0.8</v>
      </c>
      <c r="AV32" s="49">
        <f t="shared" ca="1" si="29"/>
        <v>154</v>
      </c>
      <c r="AX32" s="50">
        <f t="shared" ca="1" si="12"/>
        <v>0.51280252949680138</v>
      </c>
      <c r="AY32" s="8">
        <v>0.8</v>
      </c>
      <c r="AZ32" s="49">
        <f t="shared" ca="1" si="30"/>
        <v>146</v>
      </c>
      <c r="BB32" s="50">
        <f t="shared" ca="1" si="13"/>
        <v>2.4489951612014171E-2</v>
      </c>
      <c r="BC32" s="8">
        <v>0.8</v>
      </c>
      <c r="BD32" s="49">
        <f t="shared" ca="1" si="31"/>
        <v>61</v>
      </c>
      <c r="BF32" s="50">
        <f t="shared" ca="1" si="14"/>
        <v>0.81948521924627216</v>
      </c>
      <c r="BG32" s="8">
        <v>0.8</v>
      </c>
      <c r="BH32" s="49">
        <f t="shared" ca="1" si="32"/>
        <v>164</v>
      </c>
      <c r="BJ32" s="50">
        <f t="shared" ca="1" si="15"/>
        <v>6.2262691551085547E-2</v>
      </c>
      <c r="BK32" s="8">
        <v>0.8</v>
      </c>
      <c r="BL32" s="49">
        <f t="shared" ca="1" si="33"/>
        <v>62</v>
      </c>
      <c r="BN32" s="50">
        <f t="shared" ca="1" si="16"/>
        <v>0.65491958133615624</v>
      </c>
      <c r="BO32" s="8">
        <v>0.8</v>
      </c>
      <c r="BP32" s="49">
        <f t="shared" ca="1" si="34"/>
        <v>154</v>
      </c>
      <c r="BR32" s="50">
        <f t="shared" ca="1" si="17"/>
        <v>0.46070903027030241</v>
      </c>
      <c r="BS32" s="8">
        <v>0.8</v>
      </c>
      <c r="BT32" s="49">
        <f t="shared" ca="1" si="35"/>
        <v>143</v>
      </c>
    </row>
    <row r="33" spans="1:72" x14ac:dyDescent="0.2">
      <c r="A33" s="22">
        <v>44580</v>
      </c>
      <c r="B33" s="50">
        <f t="shared" ca="1" si="0"/>
        <v>0.7535062555972597</v>
      </c>
      <c r="C33" s="8">
        <v>0.8</v>
      </c>
      <c r="D33" s="49">
        <f t="shared" ca="1" si="18"/>
        <v>91</v>
      </c>
      <c r="F33" s="50">
        <f t="shared" ca="1" si="1"/>
        <v>0.86071046426667852</v>
      </c>
      <c r="G33" s="8">
        <v>0.8</v>
      </c>
      <c r="H33" s="49">
        <f t="shared" ca="1" si="19"/>
        <v>223</v>
      </c>
      <c r="J33" s="50">
        <f t="shared" ca="1" si="2"/>
        <v>0.63824138631929461</v>
      </c>
      <c r="K33" s="8">
        <v>0.8</v>
      </c>
      <c r="L33" s="49">
        <f t="shared" ca="1" si="20"/>
        <v>132</v>
      </c>
      <c r="N33" s="50">
        <f t="shared" ca="1" si="3"/>
        <v>0.43895441255170975</v>
      </c>
      <c r="O33" s="8">
        <v>0.8</v>
      </c>
      <c r="P33" s="49">
        <f t="shared" ca="1" si="21"/>
        <v>176</v>
      </c>
      <c r="R33" s="50">
        <f t="shared" ca="1" si="4"/>
        <v>0.8512059753686837</v>
      </c>
      <c r="S33" s="8">
        <v>0.8</v>
      </c>
      <c r="T33" s="49">
        <f t="shared" ca="1" si="22"/>
        <v>142</v>
      </c>
      <c r="V33" s="50">
        <f t="shared" ca="1" si="5"/>
        <v>0.40813742479554516</v>
      </c>
      <c r="W33" s="8">
        <v>0.8</v>
      </c>
      <c r="X33" s="49">
        <f t="shared" ca="1" si="23"/>
        <v>169</v>
      </c>
      <c r="Z33" s="50">
        <f t="shared" ca="1" si="6"/>
        <v>0.73812003708641472</v>
      </c>
      <c r="AA33" s="8">
        <v>0.8</v>
      </c>
      <c r="AB33" s="49">
        <f t="shared" ca="1" si="24"/>
        <v>253</v>
      </c>
      <c r="AD33" s="50">
        <f t="shared" ca="1" si="7"/>
        <v>0.50260648619493142</v>
      </c>
      <c r="AE33" s="8">
        <v>0.8</v>
      </c>
      <c r="AF33" s="49">
        <f t="shared" ca="1" si="25"/>
        <v>263</v>
      </c>
      <c r="AH33" s="50">
        <f t="shared" ca="1" si="8"/>
        <v>0.53245922677276858</v>
      </c>
      <c r="AI33" s="8">
        <v>0.8</v>
      </c>
      <c r="AJ33" s="49">
        <f t="shared" ca="1" si="26"/>
        <v>148</v>
      </c>
      <c r="AL33" s="50">
        <f t="shared" ca="1" si="9"/>
        <v>0.49763432280224096</v>
      </c>
      <c r="AM33" s="8">
        <v>0.8</v>
      </c>
      <c r="AN33" s="49">
        <f t="shared" ca="1" si="27"/>
        <v>118</v>
      </c>
      <c r="AP33" s="50">
        <f t="shared" ca="1" si="10"/>
        <v>0.83188970244983751</v>
      </c>
      <c r="AQ33" s="8">
        <v>0.8</v>
      </c>
      <c r="AR33" s="49">
        <f t="shared" ca="1" si="28"/>
        <v>218</v>
      </c>
      <c r="AT33" s="50">
        <f t="shared" ca="1" si="11"/>
        <v>0.60727086209423586</v>
      </c>
      <c r="AU33" s="8">
        <v>0.8</v>
      </c>
      <c r="AV33" s="49">
        <f t="shared" ca="1" si="29"/>
        <v>165</v>
      </c>
      <c r="AX33" s="50">
        <f t="shared" ca="1" si="12"/>
        <v>0.62292642899627648</v>
      </c>
      <c r="AY33" s="8">
        <v>0.8</v>
      </c>
      <c r="AZ33" s="49">
        <f t="shared" ca="1" si="30"/>
        <v>156</v>
      </c>
      <c r="BB33" s="50">
        <f t="shared" ca="1" si="13"/>
        <v>0.12551936589110191</v>
      </c>
      <c r="BC33" s="8">
        <v>0.8</v>
      </c>
      <c r="BD33" s="49">
        <f t="shared" ca="1" si="31"/>
        <v>89</v>
      </c>
      <c r="BF33" s="50">
        <f t="shared" ca="1" si="14"/>
        <v>0.711038176370279</v>
      </c>
      <c r="BG33" s="8">
        <v>0.8</v>
      </c>
      <c r="BH33" s="49">
        <f t="shared" ca="1" si="32"/>
        <v>152</v>
      </c>
      <c r="BJ33" s="50">
        <f t="shared" ca="1" si="15"/>
        <v>0.65662354576833248</v>
      </c>
      <c r="BK33" s="8">
        <v>0.8</v>
      </c>
      <c r="BL33" s="49">
        <f t="shared" ca="1" si="33"/>
        <v>117</v>
      </c>
      <c r="BN33" s="50">
        <f t="shared" ca="1" si="16"/>
        <v>0.16431706391891432</v>
      </c>
      <c r="BO33" s="8">
        <v>0.8</v>
      </c>
      <c r="BP33" s="49">
        <f t="shared" ca="1" si="34"/>
        <v>103</v>
      </c>
      <c r="BR33" s="50">
        <f t="shared" ca="1" si="17"/>
        <v>0.38136817555252234</v>
      </c>
      <c r="BS33" s="8">
        <v>0.8</v>
      </c>
      <c r="BT33" s="49">
        <f t="shared" ca="1" si="35"/>
        <v>135</v>
      </c>
    </row>
    <row r="34" spans="1:72" x14ac:dyDescent="0.2">
      <c r="A34" s="22">
        <v>44581</v>
      </c>
      <c r="B34" s="50">
        <f t="shared" ca="1" si="0"/>
        <v>0.33222886321546519</v>
      </c>
      <c r="C34" s="8">
        <v>0.8</v>
      </c>
      <c r="D34" s="49">
        <f t="shared" ca="1" si="18"/>
        <v>74</v>
      </c>
      <c r="F34" s="50">
        <f t="shared" ca="1" si="1"/>
        <v>0.51367325634800287</v>
      </c>
      <c r="G34" s="8">
        <v>0.8</v>
      </c>
      <c r="H34" s="49">
        <f t="shared" ca="1" si="19"/>
        <v>174</v>
      </c>
      <c r="J34" s="50">
        <f t="shared" ca="1" si="2"/>
        <v>0.70105564878005955</v>
      </c>
      <c r="K34" s="8">
        <v>0.8</v>
      </c>
      <c r="L34" s="49">
        <f t="shared" ca="1" si="20"/>
        <v>137</v>
      </c>
      <c r="N34" s="50">
        <f t="shared" ca="1" si="3"/>
        <v>0.78836689786044944</v>
      </c>
      <c r="O34" s="8">
        <v>0.8</v>
      </c>
      <c r="P34" s="49">
        <f t="shared" ca="1" si="21"/>
        <v>223</v>
      </c>
      <c r="R34" s="50">
        <f t="shared" ca="1" si="4"/>
        <v>0.85843044518173839</v>
      </c>
      <c r="S34" s="8">
        <v>0.8</v>
      </c>
      <c r="T34" s="49">
        <f t="shared" ca="1" si="22"/>
        <v>143</v>
      </c>
      <c r="V34" s="50">
        <f t="shared" ca="1" si="5"/>
        <v>0.76264436130870306</v>
      </c>
      <c r="W34" s="8">
        <v>0.8</v>
      </c>
      <c r="X34" s="49">
        <f t="shared" ca="1" si="23"/>
        <v>215</v>
      </c>
      <c r="Z34" s="50">
        <f t="shared" ca="1" si="6"/>
        <v>0.49256591119935145</v>
      </c>
      <c r="AA34" s="8">
        <v>0.8</v>
      </c>
      <c r="AB34" s="49">
        <f t="shared" ca="1" si="24"/>
        <v>215</v>
      </c>
      <c r="AD34" s="50">
        <f t="shared" ca="1" si="7"/>
        <v>0.80304003590625228</v>
      </c>
      <c r="AE34" s="8">
        <v>0.8</v>
      </c>
      <c r="AF34" s="49">
        <f t="shared" ca="1" si="25"/>
        <v>322</v>
      </c>
      <c r="AH34" s="50">
        <f t="shared" ca="1" si="8"/>
        <v>0.95498581762835411</v>
      </c>
      <c r="AI34" s="8">
        <v>0.8</v>
      </c>
      <c r="AJ34" s="49">
        <f t="shared" ca="1" si="26"/>
        <v>209</v>
      </c>
      <c r="AL34" s="50">
        <f t="shared" ca="1" si="9"/>
        <v>0.23545175454297651</v>
      </c>
      <c r="AM34" s="8">
        <v>0.8</v>
      </c>
      <c r="AN34" s="49">
        <f t="shared" ca="1" si="27"/>
        <v>96</v>
      </c>
      <c r="AP34" s="50">
        <f t="shared" ca="1" si="10"/>
        <v>0.37603599312013858</v>
      </c>
      <c r="AQ34" s="8">
        <v>0.8</v>
      </c>
      <c r="AR34" s="49">
        <f t="shared" ca="1" si="28"/>
        <v>159</v>
      </c>
      <c r="AT34" s="50">
        <f t="shared" ca="1" si="11"/>
        <v>2.4195352632268463E-2</v>
      </c>
      <c r="AU34" s="8">
        <v>0.8</v>
      </c>
      <c r="AV34" s="49">
        <f t="shared" ca="1" si="29"/>
        <v>73</v>
      </c>
      <c r="AX34" s="50">
        <f t="shared" ca="1" si="12"/>
        <v>0.70809651743569524</v>
      </c>
      <c r="AY34" s="8">
        <v>0.8</v>
      </c>
      <c r="AZ34" s="49">
        <f t="shared" ca="1" si="30"/>
        <v>165</v>
      </c>
      <c r="BB34" s="50">
        <f t="shared" ca="1" si="13"/>
        <v>0.42157395140433429</v>
      </c>
      <c r="BC34" s="8">
        <v>0.8</v>
      </c>
      <c r="BD34" s="49">
        <f t="shared" ca="1" si="31"/>
        <v>121</v>
      </c>
      <c r="BF34" s="50">
        <f t="shared" ca="1" si="14"/>
        <v>0.93438470630355352</v>
      </c>
      <c r="BG34" s="8">
        <v>0.8</v>
      </c>
      <c r="BH34" s="49">
        <f t="shared" ca="1" si="32"/>
        <v>185</v>
      </c>
      <c r="BJ34" s="50">
        <f t="shared" ca="1" si="15"/>
        <v>0.25412130818479173</v>
      </c>
      <c r="BK34" s="8">
        <v>0.8</v>
      </c>
      <c r="BL34" s="49">
        <f t="shared" ca="1" si="33"/>
        <v>87</v>
      </c>
      <c r="BN34" s="50">
        <f t="shared" ca="1" si="16"/>
        <v>0.49344431361607743</v>
      </c>
      <c r="BO34" s="8">
        <v>0.8</v>
      </c>
      <c r="BP34" s="49">
        <f t="shared" ca="1" si="34"/>
        <v>139</v>
      </c>
      <c r="BR34" s="50">
        <f t="shared" ca="1" si="17"/>
        <v>0.24064582349271735</v>
      </c>
      <c r="BS34" s="8">
        <v>0.8</v>
      </c>
      <c r="BT34" s="49">
        <f t="shared" ca="1" si="35"/>
        <v>120</v>
      </c>
    </row>
    <row r="35" spans="1:72" x14ac:dyDescent="0.2">
      <c r="A35" s="22">
        <v>44582</v>
      </c>
      <c r="B35" s="50">
        <f t="shared" ca="1" si="0"/>
        <v>1.5906909179791096E-2</v>
      </c>
      <c r="C35" s="8">
        <v>0.8</v>
      </c>
      <c r="D35" s="49">
        <f t="shared" ca="1" si="18"/>
        <v>46</v>
      </c>
      <c r="F35" s="50">
        <f t="shared" ca="1" si="1"/>
        <v>0.93923381920720883</v>
      </c>
      <c r="G35" s="8">
        <v>0.8</v>
      </c>
      <c r="H35" s="49">
        <f t="shared" ca="1" si="19"/>
        <v>244</v>
      </c>
      <c r="J35" s="50">
        <f t="shared" ca="1" si="2"/>
        <v>0.77945240797495086</v>
      </c>
      <c r="K35" s="8">
        <v>0.8</v>
      </c>
      <c r="L35" s="49">
        <f t="shared" ca="1" si="20"/>
        <v>145</v>
      </c>
      <c r="N35" s="50">
        <f t="shared" ca="1" si="3"/>
        <v>0.91577808088917811</v>
      </c>
      <c r="O35" s="8">
        <v>0.8</v>
      </c>
      <c r="P35" s="49">
        <f t="shared" ca="1" si="21"/>
        <v>251</v>
      </c>
      <c r="R35" s="50">
        <f t="shared" ca="1" si="4"/>
        <v>1.1451631015669927E-2</v>
      </c>
      <c r="S35" s="8">
        <v>0.8</v>
      </c>
      <c r="T35" s="49">
        <f t="shared" ca="1" si="22"/>
        <v>44</v>
      </c>
      <c r="V35" s="50">
        <f t="shared" ca="1" si="5"/>
        <v>0.98780310260609394</v>
      </c>
      <c r="W35" s="8">
        <v>0.8</v>
      </c>
      <c r="X35" s="49">
        <f t="shared" ca="1" si="23"/>
        <v>289</v>
      </c>
      <c r="Z35" s="50">
        <f t="shared" ca="1" si="6"/>
        <v>0.98604281778229075</v>
      </c>
      <c r="AA35" s="8">
        <v>0.8</v>
      </c>
      <c r="AB35" s="49">
        <f t="shared" ca="1" si="24"/>
        <v>343</v>
      </c>
      <c r="AD35" s="50">
        <f t="shared" ca="1" si="7"/>
        <v>0.42315279729191413</v>
      </c>
      <c r="AE35" s="8">
        <v>0.8</v>
      </c>
      <c r="AF35" s="49">
        <f t="shared" ca="1" si="25"/>
        <v>249</v>
      </c>
      <c r="AH35" s="50">
        <f t="shared" ca="1" si="8"/>
        <v>0.17463937228472859</v>
      </c>
      <c r="AI35" s="8">
        <v>0.8</v>
      </c>
      <c r="AJ35" s="49">
        <f t="shared" ca="1" si="26"/>
        <v>108</v>
      </c>
      <c r="AL35" s="50">
        <f t="shared" ca="1" si="9"/>
        <v>0.3351137315170889</v>
      </c>
      <c r="AM35" s="8">
        <v>0.8</v>
      </c>
      <c r="AN35" s="49">
        <f t="shared" ca="1" si="27"/>
        <v>105</v>
      </c>
      <c r="AP35" s="50">
        <f t="shared" ca="1" si="10"/>
        <v>1.8594933742264064E-2</v>
      </c>
      <c r="AQ35" s="8">
        <v>0.8</v>
      </c>
      <c r="AR35" s="49">
        <f t="shared" ca="1" si="28"/>
        <v>78</v>
      </c>
      <c r="AT35" s="50">
        <f t="shared" ca="1" si="11"/>
        <v>0.54133226015917923</v>
      </c>
      <c r="AU35" s="8">
        <v>0.8</v>
      </c>
      <c r="AV35" s="49">
        <f t="shared" ca="1" si="29"/>
        <v>158</v>
      </c>
      <c r="AX35" s="50">
        <f t="shared" ca="1" si="12"/>
        <v>1.5010867750898105E-2</v>
      </c>
      <c r="AY35" s="8">
        <v>0.8</v>
      </c>
      <c r="AZ35" s="49">
        <f t="shared" ca="1" si="30"/>
        <v>61</v>
      </c>
      <c r="BB35" s="50">
        <f t="shared" ca="1" si="13"/>
        <v>0.8697821498096443</v>
      </c>
      <c r="BC35" s="8">
        <v>0.8</v>
      </c>
      <c r="BD35" s="49">
        <f t="shared" ca="1" si="31"/>
        <v>166</v>
      </c>
      <c r="BF35" s="50">
        <f t="shared" ca="1" si="14"/>
        <v>0.61391058448337044</v>
      </c>
      <c r="BG35" s="8">
        <v>0.8</v>
      </c>
      <c r="BH35" s="49">
        <f t="shared" ca="1" si="32"/>
        <v>142</v>
      </c>
      <c r="BJ35" s="50">
        <f t="shared" ca="1" si="15"/>
        <v>0.93042880271896822</v>
      </c>
      <c r="BK35" s="8">
        <v>0.8</v>
      </c>
      <c r="BL35" s="49">
        <f t="shared" ca="1" si="33"/>
        <v>147</v>
      </c>
      <c r="BN35" s="50">
        <f t="shared" ca="1" si="16"/>
        <v>0.23032388285046268</v>
      </c>
      <c r="BO35" s="8">
        <v>0.8</v>
      </c>
      <c r="BP35" s="49">
        <f t="shared" ca="1" si="34"/>
        <v>112</v>
      </c>
      <c r="BR35" s="50">
        <f t="shared" ca="1" si="17"/>
        <v>0.73500255621638977</v>
      </c>
      <c r="BS35" s="8">
        <v>0.8</v>
      </c>
      <c r="BT35" s="49">
        <f t="shared" ca="1" si="35"/>
        <v>172</v>
      </c>
    </row>
    <row r="36" spans="1:72" x14ac:dyDescent="0.2">
      <c r="A36" s="22">
        <v>44583</v>
      </c>
      <c r="B36" s="50">
        <f t="shared" ca="1" si="0"/>
        <v>0.30423316337664363</v>
      </c>
      <c r="C36" s="8">
        <v>0.8</v>
      </c>
      <c r="D36" s="49">
        <f t="shared" ca="1" si="18"/>
        <v>72</v>
      </c>
      <c r="F36" s="50">
        <f t="shared" ca="1" si="1"/>
        <v>0.35030508709032526</v>
      </c>
      <c r="G36" s="8">
        <v>0.8</v>
      </c>
      <c r="H36" s="49">
        <f t="shared" ca="1" si="19"/>
        <v>155</v>
      </c>
      <c r="J36" s="50">
        <f t="shared" ca="1" si="2"/>
        <v>0.9625308219159755</v>
      </c>
      <c r="K36" s="8">
        <v>0.8</v>
      </c>
      <c r="L36" s="49">
        <f t="shared" ca="1" si="20"/>
        <v>177</v>
      </c>
      <c r="N36" s="50">
        <f t="shared" ca="1" si="3"/>
        <v>0.1145248522693374</v>
      </c>
      <c r="O36" s="8">
        <v>0.8</v>
      </c>
      <c r="P36" s="49">
        <f t="shared" ca="1" si="21"/>
        <v>125</v>
      </c>
      <c r="R36" s="50">
        <f t="shared" ca="1" si="4"/>
        <v>0.96896368387136556</v>
      </c>
      <c r="S36" s="8">
        <v>0.8</v>
      </c>
      <c r="T36" s="49">
        <f t="shared" ca="1" si="22"/>
        <v>167</v>
      </c>
      <c r="V36" s="50">
        <f t="shared" ca="1" si="5"/>
        <v>0.62746621095547084</v>
      </c>
      <c r="W36" s="8">
        <v>0.8</v>
      </c>
      <c r="X36" s="49">
        <f t="shared" ca="1" si="23"/>
        <v>196</v>
      </c>
      <c r="Z36" s="50">
        <f t="shared" ca="1" si="6"/>
        <v>0.10184240526407362</v>
      </c>
      <c r="AA36" s="8">
        <v>0.8</v>
      </c>
      <c r="AB36" s="49">
        <f t="shared" ca="1" si="24"/>
        <v>143</v>
      </c>
      <c r="AD36" s="50">
        <f t="shared" ca="1" si="7"/>
        <v>0.63107587103021767</v>
      </c>
      <c r="AE36" s="8">
        <v>0.8</v>
      </c>
      <c r="AF36" s="49">
        <f t="shared" ca="1" si="25"/>
        <v>285</v>
      </c>
      <c r="AH36" s="50">
        <f t="shared" ca="1" si="8"/>
        <v>0.77595029259412329</v>
      </c>
      <c r="AI36" s="8">
        <v>0.8</v>
      </c>
      <c r="AJ36" s="49">
        <f t="shared" ca="1" si="26"/>
        <v>173</v>
      </c>
      <c r="AL36" s="50">
        <f t="shared" ca="1" si="9"/>
        <v>0.69928993679389517</v>
      </c>
      <c r="AM36" s="8">
        <v>0.8</v>
      </c>
      <c r="AN36" s="49">
        <f t="shared" ca="1" si="27"/>
        <v>135</v>
      </c>
      <c r="AP36" s="50">
        <f t="shared" ca="1" si="10"/>
        <v>0.31119980703160455</v>
      </c>
      <c r="AQ36" s="8">
        <v>0.8</v>
      </c>
      <c r="AR36" s="49">
        <f t="shared" ca="1" si="28"/>
        <v>151</v>
      </c>
      <c r="AT36" s="50">
        <f t="shared" ca="1" si="11"/>
        <v>0.90820753157429301</v>
      </c>
      <c r="AU36" s="8">
        <v>0.8</v>
      </c>
      <c r="AV36" s="49">
        <f t="shared" ca="1" si="29"/>
        <v>208</v>
      </c>
      <c r="AX36" s="50">
        <f t="shared" ca="1" si="12"/>
        <v>6.3148788897748886E-2</v>
      </c>
      <c r="AY36" s="8">
        <v>0.8</v>
      </c>
      <c r="AZ36" s="49">
        <f t="shared" ca="1" si="30"/>
        <v>86</v>
      </c>
      <c r="BB36" s="50">
        <f t="shared" ca="1" si="13"/>
        <v>0.98312081530768003</v>
      </c>
      <c r="BC36" s="8">
        <v>0.8</v>
      </c>
      <c r="BD36" s="49">
        <f t="shared" ca="1" si="31"/>
        <v>200</v>
      </c>
      <c r="BF36" s="50">
        <f t="shared" ca="1" si="14"/>
        <v>0.61947021973805882</v>
      </c>
      <c r="BG36" s="8">
        <v>0.8</v>
      </c>
      <c r="BH36" s="49">
        <f t="shared" ca="1" si="32"/>
        <v>143</v>
      </c>
      <c r="BJ36" s="50">
        <f t="shared" ca="1" si="15"/>
        <v>0.9680752538455516</v>
      </c>
      <c r="BK36" s="8">
        <v>0.8</v>
      </c>
      <c r="BL36" s="49">
        <f t="shared" ca="1" si="33"/>
        <v>157</v>
      </c>
      <c r="BN36" s="50">
        <f t="shared" ca="1" si="16"/>
        <v>0.33928587450912318</v>
      </c>
      <c r="BO36" s="8">
        <v>0.8</v>
      </c>
      <c r="BP36" s="49">
        <f t="shared" ca="1" si="34"/>
        <v>124</v>
      </c>
      <c r="BR36" s="50">
        <f t="shared" ca="1" si="17"/>
        <v>0.10224133445131556</v>
      </c>
      <c r="BS36" s="8">
        <v>0.8</v>
      </c>
      <c r="BT36" s="49">
        <f t="shared" ca="1" si="35"/>
        <v>98</v>
      </c>
    </row>
    <row r="37" spans="1:72" x14ac:dyDescent="0.2">
      <c r="A37" s="22">
        <v>44584</v>
      </c>
      <c r="B37" s="50">
        <f t="shared" ca="1" si="0"/>
        <v>0.40582328726983896</v>
      </c>
      <c r="C37" s="8">
        <v>0.8</v>
      </c>
      <c r="D37" s="49">
        <f t="shared" ca="1" si="18"/>
        <v>77</v>
      </c>
      <c r="F37" s="50">
        <f t="shared" ca="1" si="1"/>
        <v>0.77203354525615753</v>
      </c>
      <c r="G37" s="8">
        <v>0.8</v>
      </c>
      <c r="H37" s="49">
        <f t="shared" ca="1" si="19"/>
        <v>207</v>
      </c>
      <c r="J37" s="50">
        <f t="shared" ca="1" si="2"/>
        <v>0.50561576671455821</v>
      </c>
      <c r="K37" s="8">
        <v>0.8</v>
      </c>
      <c r="L37" s="49">
        <f t="shared" ca="1" si="20"/>
        <v>121</v>
      </c>
      <c r="N37" s="50">
        <f t="shared" ca="1" si="3"/>
        <v>0.93261252737170686</v>
      </c>
      <c r="O37" s="8">
        <v>0.8</v>
      </c>
      <c r="P37" s="49">
        <f t="shared" ca="1" si="21"/>
        <v>257</v>
      </c>
      <c r="R37" s="50">
        <f t="shared" ca="1" si="4"/>
        <v>0.36499673832424473</v>
      </c>
      <c r="S37" s="8">
        <v>0.8</v>
      </c>
      <c r="T37" s="49">
        <f t="shared" ca="1" si="22"/>
        <v>101</v>
      </c>
      <c r="V37" s="50">
        <f t="shared" ca="1" si="5"/>
        <v>0.92615634092602983</v>
      </c>
      <c r="W37" s="8">
        <v>0.8</v>
      </c>
      <c r="X37" s="49">
        <f t="shared" ca="1" si="23"/>
        <v>250</v>
      </c>
      <c r="Z37" s="50">
        <f t="shared" ca="1" si="6"/>
        <v>0.44306052125172946</v>
      </c>
      <c r="AA37" s="8">
        <v>0.8</v>
      </c>
      <c r="AB37" s="49">
        <f t="shared" ca="1" si="24"/>
        <v>208</v>
      </c>
      <c r="AD37" s="50">
        <f t="shared" ca="1" si="7"/>
        <v>0.35966378376798314</v>
      </c>
      <c r="AE37" s="8">
        <v>0.8</v>
      </c>
      <c r="AF37" s="49">
        <f t="shared" ca="1" si="25"/>
        <v>237</v>
      </c>
      <c r="AH37" s="50">
        <f t="shared" ca="1" si="8"/>
        <v>0.23669496160292758</v>
      </c>
      <c r="AI37" s="8">
        <v>0.8</v>
      </c>
      <c r="AJ37" s="49">
        <f t="shared" ca="1" si="26"/>
        <v>117</v>
      </c>
      <c r="AL37" s="50">
        <f t="shared" ca="1" si="9"/>
        <v>0.43874502461963438</v>
      </c>
      <c r="AM37" s="8">
        <v>0.8</v>
      </c>
      <c r="AN37" s="49">
        <f t="shared" ca="1" si="27"/>
        <v>113</v>
      </c>
      <c r="AP37" s="50">
        <f t="shared" ca="1" si="10"/>
        <v>0.92157357532702089</v>
      </c>
      <c r="AQ37" s="8">
        <v>0.8</v>
      </c>
      <c r="AR37" s="49">
        <f t="shared" ca="1" si="28"/>
        <v>239</v>
      </c>
      <c r="AT37" s="50">
        <f t="shared" ca="1" si="11"/>
        <v>0.4146105046007097</v>
      </c>
      <c r="AU37" s="8">
        <v>0.8</v>
      </c>
      <c r="AV37" s="49">
        <f t="shared" ca="1" si="29"/>
        <v>145</v>
      </c>
      <c r="AX37" s="50">
        <f t="shared" ca="1" si="12"/>
        <v>4.0274371574462564E-2</v>
      </c>
      <c r="AY37" s="8">
        <v>0.8</v>
      </c>
      <c r="AZ37" s="49">
        <f t="shared" ca="1" si="30"/>
        <v>77</v>
      </c>
      <c r="BB37" s="50">
        <f t="shared" ca="1" si="13"/>
        <v>0.94021284119362114</v>
      </c>
      <c r="BC37" s="8">
        <v>0.8</v>
      </c>
      <c r="BD37" s="49">
        <f t="shared" ca="1" si="31"/>
        <v>181</v>
      </c>
      <c r="BF37" s="50">
        <f t="shared" ca="1" si="14"/>
        <v>0.3695128012782527</v>
      </c>
      <c r="BG37" s="8">
        <v>0.8</v>
      </c>
      <c r="BH37" s="49">
        <f t="shared" ca="1" si="32"/>
        <v>120</v>
      </c>
      <c r="BJ37" s="50">
        <f t="shared" ca="1" si="15"/>
        <v>0.77619911434563482</v>
      </c>
      <c r="BK37" s="8">
        <v>0.8</v>
      </c>
      <c r="BL37" s="49">
        <f t="shared" ca="1" si="33"/>
        <v>126</v>
      </c>
      <c r="BN37" s="50">
        <f t="shared" ca="1" si="16"/>
        <v>0.21919191443926545</v>
      </c>
      <c r="BO37" s="8">
        <v>0.8</v>
      </c>
      <c r="BP37" s="49">
        <f t="shared" ca="1" si="34"/>
        <v>111</v>
      </c>
      <c r="BR37" s="50">
        <f t="shared" ca="1" si="17"/>
        <v>0.98346782199785587</v>
      </c>
      <c r="BS37" s="8">
        <v>0.8</v>
      </c>
      <c r="BT37" s="49">
        <f t="shared" ca="1" si="35"/>
        <v>231</v>
      </c>
    </row>
    <row r="38" spans="1:72" x14ac:dyDescent="0.2">
      <c r="A38" s="22">
        <v>44585</v>
      </c>
      <c r="B38" s="50">
        <f t="shared" ca="1" si="0"/>
        <v>0.5546948668865751</v>
      </c>
      <c r="C38" s="8">
        <v>0.8</v>
      </c>
      <c r="D38" s="49">
        <f t="shared" ca="1" si="18"/>
        <v>83</v>
      </c>
      <c r="F38" s="50">
        <f t="shared" ca="1" si="1"/>
        <v>0.3349801182536265</v>
      </c>
      <c r="G38" s="8">
        <v>0.8</v>
      </c>
      <c r="H38" s="49">
        <f t="shared" ca="1" si="19"/>
        <v>153</v>
      </c>
      <c r="J38" s="50">
        <f t="shared" ca="1" si="2"/>
        <v>0.65670269086191413</v>
      </c>
      <c r="K38" s="8">
        <v>0.8</v>
      </c>
      <c r="L38" s="49">
        <f t="shared" ca="1" si="20"/>
        <v>133</v>
      </c>
      <c r="N38" s="50">
        <f t="shared" ca="1" si="3"/>
        <v>8.751350474555486E-2</v>
      </c>
      <c r="O38" s="8">
        <v>0.8</v>
      </c>
      <c r="P38" s="49">
        <f t="shared" ca="1" si="21"/>
        <v>118</v>
      </c>
      <c r="R38" s="50">
        <f t="shared" ca="1" si="4"/>
        <v>0.85580331001522236</v>
      </c>
      <c r="S38" s="8">
        <v>0.8</v>
      </c>
      <c r="T38" s="49">
        <f t="shared" ca="1" si="22"/>
        <v>143</v>
      </c>
      <c r="V38" s="50">
        <f t="shared" ca="1" si="5"/>
        <v>0.57074666454661316</v>
      </c>
      <c r="W38" s="8">
        <v>0.8</v>
      </c>
      <c r="X38" s="49">
        <f t="shared" ca="1" si="23"/>
        <v>189</v>
      </c>
      <c r="Z38" s="50">
        <f t="shared" ca="1" si="6"/>
        <v>0.67535325883981312</v>
      </c>
      <c r="AA38" s="8">
        <v>0.8</v>
      </c>
      <c r="AB38" s="49">
        <f t="shared" ca="1" si="24"/>
        <v>243</v>
      </c>
      <c r="AD38" s="50">
        <f t="shared" ca="1" si="7"/>
        <v>0.40591427819674386</v>
      </c>
      <c r="AE38" s="8">
        <v>0.8</v>
      </c>
      <c r="AF38" s="49">
        <f t="shared" ca="1" si="25"/>
        <v>245</v>
      </c>
      <c r="AH38" s="50">
        <f t="shared" ca="1" si="8"/>
        <v>0.99503916777730539</v>
      </c>
      <c r="AI38" s="8">
        <v>0.8</v>
      </c>
      <c r="AJ38" s="49">
        <f t="shared" ca="1" si="26"/>
        <v>243</v>
      </c>
      <c r="AL38" s="50">
        <f t="shared" ca="1" si="9"/>
        <v>0.97310629715680108</v>
      </c>
      <c r="AM38" s="8">
        <v>0.8</v>
      </c>
      <c r="AN38" s="49">
        <f t="shared" ca="1" si="27"/>
        <v>179</v>
      </c>
      <c r="AP38" s="50">
        <f t="shared" ca="1" si="10"/>
        <v>0.74399132450327865</v>
      </c>
      <c r="AQ38" s="8">
        <v>0.8</v>
      </c>
      <c r="AR38" s="49">
        <f t="shared" ca="1" si="28"/>
        <v>204</v>
      </c>
      <c r="AT38" s="50">
        <f t="shared" ca="1" si="11"/>
        <v>0.17087501918115311</v>
      </c>
      <c r="AU38" s="8">
        <v>0.8</v>
      </c>
      <c r="AV38" s="49">
        <f t="shared" ca="1" si="29"/>
        <v>115</v>
      </c>
      <c r="AX38" s="50">
        <f t="shared" ca="1" si="12"/>
        <v>0.13161491153019167</v>
      </c>
      <c r="AY38" s="8">
        <v>0.8</v>
      </c>
      <c r="AZ38" s="49">
        <f t="shared" ca="1" si="30"/>
        <v>101</v>
      </c>
      <c r="BB38" s="50">
        <f t="shared" ca="1" si="13"/>
        <v>0.28830949506994685</v>
      </c>
      <c r="BC38" s="8">
        <v>0.8</v>
      </c>
      <c r="BD38" s="49">
        <f t="shared" ca="1" si="31"/>
        <v>109</v>
      </c>
      <c r="BF38" s="50">
        <f t="shared" ca="1" si="14"/>
        <v>0.65748134407699232</v>
      </c>
      <c r="BG38" s="8">
        <v>0.8</v>
      </c>
      <c r="BH38" s="49">
        <f t="shared" ca="1" si="32"/>
        <v>146</v>
      </c>
      <c r="BJ38" s="50">
        <f t="shared" ca="1" si="15"/>
        <v>0.38634603494778652</v>
      </c>
      <c r="BK38" s="8">
        <v>0.8</v>
      </c>
      <c r="BL38" s="49">
        <f t="shared" ca="1" si="33"/>
        <v>97</v>
      </c>
      <c r="BN38" s="50">
        <f t="shared" ca="1" si="16"/>
        <v>0.89206641177412926</v>
      </c>
      <c r="BO38" s="8">
        <v>0.8</v>
      </c>
      <c r="BP38" s="49">
        <f t="shared" ca="1" si="34"/>
        <v>185</v>
      </c>
      <c r="BR38" s="50">
        <f t="shared" ca="1" si="17"/>
        <v>0.76060375215376208</v>
      </c>
      <c r="BS38" s="8">
        <v>0.8</v>
      </c>
      <c r="BT38" s="49">
        <f t="shared" ca="1" si="35"/>
        <v>175</v>
      </c>
    </row>
    <row r="39" spans="1:72" x14ac:dyDescent="0.2">
      <c r="A39" s="22">
        <v>44586</v>
      </c>
      <c r="B39" s="50">
        <f t="shared" ca="1" si="0"/>
        <v>0.67685423723219895</v>
      </c>
      <c r="C39" s="8">
        <v>0.8</v>
      </c>
      <c r="D39" s="49">
        <f t="shared" ca="1" si="18"/>
        <v>88</v>
      </c>
      <c r="F39" s="50">
        <f t="shared" ca="1" si="1"/>
        <v>0.50878621303954663</v>
      </c>
      <c r="G39" s="8">
        <v>0.8</v>
      </c>
      <c r="H39" s="49">
        <f t="shared" ca="1" si="19"/>
        <v>174</v>
      </c>
      <c r="J39" s="50">
        <f t="shared" ca="1" si="2"/>
        <v>4.7436048314172474E-2</v>
      </c>
      <c r="K39" s="8">
        <v>0.8</v>
      </c>
      <c r="L39" s="49">
        <f t="shared" ca="1" si="20"/>
        <v>67</v>
      </c>
      <c r="N39" s="50">
        <f t="shared" ca="1" si="3"/>
        <v>0.51851128206815167</v>
      </c>
      <c r="O39" s="8">
        <v>0.8</v>
      </c>
      <c r="P39" s="49">
        <f t="shared" ca="1" si="21"/>
        <v>186</v>
      </c>
      <c r="R39" s="50">
        <f t="shared" ca="1" si="4"/>
        <v>0.94034593501646546</v>
      </c>
      <c r="S39" s="8">
        <v>0.8</v>
      </c>
      <c r="T39" s="49">
        <f t="shared" ca="1" si="22"/>
        <v>158</v>
      </c>
      <c r="V39" s="50">
        <f t="shared" ca="1" si="5"/>
        <v>0.96506623733395491</v>
      </c>
      <c r="W39" s="8">
        <v>0.8</v>
      </c>
      <c r="X39" s="49">
        <f t="shared" ca="1" si="23"/>
        <v>268</v>
      </c>
      <c r="Z39" s="50">
        <f t="shared" ca="1" si="6"/>
        <v>0.22079915178386034</v>
      </c>
      <c r="AA39" s="8">
        <v>0.8</v>
      </c>
      <c r="AB39" s="49">
        <f t="shared" ca="1" si="24"/>
        <v>172</v>
      </c>
      <c r="AD39" s="50">
        <f t="shared" ca="1" si="7"/>
        <v>0.13270931122558471</v>
      </c>
      <c r="AE39" s="8">
        <v>0.8</v>
      </c>
      <c r="AF39" s="49">
        <f t="shared" ca="1" si="25"/>
        <v>184</v>
      </c>
      <c r="AH39" s="50">
        <f t="shared" ca="1" si="8"/>
        <v>0.15261193963479425</v>
      </c>
      <c r="AI39" s="8">
        <v>0.8</v>
      </c>
      <c r="AJ39" s="49">
        <f t="shared" ca="1" si="26"/>
        <v>105</v>
      </c>
      <c r="AL39" s="50">
        <f t="shared" ca="1" si="9"/>
        <v>0.65470458310882362</v>
      </c>
      <c r="AM39" s="8">
        <v>0.8</v>
      </c>
      <c r="AN39" s="49">
        <f t="shared" ca="1" si="27"/>
        <v>131</v>
      </c>
      <c r="AP39" s="50">
        <f t="shared" ca="1" si="10"/>
        <v>0.49773811282987379</v>
      </c>
      <c r="AQ39" s="8">
        <v>0.8</v>
      </c>
      <c r="AR39" s="49">
        <f t="shared" ca="1" si="28"/>
        <v>174</v>
      </c>
      <c r="AT39" s="50">
        <f t="shared" ca="1" si="11"/>
        <v>0.15247864108814324</v>
      </c>
      <c r="AU39" s="8">
        <v>0.8</v>
      </c>
      <c r="AV39" s="49">
        <f t="shared" ca="1" si="29"/>
        <v>112</v>
      </c>
      <c r="AX39" s="50">
        <f t="shared" ca="1" si="12"/>
        <v>0.96978499500896609</v>
      </c>
      <c r="AY39" s="8">
        <v>0.8</v>
      </c>
      <c r="AZ39" s="49">
        <f t="shared" ca="1" si="30"/>
        <v>216</v>
      </c>
      <c r="BB39" s="50">
        <f t="shared" ca="1" si="13"/>
        <v>0.13065779043957237</v>
      </c>
      <c r="BC39" s="8">
        <v>0.8</v>
      </c>
      <c r="BD39" s="49">
        <f t="shared" ca="1" si="31"/>
        <v>90</v>
      </c>
      <c r="BF39" s="50">
        <f t="shared" ca="1" si="14"/>
        <v>0.66999159296410782</v>
      </c>
      <c r="BG39" s="8">
        <v>0.8</v>
      </c>
      <c r="BH39" s="49">
        <f t="shared" ca="1" si="32"/>
        <v>148</v>
      </c>
      <c r="BJ39" s="50">
        <f t="shared" ca="1" si="15"/>
        <v>0.61950088874979359</v>
      </c>
      <c r="BK39" s="8">
        <v>0.8</v>
      </c>
      <c r="BL39" s="49">
        <f t="shared" ca="1" si="33"/>
        <v>114</v>
      </c>
      <c r="BN39" s="50">
        <f t="shared" ca="1" si="16"/>
        <v>0.82950700299538827</v>
      </c>
      <c r="BO39" s="8">
        <v>0.8</v>
      </c>
      <c r="BP39" s="49">
        <f t="shared" ca="1" si="34"/>
        <v>175</v>
      </c>
      <c r="BR39" s="50">
        <f t="shared" ca="1" si="17"/>
        <v>0.53735775762987237</v>
      </c>
      <c r="BS39" s="8">
        <v>0.8</v>
      </c>
      <c r="BT39" s="49">
        <f t="shared" ca="1" si="35"/>
        <v>151</v>
      </c>
    </row>
    <row r="40" spans="1:72" x14ac:dyDescent="0.2">
      <c r="A40" s="22">
        <v>44587</v>
      </c>
      <c r="B40" s="50">
        <f t="shared" ca="1" si="0"/>
        <v>0.64585681216532398</v>
      </c>
      <c r="C40" s="8">
        <v>0.8</v>
      </c>
      <c r="D40" s="49">
        <f t="shared" ca="1" si="18"/>
        <v>86</v>
      </c>
      <c r="F40" s="50">
        <f t="shared" ca="1" si="1"/>
        <v>0.63278543654493336</v>
      </c>
      <c r="G40" s="8">
        <v>0.8</v>
      </c>
      <c r="H40" s="49">
        <f t="shared" ca="1" si="19"/>
        <v>188</v>
      </c>
      <c r="J40" s="50">
        <f t="shared" ca="1" si="2"/>
        <v>0.46159814487359185</v>
      </c>
      <c r="K40" s="8">
        <v>0.8</v>
      </c>
      <c r="L40" s="49">
        <f t="shared" ca="1" si="20"/>
        <v>117</v>
      </c>
      <c r="N40" s="50">
        <f t="shared" ca="1" si="3"/>
        <v>0.72937250035850365</v>
      </c>
      <c r="O40" s="8">
        <v>0.8</v>
      </c>
      <c r="P40" s="49">
        <f t="shared" ca="1" si="21"/>
        <v>214</v>
      </c>
      <c r="R40" s="50">
        <f t="shared" ca="1" si="4"/>
        <v>5.3871209694755118E-2</v>
      </c>
      <c r="S40" s="8">
        <v>0.8</v>
      </c>
      <c r="T40" s="49">
        <f t="shared" ca="1" si="22"/>
        <v>64</v>
      </c>
      <c r="V40" s="50">
        <f t="shared" ca="1" si="5"/>
        <v>0.60401329939820658</v>
      </c>
      <c r="W40" s="8">
        <v>0.8</v>
      </c>
      <c r="X40" s="49">
        <f t="shared" ca="1" si="23"/>
        <v>193</v>
      </c>
      <c r="Z40" s="50">
        <f t="shared" ca="1" si="6"/>
        <v>0.53860924535827537</v>
      </c>
      <c r="AA40" s="8">
        <v>0.8</v>
      </c>
      <c r="AB40" s="49">
        <f t="shared" ca="1" si="24"/>
        <v>222</v>
      </c>
      <c r="AD40" s="50">
        <f t="shared" ca="1" si="7"/>
        <v>0.4090209929461972</v>
      </c>
      <c r="AE40" s="8">
        <v>0.8</v>
      </c>
      <c r="AF40" s="49">
        <f t="shared" ca="1" si="25"/>
        <v>246</v>
      </c>
      <c r="AH40" s="50">
        <f t="shared" ca="1" si="8"/>
        <v>0.49837427992428651</v>
      </c>
      <c r="AI40" s="8">
        <v>0.8</v>
      </c>
      <c r="AJ40" s="49">
        <f t="shared" ca="1" si="26"/>
        <v>144</v>
      </c>
      <c r="AL40" s="50">
        <f t="shared" ca="1" si="9"/>
        <v>0.22095918886408417</v>
      </c>
      <c r="AM40" s="8">
        <v>0.8</v>
      </c>
      <c r="AN40" s="49">
        <f t="shared" ca="1" si="27"/>
        <v>94</v>
      </c>
      <c r="AP40" s="50">
        <f t="shared" ca="1" si="10"/>
        <v>0.42161694412900141</v>
      </c>
      <c r="AQ40" s="8">
        <v>0.8</v>
      </c>
      <c r="AR40" s="49">
        <f t="shared" ca="1" si="28"/>
        <v>165</v>
      </c>
      <c r="AT40" s="50">
        <f t="shared" ca="1" si="11"/>
        <v>0.69463630821497291</v>
      </c>
      <c r="AU40" s="8">
        <v>0.8</v>
      </c>
      <c r="AV40" s="49">
        <f t="shared" ca="1" si="29"/>
        <v>175</v>
      </c>
      <c r="AX40" s="50">
        <f t="shared" ca="1" si="12"/>
        <v>0.82493979468672951</v>
      </c>
      <c r="AY40" s="8">
        <v>0.8</v>
      </c>
      <c r="AZ40" s="49">
        <f t="shared" ca="1" si="30"/>
        <v>180</v>
      </c>
      <c r="BB40" s="50">
        <f t="shared" ca="1" si="13"/>
        <v>0.8284038876547456</v>
      </c>
      <c r="BC40" s="8">
        <v>0.8</v>
      </c>
      <c r="BD40" s="49">
        <f t="shared" ca="1" si="31"/>
        <v>160</v>
      </c>
      <c r="BF40" s="50">
        <f t="shared" ca="1" si="14"/>
        <v>0.39843416652585828</v>
      </c>
      <c r="BG40" s="8">
        <v>0.8</v>
      </c>
      <c r="BH40" s="49">
        <f t="shared" ca="1" si="32"/>
        <v>123</v>
      </c>
      <c r="BJ40" s="50">
        <f t="shared" ca="1" si="15"/>
        <v>0.21882548470547925</v>
      </c>
      <c r="BK40" s="8">
        <v>0.8</v>
      </c>
      <c r="BL40" s="49">
        <f t="shared" ca="1" si="33"/>
        <v>84</v>
      </c>
      <c r="BN40" s="50">
        <f t="shared" ca="1" si="16"/>
        <v>0.32261437332570664</v>
      </c>
      <c r="BO40" s="8">
        <v>0.8</v>
      </c>
      <c r="BP40" s="49">
        <f t="shared" ca="1" si="34"/>
        <v>122</v>
      </c>
      <c r="BR40" s="50">
        <f t="shared" ca="1" si="17"/>
        <v>0.95267141004871381</v>
      </c>
      <c r="BS40" s="8">
        <v>0.8</v>
      </c>
      <c r="BT40" s="49">
        <f t="shared" ca="1" si="35"/>
        <v>213</v>
      </c>
    </row>
    <row r="41" spans="1:72" x14ac:dyDescent="0.2">
      <c r="A41" s="22">
        <v>44588</v>
      </c>
      <c r="B41" s="50">
        <f t="shared" ca="1" si="0"/>
        <v>0.17384896504382374</v>
      </c>
      <c r="C41" s="8">
        <v>0.8</v>
      </c>
      <c r="D41" s="49">
        <f t="shared" ca="1" si="18"/>
        <v>65</v>
      </c>
      <c r="F41" s="50">
        <f t="shared" ca="1" si="1"/>
        <v>0.24427853944618194</v>
      </c>
      <c r="G41" s="8">
        <v>0.8</v>
      </c>
      <c r="H41" s="49">
        <f t="shared" ca="1" si="19"/>
        <v>141</v>
      </c>
      <c r="J41" s="50">
        <f t="shared" ca="1" si="2"/>
        <v>0.25908523100780556</v>
      </c>
      <c r="K41" s="8">
        <v>0.8</v>
      </c>
      <c r="L41" s="49">
        <f t="shared" ca="1" si="20"/>
        <v>100</v>
      </c>
      <c r="N41" s="50">
        <f t="shared" ca="1" si="3"/>
        <v>0.22435860194238388</v>
      </c>
      <c r="O41" s="8">
        <v>0.8</v>
      </c>
      <c r="P41" s="49">
        <f t="shared" ca="1" si="21"/>
        <v>147</v>
      </c>
      <c r="R41" s="50">
        <f t="shared" ca="1" si="4"/>
        <v>0.2071119142904766</v>
      </c>
      <c r="S41" s="8">
        <v>0.8</v>
      </c>
      <c r="T41" s="49">
        <f t="shared" ca="1" si="22"/>
        <v>87</v>
      </c>
      <c r="V41" s="50">
        <f t="shared" ca="1" si="5"/>
        <v>0.70265681154017001</v>
      </c>
      <c r="W41" s="8">
        <v>0.8</v>
      </c>
      <c r="X41" s="49">
        <f t="shared" ca="1" si="23"/>
        <v>206</v>
      </c>
      <c r="Z41" s="50">
        <f t="shared" ca="1" si="6"/>
        <v>0.80791229563892963</v>
      </c>
      <c r="AA41" s="8">
        <v>0.8</v>
      </c>
      <c r="AB41" s="49">
        <f t="shared" ca="1" si="24"/>
        <v>267</v>
      </c>
      <c r="AD41" s="50">
        <f t="shared" ca="1" si="7"/>
        <v>0.77368488978582084</v>
      </c>
      <c r="AE41" s="8">
        <v>0.8</v>
      </c>
      <c r="AF41" s="49">
        <f t="shared" ca="1" si="25"/>
        <v>314</v>
      </c>
      <c r="AH41" s="50">
        <f t="shared" ca="1" si="8"/>
        <v>2.5533456476434568E-2</v>
      </c>
      <c r="AI41" s="8">
        <v>0.8</v>
      </c>
      <c r="AJ41" s="49">
        <f t="shared" ca="1" si="26"/>
        <v>70</v>
      </c>
      <c r="AL41" s="50">
        <f t="shared" ca="1" si="9"/>
        <v>0.38442433103808005</v>
      </c>
      <c r="AM41" s="8">
        <v>0.8</v>
      </c>
      <c r="AN41" s="49">
        <f t="shared" ca="1" si="27"/>
        <v>109</v>
      </c>
      <c r="AP41" s="50">
        <f t="shared" ca="1" si="10"/>
        <v>0.38318085020897352</v>
      </c>
      <c r="AQ41" s="8">
        <v>0.8</v>
      </c>
      <c r="AR41" s="49">
        <f t="shared" ca="1" si="28"/>
        <v>160</v>
      </c>
      <c r="AT41" s="50">
        <f t="shared" ca="1" si="11"/>
        <v>0.13975947372441455</v>
      </c>
      <c r="AU41" s="8">
        <v>0.8</v>
      </c>
      <c r="AV41" s="49">
        <f t="shared" ca="1" si="29"/>
        <v>110</v>
      </c>
      <c r="AX41" s="50">
        <f t="shared" ca="1" si="12"/>
        <v>0.74807348878943591</v>
      </c>
      <c r="AY41" s="8">
        <v>0.8</v>
      </c>
      <c r="AZ41" s="49">
        <f t="shared" ca="1" si="30"/>
        <v>170</v>
      </c>
      <c r="BB41" s="50">
        <f t="shared" ca="1" si="13"/>
        <v>8.3593780019655117E-2</v>
      </c>
      <c r="BC41" s="8">
        <v>0.8</v>
      </c>
      <c r="BD41" s="49">
        <f t="shared" ca="1" si="31"/>
        <v>81</v>
      </c>
      <c r="BF41" s="50">
        <f t="shared" ca="1" si="14"/>
        <v>0.71053337278302531</v>
      </c>
      <c r="BG41" s="8">
        <v>0.8</v>
      </c>
      <c r="BH41" s="49">
        <f t="shared" ca="1" si="32"/>
        <v>152</v>
      </c>
      <c r="BJ41" s="50">
        <f t="shared" ca="1" si="15"/>
        <v>0.93141547152552651</v>
      </c>
      <c r="BK41" s="8">
        <v>0.8</v>
      </c>
      <c r="BL41" s="49">
        <f t="shared" ca="1" si="33"/>
        <v>147</v>
      </c>
      <c r="BN41" s="50">
        <f t="shared" ca="1" si="16"/>
        <v>0.4193900010241054</v>
      </c>
      <c r="BO41" s="8">
        <v>0.8</v>
      </c>
      <c r="BP41" s="49">
        <f t="shared" ca="1" si="34"/>
        <v>132</v>
      </c>
      <c r="BR41" s="50">
        <f t="shared" ca="1" si="17"/>
        <v>0.36046784982511226</v>
      </c>
      <c r="BS41" s="8">
        <v>0.8</v>
      </c>
      <c r="BT41" s="49">
        <f t="shared" ca="1" si="35"/>
        <v>133</v>
      </c>
    </row>
    <row r="42" spans="1:72" x14ac:dyDescent="0.2">
      <c r="A42" s="22">
        <v>44589</v>
      </c>
      <c r="B42" s="50">
        <f t="shared" ca="1" si="0"/>
        <v>0.32095640383305513</v>
      </c>
      <c r="C42" s="8">
        <v>0.8</v>
      </c>
      <c r="D42" s="49">
        <f t="shared" ca="1" si="18"/>
        <v>73</v>
      </c>
      <c r="F42" s="50">
        <f t="shared" ca="1" si="1"/>
        <v>0.17899733102518645</v>
      </c>
      <c r="G42" s="8">
        <v>0.8</v>
      </c>
      <c r="H42" s="49">
        <f t="shared" ca="1" si="19"/>
        <v>131</v>
      </c>
      <c r="J42" s="50">
        <f t="shared" ca="1" si="2"/>
        <v>0.77252617680249447</v>
      </c>
      <c r="K42" s="8">
        <v>0.8</v>
      </c>
      <c r="L42" s="49">
        <f t="shared" ca="1" si="20"/>
        <v>144</v>
      </c>
      <c r="N42" s="50">
        <f t="shared" ca="1" si="3"/>
        <v>0.31193084124371617</v>
      </c>
      <c r="O42" s="8">
        <v>0.8</v>
      </c>
      <c r="P42" s="49">
        <f t="shared" ca="1" si="21"/>
        <v>160</v>
      </c>
      <c r="R42" s="50">
        <f t="shared" ca="1" si="4"/>
        <v>0.72717955141363366</v>
      </c>
      <c r="S42" s="8">
        <v>0.8</v>
      </c>
      <c r="T42" s="49">
        <f t="shared" ca="1" si="22"/>
        <v>129</v>
      </c>
      <c r="V42" s="50">
        <f t="shared" ca="1" si="5"/>
        <v>0.11467329236340051</v>
      </c>
      <c r="W42" s="8">
        <v>0.8</v>
      </c>
      <c r="X42" s="49">
        <f t="shared" ca="1" si="23"/>
        <v>123</v>
      </c>
      <c r="Z42" s="50">
        <f t="shared" ca="1" si="6"/>
        <v>0.42343247164367281</v>
      </c>
      <c r="AA42" s="8">
        <v>0.8</v>
      </c>
      <c r="AB42" s="49">
        <f t="shared" ca="1" si="24"/>
        <v>205</v>
      </c>
      <c r="AD42" s="50">
        <f t="shared" ca="1" si="7"/>
        <v>0.22699263248574675</v>
      </c>
      <c r="AE42" s="8">
        <v>0.8</v>
      </c>
      <c r="AF42" s="49">
        <f t="shared" ca="1" si="25"/>
        <v>210</v>
      </c>
      <c r="AH42" s="50">
        <f t="shared" ca="1" si="8"/>
        <v>0.21830747868263622</v>
      </c>
      <c r="AI42" s="8">
        <v>0.8</v>
      </c>
      <c r="AJ42" s="49">
        <f t="shared" ca="1" si="26"/>
        <v>115</v>
      </c>
      <c r="AL42" s="50">
        <f t="shared" ca="1" si="9"/>
        <v>0.2418894923774022</v>
      </c>
      <c r="AM42" s="8">
        <v>0.8</v>
      </c>
      <c r="AN42" s="49">
        <f t="shared" ca="1" si="27"/>
        <v>96</v>
      </c>
      <c r="AP42" s="50">
        <f t="shared" ca="1" si="10"/>
        <v>0.92803505519488372</v>
      </c>
      <c r="AQ42" s="8">
        <v>0.8</v>
      </c>
      <c r="AR42" s="49">
        <f t="shared" ca="1" si="28"/>
        <v>241</v>
      </c>
      <c r="AT42" s="50">
        <f t="shared" ca="1" si="11"/>
        <v>0.83365578974767729</v>
      </c>
      <c r="AU42" s="8">
        <v>0.8</v>
      </c>
      <c r="AV42" s="49">
        <f t="shared" ca="1" si="29"/>
        <v>193</v>
      </c>
      <c r="AX42" s="50">
        <f t="shared" ca="1" si="12"/>
        <v>0.99144835246223695</v>
      </c>
      <c r="AY42" s="8">
        <v>0.8</v>
      </c>
      <c r="AZ42" s="49">
        <f t="shared" ca="1" si="30"/>
        <v>236</v>
      </c>
      <c r="BB42" s="50">
        <f t="shared" ca="1" si="13"/>
        <v>0.39418664336185427</v>
      </c>
      <c r="BC42" s="8">
        <v>0.8</v>
      </c>
      <c r="BD42" s="49">
        <f t="shared" ca="1" si="31"/>
        <v>119</v>
      </c>
      <c r="BF42" s="50">
        <f t="shared" ca="1" si="14"/>
        <v>0.78051977438874742</v>
      </c>
      <c r="BG42" s="8">
        <v>0.8</v>
      </c>
      <c r="BH42" s="49">
        <f t="shared" ca="1" si="32"/>
        <v>159</v>
      </c>
      <c r="BJ42" s="50">
        <f t="shared" ca="1" si="15"/>
        <v>0.42537295493777139</v>
      </c>
      <c r="BK42" s="8">
        <v>0.8</v>
      </c>
      <c r="BL42" s="49">
        <f t="shared" ca="1" si="33"/>
        <v>100</v>
      </c>
      <c r="BN42" s="50">
        <f t="shared" ca="1" si="16"/>
        <v>0.61105853673123978</v>
      </c>
      <c r="BO42" s="8">
        <v>0.8</v>
      </c>
      <c r="BP42" s="49">
        <f t="shared" ca="1" si="34"/>
        <v>150</v>
      </c>
      <c r="BR42" s="50">
        <f t="shared" ca="1" si="17"/>
        <v>0.75098000895541428</v>
      </c>
      <c r="BS42" s="8">
        <v>0.8</v>
      </c>
      <c r="BT42" s="49">
        <f t="shared" ca="1" si="35"/>
        <v>174</v>
      </c>
    </row>
    <row r="43" spans="1:72" x14ac:dyDescent="0.2">
      <c r="A43" s="22">
        <v>44590</v>
      </c>
      <c r="B43" s="50">
        <f t="shared" ca="1" si="0"/>
        <v>0.83413822885589917</v>
      </c>
      <c r="C43" s="8">
        <v>0.8</v>
      </c>
      <c r="D43" s="49">
        <f t="shared" ca="1" si="18"/>
        <v>96</v>
      </c>
      <c r="F43" s="50">
        <f t="shared" ca="1" si="1"/>
        <v>0.49548540428360066</v>
      </c>
      <c r="G43" s="8">
        <v>0.8</v>
      </c>
      <c r="H43" s="49">
        <f t="shared" ca="1" si="19"/>
        <v>172</v>
      </c>
      <c r="J43" s="50">
        <f t="shared" ca="1" si="2"/>
        <v>0.72946824486539219</v>
      </c>
      <c r="K43" s="8">
        <v>0.8</v>
      </c>
      <c r="L43" s="49">
        <f t="shared" ca="1" si="20"/>
        <v>140</v>
      </c>
      <c r="N43" s="50">
        <f t="shared" ca="1" si="3"/>
        <v>0.8445948671457929</v>
      </c>
      <c r="O43" s="8">
        <v>0.8</v>
      </c>
      <c r="P43" s="49">
        <f t="shared" ca="1" si="21"/>
        <v>234</v>
      </c>
      <c r="R43" s="50">
        <f t="shared" ca="1" si="4"/>
        <v>0.66267841482455658</v>
      </c>
      <c r="S43" s="8">
        <v>0.8</v>
      </c>
      <c r="T43" s="49">
        <f t="shared" ca="1" si="22"/>
        <v>124</v>
      </c>
      <c r="V43" s="50">
        <f t="shared" ca="1" si="5"/>
        <v>0.31464146743808297</v>
      </c>
      <c r="W43" s="8">
        <v>0.8</v>
      </c>
      <c r="X43" s="49">
        <f t="shared" ca="1" si="23"/>
        <v>157</v>
      </c>
      <c r="Z43" s="50">
        <f t="shared" ca="1" si="6"/>
        <v>0.93422503405003277</v>
      </c>
      <c r="AA43" s="8">
        <v>0.8</v>
      </c>
      <c r="AB43" s="49">
        <f t="shared" ca="1" si="24"/>
        <v>303</v>
      </c>
      <c r="AD43" s="50">
        <f t="shared" ca="1" si="7"/>
        <v>5.8268888673174035E-2</v>
      </c>
      <c r="AE43" s="8">
        <v>0.8</v>
      </c>
      <c r="AF43" s="49">
        <f t="shared" ca="1" si="25"/>
        <v>153</v>
      </c>
      <c r="AH43" s="50">
        <f t="shared" ca="1" si="8"/>
        <v>0.49254127067932041</v>
      </c>
      <c r="AI43" s="8">
        <v>0.8</v>
      </c>
      <c r="AJ43" s="49">
        <f t="shared" ca="1" si="26"/>
        <v>144</v>
      </c>
      <c r="AL43" s="50">
        <f t="shared" ca="1" si="9"/>
        <v>7.6707287991886086E-2</v>
      </c>
      <c r="AM43" s="8">
        <v>0.8</v>
      </c>
      <c r="AN43" s="49">
        <f t="shared" ca="1" si="27"/>
        <v>73</v>
      </c>
      <c r="AP43" s="50">
        <f t="shared" ca="1" si="10"/>
        <v>0.34992758356135134</v>
      </c>
      <c r="AQ43" s="8">
        <v>0.8</v>
      </c>
      <c r="AR43" s="49">
        <f t="shared" ca="1" si="28"/>
        <v>156</v>
      </c>
      <c r="AT43" s="50">
        <f t="shared" ca="1" si="11"/>
        <v>0.18983632640252301</v>
      </c>
      <c r="AU43" s="8">
        <v>0.8</v>
      </c>
      <c r="AV43" s="49">
        <f t="shared" ca="1" si="29"/>
        <v>118</v>
      </c>
      <c r="AX43" s="50">
        <f t="shared" ca="1" si="12"/>
        <v>0.51046536902175077</v>
      </c>
      <c r="AY43" s="8">
        <v>0.8</v>
      </c>
      <c r="AZ43" s="49">
        <f t="shared" ca="1" si="30"/>
        <v>145</v>
      </c>
      <c r="BB43" s="50">
        <f t="shared" ca="1" si="13"/>
        <v>0.96228544401103466</v>
      </c>
      <c r="BC43" s="8">
        <v>0.8</v>
      </c>
      <c r="BD43" s="49">
        <f t="shared" ca="1" si="31"/>
        <v>189</v>
      </c>
      <c r="BF43" s="50">
        <f t="shared" ca="1" si="14"/>
        <v>0.62173544890864429</v>
      </c>
      <c r="BG43" s="8">
        <v>0.8</v>
      </c>
      <c r="BH43" s="49">
        <f t="shared" ca="1" si="32"/>
        <v>143</v>
      </c>
      <c r="BJ43" s="50">
        <f t="shared" ca="1" si="15"/>
        <v>0.87142745372788566</v>
      </c>
      <c r="BK43" s="8">
        <v>0.8</v>
      </c>
      <c r="BL43" s="49">
        <f t="shared" ca="1" si="33"/>
        <v>137</v>
      </c>
      <c r="BN43" s="50">
        <f t="shared" ca="1" si="16"/>
        <v>0.80357947704567056</v>
      </c>
      <c r="BO43" s="8">
        <v>0.8</v>
      </c>
      <c r="BP43" s="49">
        <f t="shared" ca="1" si="34"/>
        <v>171</v>
      </c>
      <c r="BR43" s="50">
        <f t="shared" ca="1" si="17"/>
        <v>0.35898305311965562</v>
      </c>
      <c r="BS43" s="8">
        <v>0.8</v>
      </c>
      <c r="BT43" s="49">
        <f t="shared" ca="1" si="35"/>
        <v>133</v>
      </c>
    </row>
    <row r="44" spans="1:72" x14ac:dyDescent="0.2">
      <c r="A44" s="22">
        <v>44591</v>
      </c>
      <c r="B44" s="50">
        <f t="shared" ca="1" si="0"/>
        <v>0.69227425104506624</v>
      </c>
      <c r="C44" s="8">
        <v>0.8</v>
      </c>
      <c r="D44" s="49">
        <f t="shared" ca="1" si="18"/>
        <v>89</v>
      </c>
      <c r="F44" s="50">
        <f t="shared" ca="1" si="1"/>
        <v>0.31757491667098026</v>
      </c>
      <c r="G44" s="8">
        <v>0.8</v>
      </c>
      <c r="H44" s="49">
        <f t="shared" ca="1" si="19"/>
        <v>151</v>
      </c>
      <c r="J44" s="50">
        <f t="shared" ca="1" si="2"/>
        <v>0.32934860417095557</v>
      </c>
      <c r="K44" s="8">
        <v>0.8</v>
      </c>
      <c r="L44" s="49">
        <f t="shared" ca="1" si="20"/>
        <v>106</v>
      </c>
      <c r="N44" s="50">
        <f t="shared" ca="1" si="3"/>
        <v>0.63174641266901732</v>
      </c>
      <c r="O44" s="8">
        <v>0.8</v>
      </c>
      <c r="P44" s="49">
        <f t="shared" ca="1" si="21"/>
        <v>200</v>
      </c>
      <c r="R44" s="50">
        <f t="shared" ca="1" si="4"/>
        <v>0.8710445715039451</v>
      </c>
      <c r="S44" s="8">
        <v>0.8</v>
      </c>
      <c r="T44" s="49">
        <f t="shared" ca="1" si="22"/>
        <v>145</v>
      </c>
      <c r="V44" s="50">
        <f t="shared" ca="1" si="5"/>
        <v>0.75181511636510923</v>
      </c>
      <c r="W44" s="8">
        <v>0.8</v>
      </c>
      <c r="X44" s="49">
        <f t="shared" ca="1" si="23"/>
        <v>213</v>
      </c>
      <c r="Z44" s="50">
        <f t="shared" ca="1" si="6"/>
        <v>9.6487079547769916E-2</v>
      </c>
      <c r="AA44" s="8">
        <v>0.8</v>
      </c>
      <c r="AB44" s="49">
        <f t="shared" ca="1" si="24"/>
        <v>142</v>
      </c>
      <c r="AD44" s="50">
        <f t="shared" ca="1" si="7"/>
        <v>0.96011246675380502</v>
      </c>
      <c r="AE44" s="8">
        <v>0.8</v>
      </c>
      <c r="AF44" s="49">
        <f t="shared" ca="1" si="25"/>
        <v>384</v>
      </c>
      <c r="AH44" s="50">
        <f t="shared" ca="1" si="8"/>
        <v>0.45098936514017451</v>
      </c>
      <c r="AI44" s="8">
        <v>0.8</v>
      </c>
      <c r="AJ44" s="49">
        <f t="shared" ca="1" si="26"/>
        <v>140</v>
      </c>
      <c r="AL44" s="50">
        <f t="shared" ca="1" si="9"/>
        <v>0.60594481306488168</v>
      </c>
      <c r="AM44" s="8">
        <v>0.8</v>
      </c>
      <c r="AN44" s="49">
        <f t="shared" ca="1" si="27"/>
        <v>127</v>
      </c>
      <c r="AP44" s="50">
        <f t="shared" ca="1" si="10"/>
        <v>0.9348387858474817</v>
      </c>
      <c r="AQ44" s="8">
        <v>0.8</v>
      </c>
      <c r="AR44" s="49">
        <f t="shared" ca="1" si="28"/>
        <v>244</v>
      </c>
      <c r="AT44" s="50">
        <f t="shared" ca="1" si="11"/>
        <v>0.7934093915221474</v>
      </c>
      <c r="AU44" s="8">
        <v>0.8</v>
      </c>
      <c r="AV44" s="49">
        <f t="shared" ca="1" si="29"/>
        <v>187</v>
      </c>
      <c r="AX44" s="50">
        <f t="shared" ca="1" si="12"/>
        <v>0.27850729954838982</v>
      </c>
      <c r="AY44" s="8">
        <v>0.8</v>
      </c>
      <c r="AZ44" s="49">
        <f t="shared" ca="1" si="30"/>
        <v>122</v>
      </c>
      <c r="BB44" s="50">
        <f t="shared" ca="1" si="13"/>
        <v>1.0372614940510561E-2</v>
      </c>
      <c r="BC44" s="8">
        <v>0.8</v>
      </c>
      <c r="BD44" s="49">
        <f t="shared" ca="1" si="31"/>
        <v>49</v>
      </c>
      <c r="BF44" s="50">
        <f t="shared" ca="1" si="14"/>
        <v>0.36604959791064318</v>
      </c>
      <c r="BG44" s="8">
        <v>0.8</v>
      </c>
      <c r="BH44" s="49">
        <f t="shared" ca="1" si="32"/>
        <v>120</v>
      </c>
      <c r="BJ44" s="50">
        <f t="shared" ca="1" si="15"/>
        <v>0.41559351010485779</v>
      </c>
      <c r="BK44" s="8">
        <v>0.8</v>
      </c>
      <c r="BL44" s="49">
        <f t="shared" ca="1" si="33"/>
        <v>99</v>
      </c>
      <c r="BN44" s="50">
        <f t="shared" ca="1" si="16"/>
        <v>0.24186428088248735</v>
      </c>
      <c r="BO44" s="8">
        <v>0.8</v>
      </c>
      <c r="BP44" s="49">
        <f t="shared" ca="1" si="34"/>
        <v>113</v>
      </c>
      <c r="BR44" s="50">
        <f t="shared" ca="1" si="17"/>
        <v>0.89873257471225132</v>
      </c>
      <c r="BS44" s="8">
        <v>0.8</v>
      </c>
      <c r="BT44" s="49">
        <f t="shared" ca="1" si="35"/>
        <v>197</v>
      </c>
    </row>
    <row r="45" spans="1:72" x14ac:dyDescent="0.2">
      <c r="A45" s="22">
        <v>44592</v>
      </c>
      <c r="B45" s="50">
        <f t="shared" ca="1" si="0"/>
        <v>0.72015641923272911</v>
      </c>
      <c r="C45" s="8">
        <v>0.8</v>
      </c>
      <c r="D45" s="49">
        <f t="shared" ca="1" si="18"/>
        <v>90</v>
      </c>
      <c r="F45" s="50">
        <f t="shared" ca="1" si="1"/>
        <v>0.35497846842284253</v>
      </c>
      <c r="G45" s="8">
        <v>0.8</v>
      </c>
      <c r="H45" s="49">
        <f t="shared" ca="1" si="19"/>
        <v>156</v>
      </c>
      <c r="J45" s="50">
        <f t="shared" ca="1" si="2"/>
        <v>6.3900612637533771E-2</v>
      </c>
      <c r="K45" s="8">
        <v>0.8</v>
      </c>
      <c r="L45" s="49">
        <f t="shared" ca="1" si="20"/>
        <v>72</v>
      </c>
      <c r="N45" s="50">
        <f t="shared" ca="1" si="3"/>
        <v>0.35567335293123181</v>
      </c>
      <c r="O45" s="8">
        <v>0.8</v>
      </c>
      <c r="P45" s="49">
        <f t="shared" ca="1" si="21"/>
        <v>166</v>
      </c>
      <c r="R45" s="50">
        <f t="shared" ca="1" si="4"/>
        <v>0.37255804030230177</v>
      </c>
      <c r="S45" s="8">
        <v>0.8</v>
      </c>
      <c r="T45" s="49">
        <f t="shared" ca="1" si="22"/>
        <v>102</v>
      </c>
      <c r="V45" s="50">
        <f t="shared" ca="1" si="5"/>
        <v>0.8344445423190443</v>
      </c>
      <c r="W45" s="8">
        <v>0.8</v>
      </c>
      <c r="X45" s="49">
        <f t="shared" ca="1" si="23"/>
        <v>227</v>
      </c>
      <c r="Z45" s="50">
        <f t="shared" ca="1" si="6"/>
        <v>0.84640668906309069</v>
      </c>
      <c r="AA45" s="8">
        <v>0.8</v>
      </c>
      <c r="AB45" s="49">
        <f t="shared" ca="1" si="24"/>
        <v>275</v>
      </c>
      <c r="AD45" s="50">
        <f t="shared" ca="1" si="7"/>
        <v>0.46760906502249866</v>
      </c>
      <c r="AE45" s="8">
        <v>0.8</v>
      </c>
      <c r="AF45" s="49">
        <f t="shared" ca="1" si="25"/>
        <v>256</v>
      </c>
      <c r="AH45" s="50">
        <f t="shared" ca="1" si="8"/>
        <v>0.41636464731926193</v>
      </c>
      <c r="AI45" s="8">
        <v>0.8</v>
      </c>
      <c r="AJ45" s="49">
        <f t="shared" ca="1" si="26"/>
        <v>136</v>
      </c>
      <c r="AL45" s="50">
        <f t="shared" ca="1" si="9"/>
        <v>0.81831335642159353</v>
      </c>
      <c r="AM45" s="8">
        <v>0.8</v>
      </c>
      <c r="AN45" s="49">
        <f t="shared" ca="1" si="27"/>
        <v>147</v>
      </c>
      <c r="AP45" s="50">
        <f t="shared" ca="1" si="10"/>
        <v>6.2768977266742354E-2</v>
      </c>
      <c r="AQ45" s="8">
        <v>0.8</v>
      </c>
      <c r="AR45" s="49">
        <f t="shared" ca="1" si="28"/>
        <v>103</v>
      </c>
      <c r="AT45" s="50">
        <f t="shared" ca="1" si="11"/>
        <v>0.9982565906607066</v>
      </c>
      <c r="AU45" s="8">
        <v>0.8</v>
      </c>
      <c r="AV45" s="49">
        <f t="shared" ca="1" si="29"/>
        <v>273</v>
      </c>
      <c r="AX45" s="50">
        <f t="shared" ca="1" si="12"/>
        <v>0.21212716255762087</v>
      </c>
      <c r="AY45" s="8">
        <v>0.8</v>
      </c>
      <c r="AZ45" s="49">
        <f t="shared" ca="1" si="30"/>
        <v>114</v>
      </c>
      <c r="BB45" s="50">
        <f t="shared" ca="1" si="13"/>
        <v>0.99905712940085989</v>
      </c>
      <c r="BC45" s="8">
        <v>0.8</v>
      </c>
      <c r="BD45" s="49">
        <f t="shared" ca="1" si="31"/>
        <v>234</v>
      </c>
      <c r="BF45" s="50">
        <f t="shared" ca="1" si="14"/>
        <v>0.98739781757929856</v>
      </c>
      <c r="BG45" s="8">
        <v>0.8</v>
      </c>
      <c r="BH45" s="49">
        <f t="shared" ca="1" si="32"/>
        <v>211</v>
      </c>
      <c r="BJ45" s="50">
        <f t="shared" ca="1" si="15"/>
        <v>0.9618420158128228</v>
      </c>
      <c r="BK45" s="8">
        <v>0.8</v>
      </c>
      <c r="BL45" s="49">
        <f t="shared" ca="1" si="33"/>
        <v>155</v>
      </c>
      <c r="BN45" s="50">
        <f t="shared" ca="1" si="16"/>
        <v>5.3338930835216125E-3</v>
      </c>
      <c r="BO45" s="8">
        <v>0.8</v>
      </c>
      <c r="BP45" s="49">
        <f t="shared" ca="1" si="34"/>
        <v>45</v>
      </c>
      <c r="BR45" s="50">
        <f t="shared" ca="1" si="17"/>
        <v>0.70226769461200977</v>
      </c>
      <c r="BS45" s="8">
        <v>0.8</v>
      </c>
      <c r="BT45" s="49">
        <f t="shared" ca="1" si="35"/>
        <v>168</v>
      </c>
    </row>
    <row r="46" spans="1:72" x14ac:dyDescent="0.2">
      <c r="A46" s="22">
        <v>44593</v>
      </c>
      <c r="B46" s="50">
        <f t="shared" ca="1" si="0"/>
        <v>0.1879303095692787</v>
      </c>
      <c r="C46" s="8">
        <v>1</v>
      </c>
      <c r="D46" s="49">
        <f t="shared" ca="1" si="18"/>
        <v>83</v>
      </c>
      <c r="F46" s="50">
        <f t="shared" ca="1" si="1"/>
        <v>0.39937961117660492</v>
      </c>
      <c r="G46" s="8">
        <v>1</v>
      </c>
      <c r="H46" s="49">
        <f t="shared" ca="1" si="19"/>
        <v>201</v>
      </c>
      <c r="J46" s="50">
        <f t="shared" ca="1" si="2"/>
        <v>0.88365307227612311</v>
      </c>
      <c r="K46" s="8">
        <v>1</v>
      </c>
      <c r="L46" s="49">
        <f t="shared" ca="1" si="20"/>
        <v>198</v>
      </c>
      <c r="N46" s="50">
        <f t="shared" ca="1" si="3"/>
        <v>0.82840963537629819</v>
      </c>
      <c r="O46" s="8">
        <v>1</v>
      </c>
      <c r="P46" s="49">
        <f t="shared" ca="1" si="21"/>
        <v>288</v>
      </c>
      <c r="R46" s="50">
        <f t="shared" ca="1" si="4"/>
        <v>0.74307629103222361</v>
      </c>
      <c r="S46" s="8">
        <v>1</v>
      </c>
      <c r="T46" s="49">
        <f t="shared" ca="1" si="22"/>
        <v>163</v>
      </c>
      <c r="V46" s="50">
        <f t="shared" ca="1" si="5"/>
        <v>0.84253093638341359</v>
      </c>
      <c r="W46" s="8">
        <v>1</v>
      </c>
      <c r="X46" s="49">
        <f t="shared" ca="1" si="23"/>
        <v>286</v>
      </c>
      <c r="Z46" s="50">
        <f t="shared" ca="1" si="6"/>
        <v>0.43916282188132172</v>
      </c>
      <c r="AA46" s="8">
        <v>1</v>
      </c>
      <c r="AB46" s="49">
        <f t="shared" ca="1" si="24"/>
        <v>259</v>
      </c>
      <c r="AD46" s="50">
        <f t="shared" ca="1" si="7"/>
        <v>0.39793007381235257</v>
      </c>
      <c r="AE46" s="8">
        <v>1</v>
      </c>
      <c r="AF46" s="49">
        <f t="shared" ca="1" si="25"/>
        <v>305</v>
      </c>
      <c r="AH46" s="50">
        <f t="shared" ca="1" si="8"/>
        <v>4.3965706069757471E-2</v>
      </c>
      <c r="AI46" s="8">
        <v>1</v>
      </c>
      <c r="AJ46" s="49">
        <f t="shared" ca="1" si="26"/>
        <v>99</v>
      </c>
      <c r="AL46" s="50">
        <f t="shared" ca="1" si="9"/>
        <v>0.40707935993619093</v>
      </c>
      <c r="AM46" s="8">
        <v>1</v>
      </c>
      <c r="AN46" s="49">
        <f t="shared" ca="1" si="27"/>
        <v>138</v>
      </c>
      <c r="AP46" s="50">
        <f t="shared" ca="1" si="10"/>
        <v>0.41545485312152286</v>
      </c>
      <c r="AQ46" s="8">
        <v>1</v>
      </c>
      <c r="AR46" s="49">
        <f t="shared" ca="1" si="28"/>
        <v>205</v>
      </c>
      <c r="AT46" s="50">
        <f t="shared" ca="1" si="11"/>
        <v>0.62071452075578026</v>
      </c>
      <c r="AU46" s="8">
        <v>1</v>
      </c>
      <c r="AV46" s="49">
        <f t="shared" ca="1" si="29"/>
        <v>208</v>
      </c>
      <c r="AX46" s="50">
        <f t="shared" ca="1" si="12"/>
        <v>6.8841200749082621E-2</v>
      </c>
      <c r="AY46" s="8">
        <v>1</v>
      </c>
      <c r="AZ46" s="49">
        <f t="shared" ca="1" si="30"/>
        <v>109</v>
      </c>
      <c r="BB46" s="50">
        <f t="shared" ca="1" si="13"/>
        <v>0.43681134561328294</v>
      </c>
      <c r="BC46" s="8">
        <v>1</v>
      </c>
      <c r="BD46" s="49">
        <f t="shared" ca="1" si="31"/>
        <v>153</v>
      </c>
      <c r="BF46" s="50">
        <f t="shared" ca="1" si="14"/>
        <v>0.35664116103475296</v>
      </c>
      <c r="BG46" s="8">
        <v>1</v>
      </c>
      <c r="BH46" s="49">
        <f t="shared" ca="1" si="32"/>
        <v>149</v>
      </c>
      <c r="BJ46" s="50">
        <f t="shared" ca="1" si="15"/>
        <v>0.75768733996870141</v>
      </c>
      <c r="BK46" s="8">
        <v>1</v>
      </c>
      <c r="BL46" s="49">
        <f t="shared" ca="1" si="33"/>
        <v>156</v>
      </c>
      <c r="BN46" s="50">
        <f t="shared" ca="1" si="16"/>
        <v>0.16486556589224344</v>
      </c>
      <c r="BO46" s="8">
        <v>1</v>
      </c>
      <c r="BP46" s="49">
        <f t="shared" ca="1" si="34"/>
        <v>129</v>
      </c>
      <c r="BR46" s="50">
        <f t="shared" ca="1" si="17"/>
        <v>8.3934064608654269E-2</v>
      </c>
      <c r="BS46" s="8">
        <v>1</v>
      </c>
      <c r="BT46" s="49">
        <f t="shared" ca="1" si="35"/>
        <v>116</v>
      </c>
    </row>
    <row r="47" spans="1:72" x14ac:dyDescent="0.2">
      <c r="A47" s="22">
        <v>44594</v>
      </c>
      <c r="B47" s="50">
        <f t="shared" ca="1" si="0"/>
        <v>0.91972810050697318</v>
      </c>
      <c r="C47" s="8">
        <v>1</v>
      </c>
      <c r="D47" s="49">
        <f ca="1">ROUNDUP(_xlfn.NORM.INV(B47,C$4*C47,C$6*C47),0)</f>
        <v>129</v>
      </c>
      <c r="F47" s="50">
        <f t="shared" ca="1" si="1"/>
        <v>0.248519215998246</v>
      </c>
      <c r="G47" s="8">
        <v>1</v>
      </c>
      <c r="H47" s="49">
        <f ca="1">ROUNDUP(_xlfn.NORM.INV(F47,G$4*G47,G$6*G47),0)</f>
        <v>177</v>
      </c>
      <c r="J47" s="50">
        <f t="shared" ca="1" si="2"/>
        <v>0.35721112113793008</v>
      </c>
      <c r="K47" s="8">
        <v>1</v>
      </c>
      <c r="L47" s="49">
        <f ca="1">ROUNDUP(_xlfn.NORM.INV(J47,K$4*K47,K$6*K47),0)</f>
        <v>136</v>
      </c>
      <c r="N47" s="50">
        <f t="shared" ca="1" si="3"/>
        <v>0.11018293630828857</v>
      </c>
      <c r="O47" s="8">
        <v>1</v>
      </c>
      <c r="P47" s="49">
        <f ca="1">ROUNDUP(_xlfn.NORM.INV(N47,O$4*O47,O$6*O47),0)</f>
        <v>155</v>
      </c>
      <c r="R47" s="50">
        <f t="shared" ca="1" si="4"/>
        <v>0.44282239939243773</v>
      </c>
      <c r="S47" s="8">
        <v>1</v>
      </c>
      <c r="T47" s="49">
        <f ca="1">ROUNDUP(_xlfn.NORM.INV(R47,S$4*S47,S$6*S47),0)</f>
        <v>134</v>
      </c>
      <c r="V47" s="50">
        <f t="shared" ca="1" si="5"/>
        <v>0.82854493567354215</v>
      </c>
      <c r="W47" s="8">
        <v>1</v>
      </c>
      <c r="X47" s="49">
        <f ca="1">ROUNDUP(_xlfn.NORM.INV(V47,W$4*W47,W$6*W47),0)</f>
        <v>282</v>
      </c>
      <c r="Z47" s="50">
        <f t="shared" ca="1" si="6"/>
        <v>0.27994264595177376</v>
      </c>
      <c r="AA47" s="8">
        <v>1</v>
      </c>
      <c r="AB47" s="49">
        <f ca="1">ROUNDUP(_xlfn.NORM.INV(Z47,AA$4*AA47,AA$6*AA47),0)</f>
        <v>229</v>
      </c>
      <c r="AD47" s="50">
        <f t="shared" ca="1" si="7"/>
        <v>0.41746157074874979</v>
      </c>
      <c r="AE47" s="8">
        <v>1</v>
      </c>
      <c r="AF47" s="49">
        <f ca="1">ROUNDUP(_xlfn.NORM.INV(AD47,AE$4*AE47,AE$6*AE47),0)</f>
        <v>309</v>
      </c>
      <c r="AH47" s="50">
        <f t="shared" ca="1" si="8"/>
        <v>9.7226508000145873E-2</v>
      </c>
      <c r="AI47" s="8">
        <v>1</v>
      </c>
      <c r="AJ47" s="49">
        <f ca="1">ROUNDUP(_xlfn.NORM.INV(AH47,AI$4*AI47,AI$6*AI47),0)</f>
        <v>118</v>
      </c>
      <c r="AL47" s="50">
        <f t="shared" ca="1" si="9"/>
        <v>6.6934614134427362E-2</v>
      </c>
      <c r="AM47" s="8">
        <v>1</v>
      </c>
      <c r="AN47" s="49">
        <f ca="1">ROUNDUP(_xlfn.NORM.INV(AL47,AM$4*AM47,AM$6*AM47),0)</f>
        <v>89</v>
      </c>
      <c r="AP47" s="50">
        <f t="shared" ca="1" si="10"/>
        <v>0.68668388389715362</v>
      </c>
      <c r="AQ47" s="8">
        <v>1</v>
      </c>
      <c r="AR47" s="49">
        <f ca="1">ROUNDUP(_xlfn.NORM.INV(AP47,AQ$4*AQ47,AQ$6*AQ47),0)</f>
        <v>245</v>
      </c>
      <c r="AT47" s="50">
        <f t="shared" ca="1" si="11"/>
        <v>0.1858628318745521</v>
      </c>
      <c r="AU47" s="8">
        <v>1</v>
      </c>
      <c r="AV47" s="49">
        <f ca="1">ROUNDUP(_xlfn.NORM.INV(AT47,AU$4*AU47,AU$6*AU47),0)</f>
        <v>147</v>
      </c>
      <c r="AX47" s="50">
        <f t="shared" ca="1" si="12"/>
        <v>0.70821485739868695</v>
      </c>
      <c r="AY47" s="8">
        <v>1</v>
      </c>
      <c r="AZ47" s="49">
        <f ca="1">ROUNDUP(_xlfn.NORM.INV(AX47,AY$4*AY47,AY$6*AY47),0)</f>
        <v>207</v>
      </c>
      <c r="BB47" s="50">
        <f t="shared" ca="1" si="13"/>
        <v>0.92796937058614626</v>
      </c>
      <c r="BC47" s="8">
        <v>1</v>
      </c>
      <c r="BD47" s="49">
        <f ca="1">ROUNDUP(_xlfn.NORM.INV(BB47,BC$4*BC47,BC$6*BC47),0)</f>
        <v>222</v>
      </c>
      <c r="BF47" s="50">
        <f t="shared" ca="1" si="14"/>
        <v>0.86371837955539565</v>
      </c>
      <c r="BG47" s="8">
        <v>1</v>
      </c>
      <c r="BH47" s="49">
        <f ca="1">ROUNDUP(_xlfn.NORM.INV(BF47,BG$4*BG47,BG$6*BG47),0)</f>
        <v>213</v>
      </c>
      <c r="BJ47" s="50">
        <f t="shared" ca="1" si="15"/>
        <v>0.30293978080347661</v>
      </c>
      <c r="BK47" s="8">
        <v>1</v>
      </c>
      <c r="BL47" s="49">
        <f ca="1">ROUNDUP(_xlfn.NORM.INV(BJ47,BK$4*BK47,BK$6*BK47),0)</f>
        <v>113</v>
      </c>
      <c r="BN47" s="50">
        <f t="shared" ca="1" si="16"/>
        <v>0.50421136208410822</v>
      </c>
      <c r="BO47" s="8">
        <v>1</v>
      </c>
      <c r="BP47" s="49">
        <f ca="1">ROUNDUP(_xlfn.NORM.INV(BN47,BO$4*BO47,BO$6*BO47),0)</f>
        <v>175</v>
      </c>
      <c r="BR47" s="50">
        <f t="shared" ca="1" si="17"/>
        <v>0.81685293110547297</v>
      </c>
      <c r="BS47" s="8">
        <v>1</v>
      </c>
      <c r="BT47" s="49">
        <f ca="1">ROUNDUP(_xlfn.NORM.INV(BR47,BS$4*BS47,BS$6*BS47),0)</f>
        <v>228</v>
      </c>
    </row>
    <row r="48" spans="1:72" x14ac:dyDescent="0.2">
      <c r="A48" s="22">
        <v>44595</v>
      </c>
      <c r="B48" s="50">
        <f t="shared" ca="1" si="0"/>
        <v>0.60058914073895664</v>
      </c>
      <c r="C48" s="8">
        <v>1</v>
      </c>
      <c r="D48" s="49">
        <f t="shared" ca="1" si="18"/>
        <v>106</v>
      </c>
      <c r="F48" s="50">
        <f t="shared" ca="1" si="1"/>
        <v>0.19672436270878257</v>
      </c>
      <c r="G48" s="8">
        <v>1</v>
      </c>
      <c r="H48" s="49">
        <f t="shared" ref="H48:H50" ca="1" si="36">ROUNDUP(_xlfn.NORM.INV(F48,G$4*G48,G$6*G48),0)</f>
        <v>167</v>
      </c>
      <c r="J48" s="50">
        <f t="shared" ca="1" si="2"/>
        <v>0.81911464998834793</v>
      </c>
      <c r="K48" s="8">
        <v>1</v>
      </c>
      <c r="L48" s="49">
        <f t="shared" ref="L48:L50" ca="1" si="37">ROUNDUP(_xlfn.NORM.INV(J48,K$4*K48,K$6*K48),0)</f>
        <v>187</v>
      </c>
      <c r="N48" s="50">
        <f t="shared" ca="1" si="3"/>
        <v>0.96997054698286111</v>
      </c>
      <c r="O48" s="8">
        <v>1</v>
      </c>
      <c r="P48" s="49">
        <f t="shared" ref="P48:P50" ca="1" si="38">ROUNDUP(_xlfn.NORM.INV(N48,O$4*O48,O$6*O48),0)</f>
        <v>345</v>
      </c>
      <c r="R48" s="50">
        <f t="shared" ca="1" si="4"/>
        <v>0.30285041802846868</v>
      </c>
      <c r="S48" s="8">
        <v>1</v>
      </c>
      <c r="T48" s="49">
        <f t="shared" ref="T48:T50" ca="1" si="39">ROUNDUP(_xlfn.NORM.INV(R48,S$4*S48,S$6*S48),0)</f>
        <v>120</v>
      </c>
      <c r="V48" s="50">
        <f t="shared" ca="1" si="5"/>
        <v>0.91052762649276364</v>
      </c>
      <c r="W48" s="8">
        <v>1</v>
      </c>
      <c r="X48" s="49">
        <f t="shared" ref="X48:X50" ca="1" si="40">ROUNDUP(_xlfn.NORM.INV(V48,W$4*W48,W$6*W48),0)</f>
        <v>306</v>
      </c>
      <c r="Z48" s="50">
        <f t="shared" ca="1" si="6"/>
        <v>0.98780583962453161</v>
      </c>
      <c r="AA48" s="8">
        <v>1</v>
      </c>
      <c r="AB48" s="49">
        <f t="shared" ref="AB48:AB50" ca="1" si="41">ROUNDUP(_xlfn.NORM.INV(Z48,AA$4*AA48,AA$6*AA48),0)</f>
        <v>433</v>
      </c>
      <c r="AD48" s="50">
        <f t="shared" ca="1" si="7"/>
        <v>1.822532021970058E-2</v>
      </c>
      <c r="AE48" s="8">
        <v>1</v>
      </c>
      <c r="AF48" s="49">
        <f t="shared" ref="AF48:AF50" ca="1" si="42">ROUNDUP(_xlfn.NORM.INV(AD48,AE$4*AE48,AE$6*AE48),0)</f>
        <v>145</v>
      </c>
      <c r="AH48" s="50">
        <f t="shared" ca="1" si="8"/>
        <v>0.14985555519639304</v>
      </c>
      <c r="AI48" s="8">
        <v>1</v>
      </c>
      <c r="AJ48" s="49">
        <f t="shared" ref="AJ48:AJ50" ca="1" si="43">ROUNDUP(_xlfn.NORM.INV(AH48,AI$4*AI48,AI$6*AI48),0)</f>
        <v>131</v>
      </c>
      <c r="AL48" s="50">
        <f t="shared" ca="1" si="9"/>
        <v>0.26154151933543668</v>
      </c>
      <c r="AM48" s="8">
        <v>1</v>
      </c>
      <c r="AN48" s="49">
        <f t="shared" ref="AN48:AN50" ca="1" si="44">ROUNDUP(_xlfn.NORM.INV(AL48,AM$4*AM48,AM$6*AM48),0)</f>
        <v>123</v>
      </c>
      <c r="AP48" s="50">
        <f t="shared" ca="1" si="10"/>
        <v>0.85141825058736464</v>
      </c>
      <c r="AQ48" s="8">
        <v>1</v>
      </c>
      <c r="AR48" s="49">
        <f t="shared" ref="AR48:AR50" ca="1" si="45">ROUNDUP(_xlfn.NORM.INV(AP48,AQ$4*AQ48,AQ$6*AQ48),0)</f>
        <v>278</v>
      </c>
      <c r="AT48" s="50">
        <f t="shared" ca="1" si="11"/>
        <v>0.69889101865411785</v>
      </c>
      <c r="AU48" s="8">
        <v>1</v>
      </c>
      <c r="AV48" s="49">
        <f t="shared" ref="AV48:AV50" ca="1" si="46">ROUNDUP(_xlfn.NORM.INV(AT48,AU$4*AU48,AU$6*AU48),0)</f>
        <v>219</v>
      </c>
      <c r="AX48" s="50">
        <f t="shared" ca="1" si="12"/>
        <v>0.13225733064160594</v>
      </c>
      <c r="AY48" s="8">
        <v>1</v>
      </c>
      <c r="AZ48" s="49">
        <f t="shared" ref="AZ48:AZ50" ca="1" si="47">ROUNDUP(_xlfn.NORM.INV(AX48,AY$4*AY48,AY$6*AY48),0)</f>
        <v>127</v>
      </c>
      <c r="BB48" s="50">
        <f t="shared" ca="1" si="13"/>
        <v>0.1038776562971222</v>
      </c>
      <c r="BC48" s="8">
        <v>1</v>
      </c>
      <c r="BD48" s="49">
        <f t="shared" ref="BD48:BD50" ca="1" si="48">ROUNDUP(_xlfn.NORM.INV(BB48,BC$4*BC48,BC$6*BC48),0)</f>
        <v>106</v>
      </c>
      <c r="BF48" s="50">
        <f t="shared" ca="1" si="14"/>
        <v>0.58324146624564344</v>
      </c>
      <c r="BG48" s="8">
        <v>1</v>
      </c>
      <c r="BH48" s="49">
        <f t="shared" ref="BH48:BH50" ca="1" si="49">ROUNDUP(_xlfn.NORM.INV(BF48,BG$4*BG48,BG$6*BG48),0)</f>
        <v>174</v>
      </c>
      <c r="BJ48" s="50">
        <f t="shared" ca="1" si="15"/>
        <v>0.78182907016609515</v>
      </c>
      <c r="BK48" s="8">
        <v>1</v>
      </c>
      <c r="BL48" s="49">
        <f t="shared" ref="BL48:BL50" ca="1" si="50">ROUNDUP(_xlfn.NORM.INV(BJ48,BK$4*BK48,BK$6*BK48),0)</f>
        <v>159</v>
      </c>
      <c r="BN48" s="50">
        <f t="shared" ca="1" si="16"/>
        <v>6.5871392418221153E-2</v>
      </c>
      <c r="BO48" s="8">
        <v>1</v>
      </c>
      <c r="BP48" s="49">
        <f t="shared" ref="BP48:BP50" ca="1" si="51">ROUNDUP(_xlfn.NORM.INV(BN48,BO$4*BO48,BO$6*BO48),0)</f>
        <v>104</v>
      </c>
      <c r="BR48" s="50">
        <f t="shared" ca="1" si="17"/>
        <v>0.52953064391695892</v>
      </c>
      <c r="BS48" s="8">
        <v>1</v>
      </c>
      <c r="BT48" s="49">
        <f t="shared" ref="BT48:BT50" ca="1" si="52">ROUNDUP(_xlfn.NORM.INV(BR48,BS$4*BS48,BS$6*BS48),0)</f>
        <v>188</v>
      </c>
    </row>
    <row r="49" spans="1:72" x14ac:dyDescent="0.2">
      <c r="A49" s="22">
        <v>44596</v>
      </c>
      <c r="B49" s="50">
        <f t="shared" ca="1" si="0"/>
        <v>0.17018743917109658</v>
      </c>
      <c r="C49" s="8">
        <v>1</v>
      </c>
      <c r="D49" s="49">
        <f t="shared" ca="1" si="18"/>
        <v>81</v>
      </c>
      <c r="F49" s="50">
        <f t="shared" ca="1" si="1"/>
        <v>0.64923439617499368</v>
      </c>
      <c r="G49" s="8">
        <v>1</v>
      </c>
      <c r="H49" s="49">
        <f t="shared" ca="1" si="36"/>
        <v>238</v>
      </c>
      <c r="J49" s="50">
        <f t="shared" ca="1" si="2"/>
        <v>0.32200465927444732</v>
      </c>
      <c r="K49" s="8">
        <v>1</v>
      </c>
      <c r="L49" s="49">
        <f t="shared" ca="1" si="37"/>
        <v>132</v>
      </c>
      <c r="N49" s="50">
        <f t="shared" ca="1" si="3"/>
        <v>0.62906113119917573</v>
      </c>
      <c r="O49" s="8">
        <v>1</v>
      </c>
      <c r="P49" s="49">
        <f t="shared" ca="1" si="38"/>
        <v>250</v>
      </c>
      <c r="R49" s="50">
        <f t="shared" ca="1" si="4"/>
        <v>0.98116423923691476</v>
      </c>
      <c r="S49" s="8">
        <v>1</v>
      </c>
      <c r="T49" s="49">
        <f t="shared" ca="1" si="39"/>
        <v>216</v>
      </c>
      <c r="V49" s="50">
        <f t="shared" ca="1" si="5"/>
        <v>0.7461087129562779</v>
      </c>
      <c r="W49" s="8">
        <v>1</v>
      </c>
      <c r="X49" s="49">
        <f t="shared" ca="1" si="40"/>
        <v>265</v>
      </c>
      <c r="Z49" s="50">
        <f t="shared" ca="1" si="6"/>
        <v>0.6998578536375214</v>
      </c>
      <c r="AA49" s="8">
        <v>1</v>
      </c>
      <c r="AB49" s="49">
        <f t="shared" ca="1" si="41"/>
        <v>308</v>
      </c>
      <c r="AD49" s="50">
        <f t="shared" ca="1" si="7"/>
        <v>0.79916912561696263</v>
      </c>
      <c r="AE49" s="8">
        <v>1</v>
      </c>
      <c r="AF49" s="49">
        <f t="shared" ca="1" si="42"/>
        <v>401</v>
      </c>
      <c r="AH49" s="50">
        <f t="shared" ca="1" si="8"/>
        <v>0.36076947340622867</v>
      </c>
      <c r="AI49" s="8">
        <v>1</v>
      </c>
      <c r="AJ49" s="49">
        <f t="shared" ca="1" si="43"/>
        <v>163</v>
      </c>
      <c r="AL49" s="50">
        <f t="shared" ca="1" si="9"/>
        <v>8.195609143307736E-2</v>
      </c>
      <c r="AM49" s="8">
        <v>1</v>
      </c>
      <c r="AN49" s="49">
        <f t="shared" ca="1" si="44"/>
        <v>93</v>
      </c>
      <c r="AP49" s="50">
        <f t="shared" ca="1" si="10"/>
        <v>0.33151080780824482</v>
      </c>
      <c r="AQ49" s="8">
        <v>1</v>
      </c>
      <c r="AR49" s="49">
        <f t="shared" ca="1" si="45"/>
        <v>192</v>
      </c>
      <c r="AT49" s="50">
        <f t="shared" ca="1" si="11"/>
        <v>0.48950466934103709</v>
      </c>
      <c r="AU49" s="8">
        <v>1</v>
      </c>
      <c r="AV49" s="49">
        <f t="shared" ca="1" si="46"/>
        <v>191</v>
      </c>
      <c r="AX49" s="50">
        <f t="shared" ca="1" si="12"/>
        <v>0.46335829058359501</v>
      </c>
      <c r="AY49" s="8">
        <v>1</v>
      </c>
      <c r="AZ49" s="49">
        <f t="shared" ca="1" si="47"/>
        <v>176</v>
      </c>
      <c r="BB49" s="50">
        <f t="shared" ca="1" si="13"/>
        <v>0.91952617477091225</v>
      </c>
      <c r="BC49" s="8">
        <v>1</v>
      </c>
      <c r="BD49" s="49">
        <f t="shared" ca="1" si="48"/>
        <v>220</v>
      </c>
      <c r="BF49" s="50">
        <f t="shared" ca="1" si="14"/>
        <v>0.128550381717775</v>
      </c>
      <c r="BG49" s="8">
        <v>1</v>
      </c>
      <c r="BH49" s="49">
        <f t="shared" ca="1" si="49"/>
        <v>115</v>
      </c>
      <c r="BJ49" s="50">
        <f t="shared" ca="1" si="15"/>
        <v>0.89698537183024285</v>
      </c>
      <c r="BK49" s="8">
        <v>1</v>
      </c>
      <c r="BL49" s="49">
        <f t="shared" ca="1" si="50"/>
        <v>176</v>
      </c>
      <c r="BN49" s="50">
        <f t="shared" ca="1" si="16"/>
        <v>0.56181616450378136</v>
      </c>
      <c r="BO49" s="8">
        <v>1</v>
      </c>
      <c r="BP49" s="49">
        <f t="shared" ca="1" si="51"/>
        <v>181</v>
      </c>
      <c r="BR49" s="50">
        <f t="shared" ca="1" si="17"/>
        <v>0.96276753877085963</v>
      </c>
      <c r="BS49" s="8">
        <v>1</v>
      </c>
      <c r="BT49" s="49">
        <f t="shared" ca="1" si="52"/>
        <v>271</v>
      </c>
    </row>
    <row r="50" spans="1:72" x14ac:dyDescent="0.2">
      <c r="A50" s="22">
        <v>44597</v>
      </c>
      <c r="B50" s="50">
        <f t="shared" ca="1" si="0"/>
        <v>4.073708325610792E-2</v>
      </c>
      <c r="C50" s="8">
        <v>1</v>
      </c>
      <c r="D50" s="49">
        <f t="shared" ca="1" si="18"/>
        <v>66</v>
      </c>
      <c r="F50" s="50">
        <f t="shared" ca="1" si="1"/>
        <v>0.10521068824144475</v>
      </c>
      <c r="G50" s="8">
        <v>1</v>
      </c>
      <c r="H50" s="49">
        <f t="shared" ca="1" si="36"/>
        <v>144</v>
      </c>
      <c r="J50" s="50">
        <f t="shared" ca="1" si="2"/>
        <v>0.25064693222101542</v>
      </c>
      <c r="K50" s="8">
        <v>1</v>
      </c>
      <c r="L50" s="49">
        <f t="shared" ca="1" si="37"/>
        <v>124</v>
      </c>
      <c r="N50" s="50">
        <f t="shared" ca="1" si="3"/>
        <v>0.43306506449103332</v>
      </c>
      <c r="O50" s="8">
        <v>1</v>
      </c>
      <c r="P50" s="49">
        <f t="shared" ca="1" si="38"/>
        <v>220</v>
      </c>
      <c r="R50" s="50">
        <f t="shared" ca="1" si="4"/>
        <v>0.64154693321937506</v>
      </c>
      <c r="S50" s="8">
        <v>1</v>
      </c>
      <c r="T50" s="49">
        <f t="shared" ca="1" si="39"/>
        <v>153</v>
      </c>
      <c r="V50" s="50">
        <f t="shared" ca="1" si="5"/>
        <v>0.68909570222348215</v>
      </c>
      <c r="W50" s="8">
        <v>1</v>
      </c>
      <c r="X50" s="49">
        <f t="shared" ca="1" si="40"/>
        <v>255</v>
      </c>
      <c r="Z50" s="50">
        <f t="shared" ca="1" si="6"/>
        <v>0.24531872886854322</v>
      </c>
      <c r="AA50" s="8">
        <v>1</v>
      </c>
      <c r="AB50" s="49">
        <f t="shared" ca="1" si="41"/>
        <v>221</v>
      </c>
      <c r="AD50" s="50">
        <f t="shared" ca="1" si="7"/>
        <v>0.35413891762776617</v>
      </c>
      <c r="AE50" s="8">
        <v>1</v>
      </c>
      <c r="AF50" s="49">
        <f t="shared" ca="1" si="42"/>
        <v>295</v>
      </c>
      <c r="AH50" s="50">
        <f t="shared" ca="1" si="8"/>
        <v>0.32362768828588273</v>
      </c>
      <c r="AI50" s="8">
        <v>1</v>
      </c>
      <c r="AJ50" s="49">
        <f t="shared" ca="1" si="43"/>
        <v>158</v>
      </c>
      <c r="AL50" s="50">
        <f t="shared" ca="1" si="9"/>
        <v>0.99455035182799445</v>
      </c>
      <c r="AM50" s="8">
        <v>1</v>
      </c>
      <c r="AN50" s="49">
        <f t="shared" ca="1" si="44"/>
        <v>248</v>
      </c>
      <c r="AP50" s="50">
        <f t="shared" ca="1" si="10"/>
        <v>0.89056962069870271</v>
      </c>
      <c r="AQ50" s="8">
        <v>1</v>
      </c>
      <c r="AR50" s="49">
        <f t="shared" ca="1" si="45"/>
        <v>288</v>
      </c>
      <c r="AT50" s="50">
        <f t="shared" ca="1" si="11"/>
        <v>0.44505024446163144</v>
      </c>
      <c r="AU50" s="8">
        <v>1</v>
      </c>
      <c r="AV50" s="49">
        <f t="shared" ca="1" si="46"/>
        <v>185</v>
      </c>
      <c r="AX50" s="50">
        <f t="shared" ca="1" si="12"/>
        <v>0.62961687644245246</v>
      </c>
      <c r="AY50" s="8">
        <v>1</v>
      </c>
      <c r="AZ50" s="49">
        <f t="shared" ca="1" si="47"/>
        <v>196</v>
      </c>
      <c r="BB50" s="50">
        <f t="shared" ca="1" si="13"/>
        <v>0.60869908275399809</v>
      </c>
      <c r="BC50" s="8">
        <v>1</v>
      </c>
      <c r="BD50" s="49">
        <f t="shared" ca="1" si="48"/>
        <v>172</v>
      </c>
      <c r="BF50" s="50">
        <f t="shared" ca="1" si="14"/>
        <v>0.5949564670730636</v>
      </c>
      <c r="BG50" s="8">
        <v>1</v>
      </c>
      <c r="BH50" s="49">
        <f t="shared" ca="1" si="49"/>
        <v>176</v>
      </c>
      <c r="BJ50" s="50">
        <f t="shared" ca="1" si="15"/>
        <v>0.66300013715297645</v>
      </c>
      <c r="BK50" s="8">
        <v>1</v>
      </c>
      <c r="BL50" s="49">
        <f t="shared" ca="1" si="50"/>
        <v>146</v>
      </c>
      <c r="BN50" s="50">
        <f t="shared" ca="1" si="16"/>
        <v>0.48047369507146054</v>
      </c>
      <c r="BO50" s="8">
        <v>1</v>
      </c>
      <c r="BP50" s="49">
        <f t="shared" ca="1" si="51"/>
        <v>172</v>
      </c>
      <c r="BR50" s="50">
        <f t="shared" ca="1" si="17"/>
        <v>0.21966845996097795</v>
      </c>
      <c r="BS50" s="8">
        <v>1</v>
      </c>
      <c r="BT50" s="49">
        <f t="shared" ca="1" si="52"/>
        <v>146</v>
      </c>
    </row>
    <row r="51" spans="1:72" x14ac:dyDescent="0.2">
      <c r="A51" s="22">
        <v>44598</v>
      </c>
      <c r="B51" s="50">
        <f t="shared" ca="1" si="0"/>
        <v>0.81602477899362946</v>
      </c>
      <c r="C51" s="8">
        <v>1</v>
      </c>
      <c r="D51" s="49">
        <v>0</v>
      </c>
      <c r="F51" s="50">
        <f t="shared" ca="1" si="1"/>
        <v>0.7020091719180398</v>
      </c>
      <c r="G51" s="8">
        <v>1</v>
      </c>
      <c r="H51" s="49">
        <v>0</v>
      </c>
      <c r="J51" s="50">
        <f t="shared" ca="1" si="2"/>
        <v>0.96512065104442135</v>
      </c>
      <c r="K51" s="8">
        <v>1</v>
      </c>
      <c r="L51" s="49">
        <v>0</v>
      </c>
      <c r="N51" s="50">
        <f t="shared" ca="1" si="3"/>
        <v>0.62911402123974647</v>
      </c>
      <c r="O51" s="8">
        <v>1</v>
      </c>
      <c r="P51" s="49">
        <v>0</v>
      </c>
      <c r="R51" s="50">
        <f t="shared" ca="1" si="4"/>
        <v>0.16124185790741596</v>
      </c>
      <c r="S51" s="8">
        <v>1</v>
      </c>
      <c r="T51" s="49">
        <v>0</v>
      </c>
      <c r="V51" s="50">
        <f t="shared" ca="1" si="5"/>
        <v>0.24625853724437041</v>
      </c>
      <c r="W51" s="8">
        <v>1</v>
      </c>
      <c r="X51" s="49">
        <v>0</v>
      </c>
      <c r="Z51" s="50">
        <f t="shared" ca="1" si="6"/>
        <v>0.38034630225547161</v>
      </c>
      <c r="AA51" s="8">
        <v>1</v>
      </c>
      <c r="AB51" s="49">
        <v>0</v>
      </c>
      <c r="AD51" s="50">
        <f t="shared" ca="1" si="7"/>
        <v>0.89352132418065511</v>
      </c>
      <c r="AE51" s="8">
        <v>1</v>
      </c>
      <c r="AF51" s="49">
        <v>0</v>
      </c>
      <c r="AH51" s="50">
        <f t="shared" ca="1" si="8"/>
        <v>0.11919714146111848</v>
      </c>
      <c r="AI51" s="8">
        <v>1</v>
      </c>
      <c r="AJ51" s="49">
        <v>0</v>
      </c>
      <c r="AL51" s="50">
        <f t="shared" ca="1" si="9"/>
        <v>0.49061254790423692</v>
      </c>
      <c r="AM51" s="8">
        <v>1</v>
      </c>
      <c r="AN51" s="49">
        <v>0</v>
      </c>
      <c r="AP51" s="50">
        <f t="shared" ca="1" si="10"/>
        <v>0.55435453751939978</v>
      </c>
      <c r="AQ51" s="8">
        <v>1</v>
      </c>
      <c r="AR51" s="49">
        <v>0</v>
      </c>
      <c r="AT51" s="50">
        <f t="shared" ca="1" si="11"/>
        <v>0.89657189885310262</v>
      </c>
      <c r="AU51" s="8">
        <v>1</v>
      </c>
      <c r="AV51" s="49">
        <v>0</v>
      </c>
      <c r="AX51" s="50">
        <f t="shared" ca="1" si="12"/>
        <v>0.28795515834262653</v>
      </c>
      <c r="AY51" s="8">
        <v>1</v>
      </c>
      <c r="AZ51" s="49">
        <v>0</v>
      </c>
      <c r="BB51" s="50">
        <f t="shared" ca="1" si="13"/>
        <v>0.87230026240914671</v>
      </c>
      <c r="BC51" s="8">
        <v>1</v>
      </c>
      <c r="BD51" s="49">
        <v>0</v>
      </c>
      <c r="BF51" s="50">
        <f t="shared" ca="1" si="14"/>
        <v>0.33785752288178794</v>
      </c>
      <c r="BG51" s="8">
        <v>1</v>
      </c>
      <c r="BH51" s="49">
        <v>0</v>
      </c>
      <c r="BJ51" s="50">
        <f t="shared" ca="1" si="15"/>
        <v>0.96474522005033525</v>
      </c>
      <c r="BK51" s="8">
        <v>1</v>
      </c>
      <c r="BL51" s="49">
        <v>0</v>
      </c>
      <c r="BN51" s="50">
        <f t="shared" ca="1" si="16"/>
        <v>0.38102030502280759</v>
      </c>
      <c r="BO51" s="8">
        <v>1</v>
      </c>
      <c r="BP51" s="49">
        <v>0</v>
      </c>
      <c r="BR51" s="50">
        <f t="shared" ca="1" si="17"/>
        <v>0.24503428599384769</v>
      </c>
      <c r="BS51" s="8">
        <v>1</v>
      </c>
      <c r="BT51" s="49">
        <v>0</v>
      </c>
    </row>
    <row r="52" spans="1:72" x14ac:dyDescent="0.2">
      <c r="A52" s="22">
        <v>44599</v>
      </c>
      <c r="B52" s="50">
        <f t="shared" ca="1" si="0"/>
        <v>9.983401694531957E-2</v>
      </c>
      <c r="C52" s="8">
        <v>1</v>
      </c>
      <c r="D52" s="49">
        <v>0</v>
      </c>
      <c r="F52" s="50">
        <f t="shared" ca="1" si="1"/>
        <v>0.47692987116586827</v>
      </c>
      <c r="G52" s="8">
        <v>1</v>
      </c>
      <c r="H52" s="49">
        <v>0</v>
      </c>
      <c r="J52" s="50">
        <f t="shared" ca="1" si="2"/>
        <v>0.63983978741481951</v>
      </c>
      <c r="K52" s="8">
        <v>1</v>
      </c>
      <c r="L52" s="49">
        <v>0</v>
      </c>
      <c r="N52" s="50">
        <f t="shared" ca="1" si="3"/>
        <v>0.64268936172398028</v>
      </c>
      <c r="O52" s="8">
        <v>1</v>
      </c>
      <c r="P52" s="49">
        <v>0</v>
      </c>
      <c r="R52" s="50">
        <f t="shared" ca="1" si="4"/>
        <v>0.14301679043920457</v>
      </c>
      <c r="S52" s="8">
        <v>1</v>
      </c>
      <c r="T52" s="49">
        <v>0</v>
      </c>
      <c r="V52" s="50">
        <f t="shared" ca="1" si="5"/>
        <v>0.68724528495610282</v>
      </c>
      <c r="W52" s="8">
        <v>1</v>
      </c>
      <c r="X52" s="49">
        <v>0</v>
      </c>
      <c r="Z52" s="50">
        <f t="shared" ca="1" si="6"/>
        <v>0.49379379837869852</v>
      </c>
      <c r="AA52" s="8">
        <v>1</v>
      </c>
      <c r="AB52" s="49">
        <v>0</v>
      </c>
      <c r="AD52" s="50">
        <f t="shared" ca="1" si="7"/>
        <v>6.424277410833179E-2</v>
      </c>
      <c r="AE52" s="8">
        <v>1</v>
      </c>
      <c r="AF52" s="49">
        <v>0</v>
      </c>
      <c r="AH52" s="50">
        <f t="shared" ca="1" si="8"/>
        <v>0.80887830042179443</v>
      </c>
      <c r="AI52" s="8">
        <v>1</v>
      </c>
      <c r="AJ52" s="49">
        <v>0</v>
      </c>
      <c r="AL52" s="50">
        <f t="shared" ca="1" si="9"/>
        <v>0.25361408175369282</v>
      </c>
      <c r="AM52" s="8">
        <v>1</v>
      </c>
      <c r="AN52" s="49">
        <v>0</v>
      </c>
      <c r="AP52" s="50">
        <f t="shared" ca="1" si="10"/>
        <v>0.12989200176234084</v>
      </c>
      <c r="AQ52" s="8">
        <v>1</v>
      </c>
      <c r="AR52" s="49">
        <v>0</v>
      </c>
      <c r="AT52" s="50">
        <f t="shared" ca="1" si="11"/>
        <v>0.37905582089112511</v>
      </c>
      <c r="AU52" s="8">
        <v>1</v>
      </c>
      <c r="AV52" s="49">
        <v>0</v>
      </c>
      <c r="AX52" s="50">
        <f t="shared" ca="1" si="12"/>
        <v>0.39697981715246378</v>
      </c>
      <c r="AY52" s="8">
        <v>1</v>
      </c>
      <c r="AZ52" s="49">
        <v>0</v>
      </c>
      <c r="BB52" s="50">
        <f t="shared" ca="1" si="13"/>
        <v>0.8325779970608429</v>
      </c>
      <c r="BC52" s="8">
        <v>1</v>
      </c>
      <c r="BD52" s="49">
        <v>0</v>
      </c>
      <c r="BF52" s="50">
        <f t="shared" ca="1" si="14"/>
        <v>0.26351339460292</v>
      </c>
      <c r="BG52" s="8">
        <v>1</v>
      </c>
      <c r="BH52" s="49">
        <v>0</v>
      </c>
      <c r="BJ52" s="50">
        <f t="shared" ca="1" si="15"/>
        <v>0.30078307944850724</v>
      </c>
      <c r="BK52" s="8">
        <v>1</v>
      </c>
      <c r="BL52" s="49">
        <v>0</v>
      </c>
      <c r="BN52" s="50">
        <f t="shared" ca="1" si="16"/>
        <v>0.73247698569472031</v>
      </c>
      <c r="BO52" s="8">
        <v>1</v>
      </c>
      <c r="BP52" s="49">
        <v>0</v>
      </c>
      <c r="BR52" s="50">
        <f t="shared" ca="1" si="17"/>
        <v>0.98293705351401683</v>
      </c>
      <c r="BS52" s="8">
        <v>1</v>
      </c>
      <c r="BT52" s="49">
        <v>0</v>
      </c>
    </row>
    <row r="53" spans="1:72" x14ac:dyDescent="0.2">
      <c r="A53" s="22">
        <v>44600</v>
      </c>
      <c r="B53" s="50">
        <f t="shared" ca="1" si="0"/>
        <v>0.43154038988114518</v>
      </c>
      <c r="C53" s="8">
        <v>1</v>
      </c>
      <c r="D53" s="49">
        <v>0</v>
      </c>
      <c r="F53" s="50">
        <f t="shared" ca="1" si="1"/>
        <v>0.23235552168458307</v>
      </c>
      <c r="G53" s="8">
        <v>1</v>
      </c>
      <c r="H53" s="49">
        <v>0</v>
      </c>
      <c r="J53" s="50">
        <f t="shared" ca="1" si="2"/>
        <v>0.78538804189517186</v>
      </c>
      <c r="K53" s="8">
        <v>1</v>
      </c>
      <c r="L53" s="49">
        <v>0</v>
      </c>
      <c r="N53" s="50">
        <f t="shared" ca="1" si="3"/>
        <v>0.71411921985890525</v>
      </c>
      <c r="O53" s="8">
        <v>1</v>
      </c>
      <c r="P53" s="49">
        <v>0</v>
      </c>
      <c r="R53" s="50">
        <f t="shared" ca="1" si="4"/>
        <v>0.80269342993569759</v>
      </c>
      <c r="S53" s="8">
        <v>1</v>
      </c>
      <c r="T53" s="49">
        <v>0</v>
      </c>
      <c r="V53" s="50">
        <f t="shared" ca="1" si="5"/>
        <v>0.24186635336421936</v>
      </c>
      <c r="W53" s="8">
        <v>1</v>
      </c>
      <c r="X53" s="49">
        <v>0</v>
      </c>
      <c r="Z53" s="50">
        <f t="shared" ca="1" si="6"/>
        <v>0.15870120767294027</v>
      </c>
      <c r="AA53" s="8">
        <v>1</v>
      </c>
      <c r="AB53" s="49">
        <v>0</v>
      </c>
      <c r="AD53" s="50">
        <f t="shared" ca="1" si="7"/>
        <v>0.80520081795156961</v>
      </c>
      <c r="AE53" s="8">
        <v>1</v>
      </c>
      <c r="AF53" s="49">
        <v>0</v>
      </c>
      <c r="AH53" s="50">
        <f t="shared" ca="1" si="8"/>
        <v>7.2107430597236233E-2</v>
      </c>
      <c r="AI53" s="8">
        <v>1</v>
      </c>
      <c r="AJ53" s="49">
        <v>0</v>
      </c>
      <c r="AL53" s="50">
        <f t="shared" ca="1" si="9"/>
        <v>0.91919338187473876</v>
      </c>
      <c r="AM53" s="8">
        <v>1</v>
      </c>
      <c r="AN53" s="49">
        <v>0</v>
      </c>
      <c r="AP53" s="50">
        <f t="shared" ca="1" si="10"/>
        <v>4.1485474641901665E-2</v>
      </c>
      <c r="AQ53" s="8">
        <v>1</v>
      </c>
      <c r="AR53" s="49">
        <v>0</v>
      </c>
      <c r="AT53" s="50">
        <f t="shared" ca="1" si="11"/>
        <v>0.26628781986822081</v>
      </c>
      <c r="AU53" s="8">
        <v>1</v>
      </c>
      <c r="AV53" s="49">
        <v>0</v>
      </c>
      <c r="AX53" s="50">
        <f t="shared" ca="1" si="12"/>
        <v>8.330206521753869E-3</v>
      </c>
      <c r="AY53" s="8">
        <v>1</v>
      </c>
      <c r="AZ53" s="49">
        <v>0</v>
      </c>
      <c r="BB53" s="50">
        <f t="shared" ca="1" si="13"/>
        <v>2.6292171557218968E-2</v>
      </c>
      <c r="BC53" s="8">
        <v>1</v>
      </c>
      <c r="BD53" s="49">
        <v>0</v>
      </c>
      <c r="BF53" s="50">
        <f t="shared" ca="1" si="14"/>
        <v>0.56564665514719326</v>
      </c>
      <c r="BG53" s="8">
        <v>1</v>
      </c>
      <c r="BH53" s="49">
        <v>0</v>
      </c>
      <c r="BJ53" s="50">
        <f t="shared" ca="1" si="15"/>
        <v>0.87241270118019254</v>
      </c>
      <c r="BK53" s="8">
        <v>1</v>
      </c>
      <c r="BL53" s="49">
        <v>0</v>
      </c>
      <c r="BN53" s="50">
        <f t="shared" ca="1" si="16"/>
        <v>0.58410927430883386</v>
      </c>
      <c r="BO53" s="8">
        <v>1</v>
      </c>
      <c r="BP53" s="49">
        <v>0</v>
      </c>
      <c r="BR53" s="50">
        <f t="shared" ca="1" si="17"/>
        <v>0.15119037282887526</v>
      </c>
      <c r="BS53" s="8">
        <v>1</v>
      </c>
      <c r="BT53" s="49">
        <v>0</v>
      </c>
    </row>
    <row r="54" spans="1:72" x14ac:dyDescent="0.2">
      <c r="A54" s="22">
        <v>44601</v>
      </c>
      <c r="B54" s="50">
        <f t="shared" ca="1" si="0"/>
        <v>0.67100744409803659</v>
      </c>
      <c r="C54" s="8">
        <v>1</v>
      </c>
      <c r="D54" s="49">
        <v>0</v>
      </c>
      <c r="F54" s="50">
        <f t="shared" ca="1" si="1"/>
        <v>0.42581240061901815</v>
      </c>
      <c r="G54" s="8">
        <v>1</v>
      </c>
      <c r="H54" s="49">
        <v>0</v>
      </c>
      <c r="J54" s="50">
        <f t="shared" ca="1" si="2"/>
        <v>0.57638207702427258</v>
      </c>
      <c r="K54" s="8">
        <v>1</v>
      </c>
      <c r="L54" s="49">
        <v>0</v>
      </c>
      <c r="N54" s="50">
        <f t="shared" ca="1" si="3"/>
        <v>1.9754673073242301E-2</v>
      </c>
      <c r="O54" s="8">
        <v>1</v>
      </c>
      <c r="P54" s="49">
        <v>0</v>
      </c>
      <c r="R54" s="50">
        <f t="shared" ca="1" si="4"/>
        <v>0.22247435307967567</v>
      </c>
      <c r="S54" s="8">
        <v>1</v>
      </c>
      <c r="T54" s="49">
        <v>0</v>
      </c>
      <c r="V54" s="50">
        <f t="shared" ca="1" si="5"/>
        <v>0.29311725307384184</v>
      </c>
      <c r="W54" s="8">
        <v>1</v>
      </c>
      <c r="X54" s="49">
        <v>0</v>
      </c>
      <c r="Z54" s="50">
        <f t="shared" ca="1" si="6"/>
        <v>0.79941454909340892</v>
      </c>
      <c r="AA54" s="8">
        <v>1</v>
      </c>
      <c r="AB54" s="49">
        <v>0</v>
      </c>
      <c r="AD54" s="50">
        <f t="shared" ca="1" si="7"/>
        <v>0.78851836737810177</v>
      </c>
      <c r="AE54" s="8">
        <v>1</v>
      </c>
      <c r="AF54" s="49">
        <v>0</v>
      </c>
      <c r="AH54" s="50">
        <f t="shared" ca="1" si="8"/>
        <v>0.50534679268793836</v>
      </c>
      <c r="AI54" s="8">
        <v>1</v>
      </c>
      <c r="AJ54" s="49">
        <v>0</v>
      </c>
      <c r="AL54" s="50">
        <f t="shared" ca="1" si="9"/>
        <v>0.7519027941590799</v>
      </c>
      <c r="AM54" s="8">
        <v>1</v>
      </c>
      <c r="AN54" s="49">
        <v>0</v>
      </c>
      <c r="AP54" s="50">
        <f t="shared" ca="1" si="10"/>
        <v>0.48853655358949899</v>
      </c>
      <c r="AQ54" s="8">
        <v>1</v>
      </c>
      <c r="AR54" s="49">
        <v>0</v>
      </c>
      <c r="AT54" s="50">
        <f t="shared" ca="1" si="11"/>
        <v>0.82895464282027564</v>
      </c>
      <c r="AU54" s="8">
        <v>1</v>
      </c>
      <c r="AV54" s="49">
        <v>0</v>
      </c>
      <c r="AX54" s="50">
        <f t="shared" ca="1" si="12"/>
        <v>0.80354938229917172</v>
      </c>
      <c r="AY54" s="8">
        <v>1</v>
      </c>
      <c r="AZ54" s="49">
        <v>0</v>
      </c>
      <c r="BB54" s="50">
        <f t="shared" ca="1" si="13"/>
        <v>0.64530541949123754</v>
      </c>
      <c r="BC54" s="8">
        <v>1</v>
      </c>
      <c r="BD54" s="49">
        <v>0</v>
      </c>
      <c r="BF54" s="50">
        <f t="shared" ca="1" si="14"/>
        <v>0.85637652899499606</v>
      </c>
      <c r="BG54" s="8">
        <v>1</v>
      </c>
      <c r="BH54" s="49">
        <v>0</v>
      </c>
      <c r="BJ54" s="50">
        <f t="shared" ca="1" si="15"/>
        <v>3.4075277190246167E-2</v>
      </c>
      <c r="BK54" s="8">
        <v>1</v>
      </c>
      <c r="BL54" s="49">
        <v>0</v>
      </c>
      <c r="BN54" s="50">
        <f t="shared" ca="1" si="16"/>
        <v>4.3497417697837215E-2</v>
      </c>
      <c r="BO54" s="8">
        <v>1</v>
      </c>
      <c r="BP54" s="49">
        <v>0</v>
      </c>
      <c r="BR54" s="50">
        <f t="shared" ca="1" si="17"/>
        <v>0.36633638384244971</v>
      </c>
      <c r="BS54" s="8">
        <v>1</v>
      </c>
      <c r="BT54" s="49">
        <v>0</v>
      </c>
    </row>
    <row r="55" spans="1:72" x14ac:dyDescent="0.2">
      <c r="A55" s="22">
        <v>44602</v>
      </c>
      <c r="B55" s="50">
        <f t="shared" ca="1" si="0"/>
        <v>0.54134122559453179</v>
      </c>
      <c r="C55" s="8">
        <v>1</v>
      </c>
      <c r="D55" s="49">
        <v>0</v>
      </c>
      <c r="F55" s="50">
        <f t="shared" ca="1" si="1"/>
        <v>0.63244356533785817</v>
      </c>
      <c r="G55" s="8">
        <v>1</v>
      </c>
      <c r="H55" s="49">
        <v>0</v>
      </c>
      <c r="J55" s="50">
        <f t="shared" ca="1" si="2"/>
        <v>0.25026252485595346</v>
      </c>
      <c r="K55" s="8">
        <v>1</v>
      </c>
      <c r="L55" s="49">
        <v>0</v>
      </c>
      <c r="N55" s="50">
        <f t="shared" ca="1" si="3"/>
        <v>0.12457174872123333</v>
      </c>
      <c r="O55" s="8">
        <v>1</v>
      </c>
      <c r="P55" s="49">
        <v>0</v>
      </c>
      <c r="R55" s="50">
        <f t="shared" ca="1" si="4"/>
        <v>0.65247478043957297</v>
      </c>
      <c r="S55" s="8">
        <v>1</v>
      </c>
      <c r="T55" s="49">
        <v>0</v>
      </c>
      <c r="V55" s="50">
        <f t="shared" ca="1" si="5"/>
        <v>0.69835073605518538</v>
      </c>
      <c r="W55" s="8">
        <v>1</v>
      </c>
      <c r="X55" s="49">
        <v>0</v>
      </c>
      <c r="Z55" s="50">
        <f t="shared" ca="1" si="6"/>
        <v>0.9621775626302822</v>
      </c>
      <c r="AA55" s="8">
        <v>1</v>
      </c>
      <c r="AB55" s="49">
        <v>0</v>
      </c>
      <c r="AD55" s="50">
        <f t="shared" ca="1" si="7"/>
        <v>0.23971624446301776</v>
      </c>
      <c r="AE55" s="8">
        <v>1</v>
      </c>
      <c r="AF55" s="49">
        <v>0</v>
      </c>
      <c r="AH55" s="50">
        <f t="shared" ca="1" si="8"/>
        <v>0.96696352002694841</v>
      </c>
      <c r="AI55" s="8">
        <v>1</v>
      </c>
      <c r="AJ55" s="49">
        <v>0</v>
      </c>
      <c r="AL55" s="50">
        <f t="shared" ca="1" si="9"/>
        <v>8.5318980115837828E-2</v>
      </c>
      <c r="AM55" s="8">
        <v>1</v>
      </c>
      <c r="AN55" s="49">
        <v>0</v>
      </c>
      <c r="AP55" s="50">
        <f t="shared" ca="1" si="10"/>
        <v>0.33675284378951775</v>
      </c>
      <c r="AQ55" s="8">
        <v>1</v>
      </c>
      <c r="AR55" s="49">
        <v>0</v>
      </c>
      <c r="AT55" s="50">
        <f t="shared" ca="1" si="11"/>
        <v>3.5646958188101263E-2</v>
      </c>
      <c r="AU55" s="8">
        <v>1</v>
      </c>
      <c r="AV55" s="49">
        <v>0</v>
      </c>
      <c r="AX55" s="50">
        <f t="shared" ca="1" si="12"/>
        <v>0.3333914018909746</v>
      </c>
      <c r="AY55" s="8">
        <v>1</v>
      </c>
      <c r="AZ55" s="49">
        <v>0</v>
      </c>
      <c r="BB55" s="50">
        <f t="shared" ca="1" si="13"/>
        <v>0.27290536118033837</v>
      </c>
      <c r="BC55" s="8">
        <v>1</v>
      </c>
      <c r="BD55" s="49">
        <v>0</v>
      </c>
      <c r="BF55" s="50">
        <f t="shared" ca="1" si="14"/>
        <v>1.3323626323141324E-2</v>
      </c>
      <c r="BG55" s="8">
        <v>1</v>
      </c>
      <c r="BH55" s="49">
        <v>0</v>
      </c>
      <c r="BJ55" s="50">
        <f t="shared" ca="1" si="15"/>
        <v>0.19726803457612907</v>
      </c>
      <c r="BK55" s="8">
        <v>1</v>
      </c>
      <c r="BL55" s="49">
        <v>0</v>
      </c>
      <c r="BN55" s="50">
        <f t="shared" ca="1" si="16"/>
        <v>0.87634513745047693</v>
      </c>
      <c r="BO55" s="8">
        <v>1</v>
      </c>
      <c r="BP55" s="49">
        <v>0</v>
      </c>
      <c r="BR55" s="50">
        <f t="shared" ca="1" si="17"/>
        <v>0.85245169847471935</v>
      </c>
      <c r="BS55" s="8">
        <v>1</v>
      </c>
      <c r="BT55" s="49">
        <v>0</v>
      </c>
    </row>
    <row r="56" spans="1:72" x14ac:dyDescent="0.2">
      <c r="A56" s="22">
        <v>44603</v>
      </c>
      <c r="B56" s="50">
        <f t="shared" ca="1" si="0"/>
        <v>0.92534894288009184</v>
      </c>
      <c r="C56" s="8">
        <v>1</v>
      </c>
      <c r="D56" s="49">
        <v>0</v>
      </c>
      <c r="F56" s="50">
        <f t="shared" ca="1" si="1"/>
        <v>0.98022662800084048</v>
      </c>
      <c r="G56" s="8">
        <v>1</v>
      </c>
      <c r="H56" s="49">
        <v>0</v>
      </c>
      <c r="J56" s="50">
        <f t="shared" ca="1" si="2"/>
        <v>0.72865513683035177</v>
      </c>
      <c r="K56" s="8">
        <v>1</v>
      </c>
      <c r="L56" s="49">
        <v>0</v>
      </c>
      <c r="N56" s="50">
        <f t="shared" ca="1" si="3"/>
        <v>0.18889750501304436</v>
      </c>
      <c r="O56" s="8">
        <v>1</v>
      </c>
      <c r="P56" s="49">
        <v>0</v>
      </c>
      <c r="R56" s="50">
        <f t="shared" ca="1" si="4"/>
        <v>0.18301647146492928</v>
      </c>
      <c r="S56" s="8">
        <v>1</v>
      </c>
      <c r="T56" s="49">
        <v>0</v>
      </c>
      <c r="V56" s="50">
        <f t="shared" ca="1" si="5"/>
        <v>0.83367070850708003</v>
      </c>
      <c r="W56" s="8">
        <v>1</v>
      </c>
      <c r="X56" s="49">
        <v>0</v>
      </c>
      <c r="Z56" s="50">
        <f t="shared" ca="1" si="6"/>
        <v>0.75563358333415476</v>
      </c>
      <c r="AA56" s="8">
        <v>1</v>
      </c>
      <c r="AB56" s="49">
        <v>0</v>
      </c>
      <c r="AD56" s="50">
        <f t="shared" ca="1" si="7"/>
        <v>0.86800222893627155</v>
      </c>
      <c r="AE56" s="8">
        <v>1</v>
      </c>
      <c r="AF56" s="49">
        <v>0</v>
      </c>
      <c r="AH56" s="50">
        <f t="shared" ca="1" si="8"/>
        <v>0.42214095450243994</v>
      </c>
      <c r="AI56" s="8">
        <v>1</v>
      </c>
      <c r="AJ56" s="49">
        <v>0</v>
      </c>
      <c r="AL56" s="50">
        <f t="shared" ca="1" si="9"/>
        <v>0.63624231182929503</v>
      </c>
      <c r="AM56" s="8">
        <v>1</v>
      </c>
      <c r="AN56" s="49">
        <v>0</v>
      </c>
      <c r="AP56" s="50">
        <f t="shared" ca="1" si="10"/>
        <v>0.91913706548939123</v>
      </c>
      <c r="AQ56" s="8">
        <v>1</v>
      </c>
      <c r="AR56" s="49">
        <v>0</v>
      </c>
      <c r="AT56" s="50">
        <f t="shared" ca="1" si="11"/>
        <v>0.8837278717588799</v>
      </c>
      <c r="AU56" s="8">
        <v>1</v>
      </c>
      <c r="AV56" s="49">
        <v>0</v>
      </c>
      <c r="AX56" s="50">
        <f t="shared" ca="1" si="12"/>
        <v>0.78613462289985825</v>
      </c>
      <c r="AY56" s="8">
        <v>1</v>
      </c>
      <c r="AZ56" s="49">
        <v>0</v>
      </c>
      <c r="BB56" s="50">
        <f t="shared" ca="1" si="13"/>
        <v>0.206912592012091</v>
      </c>
      <c r="BC56" s="8">
        <v>1</v>
      </c>
      <c r="BD56" s="49">
        <v>0</v>
      </c>
      <c r="BF56" s="50">
        <f t="shared" ca="1" si="14"/>
        <v>0.75406896920298772</v>
      </c>
      <c r="BG56" s="8">
        <v>1</v>
      </c>
      <c r="BH56" s="49">
        <v>0</v>
      </c>
      <c r="BJ56" s="50">
        <f t="shared" ca="1" si="15"/>
        <v>0.85239410627719558</v>
      </c>
      <c r="BK56" s="8">
        <v>1</v>
      </c>
      <c r="BL56" s="49">
        <v>0</v>
      </c>
      <c r="BN56" s="50">
        <f t="shared" ca="1" si="16"/>
        <v>0.94330066907826626</v>
      </c>
      <c r="BO56" s="8">
        <v>1</v>
      </c>
      <c r="BP56" s="49">
        <v>0</v>
      </c>
      <c r="BR56" s="50">
        <f t="shared" ca="1" si="17"/>
        <v>0.66689679483106368</v>
      </c>
      <c r="BS56" s="8">
        <v>1</v>
      </c>
      <c r="BT56" s="49">
        <v>0</v>
      </c>
    </row>
    <row r="57" spans="1:72" x14ac:dyDescent="0.2">
      <c r="A57" s="22">
        <v>44604</v>
      </c>
      <c r="B57" s="50">
        <f t="shared" ca="1" si="0"/>
        <v>0.38478477385044141</v>
      </c>
      <c r="C57" s="8">
        <v>1</v>
      </c>
      <c r="D57" s="49">
        <v>0</v>
      </c>
      <c r="F57" s="50">
        <f t="shared" ca="1" si="1"/>
        <v>0.93379239793239843</v>
      </c>
      <c r="G57" s="8">
        <v>1</v>
      </c>
      <c r="H57" s="49">
        <v>0</v>
      </c>
      <c r="J57" s="50">
        <f t="shared" ca="1" si="2"/>
        <v>0.54789694410032808</v>
      </c>
      <c r="K57" s="8">
        <v>1</v>
      </c>
      <c r="L57" s="49">
        <v>0</v>
      </c>
      <c r="N57" s="50">
        <f t="shared" ca="1" si="3"/>
        <v>0.4236640514150305</v>
      </c>
      <c r="O57" s="8">
        <v>1</v>
      </c>
      <c r="P57" s="49">
        <v>0</v>
      </c>
      <c r="R57" s="50">
        <f t="shared" ca="1" si="4"/>
        <v>0.96166294186555146</v>
      </c>
      <c r="S57" s="8">
        <v>1</v>
      </c>
      <c r="T57" s="49">
        <v>0</v>
      </c>
      <c r="V57" s="50">
        <f t="shared" ca="1" si="5"/>
        <v>0.63615676153067713</v>
      </c>
      <c r="W57" s="8">
        <v>1</v>
      </c>
      <c r="X57" s="49">
        <v>0</v>
      </c>
      <c r="Z57" s="50">
        <f t="shared" ca="1" si="6"/>
        <v>0.75986969168255314</v>
      </c>
      <c r="AA57" s="8">
        <v>1</v>
      </c>
      <c r="AB57" s="49">
        <v>0</v>
      </c>
      <c r="AD57" s="50">
        <f t="shared" ca="1" si="7"/>
        <v>0.83675339035636997</v>
      </c>
      <c r="AE57" s="8">
        <v>1</v>
      </c>
      <c r="AF57" s="49">
        <v>0</v>
      </c>
      <c r="AH57" s="50">
        <f t="shared" ca="1" si="8"/>
        <v>1.5054965669913933E-3</v>
      </c>
      <c r="AI57" s="8">
        <v>1</v>
      </c>
      <c r="AJ57" s="49">
        <v>0</v>
      </c>
      <c r="AL57" s="50">
        <f t="shared" ca="1" si="9"/>
        <v>0.88230884015189581</v>
      </c>
      <c r="AM57" s="8">
        <v>1</v>
      </c>
      <c r="AN57" s="49">
        <v>0</v>
      </c>
      <c r="AP57" s="50">
        <f t="shared" ca="1" si="10"/>
        <v>0.7307027968336155</v>
      </c>
      <c r="AQ57" s="8">
        <v>1</v>
      </c>
      <c r="AR57" s="49">
        <v>0</v>
      </c>
      <c r="AT57" s="50">
        <f t="shared" ca="1" si="11"/>
        <v>0.65238213078628726</v>
      </c>
      <c r="AU57" s="8">
        <v>1</v>
      </c>
      <c r="AV57" s="49">
        <v>0</v>
      </c>
      <c r="AX57" s="50">
        <f t="shared" ca="1" si="12"/>
        <v>0.54065030037492368</v>
      </c>
      <c r="AY57" s="8">
        <v>1</v>
      </c>
      <c r="AZ57" s="49">
        <v>0</v>
      </c>
      <c r="BB57" s="50">
        <f t="shared" ca="1" si="13"/>
        <v>0.6421976411227267</v>
      </c>
      <c r="BC57" s="8">
        <v>1</v>
      </c>
      <c r="BD57" s="49">
        <v>0</v>
      </c>
      <c r="BF57" s="50">
        <f t="shared" ca="1" si="14"/>
        <v>9.0176473419843139E-2</v>
      </c>
      <c r="BG57" s="8">
        <v>1</v>
      </c>
      <c r="BH57" s="49">
        <v>0</v>
      </c>
      <c r="BJ57" s="50">
        <f t="shared" ca="1" si="15"/>
        <v>0.32640756827903294</v>
      </c>
      <c r="BK57" s="8">
        <v>1</v>
      </c>
      <c r="BL57" s="49">
        <v>0</v>
      </c>
      <c r="BN57" s="50">
        <f t="shared" ca="1" si="16"/>
        <v>0.3797428847243135</v>
      </c>
      <c r="BO57" s="8">
        <v>1</v>
      </c>
      <c r="BP57" s="49">
        <v>0</v>
      </c>
      <c r="BR57" s="50">
        <f t="shared" ca="1" si="17"/>
        <v>0.87127206624199083</v>
      </c>
      <c r="BS57" s="8">
        <v>1</v>
      </c>
      <c r="BT57" s="49">
        <v>0</v>
      </c>
    </row>
    <row r="58" spans="1:72" x14ac:dyDescent="0.2">
      <c r="A58" s="22">
        <v>44605</v>
      </c>
      <c r="B58" s="50">
        <f t="shared" ca="1" si="0"/>
        <v>0.92117023116267505</v>
      </c>
      <c r="C58" s="8">
        <v>1</v>
      </c>
      <c r="D58" s="49">
        <v>0</v>
      </c>
      <c r="F58" s="50">
        <f t="shared" ca="1" si="1"/>
        <v>0.49095978427649201</v>
      </c>
      <c r="G58" s="8">
        <v>1</v>
      </c>
      <c r="H58" s="49">
        <v>0</v>
      </c>
      <c r="J58" s="50">
        <f t="shared" ca="1" si="2"/>
        <v>0.9218951947627656</v>
      </c>
      <c r="K58" s="8">
        <v>1</v>
      </c>
      <c r="L58" s="49">
        <v>0</v>
      </c>
      <c r="N58" s="50">
        <f t="shared" ca="1" si="3"/>
        <v>7.3398324603703102E-2</v>
      </c>
      <c r="O58" s="8">
        <v>1</v>
      </c>
      <c r="P58" s="49">
        <v>0</v>
      </c>
      <c r="R58" s="50">
        <f t="shared" ca="1" si="4"/>
        <v>0.16871092173421276</v>
      </c>
      <c r="S58" s="8">
        <v>1</v>
      </c>
      <c r="T58" s="49">
        <v>0</v>
      </c>
      <c r="V58" s="50">
        <f t="shared" ca="1" si="5"/>
        <v>0.61408980173872263</v>
      </c>
      <c r="W58" s="8">
        <v>1</v>
      </c>
      <c r="X58" s="49">
        <v>0</v>
      </c>
      <c r="Z58" s="50">
        <f t="shared" ca="1" si="6"/>
        <v>0.70009311936515306</v>
      </c>
      <c r="AA58" s="8">
        <v>1</v>
      </c>
      <c r="AB58" s="49">
        <v>0</v>
      </c>
      <c r="AD58" s="50">
        <f t="shared" ca="1" si="7"/>
        <v>0.3755907458476675</v>
      </c>
      <c r="AE58" s="8">
        <v>1</v>
      </c>
      <c r="AF58" s="49">
        <v>0</v>
      </c>
      <c r="AH58" s="50">
        <f t="shared" ca="1" si="8"/>
        <v>0.27770981480227142</v>
      </c>
      <c r="AI58" s="8">
        <v>1</v>
      </c>
      <c r="AJ58" s="49">
        <v>0</v>
      </c>
      <c r="AL58" s="50">
        <f t="shared" ca="1" si="9"/>
        <v>0.24383333602031099</v>
      </c>
      <c r="AM58" s="8">
        <v>1</v>
      </c>
      <c r="AN58" s="49">
        <v>0</v>
      </c>
      <c r="AP58" s="50">
        <f t="shared" ca="1" si="10"/>
        <v>0.93245984606249077</v>
      </c>
      <c r="AQ58" s="8">
        <v>1</v>
      </c>
      <c r="AR58" s="49">
        <v>0</v>
      </c>
      <c r="AT58" s="50">
        <f t="shared" ca="1" si="11"/>
        <v>0.33974147859609494</v>
      </c>
      <c r="AU58" s="8">
        <v>1</v>
      </c>
      <c r="AV58" s="49">
        <v>0</v>
      </c>
      <c r="AX58" s="50">
        <f t="shared" ca="1" si="12"/>
        <v>0.17145261679722423</v>
      </c>
      <c r="AY58" s="8">
        <v>1</v>
      </c>
      <c r="AZ58" s="49">
        <v>0</v>
      </c>
      <c r="BB58" s="50">
        <f t="shared" ca="1" si="13"/>
        <v>0.50483027304717965</v>
      </c>
      <c r="BC58" s="8">
        <v>1</v>
      </c>
      <c r="BD58" s="49">
        <v>0</v>
      </c>
      <c r="BF58" s="50">
        <f t="shared" ca="1" si="14"/>
        <v>8.5756500461124818E-2</v>
      </c>
      <c r="BG58" s="8">
        <v>1</v>
      </c>
      <c r="BH58" s="49">
        <v>0</v>
      </c>
      <c r="BJ58" s="50">
        <f t="shared" ca="1" si="15"/>
        <v>0.54579115897959096</v>
      </c>
      <c r="BK58" s="8">
        <v>1</v>
      </c>
      <c r="BL58" s="49">
        <v>0</v>
      </c>
      <c r="BN58" s="50">
        <f t="shared" ca="1" si="16"/>
        <v>0.63327415880755333</v>
      </c>
      <c r="BO58" s="8">
        <v>1</v>
      </c>
      <c r="BP58" s="49">
        <v>0</v>
      </c>
      <c r="BR58" s="50">
        <f t="shared" ca="1" si="17"/>
        <v>0.14202364866711059</v>
      </c>
      <c r="BS58" s="8">
        <v>1</v>
      </c>
      <c r="BT58" s="49">
        <v>0</v>
      </c>
    </row>
    <row r="59" spans="1:72" x14ac:dyDescent="0.2">
      <c r="A59" s="22">
        <v>44606</v>
      </c>
      <c r="B59" s="50">
        <f t="shared" ca="1" si="0"/>
        <v>0.50334268564932705</v>
      </c>
      <c r="C59" s="8">
        <v>1</v>
      </c>
      <c r="D59" s="49">
        <v>0</v>
      </c>
      <c r="F59" s="50">
        <f t="shared" ca="1" si="1"/>
        <v>0.1758603340197703</v>
      </c>
      <c r="G59" s="8">
        <v>1</v>
      </c>
      <c r="H59" s="49">
        <v>0</v>
      </c>
      <c r="J59" s="50">
        <f t="shared" ca="1" si="2"/>
        <v>0.89318949856055363</v>
      </c>
      <c r="K59" s="8">
        <v>1</v>
      </c>
      <c r="L59" s="49">
        <v>0</v>
      </c>
      <c r="N59" s="50">
        <f t="shared" ca="1" si="3"/>
        <v>0.52839324025743639</v>
      </c>
      <c r="O59" s="8">
        <v>1</v>
      </c>
      <c r="P59" s="49">
        <v>0</v>
      </c>
      <c r="R59" s="50">
        <f t="shared" ca="1" si="4"/>
        <v>0.61603773002525442</v>
      </c>
      <c r="S59" s="8">
        <v>1</v>
      </c>
      <c r="T59" s="49">
        <v>0</v>
      </c>
      <c r="V59" s="50">
        <f t="shared" ca="1" si="5"/>
        <v>0.98825885695180327</v>
      </c>
      <c r="W59" s="8">
        <v>1</v>
      </c>
      <c r="X59" s="49">
        <v>0</v>
      </c>
      <c r="Z59" s="50">
        <f t="shared" ca="1" si="6"/>
        <v>0.74265947354233697</v>
      </c>
      <c r="AA59" s="8">
        <v>1</v>
      </c>
      <c r="AB59" s="49">
        <v>0</v>
      </c>
      <c r="AD59" s="50">
        <f t="shared" ca="1" si="7"/>
        <v>0.80527514769033903</v>
      </c>
      <c r="AE59" s="8">
        <v>1</v>
      </c>
      <c r="AF59" s="49">
        <v>0</v>
      </c>
      <c r="AH59" s="50">
        <f t="shared" ca="1" si="8"/>
        <v>0.99749177691217372</v>
      </c>
      <c r="AI59" s="8">
        <v>1</v>
      </c>
      <c r="AJ59" s="49">
        <v>0</v>
      </c>
      <c r="AL59" s="50">
        <f t="shared" ca="1" si="9"/>
        <v>0.13146228840704666</v>
      </c>
      <c r="AM59" s="8">
        <v>1</v>
      </c>
      <c r="AN59" s="49">
        <v>0</v>
      </c>
      <c r="AP59" s="50">
        <f t="shared" ca="1" si="10"/>
        <v>0.33084573939361028</v>
      </c>
      <c r="AQ59" s="8">
        <v>1</v>
      </c>
      <c r="AR59" s="49">
        <v>0</v>
      </c>
      <c r="AT59" s="50">
        <f t="shared" ca="1" si="11"/>
        <v>0.41532613774413063</v>
      </c>
      <c r="AU59" s="8">
        <v>1</v>
      </c>
      <c r="AV59" s="49">
        <v>0</v>
      </c>
      <c r="AX59" s="50">
        <f t="shared" ca="1" si="12"/>
        <v>0.46461674152950705</v>
      </c>
      <c r="AY59" s="8">
        <v>1</v>
      </c>
      <c r="AZ59" s="49">
        <v>0</v>
      </c>
      <c r="BB59" s="50">
        <f t="shared" ca="1" si="13"/>
        <v>0.47813006691897519</v>
      </c>
      <c r="BC59" s="8">
        <v>1</v>
      </c>
      <c r="BD59" s="49">
        <v>0</v>
      </c>
      <c r="BF59" s="50">
        <f t="shared" ca="1" si="14"/>
        <v>0.94884712812230276</v>
      </c>
      <c r="BG59" s="8">
        <v>1</v>
      </c>
      <c r="BH59" s="49">
        <v>0</v>
      </c>
      <c r="BJ59" s="50">
        <f t="shared" ca="1" si="15"/>
        <v>0.72856317324504194</v>
      </c>
      <c r="BK59" s="8">
        <v>1</v>
      </c>
      <c r="BL59" s="49">
        <v>0</v>
      </c>
      <c r="BN59" s="50">
        <f t="shared" ca="1" si="16"/>
        <v>0.52563307577412799</v>
      </c>
      <c r="BO59" s="8">
        <v>1</v>
      </c>
      <c r="BP59" s="49">
        <v>0</v>
      </c>
      <c r="BR59" s="50">
        <f t="shared" ca="1" si="17"/>
        <v>0.52790241394977588</v>
      </c>
      <c r="BS59" s="8">
        <v>1</v>
      </c>
      <c r="BT59" s="49">
        <v>0</v>
      </c>
    </row>
    <row r="60" spans="1:72" x14ac:dyDescent="0.2">
      <c r="A60" s="22">
        <v>44607</v>
      </c>
      <c r="B60" s="50">
        <f t="shared" ca="1" si="0"/>
        <v>0.76256254361455278</v>
      </c>
      <c r="C60" s="8">
        <v>1</v>
      </c>
      <c r="D60" s="49">
        <f t="shared" ref="D60:D113" ca="1" si="53">ROUNDUP(_xlfn.NORM.INV(B60,C$4*C60,C$6*C60),0)</f>
        <v>115</v>
      </c>
      <c r="F60" s="50">
        <f t="shared" ca="1" si="1"/>
        <v>3.7073790569083442E-2</v>
      </c>
      <c r="G60" s="8">
        <v>1</v>
      </c>
      <c r="H60" s="49">
        <f t="shared" ref="H60:H113" ca="1" si="54">ROUNDUP(_xlfn.NORM.INV(F60,G$4*G60,G$6*G60),0)</f>
        <v>113</v>
      </c>
      <c r="J60" s="50">
        <f t="shared" ca="1" si="2"/>
        <v>0.18799236032601885</v>
      </c>
      <c r="K60" s="8">
        <v>1</v>
      </c>
      <c r="L60" s="49">
        <f t="shared" ref="L60:L113" ca="1" si="55">ROUNDUP(_xlfn.NORM.INV(J60,K$4*K60,K$6*K60),0)</f>
        <v>115</v>
      </c>
      <c r="N60" s="50">
        <f t="shared" ca="1" si="3"/>
        <v>0.57927634799589001</v>
      </c>
      <c r="O60" s="8">
        <v>1</v>
      </c>
      <c r="P60" s="49">
        <f t="shared" ref="P60:P113" ca="1" si="56">ROUNDUP(_xlfn.NORM.INV(N60,O$4*O60,O$6*O60),0)</f>
        <v>242</v>
      </c>
      <c r="R60" s="50">
        <f t="shared" ca="1" si="4"/>
        <v>0.80807243336070655</v>
      </c>
      <c r="S60" s="8">
        <v>1</v>
      </c>
      <c r="T60" s="49">
        <f t="shared" ref="T60:T113" ca="1" si="57">ROUNDUP(_xlfn.NORM.INV(R60,S$4*S60,S$6*S60),0)</f>
        <v>171</v>
      </c>
      <c r="V60" s="50">
        <f t="shared" ca="1" si="5"/>
        <v>0.8840667387799459</v>
      </c>
      <c r="W60" s="8">
        <v>1</v>
      </c>
      <c r="X60" s="49">
        <f t="shared" ref="X60:X113" ca="1" si="58">ROUNDUP(_xlfn.NORM.INV(V60,W$4*W60,W$6*W60),0)</f>
        <v>297</v>
      </c>
      <c r="Z60" s="50">
        <f t="shared" ca="1" si="6"/>
        <v>0.36893376802884081</v>
      </c>
      <c r="AA60" s="8">
        <v>1</v>
      </c>
      <c r="AB60" s="49">
        <f t="shared" ref="AB60:AB113" ca="1" si="59">ROUNDUP(_xlfn.NORM.INV(Z60,AA$4*AA60,AA$6*AA60),0)</f>
        <v>246</v>
      </c>
      <c r="AD60" s="50">
        <f t="shared" ca="1" si="7"/>
        <v>6.6214281044460366E-2</v>
      </c>
      <c r="AE60" s="8">
        <v>1</v>
      </c>
      <c r="AF60" s="49">
        <f t="shared" ref="AF60:AF113" ca="1" si="60">ROUNDUP(_xlfn.NORM.INV(AD60,AE$4*AE60,AE$6*AE60),0)</f>
        <v>196</v>
      </c>
      <c r="AH60" s="50">
        <f t="shared" ca="1" si="8"/>
        <v>0.65319096505544816</v>
      </c>
      <c r="AI60" s="8">
        <v>1</v>
      </c>
      <c r="AJ60" s="49">
        <f t="shared" ref="AJ60:AJ113" ca="1" si="61">ROUNDUP(_xlfn.NORM.INV(AH60,AI$4*AI60,AI$6*AI60),0)</f>
        <v>199</v>
      </c>
      <c r="AL60" s="50">
        <f t="shared" ca="1" si="9"/>
        <v>0.81609077905772387</v>
      </c>
      <c r="AM60" s="8">
        <v>1</v>
      </c>
      <c r="AN60" s="49">
        <f t="shared" ref="AN60:AN113" ca="1" si="62">ROUNDUP(_xlfn.NORM.INV(AL60,AM$4*AM60,AM$6*AM60),0)</f>
        <v>183</v>
      </c>
      <c r="AP60" s="50">
        <f t="shared" ca="1" si="10"/>
        <v>0.87159182724176487</v>
      </c>
      <c r="AQ60" s="8">
        <v>1</v>
      </c>
      <c r="AR60" s="49">
        <f t="shared" ref="AR60:AR113" ca="1" si="63">ROUNDUP(_xlfn.NORM.INV(AP60,AQ$4*AQ60,AQ$6*AQ60),0)</f>
        <v>283</v>
      </c>
      <c r="AT60" s="50">
        <f t="shared" ca="1" si="11"/>
        <v>0.15697208997130163</v>
      </c>
      <c r="AU60" s="8">
        <v>1</v>
      </c>
      <c r="AV60" s="49">
        <f t="shared" ref="AV60:AV113" ca="1" si="64">ROUNDUP(_xlfn.NORM.INV(AT60,AU$4*AU60,AU$6*AU60),0)</f>
        <v>141</v>
      </c>
      <c r="AX60" s="50">
        <f t="shared" ca="1" si="12"/>
        <v>0.16819360424975061</v>
      </c>
      <c r="AY60" s="8">
        <v>1</v>
      </c>
      <c r="AZ60" s="49">
        <f t="shared" ref="AZ60:AZ113" ca="1" si="65">ROUNDUP(_xlfn.NORM.INV(AX60,AY$4*AY60,AY$6*AY60),0)</f>
        <v>134</v>
      </c>
      <c r="BB60" s="50">
        <f t="shared" ca="1" si="13"/>
        <v>0.76071367638550491</v>
      </c>
      <c r="BC60" s="8">
        <v>1</v>
      </c>
      <c r="BD60" s="49">
        <f t="shared" ref="BD60:BD113" ca="1" si="66">ROUNDUP(_xlfn.NORM.INV(BB60,BC$4*BC60,BC$6*BC60),0)</f>
        <v>190</v>
      </c>
      <c r="BF60" s="50">
        <f t="shared" ca="1" si="14"/>
        <v>9.8588566759554075E-2</v>
      </c>
      <c r="BG60" s="8">
        <v>1</v>
      </c>
      <c r="BH60" s="49">
        <f t="shared" ref="BH60:BH113" ca="1" si="67">ROUNDUP(_xlfn.NORM.INV(BF60,BG$4*BG60,BG$6*BG60),0)</f>
        <v>108</v>
      </c>
      <c r="BJ60" s="50">
        <f t="shared" ca="1" si="15"/>
        <v>0.25561071796355095</v>
      </c>
      <c r="BK60" s="8">
        <v>1</v>
      </c>
      <c r="BL60" s="49">
        <f t="shared" ref="BL60:BL113" ca="1" si="68">ROUNDUP(_xlfn.NORM.INV(BJ60,BK$4*BK60,BK$6*BK60),0)</f>
        <v>109</v>
      </c>
      <c r="BN60" s="50">
        <f t="shared" ca="1" si="16"/>
        <v>0.4033852496853858</v>
      </c>
      <c r="BO60" s="8">
        <v>1</v>
      </c>
      <c r="BP60" s="49">
        <f t="shared" ref="BP60:BP113" ca="1" si="69">ROUNDUP(_xlfn.NORM.INV(BN60,BO$4*BO60,BO$6*BO60),0)</f>
        <v>163</v>
      </c>
      <c r="BR60" s="50">
        <f t="shared" ca="1" si="17"/>
        <v>0.97908130390552151</v>
      </c>
      <c r="BS60" s="8">
        <v>1</v>
      </c>
      <c r="BT60" s="49">
        <f t="shared" ref="BT60:BT113" ca="1" si="70">ROUNDUP(_xlfn.NORM.INV(BR60,BS$4*BS60,BS$6*BS60),0)</f>
        <v>284</v>
      </c>
    </row>
    <row r="61" spans="1:72" x14ac:dyDescent="0.2">
      <c r="A61" s="22">
        <v>44608</v>
      </c>
      <c r="B61" s="50">
        <f t="shared" ca="1" si="0"/>
        <v>0.61009674882733367</v>
      </c>
      <c r="C61" s="8">
        <v>1</v>
      </c>
      <c r="D61" s="49">
        <f t="shared" ca="1" si="53"/>
        <v>106</v>
      </c>
      <c r="F61" s="50">
        <f t="shared" ca="1" si="1"/>
        <v>0.58244803582372617</v>
      </c>
      <c r="G61" s="8">
        <v>1</v>
      </c>
      <c r="H61" s="49">
        <f t="shared" ca="1" si="54"/>
        <v>228</v>
      </c>
      <c r="J61" s="50">
        <f t="shared" ca="1" si="2"/>
        <v>0.2920186886439744</v>
      </c>
      <c r="K61" s="8">
        <v>1</v>
      </c>
      <c r="L61" s="49">
        <f t="shared" ca="1" si="55"/>
        <v>129</v>
      </c>
      <c r="N61" s="50">
        <f t="shared" ca="1" si="3"/>
        <v>0.23926598186847881</v>
      </c>
      <c r="O61" s="8">
        <v>1</v>
      </c>
      <c r="P61" s="49">
        <f t="shared" ca="1" si="56"/>
        <v>187</v>
      </c>
      <c r="R61" s="50">
        <f t="shared" ca="1" si="4"/>
        <v>0.32423881746538308</v>
      </c>
      <c r="S61" s="8">
        <v>1</v>
      </c>
      <c r="T61" s="49">
        <f t="shared" ca="1" si="57"/>
        <v>122</v>
      </c>
      <c r="V61" s="50">
        <f t="shared" ca="1" si="5"/>
        <v>0.4396670986129283</v>
      </c>
      <c r="W61" s="8">
        <v>1</v>
      </c>
      <c r="X61" s="49">
        <f t="shared" ca="1" si="58"/>
        <v>216</v>
      </c>
      <c r="Z61" s="50">
        <f t="shared" ca="1" si="6"/>
        <v>8.611627744140804E-2</v>
      </c>
      <c r="AA61" s="8">
        <v>1</v>
      </c>
      <c r="AB61" s="49">
        <f t="shared" ca="1" si="59"/>
        <v>172</v>
      </c>
      <c r="AD61" s="50">
        <f t="shared" ca="1" si="7"/>
        <v>1.4471574365395812E-2</v>
      </c>
      <c r="AE61" s="8">
        <v>1</v>
      </c>
      <c r="AF61" s="49">
        <f t="shared" ca="1" si="60"/>
        <v>137</v>
      </c>
      <c r="AH61" s="50">
        <f t="shared" ca="1" si="8"/>
        <v>0.57275500369966326</v>
      </c>
      <c r="AI61" s="8">
        <v>1</v>
      </c>
      <c r="AJ61" s="49">
        <f t="shared" ca="1" si="61"/>
        <v>189</v>
      </c>
      <c r="AL61" s="50">
        <f t="shared" ca="1" si="9"/>
        <v>0.99472838787310824</v>
      </c>
      <c r="AM61" s="8">
        <v>1</v>
      </c>
      <c r="AN61" s="49">
        <f t="shared" ca="1" si="62"/>
        <v>248</v>
      </c>
      <c r="AP61" s="50">
        <f t="shared" ca="1" si="10"/>
        <v>0.12889994577450414</v>
      </c>
      <c r="AQ61" s="8">
        <v>1</v>
      </c>
      <c r="AR61" s="49">
        <f t="shared" ca="1" si="63"/>
        <v>152</v>
      </c>
      <c r="AT61" s="50">
        <f t="shared" ca="1" si="11"/>
        <v>0.41443186697984202</v>
      </c>
      <c r="AU61" s="8">
        <v>1</v>
      </c>
      <c r="AV61" s="49">
        <f t="shared" ca="1" si="64"/>
        <v>181</v>
      </c>
      <c r="AX61" s="50">
        <f t="shared" ca="1" si="12"/>
        <v>0.43083250045956656</v>
      </c>
      <c r="AY61" s="8">
        <v>1</v>
      </c>
      <c r="AZ61" s="49">
        <f t="shared" ca="1" si="65"/>
        <v>172</v>
      </c>
      <c r="BB61" s="50">
        <f t="shared" ca="1" si="13"/>
        <v>0.3923049319681835</v>
      </c>
      <c r="BC61" s="8">
        <v>1</v>
      </c>
      <c r="BD61" s="49">
        <f t="shared" ca="1" si="66"/>
        <v>148</v>
      </c>
      <c r="BF61" s="50">
        <f t="shared" ca="1" si="14"/>
        <v>0.23161002580132639</v>
      </c>
      <c r="BG61" s="8">
        <v>1</v>
      </c>
      <c r="BH61" s="49">
        <f t="shared" ca="1" si="67"/>
        <v>133</v>
      </c>
      <c r="BJ61" s="50">
        <f t="shared" ca="1" si="15"/>
        <v>0.87605444293111812</v>
      </c>
      <c r="BK61" s="8">
        <v>1</v>
      </c>
      <c r="BL61" s="49">
        <f t="shared" ca="1" si="68"/>
        <v>172</v>
      </c>
      <c r="BN61" s="50">
        <f t="shared" ca="1" si="16"/>
        <v>0.50314665953828908</v>
      </c>
      <c r="BO61" s="8">
        <v>1</v>
      </c>
      <c r="BP61" s="49">
        <f t="shared" ca="1" si="69"/>
        <v>174</v>
      </c>
      <c r="BR61" s="50">
        <f t="shared" ca="1" si="17"/>
        <v>0.60302934098660665</v>
      </c>
      <c r="BS61" s="8">
        <v>1</v>
      </c>
      <c r="BT61" s="49">
        <f t="shared" ca="1" si="70"/>
        <v>197</v>
      </c>
    </row>
    <row r="62" spans="1:72" x14ac:dyDescent="0.2">
      <c r="A62" s="22">
        <v>44609</v>
      </c>
      <c r="B62" s="50">
        <f t="shared" ca="1" si="0"/>
        <v>0.54534124726048971</v>
      </c>
      <c r="C62" s="8">
        <v>1</v>
      </c>
      <c r="D62" s="49">
        <f t="shared" ca="1" si="53"/>
        <v>103</v>
      </c>
      <c r="F62" s="50">
        <f t="shared" ca="1" si="1"/>
        <v>0.40770134997933238</v>
      </c>
      <c r="G62" s="8">
        <v>1</v>
      </c>
      <c r="H62" s="49">
        <f t="shared" ca="1" si="54"/>
        <v>202</v>
      </c>
      <c r="J62" s="50">
        <f t="shared" ca="1" si="2"/>
        <v>0.65388411755029208</v>
      </c>
      <c r="K62" s="8">
        <v>1</v>
      </c>
      <c r="L62" s="49">
        <f t="shared" ca="1" si="55"/>
        <v>166</v>
      </c>
      <c r="N62" s="50">
        <f t="shared" ca="1" si="3"/>
        <v>0.27726114106080246</v>
      </c>
      <c r="O62" s="8">
        <v>1</v>
      </c>
      <c r="P62" s="49">
        <f t="shared" ca="1" si="56"/>
        <v>194</v>
      </c>
      <c r="R62" s="50">
        <f t="shared" ca="1" si="4"/>
        <v>0.66016915543483101</v>
      </c>
      <c r="S62" s="8">
        <v>1</v>
      </c>
      <c r="T62" s="49">
        <f t="shared" ca="1" si="57"/>
        <v>155</v>
      </c>
      <c r="V62" s="50">
        <f t="shared" ca="1" si="5"/>
        <v>0.89248850796301937</v>
      </c>
      <c r="W62" s="8">
        <v>1</v>
      </c>
      <c r="X62" s="49">
        <f t="shared" ca="1" si="58"/>
        <v>300</v>
      </c>
      <c r="Z62" s="50">
        <f t="shared" ca="1" si="6"/>
        <v>0.69923847544496942</v>
      </c>
      <c r="AA62" s="8">
        <v>1</v>
      </c>
      <c r="AB62" s="49">
        <f t="shared" ca="1" si="59"/>
        <v>308</v>
      </c>
      <c r="AD62" s="50">
        <f t="shared" ca="1" si="7"/>
        <v>0.39428060989836355</v>
      </c>
      <c r="AE62" s="8">
        <v>1</v>
      </c>
      <c r="AF62" s="49">
        <f t="shared" ca="1" si="60"/>
        <v>304</v>
      </c>
      <c r="AH62" s="50">
        <f t="shared" ca="1" si="8"/>
        <v>0.29330462140173608</v>
      </c>
      <c r="AI62" s="8">
        <v>1</v>
      </c>
      <c r="AJ62" s="49">
        <f t="shared" ca="1" si="61"/>
        <v>154</v>
      </c>
      <c r="AL62" s="50">
        <f t="shared" ca="1" si="9"/>
        <v>0.57972382064000794</v>
      </c>
      <c r="AM62" s="8">
        <v>1</v>
      </c>
      <c r="AN62" s="49">
        <f t="shared" ca="1" si="62"/>
        <v>156</v>
      </c>
      <c r="AP62" s="50">
        <f t="shared" ca="1" si="10"/>
        <v>0.67953592229088722</v>
      </c>
      <c r="AQ62" s="8">
        <v>1</v>
      </c>
      <c r="AR62" s="49">
        <f t="shared" ca="1" si="63"/>
        <v>244</v>
      </c>
      <c r="AT62" s="50">
        <f t="shared" ca="1" si="11"/>
        <v>0.58594599425570326</v>
      </c>
      <c r="AU62" s="8">
        <v>1</v>
      </c>
      <c r="AV62" s="49">
        <f t="shared" ca="1" si="64"/>
        <v>203</v>
      </c>
      <c r="AX62" s="50">
        <f t="shared" ca="1" si="12"/>
        <v>0.62503079234073922</v>
      </c>
      <c r="AY62" s="8">
        <v>1</v>
      </c>
      <c r="AZ62" s="49">
        <f t="shared" ca="1" si="65"/>
        <v>196</v>
      </c>
      <c r="BB62" s="50">
        <f t="shared" ca="1" si="13"/>
        <v>0.63434077083699769</v>
      </c>
      <c r="BC62" s="8">
        <v>1</v>
      </c>
      <c r="BD62" s="49">
        <f t="shared" ca="1" si="66"/>
        <v>175</v>
      </c>
      <c r="BF62" s="50">
        <f t="shared" ca="1" si="14"/>
        <v>0.2913851828690216</v>
      </c>
      <c r="BG62" s="8">
        <v>1</v>
      </c>
      <c r="BH62" s="49">
        <f t="shared" ca="1" si="67"/>
        <v>141</v>
      </c>
      <c r="BJ62" s="50">
        <f t="shared" ca="1" si="15"/>
        <v>0.3183126967070975</v>
      </c>
      <c r="BK62" s="8">
        <v>1</v>
      </c>
      <c r="BL62" s="49">
        <f t="shared" ca="1" si="68"/>
        <v>115</v>
      </c>
      <c r="BN62" s="50">
        <f t="shared" ca="1" si="16"/>
        <v>0.27230715929237836</v>
      </c>
      <c r="BO62" s="8">
        <v>1</v>
      </c>
      <c r="BP62" s="49">
        <f t="shared" ca="1" si="69"/>
        <v>146</v>
      </c>
      <c r="BR62" s="50">
        <f t="shared" ca="1" si="17"/>
        <v>0.97470886372895016</v>
      </c>
      <c r="BS62" s="8">
        <v>1</v>
      </c>
      <c r="BT62" s="49">
        <f t="shared" ca="1" si="70"/>
        <v>280</v>
      </c>
    </row>
    <row r="63" spans="1:72" x14ac:dyDescent="0.2">
      <c r="A63" s="22">
        <v>44610</v>
      </c>
      <c r="B63" s="50">
        <f t="shared" ca="1" si="0"/>
        <v>0.6545528549339098</v>
      </c>
      <c r="C63" s="8">
        <v>1</v>
      </c>
      <c r="D63" s="49">
        <f t="shared" ca="1" si="53"/>
        <v>108</v>
      </c>
      <c r="F63" s="50">
        <f t="shared" ca="1" si="1"/>
        <v>0.40007453043888563</v>
      </c>
      <c r="G63" s="8">
        <v>1</v>
      </c>
      <c r="H63" s="49">
        <f t="shared" ca="1" si="54"/>
        <v>201</v>
      </c>
      <c r="J63" s="50">
        <f t="shared" ca="1" si="2"/>
        <v>7.5337811717419489E-2</v>
      </c>
      <c r="K63" s="8">
        <v>1</v>
      </c>
      <c r="L63" s="49">
        <f t="shared" ca="1" si="55"/>
        <v>93</v>
      </c>
      <c r="N63" s="50">
        <f t="shared" ca="1" si="3"/>
        <v>0.47873200225818935</v>
      </c>
      <c r="O63" s="8">
        <v>1</v>
      </c>
      <c r="P63" s="49">
        <f t="shared" ca="1" si="56"/>
        <v>227</v>
      </c>
      <c r="R63" s="50">
        <f t="shared" ca="1" si="4"/>
        <v>0.22017794322999917</v>
      </c>
      <c r="S63" s="8">
        <v>1</v>
      </c>
      <c r="T63" s="49">
        <f t="shared" ca="1" si="57"/>
        <v>111</v>
      </c>
      <c r="V63" s="50">
        <f t="shared" ca="1" si="5"/>
        <v>0.9925646134387901</v>
      </c>
      <c r="W63" s="8">
        <v>1</v>
      </c>
      <c r="X63" s="49">
        <f t="shared" ca="1" si="58"/>
        <v>372</v>
      </c>
      <c r="Z63" s="50">
        <f t="shared" ca="1" si="6"/>
        <v>0.24725063161207894</v>
      </c>
      <c r="AA63" s="8">
        <v>1</v>
      </c>
      <c r="AB63" s="49">
        <f t="shared" ca="1" si="59"/>
        <v>221</v>
      </c>
      <c r="AD63" s="50">
        <f t="shared" ca="1" si="7"/>
        <v>0.24467746613198349</v>
      </c>
      <c r="AE63" s="8">
        <v>1</v>
      </c>
      <c r="AF63" s="49">
        <f t="shared" ca="1" si="60"/>
        <v>267</v>
      </c>
      <c r="AH63" s="50">
        <f t="shared" ca="1" si="8"/>
        <v>0.30363451523637663</v>
      </c>
      <c r="AI63" s="8">
        <v>1</v>
      </c>
      <c r="AJ63" s="49">
        <f t="shared" ca="1" si="61"/>
        <v>156</v>
      </c>
      <c r="AL63" s="50">
        <f t="shared" ca="1" si="9"/>
        <v>0.91804899853624045</v>
      </c>
      <c r="AM63" s="8">
        <v>1</v>
      </c>
      <c r="AN63" s="49">
        <f t="shared" ca="1" si="62"/>
        <v>202</v>
      </c>
      <c r="AP63" s="50">
        <f t="shared" ca="1" si="10"/>
        <v>0.5934094048090045</v>
      </c>
      <c r="AQ63" s="8">
        <v>1</v>
      </c>
      <c r="AR63" s="49">
        <f t="shared" ca="1" si="63"/>
        <v>231</v>
      </c>
      <c r="AT63" s="50">
        <f t="shared" ca="1" si="11"/>
        <v>0.37358712305988129</v>
      </c>
      <c r="AU63" s="8">
        <v>1</v>
      </c>
      <c r="AV63" s="49">
        <f t="shared" ca="1" si="64"/>
        <v>176</v>
      </c>
      <c r="AX63" s="50">
        <f t="shared" ca="1" si="12"/>
        <v>0.83595048832824104</v>
      </c>
      <c r="AY63" s="8">
        <v>1</v>
      </c>
      <c r="AZ63" s="49">
        <f t="shared" ca="1" si="65"/>
        <v>227</v>
      </c>
      <c r="BB63" s="50">
        <f t="shared" ca="1" si="13"/>
        <v>0.27153422436587327</v>
      </c>
      <c r="BC63" s="8">
        <v>1</v>
      </c>
      <c r="BD63" s="49">
        <f t="shared" ca="1" si="66"/>
        <v>134</v>
      </c>
      <c r="BF63" s="50">
        <f t="shared" ca="1" si="14"/>
        <v>3.2527866733341515E-2</v>
      </c>
      <c r="BG63" s="8">
        <v>1</v>
      </c>
      <c r="BH63" s="49">
        <f t="shared" ca="1" si="67"/>
        <v>84</v>
      </c>
      <c r="BJ63" s="50">
        <f t="shared" ca="1" si="15"/>
        <v>0.14854566480716913</v>
      </c>
      <c r="BK63" s="8">
        <v>1</v>
      </c>
      <c r="BL63" s="49">
        <f t="shared" ca="1" si="68"/>
        <v>95</v>
      </c>
      <c r="BN63" s="50">
        <f t="shared" ca="1" si="16"/>
        <v>0.78870399302221594</v>
      </c>
      <c r="BO63" s="8">
        <v>1</v>
      </c>
      <c r="BP63" s="49">
        <f t="shared" ca="1" si="69"/>
        <v>211</v>
      </c>
      <c r="BR63" s="50">
        <f t="shared" ca="1" si="17"/>
        <v>0.94462147451498146</v>
      </c>
      <c r="BS63" s="8">
        <v>1</v>
      </c>
      <c r="BT63" s="49">
        <f t="shared" ca="1" si="70"/>
        <v>262</v>
      </c>
    </row>
    <row r="64" spans="1:72" x14ac:dyDescent="0.2">
      <c r="A64" s="22">
        <v>44611</v>
      </c>
      <c r="B64" s="50">
        <f t="shared" ca="1" si="0"/>
        <v>0.57706108871164663</v>
      </c>
      <c r="C64" s="8">
        <v>1</v>
      </c>
      <c r="D64" s="49">
        <f t="shared" ca="1" si="53"/>
        <v>104</v>
      </c>
      <c r="F64" s="50">
        <f t="shared" ca="1" si="1"/>
        <v>0.6000082601180915</v>
      </c>
      <c r="G64" s="8">
        <v>1</v>
      </c>
      <c r="H64" s="49">
        <f t="shared" ca="1" si="54"/>
        <v>230</v>
      </c>
      <c r="J64" s="50">
        <f t="shared" ca="1" si="2"/>
        <v>0.31938962704360463</v>
      </c>
      <c r="K64" s="8">
        <v>1</v>
      </c>
      <c r="L64" s="49">
        <f t="shared" ca="1" si="55"/>
        <v>132</v>
      </c>
      <c r="N64" s="50">
        <f t="shared" ca="1" si="3"/>
        <v>0.45256219174244694</v>
      </c>
      <c r="O64" s="8">
        <v>1</v>
      </c>
      <c r="P64" s="49">
        <f t="shared" ca="1" si="56"/>
        <v>223</v>
      </c>
      <c r="R64" s="50">
        <f t="shared" ca="1" si="4"/>
        <v>0.53746584270065734</v>
      </c>
      <c r="S64" s="8">
        <v>1</v>
      </c>
      <c r="T64" s="49">
        <f t="shared" ca="1" si="57"/>
        <v>143</v>
      </c>
      <c r="V64" s="50">
        <f t="shared" ca="1" si="5"/>
        <v>0.66875412181264782</v>
      </c>
      <c r="W64" s="8">
        <v>1</v>
      </c>
      <c r="X64" s="49">
        <f t="shared" ca="1" si="58"/>
        <v>252</v>
      </c>
      <c r="Z64" s="50">
        <f t="shared" ca="1" si="6"/>
        <v>0.73870046552165403</v>
      </c>
      <c r="AA64" s="8">
        <v>1</v>
      </c>
      <c r="AB64" s="49">
        <f t="shared" ca="1" si="59"/>
        <v>317</v>
      </c>
      <c r="AD64" s="50">
        <f t="shared" ca="1" si="7"/>
        <v>0.87105449570951754</v>
      </c>
      <c r="AE64" s="8">
        <v>1</v>
      </c>
      <c r="AF64" s="49">
        <f t="shared" ca="1" si="60"/>
        <v>426</v>
      </c>
      <c r="AH64" s="50">
        <f t="shared" ca="1" si="8"/>
        <v>0.79793270270736238</v>
      </c>
      <c r="AI64" s="8">
        <v>1</v>
      </c>
      <c r="AJ64" s="49">
        <f t="shared" ca="1" si="61"/>
        <v>220</v>
      </c>
      <c r="AL64" s="50">
        <f t="shared" ca="1" si="9"/>
        <v>0.28652159071570571</v>
      </c>
      <c r="AM64" s="8">
        <v>1</v>
      </c>
      <c r="AN64" s="49">
        <f t="shared" ca="1" si="62"/>
        <v>126</v>
      </c>
      <c r="AP64" s="50">
        <f t="shared" ca="1" si="10"/>
        <v>0.40219599882085166</v>
      </c>
      <c r="AQ64" s="8">
        <v>1</v>
      </c>
      <c r="AR64" s="49">
        <f t="shared" ca="1" si="63"/>
        <v>203</v>
      </c>
      <c r="AT64" s="50">
        <f t="shared" ca="1" si="11"/>
        <v>0.25262166851040457</v>
      </c>
      <c r="AU64" s="8">
        <v>1</v>
      </c>
      <c r="AV64" s="49">
        <f t="shared" ca="1" si="64"/>
        <v>158</v>
      </c>
      <c r="AX64" s="50">
        <f t="shared" ca="1" si="12"/>
        <v>0.91974395655968555</v>
      </c>
      <c r="AY64" s="8">
        <v>1</v>
      </c>
      <c r="AZ64" s="49">
        <f t="shared" ca="1" si="65"/>
        <v>248</v>
      </c>
      <c r="BB64" s="50">
        <f t="shared" ca="1" si="13"/>
        <v>0.77149168692760217</v>
      </c>
      <c r="BC64" s="8">
        <v>1</v>
      </c>
      <c r="BD64" s="49">
        <f t="shared" ca="1" si="66"/>
        <v>192</v>
      </c>
      <c r="BF64" s="50">
        <f t="shared" ca="1" si="14"/>
        <v>0.40951955580019583</v>
      </c>
      <c r="BG64" s="8">
        <v>1</v>
      </c>
      <c r="BH64" s="49">
        <f t="shared" ca="1" si="67"/>
        <v>155</v>
      </c>
      <c r="BJ64" s="50">
        <f t="shared" ca="1" si="15"/>
        <v>7.1399434841806997E-2</v>
      </c>
      <c r="BK64" s="8">
        <v>1</v>
      </c>
      <c r="BL64" s="49">
        <f t="shared" ca="1" si="68"/>
        <v>80</v>
      </c>
      <c r="BN64" s="50">
        <f t="shared" ca="1" si="16"/>
        <v>0.16268385819246289</v>
      </c>
      <c r="BO64" s="8">
        <v>1</v>
      </c>
      <c r="BP64" s="49">
        <f t="shared" ca="1" si="69"/>
        <v>129</v>
      </c>
      <c r="BR64" s="50">
        <f t="shared" ca="1" si="17"/>
        <v>0.77245894073946209</v>
      </c>
      <c r="BS64" s="8">
        <v>1</v>
      </c>
      <c r="BT64" s="49">
        <f t="shared" ca="1" si="70"/>
        <v>220</v>
      </c>
    </row>
    <row r="65" spans="1:72" x14ac:dyDescent="0.2">
      <c r="A65" s="22">
        <v>44612</v>
      </c>
      <c r="B65" s="50">
        <f t="shared" ca="1" si="0"/>
        <v>8.7289091103233796E-2</v>
      </c>
      <c r="C65" s="8">
        <v>1</v>
      </c>
      <c r="D65" s="49">
        <f t="shared" ca="1" si="53"/>
        <v>73</v>
      </c>
      <c r="F65" s="50">
        <f t="shared" ca="1" si="1"/>
        <v>0.1150904653066841</v>
      </c>
      <c r="G65" s="8">
        <v>1</v>
      </c>
      <c r="H65" s="49">
        <f t="shared" ca="1" si="54"/>
        <v>147</v>
      </c>
      <c r="J65" s="50">
        <f t="shared" ca="1" si="2"/>
        <v>0.94232819944214241</v>
      </c>
      <c r="K65" s="8">
        <v>1</v>
      </c>
      <c r="L65" s="49">
        <f t="shared" ca="1" si="55"/>
        <v>213</v>
      </c>
      <c r="N65" s="50">
        <f t="shared" ca="1" si="3"/>
        <v>3.9515268209685317E-2</v>
      </c>
      <c r="O65" s="8">
        <v>1</v>
      </c>
      <c r="P65" s="49">
        <f t="shared" ca="1" si="56"/>
        <v>122</v>
      </c>
      <c r="R65" s="50">
        <f t="shared" ca="1" si="4"/>
        <v>0.8753388861481024</v>
      </c>
      <c r="S65" s="8">
        <v>1</v>
      </c>
      <c r="T65" s="49">
        <f t="shared" ca="1" si="57"/>
        <v>182</v>
      </c>
      <c r="V65" s="50">
        <f t="shared" ca="1" si="5"/>
        <v>0.97901353537127134</v>
      </c>
      <c r="W65" s="8">
        <v>1</v>
      </c>
      <c r="X65" s="49">
        <f t="shared" ca="1" si="58"/>
        <v>348</v>
      </c>
      <c r="Z65" s="50">
        <f t="shared" ca="1" si="6"/>
        <v>9.3089002305676183E-2</v>
      </c>
      <c r="AA65" s="8">
        <v>1</v>
      </c>
      <c r="AB65" s="49">
        <f t="shared" ca="1" si="59"/>
        <v>175</v>
      </c>
      <c r="AD65" s="50">
        <f t="shared" ca="1" si="7"/>
        <v>0.30896553474206312</v>
      </c>
      <c r="AE65" s="8">
        <v>1</v>
      </c>
      <c r="AF65" s="49">
        <f t="shared" ca="1" si="60"/>
        <v>284</v>
      </c>
      <c r="AH65" s="50">
        <f t="shared" ca="1" si="8"/>
        <v>0.84491116976453062</v>
      </c>
      <c r="AI65" s="8">
        <v>1</v>
      </c>
      <c r="AJ65" s="49">
        <f t="shared" ca="1" si="61"/>
        <v>229</v>
      </c>
      <c r="AL65" s="50">
        <f t="shared" ca="1" si="9"/>
        <v>0.2076354940399443</v>
      </c>
      <c r="AM65" s="8">
        <v>1</v>
      </c>
      <c r="AN65" s="49">
        <f t="shared" ca="1" si="62"/>
        <v>116</v>
      </c>
      <c r="AP65" s="50">
        <f t="shared" ca="1" si="10"/>
        <v>0.42261825247296636</v>
      </c>
      <c r="AQ65" s="8">
        <v>1</v>
      </c>
      <c r="AR65" s="49">
        <f t="shared" ca="1" si="63"/>
        <v>206</v>
      </c>
      <c r="AT65" s="50">
        <f t="shared" ca="1" si="11"/>
        <v>0.4894130917959828</v>
      </c>
      <c r="AU65" s="8">
        <v>1</v>
      </c>
      <c r="AV65" s="49">
        <f t="shared" ca="1" si="64"/>
        <v>191</v>
      </c>
      <c r="AX65" s="50">
        <f t="shared" ca="1" si="12"/>
        <v>0.21795478916582789</v>
      </c>
      <c r="AY65" s="8">
        <v>1</v>
      </c>
      <c r="AZ65" s="49">
        <f t="shared" ca="1" si="65"/>
        <v>143</v>
      </c>
      <c r="BB65" s="50">
        <f t="shared" ca="1" si="13"/>
        <v>0.71491643643440328</v>
      </c>
      <c r="BC65" s="8">
        <v>1</v>
      </c>
      <c r="BD65" s="49">
        <f t="shared" ca="1" si="66"/>
        <v>184</v>
      </c>
      <c r="BF65" s="50">
        <f t="shared" ca="1" si="14"/>
        <v>0.34848729497143249</v>
      </c>
      <c r="BG65" s="8">
        <v>1</v>
      </c>
      <c r="BH65" s="49">
        <f t="shared" ca="1" si="67"/>
        <v>148</v>
      </c>
      <c r="BJ65" s="50">
        <f t="shared" ca="1" si="15"/>
        <v>0.20240379588234003</v>
      </c>
      <c r="BK65" s="8">
        <v>1</v>
      </c>
      <c r="BL65" s="49">
        <f t="shared" ca="1" si="68"/>
        <v>102</v>
      </c>
      <c r="BN65" s="50">
        <f t="shared" ca="1" si="16"/>
        <v>0.65887473418157627</v>
      </c>
      <c r="BO65" s="8">
        <v>1</v>
      </c>
      <c r="BP65" s="49">
        <f t="shared" ca="1" si="69"/>
        <v>193</v>
      </c>
      <c r="BR65" s="50">
        <f t="shared" ca="1" si="17"/>
        <v>0.60759652347476745</v>
      </c>
      <c r="BS65" s="8">
        <v>1</v>
      </c>
      <c r="BT65" s="49">
        <f t="shared" ca="1" si="70"/>
        <v>197</v>
      </c>
    </row>
    <row r="66" spans="1:72" x14ac:dyDescent="0.2">
      <c r="A66" s="22">
        <v>44613</v>
      </c>
      <c r="B66" s="50">
        <f t="shared" ca="1" si="0"/>
        <v>0.54229418813979835</v>
      </c>
      <c r="C66" s="8">
        <v>1</v>
      </c>
      <c r="D66" s="49">
        <f t="shared" ca="1" si="53"/>
        <v>103</v>
      </c>
      <c r="F66" s="50">
        <f t="shared" ca="1" si="1"/>
        <v>0.48693140307012706</v>
      </c>
      <c r="G66" s="8">
        <v>1</v>
      </c>
      <c r="H66" s="49">
        <f t="shared" ca="1" si="54"/>
        <v>214</v>
      </c>
      <c r="J66" s="50">
        <f t="shared" ca="1" si="2"/>
        <v>1.6016243599380808E-2</v>
      </c>
      <c r="K66" s="8">
        <v>1</v>
      </c>
      <c r="L66" s="49">
        <f t="shared" ca="1" si="55"/>
        <v>65</v>
      </c>
      <c r="N66" s="50">
        <f t="shared" ca="1" si="3"/>
        <v>6.4276610782089905E-2</v>
      </c>
      <c r="O66" s="8">
        <v>1</v>
      </c>
      <c r="P66" s="49">
        <f t="shared" ca="1" si="56"/>
        <v>137</v>
      </c>
      <c r="R66" s="50">
        <f t="shared" ca="1" si="4"/>
        <v>0.6537645666655798</v>
      </c>
      <c r="S66" s="8">
        <v>1</v>
      </c>
      <c r="T66" s="49">
        <f t="shared" ca="1" si="57"/>
        <v>154</v>
      </c>
      <c r="V66" s="50">
        <f t="shared" ca="1" si="5"/>
        <v>0.39255284708000171</v>
      </c>
      <c r="W66" s="8">
        <v>1</v>
      </c>
      <c r="X66" s="49">
        <f t="shared" ca="1" si="58"/>
        <v>209</v>
      </c>
      <c r="Z66" s="50">
        <f t="shared" ca="1" si="6"/>
        <v>0.73270205373968667</v>
      </c>
      <c r="AA66" s="8">
        <v>1</v>
      </c>
      <c r="AB66" s="49">
        <f t="shared" ca="1" si="59"/>
        <v>315</v>
      </c>
      <c r="AD66" s="50">
        <f t="shared" ca="1" si="7"/>
        <v>0.62987405327887702</v>
      </c>
      <c r="AE66" s="8">
        <v>1</v>
      </c>
      <c r="AF66" s="49">
        <f t="shared" ca="1" si="60"/>
        <v>356</v>
      </c>
      <c r="AH66" s="50">
        <f t="shared" ca="1" si="8"/>
        <v>7.7069131440897332E-2</v>
      </c>
      <c r="AI66" s="8">
        <v>1</v>
      </c>
      <c r="AJ66" s="49">
        <f t="shared" ca="1" si="61"/>
        <v>112</v>
      </c>
      <c r="AL66" s="50">
        <f t="shared" ca="1" si="9"/>
        <v>0.72252215162843769</v>
      </c>
      <c r="AM66" s="8">
        <v>1</v>
      </c>
      <c r="AN66" s="49">
        <f t="shared" ca="1" si="62"/>
        <v>171</v>
      </c>
      <c r="AP66" s="50">
        <f t="shared" ca="1" si="10"/>
        <v>0.13652350746458908</v>
      </c>
      <c r="AQ66" s="8">
        <v>1</v>
      </c>
      <c r="AR66" s="49">
        <f t="shared" ca="1" si="63"/>
        <v>154</v>
      </c>
      <c r="AT66" s="50">
        <f t="shared" ca="1" si="11"/>
        <v>0.94302079652255133</v>
      </c>
      <c r="AU66" s="8">
        <v>1</v>
      </c>
      <c r="AV66" s="49">
        <f t="shared" ca="1" si="64"/>
        <v>273</v>
      </c>
      <c r="AX66" s="50">
        <f t="shared" ca="1" si="12"/>
        <v>0.42510900956924591</v>
      </c>
      <c r="AY66" s="8">
        <v>1</v>
      </c>
      <c r="AZ66" s="49">
        <f t="shared" ca="1" si="65"/>
        <v>171</v>
      </c>
      <c r="BB66" s="50">
        <f t="shared" ca="1" si="13"/>
        <v>0.93350360496030849</v>
      </c>
      <c r="BC66" s="8">
        <v>1</v>
      </c>
      <c r="BD66" s="49">
        <f t="shared" ca="1" si="66"/>
        <v>224</v>
      </c>
      <c r="BF66" s="50">
        <f t="shared" ca="1" si="14"/>
        <v>0.9946736373689713</v>
      </c>
      <c r="BG66" s="8">
        <v>1</v>
      </c>
      <c r="BH66" s="49">
        <f t="shared" ca="1" si="67"/>
        <v>277</v>
      </c>
      <c r="BJ66" s="50">
        <f t="shared" ca="1" si="15"/>
        <v>0.15638715398008185</v>
      </c>
      <c r="BK66" s="8">
        <v>1</v>
      </c>
      <c r="BL66" s="49">
        <f t="shared" ca="1" si="68"/>
        <v>96</v>
      </c>
      <c r="BN66" s="50">
        <f t="shared" ca="1" si="16"/>
        <v>0.10489225692608972</v>
      </c>
      <c r="BO66" s="8">
        <v>1</v>
      </c>
      <c r="BP66" s="49">
        <f t="shared" ca="1" si="69"/>
        <v>116</v>
      </c>
      <c r="BR66" s="50">
        <f t="shared" ca="1" si="17"/>
        <v>0.23893575831921054</v>
      </c>
      <c r="BS66" s="8">
        <v>1</v>
      </c>
      <c r="BT66" s="49">
        <f t="shared" ca="1" si="70"/>
        <v>149</v>
      </c>
    </row>
    <row r="67" spans="1:72" x14ac:dyDescent="0.2">
      <c r="A67" s="22">
        <v>44614</v>
      </c>
      <c r="B67" s="50">
        <f t="shared" ca="1" si="0"/>
        <v>0.82894942395950677</v>
      </c>
      <c r="C67" s="8">
        <v>1</v>
      </c>
      <c r="D67" s="49">
        <f t="shared" ca="1" si="53"/>
        <v>120</v>
      </c>
      <c r="F67" s="50">
        <f t="shared" ca="1" si="1"/>
        <v>0.844183016549786</v>
      </c>
      <c r="G67" s="8">
        <v>1</v>
      </c>
      <c r="H67" s="49">
        <f t="shared" ca="1" si="54"/>
        <v>274</v>
      </c>
      <c r="J67" s="50">
        <f t="shared" ca="1" si="2"/>
        <v>0.72036664900735947</v>
      </c>
      <c r="K67" s="8">
        <v>1</v>
      </c>
      <c r="L67" s="49">
        <f t="shared" ca="1" si="55"/>
        <v>174</v>
      </c>
      <c r="N67" s="50">
        <f t="shared" ca="1" si="3"/>
        <v>0.75362461167857564</v>
      </c>
      <c r="O67" s="8">
        <v>1</v>
      </c>
      <c r="P67" s="49">
        <f t="shared" ca="1" si="56"/>
        <v>272</v>
      </c>
      <c r="R67" s="50">
        <f t="shared" ca="1" si="4"/>
        <v>0.77576743437990547</v>
      </c>
      <c r="S67" s="8">
        <v>1</v>
      </c>
      <c r="T67" s="49">
        <f t="shared" ca="1" si="57"/>
        <v>167</v>
      </c>
      <c r="V67" s="50">
        <f t="shared" ca="1" si="5"/>
        <v>0.13494100148391275</v>
      </c>
      <c r="W67" s="8">
        <v>1</v>
      </c>
      <c r="X67" s="49">
        <f t="shared" ca="1" si="58"/>
        <v>159</v>
      </c>
      <c r="Z67" s="50">
        <f t="shared" ca="1" si="6"/>
        <v>0.67970407349524387</v>
      </c>
      <c r="AA67" s="8">
        <v>1</v>
      </c>
      <c r="AB67" s="49">
        <f t="shared" ca="1" si="59"/>
        <v>304</v>
      </c>
      <c r="AD67" s="50">
        <f t="shared" ca="1" si="7"/>
        <v>0.71872788083024752</v>
      </c>
      <c r="AE67" s="8">
        <v>1</v>
      </c>
      <c r="AF67" s="49">
        <f t="shared" ca="1" si="60"/>
        <v>378</v>
      </c>
      <c r="AH67" s="50">
        <f t="shared" ca="1" si="8"/>
        <v>0.82852166938734961</v>
      </c>
      <c r="AI67" s="8">
        <v>1</v>
      </c>
      <c r="AJ67" s="49">
        <f t="shared" ca="1" si="61"/>
        <v>226</v>
      </c>
      <c r="AL67" s="50">
        <f t="shared" ca="1" si="9"/>
        <v>6.732024649967594E-2</v>
      </c>
      <c r="AM67" s="8">
        <v>1</v>
      </c>
      <c r="AN67" s="49">
        <f t="shared" ca="1" si="62"/>
        <v>89</v>
      </c>
      <c r="AP67" s="50">
        <f t="shared" ca="1" si="10"/>
        <v>0.14353455210342814</v>
      </c>
      <c r="AQ67" s="8">
        <v>1</v>
      </c>
      <c r="AR67" s="49">
        <f t="shared" ca="1" si="63"/>
        <v>156</v>
      </c>
      <c r="AT67" s="50">
        <f t="shared" ca="1" si="11"/>
        <v>0.6173107126746451</v>
      </c>
      <c r="AU67" s="8">
        <v>1</v>
      </c>
      <c r="AV67" s="49">
        <f t="shared" ca="1" si="64"/>
        <v>207</v>
      </c>
      <c r="AX67" s="50">
        <f t="shared" ca="1" si="12"/>
        <v>0.30565612587735258</v>
      </c>
      <c r="AY67" s="8">
        <v>1</v>
      </c>
      <c r="AZ67" s="49">
        <f t="shared" ca="1" si="65"/>
        <v>156</v>
      </c>
      <c r="BB67" s="50">
        <f t="shared" ca="1" si="13"/>
        <v>0.8203816703970116</v>
      </c>
      <c r="BC67" s="8">
        <v>1</v>
      </c>
      <c r="BD67" s="49">
        <f t="shared" ca="1" si="66"/>
        <v>199</v>
      </c>
      <c r="BF67" s="50">
        <f t="shared" ca="1" si="14"/>
        <v>0.95302444862245916</v>
      </c>
      <c r="BG67" s="8">
        <v>1</v>
      </c>
      <c r="BH67" s="49">
        <f t="shared" ca="1" si="67"/>
        <v>239</v>
      </c>
      <c r="BJ67" s="50">
        <f t="shared" ca="1" si="15"/>
        <v>0.24948986413502616</v>
      </c>
      <c r="BK67" s="8">
        <v>1</v>
      </c>
      <c r="BL67" s="49">
        <f t="shared" ca="1" si="68"/>
        <v>108</v>
      </c>
      <c r="BN67" s="50">
        <f t="shared" ca="1" si="16"/>
        <v>0.7131153084601356</v>
      </c>
      <c r="BO67" s="8">
        <v>1</v>
      </c>
      <c r="BP67" s="49">
        <f t="shared" ca="1" si="69"/>
        <v>200</v>
      </c>
      <c r="BR67" s="50">
        <f t="shared" ca="1" si="17"/>
        <v>0.26413371645500661</v>
      </c>
      <c r="BS67" s="8">
        <v>1</v>
      </c>
      <c r="BT67" s="49">
        <f t="shared" ca="1" si="70"/>
        <v>153</v>
      </c>
    </row>
    <row r="68" spans="1:72" x14ac:dyDescent="0.2">
      <c r="A68" s="22">
        <v>44615</v>
      </c>
      <c r="B68" s="50">
        <f t="shared" ca="1" si="0"/>
        <v>0.39830297558724259</v>
      </c>
      <c r="C68" s="8">
        <v>1</v>
      </c>
      <c r="D68" s="49">
        <f t="shared" ca="1" si="53"/>
        <v>95</v>
      </c>
      <c r="F68" s="50">
        <f t="shared" ca="1" si="1"/>
        <v>1.6712254972824359E-2</v>
      </c>
      <c r="G68" s="8">
        <v>1</v>
      </c>
      <c r="H68" s="49">
        <f t="shared" ca="1" si="54"/>
        <v>94</v>
      </c>
      <c r="J68" s="50">
        <f t="shared" ca="1" si="2"/>
        <v>2.8778341388098205E-2</v>
      </c>
      <c r="K68" s="8">
        <v>1</v>
      </c>
      <c r="L68" s="49">
        <f t="shared" ca="1" si="55"/>
        <v>75</v>
      </c>
      <c r="N68" s="50">
        <f t="shared" ca="1" si="3"/>
        <v>0.94673990545116715</v>
      </c>
      <c r="O68" s="8">
        <v>1</v>
      </c>
      <c r="P68" s="49">
        <f t="shared" ca="1" si="56"/>
        <v>329</v>
      </c>
      <c r="R68" s="50">
        <f t="shared" ca="1" si="4"/>
        <v>0.25957237664794208</v>
      </c>
      <c r="S68" s="8">
        <v>1</v>
      </c>
      <c r="T68" s="49">
        <f t="shared" ca="1" si="57"/>
        <v>115</v>
      </c>
      <c r="V68" s="50">
        <f t="shared" ca="1" si="5"/>
        <v>0.87801648468222115</v>
      </c>
      <c r="W68" s="8">
        <v>1</v>
      </c>
      <c r="X68" s="49">
        <f t="shared" ca="1" si="58"/>
        <v>295</v>
      </c>
      <c r="Z68" s="50">
        <f t="shared" ca="1" si="6"/>
        <v>0.12095803931766913</v>
      </c>
      <c r="AA68" s="8">
        <v>1</v>
      </c>
      <c r="AB68" s="49">
        <f t="shared" ca="1" si="59"/>
        <v>186</v>
      </c>
      <c r="AD68" s="50">
        <f t="shared" ca="1" si="7"/>
        <v>0.13385396361023749</v>
      </c>
      <c r="AE68" s="8">
        <v>1</v>
      </c>
      <c r="AF68" s="49">
        <f t="shared" ca="1" si="60"/>
        <v>231</v>
      </c>
      <c r="AH68" s="50">
        <f t="shared" ca="1" si="8"/>
        <v>0.41613040497227916</v>
      </c>
      <c r="AI68" s="8">
        <v>1</v>
      </c>
      <c r="AJ68" s="49">
        <f t="shared" ca="1" si="61"/>
        <v>170</v>
      </c>
      <c r="AL68" s="50">
        <f t="shared" ca="1" si="9"/>
        <v>0.30503355761007034</v>
      </c>
      <c r="AM68" s="8">
        <v>1</v>
      </c>
      <c r="AN68" s="49">
        <f t="shared" ca="1" si="62"/>
        <v>128</v>
      </c>
      <c r="AP68" s="50">
        <f t="shared" ca="1" si="10"/>
        <v>0.87804411535925286</v>
      </c>
      <c r="AQ68" s="8">
        <v>1</v>
      </c>
      <c r="AR68" s="49">
        <f t="shared" ca="1" si="63"/>
        <v>285</v>
      </c>
      <c r="AT68" s="50">
        <f t="shared" ca="1" si="11"/>
        <v>0.27378974452326765</v>
      </c>
      <c r="AU68" s="8">
        <v>1</v>
      </c>
      <c r="AV68" s="49">
        <f t="shared" ca="1" si="64"/>
        <v>161</v>
      </c>
      <c r="AX68" s="50">
        <f t="shared" ca="1" si="12"/>
        <v>2.7377834580913696E-2</v>
      </c>
      <c r="AY68" s="8">
        <v>1</v>
      </c>
      <c r="AZ68" s="49">
        <f t="shared" ca="1" si="65"/>
        <v>88</v>
      </c>
      <c r="BB68" s="50">
        <f t="shared" ca="1" si="13"/>
        <v>0.36627923425150555</v>
      </c>
      <c r="BC68" s="8">
        <v>1</v>
      </c>
      <c r="BD68" s="49">
        <f t="shared" ca="1" si="66"/>
        <v>146</v>
      </c>
      <c r="BF68" s="50">
        <f t="shared" ca="1" si="14"/>
        <v>0.32722052107981625</v>
      </c>
      <c r="BG68" s="8">
        <v>1</v>
      </c>
      <c r="BH68" s="49">
        <f t="shared" ca="1" si="67"/>
        <v>145</v>
      </c>
      <c r="BJ68" s="50">
        <f t="shared" ca="1" si="15"/>
        <v>0.40647067201519271</v>
      </c>
      <c r="BK68" s="8">
        <v>1</v>
      </c>
      <c r="BL68" s="49">
        <f t="shared" ca="1" si="68"/>
        <v>123</v>
      </c>
      <c r="BN68" s="50">
        <f t="shared" ca="1" si="16"/>
        <v>0.59514145757970305</v>
      </c>
      <c r="BO68" s="8">
        <v>1</v>
      </c>
      <c r="BP68" s="49">
        <f t="shared" ca="1" si="69"/>
        <v>185</v>
      </c>
      <c r="BR68" s="50">
        <f t="shared" ca="1" si="17"/>
        <v>0.89000331043613956</v>
      </c>
      <c r="BS68" s="8">
        <v>1</v>
      </c>
      <c r="BT68" s="49">
        <f t="shared" ca="1" si="70"/>
        <v>244</v>
      </c>
    </row>
    <row r="69" spans="1:72" x14ac:dyDescent="0.2">
      <c r="A69" s="22">
        <v>44616</v>
      </c>
      <c r="B69" s="50">
        <f t="shared" ca="1" si="0"/>
        <v>0.11442365504328189</v>
      </c>
      <c r="C69" s="8">
        <v>1</v>
      </c>
      <c r="D69" s="49">
        <f t="shared" ca="1" si="53"/>
        <v>76</v>
      </c>
      <c r="F69" s="50">
        <f t="shared" ca="1" si="1"/>
        <v>0.88711514401371405</v>
      </c>
      <c r="G69" s="8">
        <v>1</v>
      </c>
      <c r="H69" s="49">
        <f t="shared" ca="1" si="54"/>
        <v>285</v>
      </c>
      <c r="J69" s="50">
        <f t="shared" ca="1" si="2"/>
        <v>0.83087450576871735</v>
      </c>
      <c r="K69" s="8">
        <v>1</v>
      </c>
      <c r="L69" s="49">
        <f t="shared" ca="1" si="55"/>
        <v>189</v>
      </c>
      <c r="N69" s="50">
        <f t="shared" ca="1" si="3"/>
        <v>0.48789773977816797</v>
      </c>
      <c r="O69" s="8">
        <v>1</v>
      </c>
      <c r="P69" s="49">
        <f t="shared" ca="1" si="56"/>
        <v>228</v>
      </c>
      <c r="R69" s="50">
        <f t="shared" ca="1" si="4"/>
        <v>0.88684608708495827</v>
      </c>
      <c r="S69" s="8">
        <v>1</v>
      </c>
      <c r="T69" s="49">
        <f t="shared" ca="1" si="57"/>
        <v>184</v>
      </c>
      <c r="V69" s="50">
        <f t="shared" ca="1" si="5"/>
        <v>0.93351008184481066</v>
      </c>
      <c r="W69" s="8">
        <v>1</v>
      </c>
      <c r="X69" s="49">
        <f t="shared" ca="1" si="58"/>
        <v>316</v>
      </c>
      <c r="Z69" s="50">
        <f t="shared" ca="1" si="6"/>
        <v>0.72673298463979008</v>
      </c>
      <c r="AA69" s="8">
        <v>1</v>
      </c>
      <c r="AB69" s="49">
        <f t="shared" ca="1" si="59"/>
        <v>314</v>
      </c>
      <c r="AD69" s="50">
        <f t="shared" ca="1" si="7"/>
        <v>0.58653623711988867</v>
      </c>
      <c r="AE69" s="8">
        <v>1</v>
      </c>
      <c r="AF69" s="49">
        <f t="shared" ca="1" si="60"/>
        <v>347</v>
      </c>
      <c r="AH69" s="50">
        <f t="shared" ca="1" si="8"/>
        <v>0.82450543443118507</v>
      </c>
      <c r="AI69" s="8">
        <v>1</v>
      </c>
      <c r="AJ69" s="49">
        <f t="shared" ca="1" si="61"/>
        <v>225</v>
      </c>
      <c r="AL69" s="50">
        <f t="shared" ca="1" si="9"/>
        <v>9.9489410861204997E-2</v>
      </c>
      <c r="AM69" s="8">
        <v>1</v>
      </c>
      <c r="AN69" s="49">
        <f t="shared" ca="1" si="62"/>
        <v>97</v>
      </c>
      <c r="AP69" s="50">
        <f t="shared" ca="1" si="10"/>
        <v>0.97211463848331436</v>
      </c>
      <c r="AQ69" s="8">
        <v>1</v>
      </c>
      <c r="AR69" s="49">
        <f t="shared" ca="1" si="63"/>
        <v>328</v>
      </c>
      <c r="AT69" s="50">
        <f t="shared" ca="1" si="11"/>
        <v>0.69263442656183294</v>
      </c>
      <c r="AU69" s="8">
        <v>1</v>
      </c>
      <c r="AV69" s="49">
        <f t="shared" ca="1" si="64"/>
        <v>218</v>
      </c>
      <c r="AX69" s="50">
        <f t="shared" ca="1" si="12"/>
        <v>5.3575303201780389E-2</v>
      </c>
      <c r="AY69" s="8">
        <v>1</v>
      </c>
      <c r="AZ69" s="49">
        <f t="shared" ca="1" si="65"/>
        <v>103</v>
      </c>
      <c r="BB69" s="50">
        <f t="shared" ca="1" si="13"/>
        <v>0.42823413723326631</v>
      </c>
      <c r="BC69" s="8">
        <v>1</v>
      </c>
      <c r="BD69" s="49">
        <f t="shared" ca="1" si="66"/>
        <v>152</v>
      </c>
      <c r="BF69" s="50">
        <f t="shared" ca="1" si="14"/>
        <v>0.27212656935626711</v>
      </c>
      <c r="BG69" s="8">
        <v>1</v>
      </c>
      <c r="BH69" s="49">
        <f t="shared" ca="1" si="67"/>
        <v>138</v>
      </c>
      <c r="BJ69" s="50">
        <f t="shared" ca="1" si="15"/>
        <v>0.45135824444637107</v>
      </c>
      <c r="BK69" s="8">
        <v>1</v>
      </c>
      <c r="BL69" s="49">
        <f t="shared" ca="1" si="68"/>
        <v>127</v>
      </c>
      <c r="BN69" s="50">
        <f t="shared" ca="1" si="16"/>
        <v>0.20376877324445097</v>
      </c>
      <c r="BO69" s="8">
        <v>1</v>
      </c>
      <c r="BP69" s="49">
        <f t="shared" ca="1" si="69"/>
        <v>136</v>
      </c>
      <c r="BR69" s="50">
        <f t="shared" ca="1" si="17"/>
        <v>6.6705843929130593E-2</v>
      </c>
      <c r="BS69" s="8">
        <v>1</v>
      </c>
      <c r="BT69" s="49">
        <f t="shared" ca="1" si="70"/>
        <v>111</v>
      </c>
    </row>
    <row r="70" spans="1:72" x14ac:dyDescent="0.2">
      <c r="A70" s="22">
        <v>44617</v>
      </c>
      <c r="B70" s="50">
        <f t="shared" ca="1" si="0"/>
        <v>0.19535934012479472</v>
      </c>
      <c r="C70" s="8">
        <v>1</v>
      </c>
      <c r="D70" s="49">
        <f t="shared" ca="1" si="53"/>
        <v>83</v>
      </c>
      <c r="F70" s="50">
        <f t="shared" ca="1" si="1"/>
        <v>0.41853678777584513</v>
      </c>
      <c r="G70" s="8">
        <v>1</v>
      </c>
      <c r="H70" s="49">
        <f t="shared" ca="1" si="54"/>
        <v>204</v>
      </c>
      <c r="J70" s="50">
        <f t="shared" ca="1" si="2"/>
        <v>0.95963107502411016</v>
      </c>
      <c r="K70" s="8">
        <v>1</v>
      </c>
      <c r="L70" s="49">
        <f t="shared" ca="1" si="55"/>
        <v>220</v>
      </c>
      <c r="N70" s="50">
        <f t="shared" ca="1" si="3"/>
        <v>0.73116245499633781</v>
      </c>
      <c r="O70" s="8">
        <v>1</v>
      </c>
      <c r="P70" s="49">
        <f t="shared" ca="1" si="56"/>
        <v>268</v>
      </c>
      <c r="R70" s="50">
        <f t="shared" ca="1" si="4"/>
        <v>0.54322763775134253</v>
      </c>
      <c r="S70" s="8">
        <v>1</v>
      </c>
      <c r="T70" s="49">
        <f t="shared" ca="1" si="57"/>
        <v>143</v>
      </c>
      <c r="V70" s="50">
        <f t="shared" ca="1" si="5"/>
        <v>0.29198677076802904</v>
      </c>
      <c r="W70" s="8">
        <v>1</v>
      </c>
      <c r="X70" s="49">
        <f t="shared" ca="1" si="58"/>
        <v>193</v>
      </c>
      <c r="Z70" s="50">
        <f t="shared" ca="1" si="6"/>
        <v>0.86194712620589997</v>
      </c>
      <c r="AA70" s="8">
        <v>1</v>
      </c>
      <c r="AB70" s="49">
        <f t="shared" ca="1" si="59"/>
        <v>349</v>
      </c>
      <c r="AD70" s="50">
        <f t="shared" ca="1" si="7"/>
        <v>5.0712757849421308E-2</v>
      </c>
      <c r="AE70" s="8">
        <v>1</v>
      </c>
      <c r="AF70" s="49">
        <f t="shared" ca="1" si="60"/>
        <v>185</v>
      </c>
      <c r="AH70" s="50">
        <f t="shared" ca="1" si="8"/>
        <v>0.96074660460897887</v>
      </c>
      <c r="AI70" s="8">
        <v>1</v>
      </c>
      <c r="AJ70" s="49">
        <f t="shared" ca="1" si="61"/>
        <v>265</v>
      </c>
      <c r="AL70" s="50">
        <f t="shared" ca="1" si="9"/>
        <v>0.32789910981777193</v>
      </c>
      <c r="AM70" s="8">
        <v>1</v>
      </c>
      <c r="AN70" s="49">
        <f t="shared" ca="1" si="62"/>
        <v>130</v>
      </c>
      <c r="AP70" s="50">
        <f t="shared" ca="1" si="10"/>
        <v>5.6655322500973604E-3</v>
      </c>
      <c r="AQ70" s="8">
        <v>1</v>
      </c>
      <c r="AR70" s="49">
        <f t="shared" ca="1" si="63"/>
        <v>71</v>
      </c>
      <c r="AT70" s="50">
        <f t="shared" ca="1" si="11"/>
        <v>0.10138936571808199</v>
      </c>
      <c r="AU70" s="8">
        <v>1</v>
      </c>
      <c r="AV70" s="49">
        <f t="shared" ca="1" si="64"/>
        <v>127</v>
      </c>
      <c r="AX70" s="50">
        <f t="shared" ca="1" si="12"/>
        <v>0.41676886494618159</v>
      </c>
      <c r="AY70" s="8">
        <v>1</v>
      </c>
      <c r="AZ70" s="49">
        <f t="shared" ca="1" si="65"/>
        <v>170</v>
      </c>
      <c r="BB70" s="50">
        <f t="shared" ca="1" si="13"/>
        <v>0.163131208984575</v>
      </c>
      <c r="BC70" s="8">
        <v>1</v>
      </c>
      <c r="BD70" s="49">
        <f t="shared" ca="1" si="66"/>
        <v>118</v>
      </c>
      <c r="BF70" s="50">
        <f t="shared" ca="1" si="14"/>
        <v>0.79462756540874824</v>
      </c>
      <c r="BG70" s="8">
        <v>1</v>
      </c>
      <c r="BH70" s="49">
        <f t="shared" ca="1" si="67"/>
        <v>201</v>
      </c>
      <c r="BJ70" s="50">
        <f t="shared" ca="1" si="15"/>
        <v>0.39199737996440109</v>
      </c>
      <c r="BK70" s="8">
        <v>1</v>
      </c>
      <c r="BL70" s="49">
        <f t="shared" ca="1" si="68"/>
        <v>122</v>
      </c>
      <c r="BN70" s="50">
        <f t="shared" ca="1" si="16"/>
        <v>0.32393374705691591</v>
      </c>
      <c r="BO70" s="8">
        <v>1</v>
      </c>
      <c r="BP70" s="49">
        <f t="shared" ca="1" si="69"/>
        <v>153</v>
      </c>
      <c r="BR70" s="50">
        <f t="shared" ca="1" si="17"/>
        <v>0.37030021891354314</v>
      </c>
      <c r="BS70" s="8">
        <v>1</v>
      </c>
      <c r="BT70" s="49">
        <f t="shared" ca="1" si="70"/>
        <v>168</v>
      </c>
    </row>
    <row r="71" spans="1:72" x14ac:dyDescent="0.2">
      <c r="A71" s="22">
        <v>44618</v>
      </c>
      <c r="B71" s="50">
        <f t="shared" ca="1" si="0"/>
        <v>0.16915509301751841</v>
      </c>
      <c r="C71" s="8">
        <v>1</v>
      </c>
      <c r="D71" s="49">
        <f t="shared" ca="1" si="53"/>
        <v>81</v>
      </c>
      <c r="F71" s="50">
        <f t="shared" ca="1" si="1"/>
        <v>0.78226286019208002</v>
      </c>
      <c r="G71" s="8">
        <v>1</v>
      </c>
      <c r="H71" s="49">
        <f t="shared" ca="1" si="54"/>
        <v>261</v>
      </c>
      <c r="J71" s="50">
        <f t="shared" ca="1" si="2"/>
        <v>1.0341874383944738E-2</v>
      </c>
      <c r="K71" s="8">
        <v>1</v>
      </c>
      <c r="L71" s="49">
        <f t="shared" ca="1" si="55"/>
        <v>58</v>
      </c>
      <c r="N71" s="50">
        <f t="shared" ca="1" si="3"/>
        <v>0.2482218373113646</v>
      </c>
      <c r="O71" s="8">
        <v>1</v>
      </c>
      <c r="P71" s="49">
        <f t="shared" ca="1" si="56"/>
        <v>188</v>
      </c>
      <c r="R71" s="50">
        <f t="shared" ca="1" si="4"/>
        <v>0.61235427834537648</v>
      </c>
      <c r="S71" s="8">
        <v>1</v>
      </c>
      <c r="T71" s="49">
        <f t="shared" ca="1" si="57"/>
        <v>150</v>
      </c>
      <c r="V71" s="50">
        <f t="shared" ca="1" si="5"/>
        <v>0.4541016833467898</v>
      </c>
      <c r="W71" s="8">
        <v>1</v>
      </c>
      <c r="X71" s="49">
        <f t="shared" ca="1" si="58"/>
        <v>219</v>
      </c>
      <c r="Z71" s="50">
        <f t="shared" ca="1" si="6"/>
        <v>0.66637930627159403</v>
      </c>
      <c r="AA71" s="8">
        <v>1</v>
      </c>
      <c r="AB71" s="49">
        <f t="shared" ca="1" si="59"/>
        <v>301</v>
      </c>
      <c r="AD71" s="50">
        <f t="shared" ca="1" si="7"/>
        <v>0.64097632809731075</v>
      </c>
      <c r="AE71" s="8">
        <v>1</v>
      </c>
      <c r="AF71" s="49">
        <f t="shared" ca="1" si="60"/>
        <v>359</v>
      </c>
      <c r="AH71" s="50">
        <f t="shared" ca="1" si="8"/>
        <v>0.45626596561648902</v>
      </c>
      <c r="AI71" s="8">
        <v>1</v>
      </c>
      <c r="AJ71" s="49">
        <f t="shared" ca="1" si="61"/>
        <v>175</v>
      </c>
      <c r="AL71" s="50">
        <f t="shared" ca="1" si="9"/>
        <v>0.32146208980183388</v>
      </c>
      <c r="AM71" s="8">
        <v>1</v>
      </c>
      <c r="AN71" s="49">
        <f t="shared" ca="1" si="62"/>
        <v>129</v>
      </c>
      <c r="AP71" s="50">
        <f t="shared" ca="1" si="10"/>
        <v>0.13019278250199839</v>
      </c>
      <c r="AQ71" s="8">
        <v>1</v>
      </c>
      <c r="AR71" s="49">
        <f t="shared" ca="1" si="63"/>
        <v>152</v>
      </c>
      <c r="AT71" s="50">
        <f t="shared" ca="1" si="11"/>
        <v>0.47472064901466615</v>
      </c>
      <c r="AU71" s="8">
        <v>1</v>
      </c>
      <c r="AV71" s="49">
        <f t="shared" ca="1" si="64"/>
        <v>189</v>
      </c>
      <c r="AX71" s="50">
        <f t="shared" ca="1" si="12"/>
        <v>0.17687640243839131</v>
      </c>
      <c r="AY71" s="8">
        <v>1</v>
      </c>
      <c r="AZ71" s="49">
        <f t="shared" ca="1" si="65"/>
        <v>136</v>
      </c>
      <c r="BB71" s="50">
        <f t="shared" ca="1" si="13"/>
        <v>0.90333132341726541</v>
      </c>
      <c r="BC71" s="8">
        <v>1</v>
      </c>
      <c r="BD71" s="49">
        <f t="shared" ca="1" si="66"/>
        <v>215</v>
      </c>
      <c r="BF71" s="50">
        <f t="shared" ca="1" si="14"/>
        <v>0.87016564705501509</v>
      </c>
      <c r="BG71" s="8">
        <v>1</v>
      </c>
      <c r="BH71" s="49">
        <f t="shared" ca="1" si="67"/>
        <v>215</v>
      </c>
      <c r="BJ71" s="50">
        <f t="shared" ca="1" si="15"/>
        <v>0.93319510527292315</v>
      </c>
      <c r="BK71" s="8">
        <v>1</v>
      </c>
      <c r="BL71" s="49">
        <f t="shared" ca="1" si="68"/>
        <v>184</v>
      </c>
      <c r="BN71" s="50">
        <f t="shared" ca="1" si="16"/>
        <v>0.61638626072489455</v>
      </c>
      <c r="BO71" s="8">
        <v>1</v>
      </c>
      <c r="BP71" s="49">
        <f t="shared" ca="1" si="69"/>
        <v>188</v>
      </c>
      <c r="BR71" s="50">
        <f t="shared" ca="1" si="17"/>
        <v>0.96134578464006581</v>
      </c>
      <c r="BS71" s="8">
        <v>1</v>
      </c>
      <c r="BT71" s="49">
        <f t="shared" ca="1" si="70"/>
        <v>270</v>
      </c>
    </row>
    <row r="72" spans="1:72" x14ac:dyDescent="0.2">
      <c r="A72" s="22">
        <v>44619</v>
      </c>
      <c r="B72" s="50">
        <f t="shared" ca="1" si="0"/>
        <v>0.20494062156256687</v>
      </c>
      <c r="C72" s="8">
        <v>1</v>
      </c>
      <c r="D72" s="49">
        <f t="shared" ca="1" si="53"/>
        <v>84</v>
      </c>
      <c r="F72" s="50">
        <f t="shared" ca="1" si="1"/>
        <v>0.31281465064875325</v>
      </c>
      <c r="G72" s="8">
        <v>1</v>
      </c>
      <c r="H72" s="49">
        <f t="shared" ca="1" si="54"/>
        <v>188</v>
      </c>
      <c r="J72" s="50">
        <f t="shared" ca="1" si="2"/>
        <v>0.57996317321526869</v>
      </c>
      <c r="K72" s="8">
        <v>1</v>
      </c>
      <c r="L72" s="49">
        <f t="shared" ca="1" si="55"/>
        <v>159</v>
      </c>
      <c r="N72" s="50">
        <f t="shared" ca="1" si="3"/>
        <v>0.31082182584695606</v>
      </c>
      <c r="O72" s="8">
        <v>1</v>
      </c>
      <c r="P72" s="49">
        <f t="shared" ca="1" si="56"/>
        <v>200</v>
      </c>
      <c r="R72" s="50">
        <f t="shared" ca="1" si="4"/>
        <v>0.15870304146346115</v>
      </c>
      <c r="S72" s="8">
        <v>1</v>
      </c>
      <c r="T72" s="49">
        <f t="shared" ca="1" si="57"/>
        <v>102</v>
      </c>
      <c r="V72" s="50">
        <f t="shared" ca="1" si="5"/>
        <v>0.11225230567019573</v>
      </c>
      <c r="W72" s="8">
        <v>1</v>
      </c>
      <c r="X72" s="49">
        <f t="shared" ca="1" si="58"/>
        <v>153</v>
      </c>
      <c r="Z72" s="50">
        <f t="shared" ca="1" si="6"/>
        <v>4.7421099776430053E-2</v>
      </c>
      <c r="AA72" s="8">
        <v>1</v>
      </c>
      <c r="AB72" s="49">
        <f t="shared" ca="1" si="59"/>
        <v>150</v>
      </c>
      <c r="AD72" s="50">
        <f t="shared" ca="1" si="7"/>
        <v>0.45518242800953757</v>
      </c>
      <c r="AE72" s="8">
        <v>1</v>
      </c>
      <c r="AF72" s="49">
        <f t="shared" ca="1" si="60"/>
        <v>318</v>
      </c>
      <c r="AH72" s="50">
        <f t="shared" ca="1" si="8"/>
        <v>0.78618086443118829</v>
      </c>
      <c r="AI72" s="8">
        <v>1</v>
      </c>
      <c r="AJ72" s="49">
        <f t="shared" ca="1" si="61"/>
        <v>218</v>
      </c>
      <c r="AL72" s="50">
        <f t="shared" ca="1" si="9"/>
        <v>0.56330534839970192</v>
      </c>
      <c r="AM72" s="8">
        <v>1</v>
      </c>
      <c r="AN72" s="49">
        <f t="shared" ca="1" si="62"/>
        <v>154</v>
      </c>
      <c r="AP72" s="50">
        <f t="shared" ca="1" si="10"/>
        <v>0.69931062256629939</v>
      </c>
      <c r="AQ72" s="8">
        <v>1</v>
      </c>
      <c r="AR72" s="49">
        <f t="shared" ca="1" si="63"/>
        <v>247</v>
      </c>
      <c r="AT72" s="50">
        <f t="shared" ca="1" si="11"/>
        <v>8.8545991196080642E-3</v>
      </c>
      <c r="AU72" s="8">
        <v>1</v>
      </c>
      <c r="AV72" s="49">
        <f t="shared" ca="1" si="64"/>
        <v>71</v>
      </c>
      <c r="AX72" s="50">
        <f t="shared" ca="1" si="12"/>
        <v>0.58114270344764452</v>
      </c>
      <c r="AY72" s="8">
        <v>1</v>
      </c>
      <c r="AZ72" s="49">
        <f t="shared" ca="1" si="65"/>
        <v>190</v>
      </c>
      <c r="BB72" s="50">
        <f t="shared" ca="1" si="13"/>
        <v>0.904291381408314</v>
      </c>
      <c r="BC72" s="8">
        <v>1</v>
      </c>
      <c r="BD72" s="49">
        <f t="shared" ca="1" si="66"/>
        <v>216</v>
      </c>
      <c r="BF72" s="50">
        <f t="shared" ca="1" si="14"/>
        <v>0.34637480510116647</v>
      </c>
      <c r="BG72" s="8">
        <v>1</v>
      </c>
      <c r="BH72" s="49">
        <f t="shared" ca="1" si="67"/>
        <v>148</v>
      </c>
      <c r="BJ72" s="50">
        <f t="shared" ca="1" si="15"/>
        <v>0.15181168067977202</v>
      </c>
      <c r="BK72" s="8">
        <v>1</v>
      </c>
      <c r="BL72" s="49">
        <f t="shared" ca="1" si="68"/>
        <v>96</v>
      </c>
      <c r="BN72" s="50">
        <f t="shared" ca="1" si="16"/>
        <v>0.50944548968676573</v>
      </c>
      <c r="BO72" s="8">
        <v>1</v>
      </c>
      <c r="BP72" s="49">
        <f t="shared" ca="1" si="69"/>
        <v>175</v>
      </c>
      <c r="BR72" s="50">
        <f t="shared" ca="1" si="17"/>
        <v>0.75776880608902919</v>
      </c>
      <c r="BS72" s="8">
        <v>1</v>
      </c>
      <c r="BT72" s="49">
        <f t="shared" ca="1" si="70"/>
        <v>218</v>
      </c>
    </row>
    <row r="73" spans="1:72" x14ac:dyDescent="0.2">
      <c r="A73" s="22">
        <v>44620</v>
      </c>
      <c r="B73" s="50">
        <f t="shared" ca="1" si="0"/>
        <v>0.57266391927653848</v>
      </c>
      <c r="C73" s="8">
        <v>1</v>
      </c>
      <c r="D73" s="49">
        <f t="shared" ca="1" si="53"/>
        <v>104</v>
      </c>
      <c r="F73" s="50">
        <f t="shared" ca="1" si="1"/>
        <v>0.34815878509208142</v>
      </c>
      <c r="G73" s="8">
        <v>1</v>
      </c>
      <c r="H73" s="49">
        <f t="shared" ca="1" si="54"/>
        <v>193</v>
      </c>
      <c r="J73" s="50">
        <f t="shared" ca="1" si="2"/>
        <v>0.26693887934234828</v>
      </c>
      <c r="K73" s="8">
        <v>1</v>
      </c>
      <c r="L73" s="49">
        <f t="shared" ca="1" si="55"/>
        <v>126</v>
      </c>
      <c r="N73" s="50">
        <f t="shared" ca="1" si="3"/>
        <v>0.10866247937682827</v>
      </c>
      <c r="O73" s="8">
        <v>1</v>
      </c>
      <c r="P73" s="49">
        <f t="shared" ca="1" si="56"/>
        <v>154</v>
      </c>
      <c r="R73" s="50">
        <f t="shared" ca="1" si="4"/>
        <v>0.43733817720072576</v>
      </c>
      <c r="S73" s="8">
        <v>1</v>
      </c>
      <c r="T73" s="49">
        <f t="shared" ca="1" si="57"/>
        <v>133</v>
      </c>
      <c r="V73" s="50">
        <f t="shared" ca="1" si="5"/>
        <v>0.26350283257320051</v>
      </c>
      <c r="W73" s="8">
        <v>1</v>
      </c>
      <c r="X73" s="49">
        <f t="shared" ca="1" si="58"/>
        <v>188</v>
      </c>
      <c r="Z73" s="50">
        <f t="shared" ca="1" si="6"/>
        <v>1.360086169131991E-2</v>
      </c>
      <c r="AA73" s="8">
        <v>1</v>
      </c>
      <c r="AB73" s="49">
        <f t="shared" ca="1" si="59"/>
        <v>111</v>
      </c>
      <c r="AD73" s="50">
        <f t="shared" ca="1" si="7"/>
        <v>0.72871697879677411</v>
      </c>
      <c r="AE73" s="8">
        <v>1</v>
      </c>
      <c r="AF73" s="49">
        <f t="shared" ca="1" si="60"/>
        <v>381</v>
      </c>
      <c r="AH73" s="50">
        <f t="shared" ca="1" si="8"/>
        <v>0.58060935469763131</v>
      </c>
      <c r="AI73" s="8">
        <v>1</v>
      </c>
      <c r="AJ73" s="49">
        <f t="shared" ca="1" si="61"/>
        <v>190</v>
      </c>
      <c r="AL73" s="50">
        <f t="shared" ca="1" si="9"/>
        <v>0.28431101100496359</v>
      </c>
      <c r="AM73" s="8">
        <v>1</v>
      </c>
      <c r="AN73" s="49">
        <f t="shared" ca="1" si="62"/>
        <v>125</v>
      </c>
      <c r="AP73" s="50">
        <f t="shared" ca="1" si="10"/>
        <v>0.81093705555689144</v>
      </c>
      <c r="AQ73" s="8">
        <v>1</v>
      </c>
      <c r="AR73" s="49">
        <f t="shared" ca="1" si="63"/>
        <v>268</v>
      </c>
      <c r="AT73" s="50">
        <f t="shared" ca="1" si="11"/>
        <v>0.63169030154585781</v>
      </c>
      <c r="AU73" s="8">
        <v>1</v>
      </c>
      <c r="AV73" s="49">
        <f t="shared" ca="1" si="64"/>
        <v>209</v>
      </c>
      <c r="AX73" s="50">
        <f t="shared" ca="1" si="12"/>
        <v>0.17360953945606183</v>
      </c>
      <c r="AY73" s="8">
        <v>1</v>
      </c>
      <c r="AZ73" s="49">
        <f t="shared" ca="1" si="65"/>
        <v>135</v>
      </c>
      <c r="BB73" s="50">
        <f t="shared" ca="1" si="13"/>
        <v>0.49581141232051884</v>
      </c>
      <c r="BC73" s="8">
        <v>1</v>
      </c>
      <c r="BD73" s="49">
        <f t="shared" ca="1" si="66"/>
        <v>160</v>
      </c>
      <c r="BF73" s="50">
        <f t="shared" ca="1" si="14"/>
        <v>0.60094781845433942</v>
      </c>
      <c r="BG73" s="8">
        <v>1</v>
      </c>
      <c r="BH73" s="49">
        <f t="shared" ca="1" si="67"/>
        <v>176</v>
      </c>
      <c r="BJ73" s="50">
        <f t="shared" ca="1" si="15"/>
        <v>0.19180588565320855</v>
      </c>
      <c r="BK73" s="8">
        <v>1</v>
      </c>
      <c r="BL73" s="49">
        <f t="shared" ca="1" si="68"/>
        <v>101</v>
      </c>
      <c r="BN73" s="50">
        <f t="shared" ca="1" si="16"/>
        <v>0.51506666463296569</v>
      </c>
      <c r="BO73" s="8">
        <v>1</v>
      </c>
      <c r="BP73" s="49">
        <f t="shared" ca="1" si="69"/>
        <v>176</v>
      </c>
      <c r="BR73" s="50">
        <f t="shared" ca="1" si="17"/>
        <v>3.2116689445025215E-2</v>
      </c>
      <c r="BS73" s="8">
        <v>1</v>
      </c>
      <c r="BT73" s="49">
        <f t="shared" ca="1" si="70"/>
        <v>93</v>
      </c>
    </row>
    <row r="74" spans="1:72" x14ac:dyDescent="0.2">
      <c r="A74" s="22">
        <v>44621</v>
      </c>
      <c r="B74" s="50">
        <f t="shared" ca="1" si="0"/>
        <v>0.35530738467625156</v>
      </c>
      <c r="C74" s="8">
        <f>1-0.06</f>
        <v>0.94</v>
      </c>
      <c r="D74" s="49">
        <f t="shared" ca="1" si="53"/>
        <v>88</v>
      </c>
      <c r="F74" s="50">
        <f t="shared" ca="1" si="1"/>
        <v>0.25229095223271547</v>
      </c>
      <c r="G74" s="8">
        <f>1-0.06</f>
        <v>0.94</v>
      </c>
      <c r="H74" s="49">
        <f t="shared" ca="1" si="54"/>
        <v>167</v>
      </c>
      <c r="J74" s="50">
        <f t="shared" ca="1" si="2"/>
        <v>0.8998038311246932</v>
      </c>
      <c r="K74" s="8">
        <f>1-0.06</f>
        <v>0.94</v>
      </c>
      <c r="L74" s="49">
        <f t="shared" ca="1" si="55"/>
        <v>190</v>
      </c>
      <c r="N74" s="50">
        <f t="shared" ca="1" si="3"/>
        <v>0.91712227633262322</v>
      </c>
      <c r="O74" s="8">
        <f>1-0.06</f>
        <v>0.94</v>
      </c>
      <c r="P74" s="49">
        <f t="shared" ca="1" si="56"/>
        <v>296</v>
      </c>
      <c r="R74" s="50">
        <f t="shared" ca="1" si="4"/>
        <v>0.43862847883377165</v>
      </c>
      <c r="S74" s="8">
        <f>1-0.06</f>
        <v>0.94</v>
      </c>
      <c r="T74" s="49">
        <f t="shared" ca="1" si="57"/>
        <v>126</v>
      </c>
      <c r="V74" s="50">
        <f t="shared" ca="1" si="5"/>
        <v>0.35045281521939498</v>
      </c>
      <c r="W74" s="8">
        <f>1-0.06</f>
        <v>0.94</v>
      </c>
      <c r="X74" s="49">
        <f t="shared" ca="1" si="58"/>
        <v>190</v>
      </c>
      <c r="Z74" s="50">
        <f t="shared" ca="1" si="6"/>
        <v>4.0122078273469253E-2</v>
      </c>
      <c r="AA74" s="8">
        <f>1-0.06</f>
        <v>0.94</v>
      </c>
      <c r="AB74" s="49">
        <f t="shared" ca="1" si="59"/>
        <v>136</v>
      </c>
      <c r="AD74" s="50">
        <f t="shared" ca="1" si="7"/>
        <v>0.73586712982883784</v>
      </c>
      <c r="AE74" s="8">
        <f>1-0.06</f>
        <v>0.94</v>
      </c>
      <c r="AF74" s="49">
        <f t="shared" ca="1" si="60"/>
        <v>360</v>
      </c>
      <c r="AH74" s="50">
        <f t="shared" ca="1" si="8"/>
        <v>0.98922044403658282</v>
      </c>
      <c r="AI74" s="8">
        <f>1-0.06</f>
        <v>0.94</v>
      </c>
      <c r="AJ74" s="49">
        <f t="shared" ca="1" si="61"/>
        <v>273</v>
      </c>
      <c r="AL74" s="50">
        <f t="shared" ca="1" si="9"/>
        <v>0.66054644173958166</v>
      </c>
      <c r="AM74" s="8">
        <f>1-0.06</f>
        <v>0.94</v>
      </c>
      <c r="AN74" s="49">
        <f t="shared" ca="1" si="62"/>
        <v>154</v>
      </c>
      <c r="AP74" s="50">
        <f t="shared" ca="1" si="10"/>
        <v>3.566006186210513E-2</v>
      </c>
      <c r="AQ74" s="8">
        <f>1-0.06</f>
        <v>0.94</v>
      </c>
      <c r="AR74" s="49">
        <f t="shared" ca="1" si="63"/>
        <v>106</v>
      </c>
      <c r="AT74" s="50">
        <f t="shared" ca="1" si="11"/>
        <v>0.86987474934400566</v>
      </c>
      <c r="AU74" s="8">
        <f>1-0.06</f>
        <v>0.94</v>
      </c>
      <c r="AV74" s="49">
        <f t="shared" ca="1" si="64"/>
        <v>235</v>
      </c>
      <c r="AX74" s="50">
        <f t="shared" ca="1" si="12"/>
        <v>0.73505597258998334</v>
      </c>
      <c r="AY74" s="8">
        <f>1-0.06</f>
        <v>0.94</v>
      </c>
      <c r="AZ74" s="49">
        <f t="shared" ca="1" si="65"/>
        <v>198</v>
      </c>
      <c r="BB74" s="50">
        <f t="shared" ca="1" si="13"/>
        <v>2.8713162032720119E-2</v>
      </c>
      <c r="BC74" s="8">
        <f>1-0.06</f>
        <v>0.94</v>
      </c>
      <c r="BD74" s="49">
        <f t="shared" ca="1" si="66"/>
        <v>75</v>
      </c>
      <c r="BF74" s="50">
        <f t="shared" ca="1" si="14"/>
        <v>0.51760603342042466</v>
      </c>
      <c r="BG74" s="8">
        <f>1-0.06</f>
        <v>0.94</v>
      </c>
      <c r="BH74" s="49">
        <f t="shared" ca="1" si="67"/>
        <v>157</v>
      </c>
      <c r="BJ74" s="50">
        <f t="shared" ca="1" si="15"/>
        <v>0.6095990821191376</v>
      </c>
      <c r="BK74" s="8">
        <f>1-0.06</f>
        <v>0.94</v>
      </c>
      <c r="BL74" s="49">
        <f t="shared" ca="1" si="68"/>
        <v>133</v>
      </c>
      <c r="BN74" s="50">
        <f t="shared" ca="1" si="16"/>
        <v>6.6430195298535111E-2</v>
      </c>
      <c r="BO74" s="8">
        <f>1-0.06</f>
        <v>0.94</v>
      </c>
      <c r="BP74" s="49">
        <f t="shared" ca="1" si="69"/>
        <v>98</v>
      </c>
      <c r="BR74" s="50">
        <f t="shared" ca="1" si="17"/>
        <v>0.35615300467276811</v>
      </c>
      <c r="BS74" s="8">
        <f>1-0.06</f>
        <v>0.94</v>
      </c>
      <c r="BT74" s="49">
        <f t="shared" ca="1" si="70"/>
        <v>156</v>
      </c>
    </row>
    <row r="75" spans="1:72" x14ac:dyDescent="0.2">
      <c r="A75" s="22">
        <v>44622</v>
      </c>
      <c r="B75" s="50">
        <f t="shared" ca="1" si="0"/>
        <v>0.94643245324577707</v>
      </c>
      <c r="C75" s="8">
        <f t="shared" ref="C75:C104" si="71">1-0.06</f>
        <v>0.94</v>
      </c>
      <c r="D75" s="49">
        <f t="shared" ca="1" si="53"/>
        <v>125</v>
      </c>
      <c r="F75" s="50">
        <f t="shared" ca="1" si="1"/>
        <v>0.60190006393931916</v>
      </c>
      <c r="G75" s="8">
        <f t="shared" ref="G75:G104" si="72">1-0.06</f>
        <v>0.94</v>
      </c>
      <c r="H75" s="49">
        <f t="shared" ca="1" si="54"/>
        <v>217</v>
      </c>
      <c r="J75" s="50">
        <f t="shared" ca="1" si="2"/>
        <v>0.38156444471511874</v>
      </c>
      <c r="K75" s="8">
        <f t="shared" ref="K75:K104" si="73">1-0.06</f>
        <v>0.94</v>
      </c>
      <c r="L75" s="49">
        <f t="shared" ca="1" si="55"/>
        <v>130</v>
      </c>
      <c r="N75" s="50">
        <f t="shared" ca="1" si="3"/>
        <v>0.90418648264170964</v>
      </c>
      <c r="O75" s="8">
        <f t="shared" ref="O75:O104" si="74">1-0.06</f>
        <v>0.94</v>
      </c>
      <c r="P75" s="49">
        <f t="shared" ca="1" si="56"/>
        <v>291</v>
      </c>
      <c r="R75" s="50">
        <f t="shared" ca="1" si="4"/>
        <v>0.50282775127305723</v>
      </c>
      <c r="S75" s="8">
        <f t="shared" ref="S75:S104" si="75">1-0.06</f>
        <v>0.94</v>
      </c>
      <c r="T75" s="49">
        <f t="shared" ca="1" si="57"/>
        <v>131</v>
      </c>
      <c r="V75" s="50">
        <f t="shared" ca="1" si="5"/>
        <v>5.1194161235908364E-2</v>
      </c>
      <c r="W75" s="8">
        <f t="shared" ref="W75:W104" si="76">1-0.06</f>
        <v>0.94</v>
      </c>
      <c r="X75" s="49">
        <f t="shared" ca="1" si="58"/>
        <v>120</v>
      </c>
      <c r="Z75" s="50">
        <f t="shared" ca="1" si="6"/>
        <v>0.43091311137364507</v>
      </c>
      <c r="AA75" s="8">
        <f t="shared" ref="AA75:AA104" si="77">1-0.06</f>
        <v>0.94</v>
      </c>
      <c r="AB75" s="49">
        <f t="shared" ca="1" si="59"/>
        <v>243</v>
      </c>
      <c r="AD75" s="50">
        <f t="shared" ca="1" si="7"/>
        <v>0.79677894902027491</v>
      </c>
      <c r="AE75" s="8">
        <f t="shared" ref="AE75:AE104" si="78">1-0.06</f>
        <v>0.94</v>
      </c>
      <c r="AF75" s="49">
        <f t="shared" ca="1" si="60"/>
        <v>376</v>
      </c>
      <c r="AH75" s="50">
        <f t="shared" ca="1" si="8"/>
        <v>0.55427965062511841</v>
      </c>
      <c r="AI75" s="8">
        <f t="shared" ref="AI75:AI104" si="79">1-0.06</f>
        <v>0.94</v>
      </c>
      <c r="AJ75" s="49">
        <f t="shared" ca="1" si="61"/>
        <v>176</v>
      </c>
      <c r="AL75" s="50">
        <f t="shared" ca="1" si="9"/>
        <v>0.85604387411532956</v>
      </c>
      <c r="AM75" s="8">
        <f t="shared" ref="AM75:AM104" si="80">1-0.06</f>
        <v>0.94</v>
      </c>
      <c r="AN75" s="49">
        <f t="shared" ca="1" si="62"/>
        <v>178</v>
      </c>
      <c r="AP75" s="50">
        <f t="shared" ca="1" si="10"/>
        <v>0.37387042984845087</v>
      </c>
      <c r="AQ75" s="8">
        <f t="shared" ref="AQ75:AQ104" si="81">1-0.06</f>
        <v>0.94</v>
      </c>
      <c r="AR75" s="49">
        <f t="shared" ca="1" si="63"/>
        <v>187</v>
      </c>
      <c r="AT75" s="50">
        <f t="shared" ca="1" si="11"/>
        <v>0.74341522961348594</v>
      </c>
      <c r="AU75" s="8">
        <f t="shared" ref="AU75:AU104" si="82">1-0.06</f>
        <v>0.94</v>
      </c>
      <c r="AV75" s="49">
        <f t="shared" ca="1" si="64"/>
        <v>212</v>
      </c>
      <c r="AX75" s="50">
        <f t="shared" ca="1" si="12"/>
        <v>0.35565249601565707</v>
      </c>
      <c r="AY75" s="8">
        <f t="shared" ref="AY75:AY104" si="83">1-0.06</f>
        <v>0.94</v>
      </c>
      <c r="AZ75" s="49">
        <f t="shared" ca="1" si="65"/>
        <v>153</v>
      </c>
      <c r="BB75" s="50">
        <f t="shared" ca="1" si="13"/>
        <v>0.79901466644331809</v>
      </c>
      <c r="BC75" s="8">
        <f t="shared" ref="BC75:BC104" si="84">1-0.06</f>
        <v>0.94</v>
      </c>
      <c r="BD75" s="49">
        <f t="shared" ca="1" si="66"/>
        <v>184</v>
      </c>
      <c r="BF75" s="50">
        <f t="shared" ca="1" si="14"/>
        <v>0.49333384701582106</v>
      </c>
      <c r="BG75" s="8">
        <f t="shared" ref="BG75:BG104" si="85">1-0.06</f>
        <v>0.94</v>
      </c>
      <c r="BH75" s="49">
        <f t="shared" ca="1" si="67"/>
        <v>154</v>
      </c>
      <c r="BJ75" s="50">
        <f t="shared" ca="1" si="15"/>
        <v>0.5474770421710744</v>
      </c>
      <c r="BK75" s="8">
        <f t="shared" ref="BK75:BK104" si="86">1-0.06</f>
        <v>0.94</v>
      </c>
      <c r="BL75" s="49">
        <f t="shared" ca="1" si="68"/>
        <v>128</v>
      </c>
      <c r="BN75" s="50">
        <f t="shared" ca="1" si="16"/>
        <v>0.44465849899253396</v>
      </c>
      <c r="BO75" s="8">
        <f t="shared" ref="BO75:BO104" si="87">1-0.06</f>
        <v>0.94</v>
      </c>
      <c r="BP75" s="49">
        <f t="shared" ca="1" si="69"/>
        <v>158</v>
      </c>
      <c r="BR75" s="50">
        <f t="shared" ca="1" si="17"/>
        <v>0.61624323854456509</v>
      </c>
      <c r="BS75" s="8">
        <f t="shared" ref="BS75:BS104" si="88">1-0.06</f>
        <v>0.94</v>
      </c>
      <c r="BT75" s="49">
        <f t="shared" ca="1" si="70"/>
        <v>187</v>
      </c>
    </row>
    <row r="76" spans="1:72" x14ac:dyDescent="0.2">
      <c r="A76" s="22">
        <v>44623</v>
      </c>
      <c r="B76" s="50">
        <f t="shared" ca="1" si="0"/>
        <v>0.73813413818407236</v>
      </c>
      <c r="C76" s="8">
        <f t="shared" si="71"/>
        <v>0.94</v>
      </c>
      <c r="D76" s="49">
        <f t="shared" ca="1" si="53"/>
        <v>106</v>
      </c>
      <c r="F76" s="50">
        <f t="shared" ca="1" si="1"/>
        <v>0.24884430965861992</v>
      </c>
      <c r="G76" s="8">
        <f t="shared" si="72"/>
        <v>0.94</v>
      </c>
      <c r="H76" s="49">
        <f t="shared" ca="1" si="54"/>
        <v>166</v>
      </c>
      <c r="J76" s="50">
        <f t="shared" ca="1" si="2"/>
        <v>0.6143626510268404</v>
      </c>
      <c r="K76" s="8">
        <f t="shared" si="73"/>
        <v>0.94</v>
      </c>
      <c r="L76" s="49">
        <f t="shared" ca="1" si="55"/>
        <v>152</v>
      </c>
      <c r="N76" s="50">
        <f t="shared" ca="1" si="3"/>
        <v>0.2155228067903262</v>
      </c>
      <c r="O76" s="8">
        <f t="shared" si="74"/>
        <v>0.94</v>
      </c>
      <c r="P76" s="49">
        <f t="shared" ca="1" si="56"/>
        <v>171</v>
      </c>
      <c r="R76" s="50">
        <f t="shared" ca="1" si="4"/>
        <v>0.7920112017368206</v>
      </c>
      <c r="S76" s="8">
        <f t="shared" si="75"/>
        <v>0.94</v>
      </c>
      <c r="T76" s="49">
        <f t="shared" ca="1" si="57"/>
        <v>159</v>
      </c>
      <c r="V76" s="50">
        <f t="shared" ca="1" si="5"/>
        <v>0.91602517510795334</v>
      </c>
      <c r="W76" s="8">
        <f t="shared" si="76"/>
        <v>0.94</v>
      </c>
      <c r="X76" s="49">
        <f t="shared" ca="1" si="58"/>
        <v>290</v>
      </c>
      <c r="Z76" s="50">
        <f t="shared" ca="1" si="6"/>
        <v>0.94821954212439408</v>
      </c>
      <c r="AA76" s="8">
        <f t="shared" si="77"/>
        <v>0.94</v>
      </c>
      <c r="AB76" s="49">
        <f t="shared" ca="1" si="59"/>
        <v>364</v>
      </c>
      <c r="AD76" s="50">
        <f t="shared" ca="1" si="7"/>
        <v>9.7619958076447411E-2</v>
      </c>
      <c r="AE76" s="8">
        <f t="shared" si="78"/>
        <v>0.94</v>
      </c>
      <c r="AF76" s="49">
        <f t="shared" ca="1" si="60"/>
        <v>202</v>
      </c>
      <c r="AH76" s="50">
        <f t="shared" ca="1" si="8"/>
        <v>0.8732310886030622</v>
      </c>
      <c r="AI76" s="8">
        <f t="shared" si="79"/>
        <v>0.94</v>
      </c>
      <c r="AJ76" s="49">
        <f t="shared" ca="1" si="61"/>
        <v>221</v>
      </c>
      <c r="AL76" s="50">
        <f t="shared" ca="1" si="9"/>
        <v>0.70718654697084582</v>
      </c>
      <c r="AM76" s="8">
        <f t="shared" si="80"/>
        <v>0.94</v>
      </c>
      <c r="AN76" s="49">
        <f t="shared" ca="1" si="62"/>
        <v>159</v>
      </c>
      <c r="AP76" s="50">
        <f t="shared" ca="1" si="10"/>
        <v>0.34646225016126597</v>
      </c>
      <c r="AQ76" s="8">
        <f t="shared" si="81"/>
        <v>0.94</v>
      </c>
      <c r="AR76" s="49">
        <f t="shared" ca="1" si="63"/>
        <v>183</v>
      </c>
      <c r="AT76" s="50">
        <f t="shared" ca="1" si="11"/>
        <v>0.90388250205775722</v>
      </c>
      <c r="AU76" s="8">
        <f t="shared" si="82"/>
        <v>0.94</v>
      </c>
      <c r="AV76" s="49">
        <f t="shared" ca="1" si="64"/>
        <v>243</v>
      </c>
      <c r="AX76" s="50">
        <f t="shared" ca="1" si="12"/>
        <v>0.54711475924850483</v>
      </c>
      <c r="AY76" s="8">
        <f t="shared" si="83"/>
        <v>0.94</v>
      </c>
      <c r="AZ76" s="49">
        <f t="shared" ca="1" si="65"/>
        <v>175</v>
      </c>
      <c r="BB76" s="50">
        <f t="shared" ca="1" si="13"/>
        <v>0.36753042034976857</v>
      </c>
      <c r="BC76" s="8">
        <f t="shared" si="84"/>
        <v>0.94</v>
      </c>
      <c r="BD76" s="49">
        <f t="shared" ca="1" si="66"/>
        <v>137</v>
      </c>
      <c r="BF76" s="50">
        <f t="shared" ca="1" si="14"/>
        <v>0.95329283678436361</v>
      </c>
      <c r="BG76" s="8">
        <f t="shared" si="85"/>
        <v>0.94</v>
      </c>
      <c r="BH76" s="49">
        <f t="shared" ca="1" si="67"/>
        <v>224</v>
      </c>
      <c r="BJ76" s="50">
        <f t="shared" ca="1" si="15"/>
        <v>0.63056883035460265</v>
      </c>
      <c r="BK76" s="8">
        <f t="shared" si="86"/>
        <v>0.94</v>
      </c>
      <c r="BL76" s="49">
        <f t="shared" ca="1" si="68"/>
        <v>135</v>
      </c>
      <c r="BN76" s="50">
        <f t="shared" ca="1" si="16"/>
        <v>8.7627335145771812E-2</v>
      </c>
      <c r="BO76" s="8">
        <f t="shared" si="87"/>
        <v>0.94</v>
      </c>
      <c r="BP76" s="49">
        <f t="shared" ca="1" si="69"/>
        <v>105</v>
      </c>
      <c r="BR76" s="50">
        <f t="shared" ca="1" si="17"/>
        <v>0.93411404948181287</v>
      </c>
      <c r="BS76" s="8">
        <f t="shared" si="88"/>
        <v>0.94</v>
      </c>
      <c r="BT76" s="49">
        <f t="shared" ca="1" si="70"/>
        <v>242</v>
      </c>
    </row>
    <row r="77" spans="1:72" x14ac:dyDescent="0.2">
      <c r="A77" s="22">
        <v>44624</v>
      </c>
      <c r="B77" s="50">
        <f t="shared" ca="1" si="0"/>
        <v>0.64097671668006173</v>
      </c>
      <c r="C77" s="8">
        <f t="shared" si="71"/>
        <v>0.94</v>
      </c>
      <c r="D77" s="49">
        <f t="shared" ca="1" si="53"/>
        <v>101</v>
      </c>
      <c r="F77" s="50">
        <f t="shared" ca="1" si="1"/>
        <v>0.16349050137050014</v>
      </c>
      <c r="G77" s="8">
        <f t="shared" si="72"/>
        <v>0.94</v>
      </c>
      <c r="H77" s="49">
        <f t="shared" ca="1" si="54"/>
        <v>150</v>
      </c>
      <c r="J77" s="50">
        <f t="shared" ca="1" si="2"/>
        <v>0.84678392354987031</v>
      </c>
      <c r="K77" s="8">
        <f t="shared" si="73"/>
        <v>0.94</v>
      </c>
      <c r="L77" s="49">
        <f t="shared" ca="1" si="55"/>
        <v>180</v>
      </c>
      <c r="N77" s="50">
        <f t="shared" ca="1" si="3"/>
        <v>0.15891158988846266</v>
      </c>
      <c r="O77" s="8">
        <f t="shared" si="74"/>
        <v>0.94</v>
      </c>
      <c r="P77" s="49">
        <f t="shared" ca="1" si="56"/>
        <v>159</v>
      </c>
      <c r="R77" s="50">
        <f t="shared" ca="1" si="4"/>
        <v>0.26165383946846987</v>
      </c>
      <c r="S77" s="8">
        <f t="shared" si="75"/>
        <v>0.94</v>
      </c>
      <c r="T77" s="49">
        <f t="shared" ca="1" si="57"/>
        <v>109</v>
      </c>
      <c r="V77" s="50">
        <f t="shared" ca="1" si="5"/>
        <v>0.27601124167427993</v>
      </c>
      <c r="W77" s="8">
        <f t="shared" si="76"/>
        <v>0.94</v>
      </c>
      <c r="X77" s="49">
        <f t="shared" ca="1" si="58"/>
        <v>178</v>
      </c>
      <c r="Z77" s="50">
        <f t="shared" ca="1" si="6"/>
        <v>0.92326688897453768</v>
      </c>
      <c r="AA77" s="8">
        <f t="shared" si="77"/>
        <v>0.94</v>
      </c>
      <c r="AB77" s="49">
        <f t="shared" ca="1" si="59"/>
        <v>351</v>
      </c>
      <c r="AD77" s="50">
        <f t="shared" ca="1" si="7"/>
        <v>0.2284285766661841</v>
      </c>
      <c r="AE77" s="8">
        <f t="shared" si="78"/>
        <v>0.94</v>
      </c>
      <c r="AF77" s="49">
        <f t="shared" ca="1" si="60"/>
        <v>247</v>
      </c>
      <c r="AH77" s="50">
        <f t="shared" ca="1" si="8"/>
        <v>0.22605303008401423</v>
      </c>
      <c r="AI77" s="8">
        <f t="shared" si="79"/>
        <v>0.94</v>
      </c>
      <c r="AJ77" s="49">
        <f t="shared" ca="1" si="61"/>
        <v>136</v>
      </c>
      <c r="AL77" s="50">
        <f t="shared" ca="1" si="9"/>
        <v>0.41155003572804538</v>
      </c>
      <c r="AM77" s="8">
        <f t="shared" si="80"/>
        <v>0.94</v>
      </c>
      <c r="AN77" s="49">
        <f t="shared" ca="1" si="62"/>
        <v>131</v>
      </c>
      <c r="AP77" s="50">
        <f t="shared" ca="1" si="10"/>
        <v>0.21248689604620585</v>
      </c>
      <c r="AQ77" s="8">
        <f t="shared" si="81"/>
        <v>0.94</v>
      </c>
      <c r="AR77" s="49">
        <f t="shared" ca="1" si="63"/>
        <v>161</v>
      </c>
      <c r="AT77" s="50">
        <f t="shared" ca="1" si="11"/>
        <v>0.60743293066340198</v>
      </c>
      <c r="AU77" s="8">
        <f t="shared" si="82"/>
        <v>0.94</v>
      </c>
      <c r="AV77" s="49">
        <f t="shared" ca="1" si="64"/>
        <v>194</v>
      </c>
      <c r="AX77" s="50">
        <f t="shared" ca="1" si="12"/>
        <v>0.7272236270147947</v>
      </c>
      <c r="AY77" s="8">
        <f t="shared" si="83"/>
        <v>0.94</v>
      </c>
      <c r="AZ77" s="49">
        <f t="shared" ca="1" si="65"/>
        <v>197</v>
      </c>
      <c r="BB77" s="50">
        <f t="shared" ca="1" si="13"/>
        <v>0.15210350855956078</v>
      </c>
      <c r="BC77" s="8">
        <f t="shared" si="84"/>
        <v>0.94</v>
      </c>
      <c r="BD77" s="49">
        <f t="shared" ca="1" si="66"/>
        <v>109</v>
      </c>
      <c r="BF77" s="50">
        <f t="shared" ca="1" si="14"/>
        <v>0.60725248945071175</v>
      </c>
      <c r="BG77" s="8">
        <f t="shared" si="85"/>
        <v>0.94</v>
      </c>
      <c r="BH77" s="49">
        <f t="shared" ca="1" si="67"/>
        <v>166</v>
      </c>
      <c r="BJ77" s="50">
        <f t="shared" ca="1" si="15"/>
        <v>0.58368870989859745</v>
      </c>
      <c r="BK77" s="8">
        <f t="shared" si="86"/>
        <v>0.94</v>
      </c>
      <c r="BL77" s="49">
        <f t="shared" ca="1" si="68"/>
        <v>131</v>
      </c>
      <c r="BN77" s="50">
        <f t="shared" ca="1" si="16"/>
        <v>0.74981793019174592</v>
      </c>
      <c r="BO77" s="8">
        <f t="shared" si="87"/>
        <v>0.94</v>
      </c>
      <c r="BP77" s="49">
        <f t="shared" ca="1" si="69"/>
        <v>193</v>
      </c>
      <c r="BR77" s="50">
        <f t="shared" ca="1" si="17"/>
        <v>0.80636520591444116</v>
      </c>
      <c r="BS77" s="8">
        <f t="shared" si="88"/>
        <v>0.94</v>
      </c>
      <c r="BT77" s="49">
        <f t="shared" ca="1" si="70"/>
        <v>213</v>
      </c>
    </row>
    <row r="78" spans="1:72" x14ac:dyDescent="0.2">
      <c r="A78" s="22">
        <v>44625</v>
      </c>
      <c r="B78" s="50">
        <f t="shared" ca="1" si="0"/>
        <v>0.1049724672320369</v>
      </c>
      <c r="C78" s="8">
        <f t="shared" si="71"/>
        <v>0.94</v>
      </c>
      <c r="D78" s="49">
        <f t="shared" ca="1" si="53"/>
        <v>71</v>
      </c>
      <c r="F78" s="50">
        <f t="shared" ca="1" si="1"/>
        <v>0.18970332512618837</v>
      </c>
      <c r="G78" s="8">
        <f t="shared" si="72"/>
        <v>0.94</v>
      </c>
      <c r="H78" s="49">
        <f t="shared" ca="1" si="54"/>
        <v>156</v>
      </c>
      <c r="J78" s="50">
        <f t="shared" ca="1" si="2"/>
        <v>0.71352668386858464</v>
      </c>
      <c r="K78" s="8">
        <f t="shared" si="73"/>
        <v>0.94</v>
      </c>
      <c r="L78" s="49">
        <f t="shared" ca="1" si="55"/>
        <v>163</v>
      </c>
      <c r="N78" s="50">
        <f t="shared" ca="1" si="3"/>
        <v>0.6050671383967734</v>
      </c>
      <c r="O78" s="8">
        <f t="shared" si="74"/>
        <v>0.94</v>
      </c>
      <c r="P78" s="49">
        <f t="shared" ca="1" si="56"/>
        <v>231</v>
      </c>
      <c r="R78" s="50">
        <f t="shared" ca="1" si="4"/>
        <v>0.18461427631413363</v>
      </c>
      <c r="S78" s="8">
        <f t="shared" si="75"/>
        <v>0.94</v>
      </c>
      <c r="T78" s="49">
        <f t="shared" ca="1" si="57"/>
        <v>100</v>
      </c>
      <c r="V78" s="50">
        <f t="shared" ca="1" si="5"/>
        <v>0.75882314353680402</v>
      </c>
      <c r="W78" s="8">
        <f t="shared" si="76"/>
        <v>0.94</v>
      </c>
      <c r="X78" s="49">
        <f t="shared" ca="1" si="58"/>
        <v>252</v>
      </c>
      <c r="Z78" s="50">
        <f t="shared" ca="1" si="6"/>
        <v>0.90899489064179295</v>
      </c>
      <c r="AA78" s="8">
        <f t="shared" si="77"/>
        <v>0.94</v>
      </c>
      <c r="AB78" s="49">
        <f t="shared" ca="1" si="59"/>
        <v>345</v>
      </c>
      <c r="AD78" s="50">
        <f t="shared" ca="1" si="7"/>
        <v>6.0836152697469226E-2</v>
      </c>
      <c r="AE78" s="8">
        <f t="shared" si="78"/>
        <v>0.94</v>
      </c>
      <c r="AF78" s="49">
        <f t="shared" ca="1" si="60"/>
        <v>181</v>
      </c>
      <c r="AH78" s="50">
        <f t="shared" ca="1" si="8"/>
        <v>0.9208242143353359</v>
      </c>
      <c r="AI78" s="8">
        <f t="shared" si="79"/>
        <v>0.94</v>
      </c>
      <c r="AJ78" s="49">
        <f t="shared" ca="1" si="61"/>
        <v>233</v>
      </c>
      <c r="AL78" s="50">
        <f t="shared" ca="1" si="9"/>
        <v>0.21921864840921923</v>
      </c>
      <c r="AM78" s="8">
        <f t="shared" si="80"/>
        <v>0.94</v>
      </c>
      <c r="AN78" s="49">
        <f t="shared" ca="1" si="62"/>
        <v>110</v>
      </c>
      <c r="AP78" s="50">
        <f t="shared" ca="1" si="10"/>
        <v>0.55617557402670126</v>
      </c>
      <c r="AQ78" s="8">
        <f t="shared" si="81"/>
        <v>0.94</v>
      </c>
      <c r="AR78" s="49">
        <f t="shared" ca="1" si="63"/>
        <v>212</v>
      </c>
      <c r="AT78" s="50">
        <f t="shared" ca="1" si="11"/>
        <v>0.46601922721400746</v>
      </c>
      <c r="AU78" s="8">
        <f t="shared" si="82"/>
        <v>0.94</v>
      </c>
      <c r="AV78" s="49">
        <f t="shared" ca="1" si="64"/>
        <v>177</v>
      </c>
      <c r="AX78" s="50">
        <f t="shared" ca="1" si="12"/>
        <v>7.422005153390876E-2</v>
      </c>
      <c r="AY78" s="8">
        <f t="shared" si="83"/>
        <v>0.94</v>
      </c>
      <c r="AZ78" s="49">
        <f t="shared" ca="1" si="65"/>
        <v>104</v>
      </c>
      <c r="BB78" s="50">
        <f t="shared" ca="1" si="13"/>
        <v>0.42751927714642912</v>
      </c>
      <c r="BC78" s="8">
        <f t="shared" si="84"/>
        <v>0.94</v>
      </c>
      <c r="BD78" s="49">
        <f t="shared" ca="1" si="66"/>
        <v>143</v>
      </c>
      <c r="BF78" s="50">
        <f t="shared" ca="1" si="14"/>
        <v>0.72983671947873496</v>
      </c>
      <c r="BG78" s="8">
        <f t="shared" si="85"/>
        <v>0.94</v>
      </c>
      <c r="BH78" s="49">
        <f t="shared" ca="1" si="67"/>
        <v>180</v>
      </c>
      <c r="BJ78" s="50">
        <f t="shared" ca="1" si="15"/>
        <v>0.92896643727501049</v>
      </c>
      <c r="BK78" s="8">
        <f t="shared" si="86"/>
        <v>0.94</v>
      </c>
      <c r="BL78" s="49">
        <f t="shared" ca="1" si="68"/>
        <v>172</v>
      </c>
      <c r="BN78" s="50">
        <f t="shared" ca="1" si="16"/>
        <v>0.1423528111363368</v>
      </c>
      <c r="BO78" s="8">
        <f t="shared" si="87"/>
        <v>0.94</v>
      </c>
      <c r="BP78" s="49">
        <f t="shared" ca="1" si="69"/>
        <v>117</v>
      </c>
      <c r="BR78" s="50">
        <f t="shared" ca="1" si="17"/>
        <v>0.7979689843189437</v>
      </c>
      <c r="BS78" s="8">
        <f t="shared" si="88"/>
        <v>0.94</v>
      </c>
      <c r="BT78" s="49">
        <f t="shared" ca="1" si="70"/>
        <v>211</v>
      </c>
    </row>
    <row r="79" spans="1:72" x14ac:dyDescent="0.2">
      <c r="A79" s="22">
        <v>44626</v>
      </c>
      <c r="B79" s="50">
        <f t="shared" ca="1" si="0"/>
        <v>0.37327880205096586</v>
      </c>
      <c r="C79" s="8">
        <f t="shared" si="71"/>
        <v>0.94</v>
      </c>
      <c r="D79" s="49">
        <f t="shared" ca="1" si="53"/>
        <v>88</v>
      </c>
      <c r="F79" s="50">
        <f t="shared" ca="1" si="1"/>
        <v>0.36537940620151965</v>
      </c>
      <c r="G79" s="8">
        <f t="shared" si="72"/>
        <v>0.94</v>
      </c>
      <c r="H79" s="49">
        <f t="shared" ca="1" si="54"/>
        <v>184</v>
      </c>
      <c r="J79" s="50">
        <f t="shared" ca="1" si="2"/>
        <v>0.83702370023285078</v>
      </c>
      <c r="K79" s="8">
        <f t="shared" si="73"/>
        <v>0.94</v>
      </c>
      <c r="L79" s="49">
        <f t="shared" ca="1" si="55"/>
        <v>178</v>
      </c>
      <c r="N79" s="50">
        <f t="shared" ca="1" si="3"/>
        <v>0.90240202139701586</v>
      </c>
      <c r="O79" s="8">
        <f t="shared" si="74"/>
        <v>0.94</v>
      </c>
      <c r="P79" s="49">
        <f t="shared" ca="1" si="56"/>
        <v>291</v>
      </c>
      <c r="R79" s="50">
        <f t="shared" ca="1" si="4"/>
        <v>0.10956519463944747</v>
      </c>
      <c r="S79" s="8">
        <f t="shared" si="75"/>
        <v>0.94</v>
      </c>
      <c r="T79" s="49">
        <f t="shared" ca="1" si="57"/>
        <v>88</v>
      </c>
      <c r="V79" s="50">
        <f t="shared" ca="1" si="5"/>
        <v>8.5498682437826878E-2</v>
      </c>
      <c r="W79" s="8">
        <f t="shared" si="76"/>
        <v>0.94</v>
      </c>
      <c r="X79" s="49">
        <f t="shared" ca="1" si="58"/>
        <v>135</v>
      </c>
      <c r="Z79" s="50">
        <f t="shared" ca="1" si="6"/>
        <v>0.83086802126201886</v>
      </c>
      <c r="AA79" s="8">
        <f t="shared" si="77"/>
        <v>0.94</v>
      </c>
      <c r="AB79" s="49">
        <f t="shared" ca="1" si="59"/>
        <v>319</v>
      </c>
      <c r="AD79" s="50">
        <f t="shared" ca="1" si="7"/>
        <v>0.62615884385849041</v>
      </c>
      <c r="AE79" s="8">
        <f t="shared" si="78"/>
        <v>0.94</v>
      </c>
      <c r="AF79" s="49">
        <f t="shared" ca="1" si="60"/>
        <v>334</v>
      </c>
      <c r="AH79" s="50">
        <f t="shared" ca="1" si="8"/>
        <v>5.2741312635058324E-2</v>
      </c>
      <c r="AI79" s="8">
        <f t="shared" si="79"/>
        <v>0.94</v>
      </c>
      <c r="AJ79" s="49">
        <f t="shared" ca="1" si="61"/>
        <v>97</v>
      </c>
      <c r="AL79" s="50">
        <f t="shared" ca="1" si="9"/>
        <v>0.5548579330147948</v>
      </c>
      <c r="AM79" s="8">
        <f t="shared" si="80"/>
        <v>0.94</v>
      </c>
      <c r="AN79" s="49">
        <f t="shared" ca="1" si="62"/>
        <v>144</v>
      </c>
      <c r="AP79" s="50">
        <f t="shared" ca="1" si="10"/>
        <v>0.67194165809058493</v>
      </c>
      <c r="AQ79" s="8">
        <f t="shared" si="81"/>
        <v>0.94</v>
      </c>
      <c r="AR79" s="49">
        <f t="shared" ca="1" si="63"/>
        <v>228</v>
      </c>
      <c r="AT79" s="50">
        <f t="shared" ca="1" si="11"/>
        <v>0.37086930724083034</v>
      </c>
      <c r="AU79" s="8">
        <f t="shared" si="82"/>
        <v>0.94</v>
      </c>
      <c r="AV79" s="49">
        <f t="shared" ca="1" si="64"/>
        <v>165</v>
      </c>
      <c r="AX79" s="50">
        <f t="shared" ca="1" si="12"/>
        <v>8.9925859427308019E-2</v>
      </c>
      <c r="AY79" s="8">
        <f t="shared" si="83"/>
        <v>0.94</v>
      </c>
      <c r="AZ79" s="49">
        <f t="shared" ca="1" si="65"/>
        <v>109</v>
      </c>
      <c r="BB79" s="50">
        <f t="shared" ca="1" si="13"/>
        <v>0.53598010833750009</v>
      </c>
      <c r="BC79" s="8">
        <f t="shared" si="84"/>
        <v>0.94</v>
      </c>
      <c r="BD79" s="49">
        <f t="shared" ca="1" si="66"/>
        <v>154</v>
      </c>
      <c r="BF79" s="50">
        <f t="shared" ca="1" si="14"/>
        <v>0.58997372207489496</v>
      </c>
      <c r="BG79" s="8">
        <f t="shared" si="85"/>
        <v>0.94</v>
      </c>
      <c r="BH79" s="49">
        <f t="shared" ca="1" si="67"/>
        <v>165</v>
      </c>
      <c r="BJ79" s="50">
        <f t="shared" ca="1" si="15"/>
        <v>0.39227716977196336</v>
      </c>
      <c r="BK79" s="8">
        <f t="shared" si="86"/>
        <v>0.94</v>
      </c>
      <c r="BL79" s="49">
        <f t="shared" ca="1" si="68"/>
        <v>115</v>
      </c>
      <c r="BN79" s="50">
        <f t="shared" ca="1" si="16"/>
        <v>0.76091510913667582</v>
      </c>
      <c r="BO79" s="8">
        <f t="shared" si="87"/>
        <v>0.94</v>
      </c>
      <c r="BP79" s="49">
        <f t="shared" ca="1" si="69"/>
        <v>194</v>
      </c>
      <c r="BR79" s="50">
        <f t="shared" ca="1" si="17"/>
        <v>0.36001449751375236</v>
      </c>
      <c r="BS79" s="8">
        <f t="shared" si="88"/>
        <v>0.94</v>
      </c>
      <c r="BT79" s="49">
        <f t="shared" ca="1" si="70"/>
        <v>156</v>
      </c>
    </row>
    <row r="80" spans="1:72" x14ac:dyDescent="0.2">
      <c r="A80" s="22">
        <v>44627</v>
      </c>
      <c r="B80" s="50">
        <f t="shared" ca="1" si="0"/>
        <v>0.1456317903496569</v>
      </c>
      <c r="C80" s="8">
        <f t="shared" si="71"/>
        <v>0.94</v>
      </c>
      <c r="D80" s="49">
        <f t="shared" ca="1" si="53"/>
        <v>75</v>
      </c>
      <c r="F80" s="50">
        <f t="shared" ca="1" si="1"/>
        <v>0.52990349055441111</v>
      </c>
      <c r="G80" s="8">
        <f t="shared" si="72"/>
        <v>0.94</v>
      </c>
      <c r="H80" s="49">
        <f t="shared" ca="1" si="54"/>
        <v>207</v>
      </c>
      <c r="J80" s="50">
        <f t="shared" ca="1" si="2"/>
        <v>0.69945865909942628</v>
      </c>
      <c r="K80" s="8">
        <f t="shared" si="73"/>
        <v>0.94</v>
      </c>
      <c r="L80" s="49">
        <f t="shared" ca="1" si="55"/>
        <v>161</v>
      </c>
      <c r="N80" s="50">
        <f t="shared" ca="1" si="3"/>
        <v>0.66281268572327057</v>
      </c>
      <c r="O80" s="8">
        <f t="shared" si="74"/>
        <v>0.94</v>
      </c>
      <c r="P80" s="49">
        <f t="shared" ca="1" si="56"/>
        <v>240</v>
      </c>
      <c r="R80" s="50">
        <f t="shared" ca="1" si="4"/>
        <v>0.17600599480809453</v>
      </c>
      <c r="S80" s="8">
        <f t="shared" si="75"/>
        <v>0.94</v>
      </c>
      <c r="T80" s="49">
        <f t="shared" ca="1" si="57"/>
        <v>99</v>
      </c>
      <c r="V80" s="50">
        <f t="shared" ca="1" si="5"/>
        <v>0.60794526956975958</v>
      </c>
      <c r="W80" s="8">
        <f t="shared" si="76"/>
        <v>0.94</v>
      </c>
      <c r="X80" s="49">
        <f t="shared" ca="1" si="58"/>
        <v>227</v>
      </c>
      <c r="Z80" s="50">
        <f t="shared" ca="1" si="6"/>
        <v>2.7842809638704002E-2</v>
      </c>
      <c r="AA80" s="8">
        <f t="shared" si="77"/>
        <v>0.94</v>
      </c>
      <c r="AB80" s="49">
        <f t="shared" ca="1" si="59"/>
        <v>125</v>
      </c>
      <c r="AD80" s="50">
        <f t="shared" ca="1" si="7"/>
        <v>0.99633090850157024</v>
      </c>
      <c r="AE80" s="8">
        <f t="shared" si="78"/>
        <v>0.94</v>
      </c>
      <c r="AF80" s="49">
        <f t="shared" ca="1" si="60"/>
        <v>528</v>
      </c>
      <c r="AH80" s="50">
        <f t="shared" ca="1" si="8"/>
        <v>0.90987052024677317</v>
      </c>
      <c r="AI80" s="8">
        <f t="shared" si="79"/>
        <v>0.94</v>
      </c>
      <c r="AJ80" s="49">
        <f t="shared" ca="1" si="61"/>
        <v>230</v>
      </c>
      <c r="AL80" s="50">
        <f t="shared" ca="1" si="9"/>
        <v>0.8664698795827328</v>
      </c>
      <c r="AM80" s="8">
        <f t="shared" si="80"/>
        <v>0.94</v>
      </c>
      <c r="AN80" s="49">
        <f t="shared" ca="1" si="62"/>
        <v>180</v>
      </c>
      <c r="AP80" s="50">
        <f t="shared" ca="1" si="10"/>
        <v>0.90456539717920847</v>
      </c>
      <c r="AQ80" s="8">
        <f t="shared" si="81"/>
        <v>0.94</v>
      </c>
      <c r="AR80" s="49">
        <f t="shared" ca="1" si="63"/>
        <v>275</v>
      </c>
      <c r="AT80" s="50">
        <f t="shared" ca="1" si="11"/>
        <v>0.29068476283188049</v>
      </c>
      <c r="AU80" s="8">
        <f t="shared" si="82"/>
        <v>0.94</v>
      </c>
      <c r="AV80" s="49">
        <f t="shared" ca="1" si="64"/>
        <v>154</v>
      </c>
      <c r="AX80" s="50">
        <f t="shared" ca="1" si="12"/>
        <v>0.5049451137224571</v>
      </c>
      <c r="AY80" s="8">
        <f t="shared" si="83"/>
        <v>0.94</v>
      </c>
      <c r="AZ80" s="49">
        <f t="shared" ca="1" si="65"/>
        <v>170</v>
      </c>
      <c r="BB80" s="50">
        <f t="shared" ca="1" si="13"/>
        <v>6.380911869794148E-2</v>
      </c>
      <c r="BC80" s="8">
        <f t="shared" si="84"/>
        <v>0.94</v>
      </c>
      <c r="BD80" s="49">
        <f t="shared" ca="1" si="66"/>
        <v>90</v>
      </c>
      <c r="BF80" s="50">
        <f t="shared" ca="1" si="14"/>
        <v>0.65514199463126543</v>
      </c>
      <c r="BG80" s="8">
        <f t="shared" si="85"/>
        <v>0.94</v>
      </c>
      <c r="BH80" s="49">
        <f t="shared" ca="1" si="67"/>
        <v>172</v>
      </c>
      <c r="BJ80" s="50">
        <f t="shared" ca="1" si="15"/>
        <v>0.17257305984525306</v>
      </c>
      <c r="BK80" s="8">
        <f t="shared" si="86"/>
        <v>0.94</v>
      </c>
      <c r="BL80" s="49">
        <f t="shared" ca="1" si="68"/>
        <v>93</v>
      </c>
      <c r="BN80" s="50">
        <f t="shared" ca="1" si="16"/>
        <v>0.28115149744583867</v>
      </c>
      <c r="BO80" s="8">
        <f t="shared" si="87"/>
        <v>0.94</v>
      </c>
      <c r="BP80" s="49">
        <f t="shared" ca="1" si="69"/>
        <v>138</v>
      </c>
      <c r="BR80" s="50">
        <f t="shared" ca="1" si="17"/>
        <v>0.89279648156597047</v>
      </c>
      <c r="BS80" s="8">
        <f t="shared" si="88"/>
        <v>0.94</v>
      </c>
      <c r="BT80" s="49">
        <f t="shared" ca="1" si="70"/>
        <v>230</v>
      </c>
    </row>
    <row r="81" spans="1:72" x14ac:dyDescent="0.2">
      <c r="A81" s="22">
        <v>44628</v>
      </c>
      <c r="B81" s="50">
        <f t="shared" ca="1" si="0"/>
        <v>0.44581562186031531</v>
      </c>
      <c r="C81" s="8">
        <f t="shared" si="71"/>
        <v>0.94</v>
      </c>
      <c r="D81" s="49">
        <f t="shared" ca="1" si="53"/>
        <v>92</v>
      </c>
      <c r="F81" s="50">
        <f t="shared" ca="1" si="1"/>
        <v>0.50691771147599707</v>
      </c>
      <c r="G81" s="8">
        <f t="shared" si="72"/>
        <v>0.94</v>
      </c>
      <c r="H81" s="49">
        <f t="shared" ca="1" si="54"/>
        <v>204</v>
      </c>
      <c r="J81" s="50">
        <f t="shared" ca="1" si="2"/>
        <v>0.38867826875077749</v>
      </c>
      <c r="K81" s="8">
        <f t="shared" si="73"/>
        <v>0.94</v>
      </c>
      <c r="L81" s="49">
        <f t="shared" ca="1" si="55"/>
        <v>131</v>
      </c>
      <c r="N81" s="50">
        <f t="shared" ca="1" si="3"/>
        <v>1.4867606956254775E-2</v>
      </c>
      <c r="O81" s="8">
        <f t="shared" si="74"/>
        <v>0.94</v>
      </c>
      <c r="P81" s="49">
        <f t="shared" ca="1" si="56"/>
        <v>91</v>
      </c>
      <c r="R81" s="50">
        <f t="shared" ca="1" si="4"/>
        <v>0.88441786356744545</v>
      </c>
      <c r="S81" s="8">
        <f t="shared" si="75"/>
        <v>0.94</v>
      </c>
      <c r="T81" s="49">
        <f t="shared" ca="1" si="57"/>
        <v>173</v>
      </c>
      <c r="V81" s="50">
        <f t="shared" ca="1" si="5"/>
        <v>0.15943034499057229</v>
      </c>
      <c r="W81" s="8">
        <f t="shared" si="76"/>
        <v>0.94</v>
      </c>
      <c r="X81" s="49">
        <f t="shared" ca="1" si="58"/>
        <v>156</v>
      </c>
      <c r="Z81" s="50">
        <f t="shared" ca="1" si="6"/>
        <v>0.34433947353555927</v>
      </c>
      <c r="AA81" s="8">
        <f t="shared" si="77"/>
        <v>0.94</v>
      </c>
      <c r="AB81" s="49">
        <f t="shared" ca="1" si="59"/>
        <v>227</v>
      </c>
      <c r="AD81" s="50">
        <f t="shared" ca="1" si="7"/>
        <v>0.77430750604508203</v>
      </c>
      <c r="AE81" s="8">
        <f t="shared" si="78"/>
        <v>0.94</v>
      </c>
      <c r="AF81" s="49">
        <f t="shared" ca="1" si="60"/>
        <v>370</v>
      </c>
      <c r="AH81" s="50">
        <f t="shared" ca="1" si="8"/>
        <v>0.76465765782367312</v>
      </c>
      <c r="AI81" s="8">
        <f t="shared" si="79"/>
        <v>0.94</v>
      </c>
      <c r="AJ81" s="49">
        <f t="shared" ca="1" si="61"/>
        <v>202</v>
      </c>
      <c r="AL81" s="50">
        <f t="shared" ca="1" si="9"/>
        <v>0.70760575623958599</v>
      </c>
      <c r="AM81" s="8">
        <f t="shared" si="80"/>
        <v>0.94</v>
      </c>
      <c r="AN81" s="49">
        <f t="shared" ca="1" si="62"/>
        <v>159</v>
      </c>
      <c r="AP81" s="50">
        <f t="shared" ca="1" si="10"/>
        <v>0.99085839797383035</v>
      </c>
      <c r="AQ81" s="8">
        <f t="shared" si="81"/>
        <v>0.94</v>
      </c>
      <c r="AR81" s="49">
        <f t="shared" ca="1" si="63"/>
        <v>332</v>
      </c>
      <c r="AT81" s="50">
        <f t="shared" ca="1" si="11"/>
        <v>0.22310608506148233</v>
      </c>
      <c r="AU81" s="8">
        <f t="shared" si="82"/>
        <v>0.94</v>
      </c>
      <c r="AV81" s="49">
        <f t="shared" ca="1" si="64"/>
        <v>144</v>
      </c>
      <c r="AX81" s="50">
        <f t="shared" ca="1" si="12"/>
        <v>0.74102916261889296</v>
      </c>
      <c r="AY81" s="8">
        <f t="shared" si="83"/>
        <v>0.94</v>
      </c>
      <c r="AZ81" s="49">
        <f t="shared" ca="1" si="65"/>
        <v>199</v>
      </c>
      <c r="BB81" s="50">
        <f t="shared" ca="1" si="13"/>
        <v>0.96783426553385499</v>
      </c>
      <c r="BC81" s="8">
        <f t="shared" si="84"/>
        <v>0.94</v>
      </c>
      <c r="BD81" s="49">
        <f t="shared" ca="1" si="66"/>
        <v>225</v>
      </c>
      <c r="BF81" s="50">
        <f t="shared" ca="1" si="14"/>
        <v>0.42557086045870407</v>
      </c>
      <c r="BG81" s="8">
        <f t="shared" si="85"/>
        <v>0.94</v>
      </c>
      <c r="BH81" s="49">
        <f t="shared" ca="1" si="67"/>
        <v>147</v>
      </c>
      <c r="BJ81" s="50">
        <f t="shared" ca="1" si="15"/>
        <v>0.27790333882423435</v>
      </c>
      <c r="BK81" s="8">
        <f t="shared" si="86"/>
        <v>0.94</v>
      </c>
      <c r="BL81" s="49">
        <f t="shared" ca="1" si="68"/>
        <v>104</v>
      </c>
      <c r="BN81" s="50">
        <f t="shared" ca="1" si="16"/>
        <v>0.33508153835229626</v>
      </c>
      <c r="BO81" s="8">
        <f t="shared" si="87"/>
        <v>0.94</v>
      </c>
      <c r="BP81" s="49">
        <f t="shared" ca="1" si="69"/>
        <v>145</v>
      </c>
      <c r="BR81" s="50">
        <f t="shared" ca="1" si="17"/>
        <v>0.5942444328368891</v>
      </c>
      <c r="BS81" s="8">
        <f t="shared" si="88"/>
        <v>0.94</v>
      </c>
      <c r="BT81" s="49">
        <f t="shared" ca="1" si="70"/>
        <v>184</v>
      </c>
    </row>
    <row r="82" spans="1:72" x14ac:dyDescent="0.2">
      <c r="A82" s="22">
        <v>44629</v>
      </c>
      <c r="B82" s="50">
        <f t="shared" ca="1" si="0"/>
        <v>0.72182294489796917</v>
      </c>
      <c r="C82" s="8">
        <f t="shared" si="71"/>
        <v>0.94</v>
      </c>
      <c r="D82" s="49">
        <f t="shared" ca="1" si="53"/>
        <v>106</v>
      </c>
      <c r="F82" s="50">
        <f t="shared" ca="1" si="1"/>
        <v>0.55648085526197055</v>
      </c>
      <c r="G82" s="8">
        <f t="shared" si="72"/>
        <v>0.94</v>
      </c>
      <c r="H82" s="49">
        <f t="shared" ca="1" si="54"/>
        <v>211</v>
      </c>
      <c r="J82" s="50">
        <f t="shared" ca="1" si="2"/>
        <v>2.0243932834495881E-2</v>
      </c>
      <c r="K82" s="8">
        <f t="shared" si="73"/>
        <v>0.94</v>
      </c>
      <c r="L82" s="49">
        <f t="shared" ca="1" si="55"/>
        <v>64</v>
      </c>
      <c r="N82" s="50">
        <f t="shared" ca="1" si="3"/>
        <v>0.86375579162591909</v>
      </c>
      <c r="O82" s="8">
        <f t="shared" si="74"/>
        <v>0.94</v>
      </c>
      <c r="P82" s="49">
        <f t="shared" ca="1" si="56"/>
        <v>279</v>
      </c>
      <c r="R82" s="50">
        <f t="shared" ca="1" si="4"/>
        <v>0.27934176626084961</v>
      </c>
      <c r="S82" s="8">
        <f t="shared" si="75"/>
        <v>0.94</v>
      </c>
      <c r="T82" s="49">
        <f t="shared" ca="1" si="57"/>
        <v>111</v>
      </c>
      <c r="V82" s="50">
        <f t="shared" ca="1" si="5"/>
        <v>0.55314615496746733</v>
      </c>
      <c r="W82" s="8">
        <f t="shared" si="76"/>
        <v>0.94</v>
      </c>
      <c r="X82" s="49">
        <f t="shared" ca="1" si="58"/>
        <v>220</v>
      </c>
      <c r="Z82" s="50">
        <f t="shared" ca="1" si="6"/>
        <v>0.84600532933322214</v>
      </c>
      <c r="AA82" s="8">
        <f t="shared" si="77"/>
        <v>0.94</v>
      </c>
      <c r="AB82" s="49">
        <f t="shared" ca="1" si="59"/>
        <v>323</v>
      </c>
      <c r="AD82" s="50">
        <f t="shared" ca="1" si="7"/>
        <v>0.24743661234314307</v>
      </c>
      <c r="AE82" s="8">
        <f t="shared" si="78"/>
        <v>0.94</v>
      </c>
      <c r="AF82" s="49">
        <f t="shared" ca="1" si="60"/>
        <v>252</v>
      </c>
      <c r="AH82" s="50">
        <f t="shared" ca="1" si="8"/>
        <v>0.7983817942100323</v>
      </c>
      <c r="AI82" s="8">
        <f t="shared" si="79"/>
        <v>0.94</v>
      </c>
      <c r="AJ82" s="49">
        <f t="shared" ca="1" si="61"/>
        <v>207</v>
      </c>
      <c r="AL82" s="50">
        <f t="shared" ca="1" si="9"/>
        <v>0.28407488530937919</v>
      </c>
      <c r="AM82" s="8">
        <f t="shared" si="80"/>
        <v>0.94</v>
      </c>
      <c r="AN82" s="49">
        <f t="shared" ca="1" si="62"/>
        <v>118</v>
      </c>
      <c r="AP82" s="50">
        <f t="shared" ca="1" si="10"/>
        <v>0.71828005807474427</v>
      </c>
      <c r="AQ82" s="8">
        <f t="shared" si="81"/>
        <v>0.94</v>
      </c>
      <c r="AR82" s="49">
        <f t="shared" ca="1" si="63"/>
        <v>236</v>
      </c>
      <c r="AT82" s="50">
        <f t="shared" ca="1" si="11"/>
        <v>0.2394359056295482</v>
      </c>
      <c r="AU82" s="8">
        <f t="shared" si="82"/>
        <v>0.94</v>
      </c>
      <c r="AV82" s="49">
        <f t="shared" ca="1" si="64"/>
        <v>147</v>
      </c>
      <c r="AX82" s="50">
        <f t="shared" ca="1" si="12"/>
        <v>0.70738531535306193</v>
      </c>
      <c r="AY82" s="8">
        <f t="shared" si="83"/>
        <v>0.94</v>
      </c>
      <c r="AZ82" s="49">
        <f t="shared" ca="1" si="65"/>
        <v>194</v>
      </c>
      <c r="BB82" s="50">
        <f t="shared" ca="1" si="13"/>
        <v>0.80174552663421428</v>
      </c>
      <c r="BC82" s="8">
        <f t="shared" si="84"/>
        <v>0.94</v>
      </c>
      <c r="BD82" s="49">
        <f t="shared" ca="1" si="66"/>
        <v>184</v>
      </c>
      <c r="BF82" s="50">
        <f t="shared" ca="1" si="14"/>
        <v>0.84733423125893004</v>
      </c>
      <c r="BG82" s="8">
        <f t="shared" si="85"/>
        <v>0.94</v>
      </c>
      <c r="BH82" s="49">
        <f t="shared" ca="1" si="67"/>
        <v>197</v>
      </c>
      <c r="BJ82" s="50">
        <f t="shared" ca="1" si="15"/>
        <v>0.38539264256683425</v>
      </c>
      <c r="BK82" s="8">
        <f t="shared" si="86"/>
        <v>0.94</v>
      </c>
      <c r="BL82" s="49">
        <f t="shared" ca="1" si="68"/>
        <v>114</v>
      </c>
      <c r="BN82" s="50">
        <f t="shared" ca="1" si="16"/>
        <v>0.90960131999151428</v>
      </c>
      <c r="BO82" s="8">
        <f t="shared" si="87"/>
        <v>0.94</v>
      </c>
      <c r="BP82" s="49">
        <f t="shared" ca="1" si="69"/>
        <v>222</v>
      </c>
      <c r="BR82" s="50">
        <f t="shared" ca="1" si="17"/>
        <v>0.9729764131170705</v>
      </c>
      <c r="BS82" s="8">
        <f t="shared" si="88"/>
        <v>0.94</v>
      </c>
      <c r="BT82" s="49">
        <f t="shared" ca="1" si="70"/>
        <v>262</v>
      </c>
    </row>
    <row r="83" spans="1:72" x14ac:dyDescent="0.2">
      <c r="A83" s="22">
        <v>44630</v>
      </c>
      <c r="B83" s="50">
        <f t="shared" ca="1" si="0"/>
        <v>0.12424474302776511</v>
      </c>
      <c r="C83" s="8">
        <f t="shared" si="71"/>
        <v>0.94</v>
      </c>
      <c r="D83" s="49">
        <f t="shared" ca="1" si="53"/>
        <v>73</v>
      </c>
      <c r="F83" s="50">
        <f t="shared" ca="1" si="1"/>
        <v>0.99715293108894243</v>
      </c>
      <c r="G83" s="8">
        <f t="shared" si="72"/>
        <v>0.94</v>
      </c>
      <c r="H83" s="49">
        <f t="shared" ca="1" si="54"/>
        <v>352</v>
      </c>
      <c r="J83" s="50">
        <f t="shared" ca="1" si="2"/>
        <v>0.64371794075731181</v>
      </c>
      <c r="K83" s="8">
        <f t="shared" si="73"/>
        <v>0.94</v>
      </c>
      <c r="L83" s="49">
        <f t="shared" ca="1" si="55"/>
        <v>155</v>
      </c>
      <c r="N83" s="50">
        <f t="shared" ca="1" si="3"/>
        <v>0.3896600337069186</v>
      </c>
      <c r="O83" s="8">
        <f t="shared" si="74"/>
        <v>0.94</v>
      </c>
      <c r="P83" s="49">
        <f t="shared" ca="1" si="56"/>
        <v>200</v>
      </c>
      <c r="R83" s="50">
        <f t="shared" ca="1" si="4"/>
        <v>0.24738546782835324</v>
      </c>
      <c r="S83" s="8">
        <f t="shared" si="75"/>
        <v>0.94</v>
      </c>
      <c r="T83" s="49">
        <f t="shared" ca="1" si="57"/>
        <v>107</v>
      </c>
      <c r="V83" s="50">
        <f t="shared" ca="1" si="5"/>
        <v>0.80226014464294437</v>
      </c>
      <c r="W83" s="8">
        <f t="shared" si="76"/>
        <v>0.94</v>
      </c>
      <c r="X83" s="49">
        <f t="shared" ca="1" si="58"/>
        <v>260</v>
      </c>
      <c r="Z83" s="50">
        <f t="shared" ca="1" si="6"/>
        <v>0.84896168025788921</v>
      </c>
      <c r="AA83" s="8">
        <f t="shared" si="77"/>
        <v>0.94</v>
      </c>
      <c r="AB83" s="49">
        <f t="shared" ca="1" si="59"/>
        <v>324</v>
      </c>
      <c r="AD83" s="50">
        <f t="shared" ca="1" si="7"/>
        <v>0.12346186299450934</v>
      </c>
      <c r="AE83" s="8">
        <f t="shared" si="78"/>
        <v>0.94</v>
      </c>
      <c r="AF83" s="49">
        <f t="shared" ca="1" si="60"/>
        <v>213</v>
      </c>
      <c r="AH83" s="50">
        <f t="shared" ca="1" si="8"/>
        <v>0.1916839997191826</v>
      </c>
      <c r="AI83" s="8">
        <f t="shared" si="79"/>
        <v>0.94</v>
      </c>
      <c r="AJ83" s="49">
        <f t="shared" ca="1" si="61"/>
        <v>130</v>
      </c>
      <c r="AL83" s="50">
        <f t="shared" ca="1" si="9"/>
        <v>0.98219980308723287</v>
      </c>
      <c r="AM83" s="8">
        <f t="shared" si="80"/>
        <v>0.94</v>
      </c>
      <c r="AN83" s="49">
        <f t="shared" ca="1" si="62"/>
        <v>216</v>
      </c>
      <c r="AP83" s="50">
        <f t="shared" ca="1" si="10"/>
        <v>0.97619654036370263</v>
      </c>
      <c r="AQ83" s="8">
        <f t="shared" si="81"/>
        <v>0.94</v>
      </c>
      <c r="AR83" s="49">
        <f t="shared" ca="1" si="63"/>
        <v>312</v>
      </c>
      <c r="AT83" s="50">
        <f t="shared" ca="1" si="11"/>
        <v>0.48967193692068922</v>
      </c>
      <c r="AU83" s="8">
        <f t="shared" si="82"/>
        <v>0.94</v>
      </c>
      <c r="AV83" s="49">
        <f t="shared" ca="1" si="64"/>
        <v>179</v>
      </c>
      <c r="AX83" s="50">
        <f t="shared" ca="1" si="12"/>
        <v>0.89672124538911002</v>
      </c>
      <c r="AY83" s="8">
        <f t="shared" si="83"/>
        <v>0.94</v>
      </c>
      <c r="AZ83" s="49">
        <f t="shared" ca="1" si="65"/>
        <v>227</v>
      </c>
      <c r="BB83" s="50">
        <f t="shared" ca="1" si="13"/>
        <v>0.29604660673130945</v>
      </c>
      <c r="BC83" s="8">
        <f t="shared" si="84"/>
        <v>0.94</v>
      </c>
      <c r="BD83" s="49">
        <f t="shared" ca="1" si="66"/>
        <v>129</v>
      </c>
      <c r="BF83" s="50">
        <f t="shared" ca="1" si="14"/>
        <v>0.47306045371156591</v>
      </c>
      <c r="BG83" s="8">
        <f t="shared" si="85"/>
        <v>0.94</v>
      </c>
      <c r="BH83" s="49">
        <f t="shared" ca="1" si="67"/>
        <v>152</v>
      </c>
      <c r="BJ83" s="50">
        <f t="shared" ca="1" si="15"/>
        <v>0.2676065613750499</v>
      </c>
      <c r="BK83" s="8">
        <f t="shared" si="86"/>
        <v>0.94</v>
      </c>
      <c r="BL83" s="49">
        <f t="shared" ca="1" si="68"/>
        <v>103</v>
      </c>
      <c r="BN83" s="50">
        <f t="shared" ca="1" si="16"/>
        <v>0.42101654130957322</v>
      </c>
      <c r="BO83" s="8">
        <f t="shared" si="87"/>
        <v>0.94</v>
      </c>
      <c r="BP83" s="49">
        <f t="shared" ca="1" si="69"/>
        <v>155</v>
      </c>
      <c r="BR83" s="50">
        <f t="shared" ca="1" si="17"/>
        <v>0.82845085103437499</v>
      </c>
      <c r="BS83" s="8">
        <f t="shared" si="88"/>
        <v>0.94</v>
      </c>
      <c r="BT83" s="49">
        <f t="shared" ca="1" si="70"/>
        <v>217</v>
      </c>
    </row>
    <row r="84" spans="1:72" x14ac:dyDescent="0.2">
      <c r="A84" s="22">
        <v>44631</v>
      </c>
      <c r="B84" s="50">
        <f t="shared" ca="1" si="0"/>
        <v>0.68177954364300863</v>
      </c>
      <c r="C84" s="8">
        <f t="shared" si="71"/>
        <v>0.94</v>
      </c>
      <c r="D84" s="49">
        <f t="shared" ca="1" si="53"/>
        <v>103</v>
      </c>
      <c r="F84" s="50">
        <f t="shared" ca="1" si="1"/>
        <v>0.58732416245420371</v>
      </c>
      <c r="G84" s="8">
        <f t="shared" si="72"/>
        <v>0.94</v>
      </c>
      <c r="H84" s="49">
        <f t="shared" ca="1" si="54"/>
        <v>215</v>
      </c>
      <c r="J84" s="50">
        <f t="shared" ca="1" si="2"/>
        <v>0.37099490933380408</v>
      </c>
      <c r="K84" s="8">
        <f t="shared" si="73"/>
        <v>0.94</v>
      </c>
      <c r="L84" s="49">
        <f t="shared" ca="1" si="55"/>
        <v>129</v>
      </c>
      <c r="N84" s="50">
        <f t="shared" ca="1" si="3"/>
        <v>0.7360093342072902</v>
      </c>
      <c r="O84" s="8">
        <f t="shared" si="74"/>
        <v>0.94</v>
      </c>
      <c r="P84" s="49">
        <f t="shared" ca="1" si="56"/>
        <v>252</v>
      </c>
      <c r="R84" s="50">
        <f t="shared" ca="1" si="4"/>
        <v>0.43106953132342185</v>
      </c>
      <c r="S84" s="8">
        <f t="shared" si="75"/>
        <v>0.94</v>
      </c>
      <c r="T84" s="49">
        <f t="shared" ca="1" si="57"/>
        <v>125</v>
      </c>
      <c r="V84" s="50">
        <f t="shared" ca="1" si="5"/>
        <v>9.7509142825051964E-2</v>
      </c>
      <c r="W84" s="8">
        <f t="shared" si="76"/>
        <v>0.94</v>
      </c>
      <c r="X84" s="49">
        <f t="shared" ca="1" si="58"/>
        <v>139</v>
      </c>
      <c r="Z84" s="50">
        <f t="shared" ca="1" si="6"/>
        <v>0.73553027053644737</v>
      </c>
      <c r="AA84" s="8">
        <f t="shared" si="77"/>
        <v>0.94</v>
      </c>
      <c r="AB84" s="49">
        <f t="shared" ca="1" si="59"/>
        <v>297</v>
      </c>
      <c r="AD84" s="50">
        <f t="shared" ca="1" si="7"/>
        <v>0.2779153014851562</v>
      </c>
      <c r="AE84" s="8">
        <f t="shared" si="78"/>
        <v>0.94</v>
      </c>
      <c r="AF84" s="49">
        <f t="shared" ca="1" si="60"/>
        <v>260</v>
      </c>
      <c r="AH84" s="50">
        <f t="shared" ca="1" si="8"/>
        <v>0.26271523363295013</v>
      </c>
      <c r="AI84" s="8">
        <f t="shared" si="79"/>
        <v>0.94</v>
      </c>
      <c r="AJ84" s="49">
        <f t="shared" ca="1" si="61"/>
        <v>141</v>
      </c>
      <c r="AL84" s="50">
        <f t="shared" ca="1" si="9"/>
        <v>0.5813477883648992</v>
      </c>
      <c r="AM84" s="8">
        <f t="shared" si="80"/>
        <v>0.94</v>
      </c>
      <c r="AN84" s="49">
        <f t="shared" ca="1" si="62"/>
        <v>146</v>
      </c>
      <c r="AP84" s="50">
        <f t="shared" ca="1" si="10"/>
        <v>0.70774529548400844</v>
      </c>
      <c r="AQ84" s="8">
        <f t="shared" si="81"/>
        <v>0.94</v>
      </c>
      <c r="AR84" s="49">
        <f t="shared" ca="1" si="63"/>
        <v>234</v>
      </c>
      <c r="AT84" s="50">
        <f t="shared" ca="1" si="11"/>
        <v>0.87053664280707499</v>
      </c>
      <c r="AU84" s="8">
        <f t="shared" si="82"/>
        <v>0.94</v>
      </c>
      <c r="AV84" s="49">
        <f t="shared" ca="1" si="64"/>
        <v>235</v>
      </c>
      <c r="AX84" s="50">
        <f t="shared" ca="1" si="12"/>
        <v>0.51169295841437079</v>
      </c>
      <c r="AY84" s="8">
        <f t="shared" si="83"/>
        <v>0.94</v>
      </c>
      <c r="AZ84" s="49">
        <f t="shared" ca="1" si="65"/>
        <v>171</v>
      </c>
      <c r="BB84" s="50">
        <f t="shared" ca="1" si="13"/>
        <v>0.24947684957205996</v>
      </c>
      <c r="BC84" s="8">
        <f t="shared" si="84"/>
        <v>0.94</v>
      </c>
      <c r="BD84" s="49">
        <f t="shared" ca="1" si="66"/>
        <v>123</v>
      </c>
      <c r="BF84" s="50">
        <f t="shared" ca="1" si="14"/>
        <v>0.61987598244269349</v>
      </c>
      <c r="BG84" s="8">
        <f t="shared" si="85"/>
        <v>0.94</v>
      </c>
      <c r="BH84" s="49">
        <f t="shared" ca="1" si="67"/>
        <v>168</v>
      </c>
      <c r="BJ84" s="50">
        <f t="shared" ca="1" si="15"/>
        <v>0.49137854113130308</v>
      </c>
      <c r="BK84" s="8">
        <f t="shared" si="86"/>
        <v>0.94</v>
      </c>
      <c r="BL84" s="49">
        <f t="shared" ca="1" si="68"/>
        <v>123</v>
      </c>
      <c r="BN84" s="50">
        <f t="shared" ca="1" si="16"/>
        <v>0.5102911047212163</v>
      </c>
      <c r="BO84" s="8">
        <f t="shared" si="87"/>
        <v>0.94</v>
      </c>
      <c r="BP84" s="49">
        <f t="shared" ca="1" si="69"/>
        <v>165</v>
      </c>
      <c r="BR84" s="50">
        <f t="shared" ca="1" si="17"/>
        <v>0.66495512931552803</v>
      </c>
      <c r="BS84" s="8">
        <f t="shared" si="88"/>
        <v>0.94</v>
      </c>
      <c r="BT84" s="49">
        <f t="shared" ca="1" si="70"/>
        <v>193</v>
      </c>
    </row>
    <row r="85" spans="1:72" x14ac:dyDescent="0.2">
      <c r="A85" s="22">
        <v>44632</v>
      </c>
      <c r="B85" s="50">
        <f t="shared" ca="1" si="0"/>
        <v>0.21363103059066657</v>
      </c>
      <c r="C85" s="8">
        <f t="shared" si="71"/>
        <v>0.94</v>
      </c>
      <c r="D85" s="49">
        <f t="shared" ca="1" si="53"/>
        <v>80</v>
      </c>
      <c r="F85" s="50">
        <f t="shared" ca="1" si="1"/>
        <v>0.9587664344733362</v>
      </c>
      <c r="G85" s="8">
        <f t="shared" si="72"/>
        <v>0.94</v>
      </c>
      <c r="H85" s="49">
        <f t="shared" ca="1" si="54"/>
        <v>297</v>
      </c>
      <c r="J85" s="50">
        <f t="shared" ca="1" si="2"/>
        <v>0.28750011765002415</v>
      </c>
      <c r="K85" s="8">
        <f t="shared" si="73"/>
        <v>0.94</v>
      </c>
      <c r="L85" s="49">
        <f t="shared" ca="1" si="55"/>
        <v>120</v>
      </c>
      <c r="N85" s="50">
        <f t="shared" ca="1" si="3"/>
        <v>0.70460119435673707</v>
      </c>
      <c r="O85" s="8">
        <f t="shared" si="74"/>
        <v>0.94</v>
      </c>
      <c r="P85" s="49">
        <f t="shared" ca="1" si="56"/>
        <v>247</v>
      </c>
      <c r="R85" s="50">
        <f t="shared" ca="1" si="4"/>
        <v>0.21244083719674611</v>
      </c>
      <c r="S85" s="8">
        <f t="shared" si="75"/>
        <v>0.94</v>
      </c>
      <c r="T85" s="49">
        <f t="shared" ca="1" si="57"/>
        <v>103</v>
      </c>
      <c r="V85" s="50">
        <f t="shared" ca="1" si="5"/>
        <v>0.72603933420029487</v>
      </c>
      <c r="W85" s="8">
        <f t="shared" si="76"/>
        <v>0.94</v>
      </c>
      <c r="X85" s="49">
        <f t="shared" ca="1" si="58"/>
        <v>246</v>
      </c>
      <c r="Z85" s="50">
        <f t="shared" ca="1" si="6"/>
        <v>0.44154204449651602</v>
      </c>
      <c r="AA85" s="8">
        <f t="shared" si="77"/>
        <v>0.94</v>
      </c>
      <c r="AB85" s="49">
        <f t="shared" ca="1" si="59"/>
        <v>244</v>
      </c>
      <c r="AD85" s="50">
        <f t="shared" ca="1" si="7"/>
        <v>0.86957688892577645</v>
      </c>
      <c r="AE85" s="8">
        <f t="shared" si="78"/>
        <v>0.94</v>
      </c>
      <c r="AF85" s="49">
        <f t="shared" ca="1" si="60"/>
        <v>400</v>
      </c>
      <c r="AH85" s="50">
        <f t="shared" ca="1" si="8"/>
        <v>7.5018595694291368E-2</v>
      </c>
      <c r="AI85" s="8">
        <f t="shared" si="79"/>
        <v>0.94</v>
      </c>
      <c r="AJ85" s="49">
        <f t="shared" ca="1" si="61"/>
        <v>105</v>
      </c>
      <c r="AL85" s="50">
        <f t="shared" ca="1" si="9"/>
        <v>0.41934304436036651</v>
      </c>
      <c r="AM85" s="8">
        <f t="shared" si="80"/>
        <v>0.94</v>
      </c>
      <c r="AN85" s="49">
        <f t="shared" ca="1" si="62"/>
        <v>131</v>
      </c>
      <c r="AP85" s="50">
        <f t="shared" ca="1" si="10"/>
        <v>0.3212879501604935</v>
      </c>
      <c r="AQ85" s="8">
        <f t="shared" si="81"/>
        <v>0.94</v>
      </c>
      <c r="AR85" s="49">
        <f t="shared" ca="1" si="63"/>
        <v>179</v>
      </c>
      <c r="AT85" s="50">
        <f t="shared" ca="1" si="11"/>
        <v>0.37966930932589216</v>
      </c>
      <c r="AU85" s="8">
        <f t="shared" si="82"/>
        <v>0.94</v>
      </c>
      <c r="AV85" s="49">
        <f t="shared" ca="1" si="64"/>
        <v>166</v>
      </c>
      <c r="AX85" s="50">
        <f t="shared" ca="1" si="12"/>
        <v>7.2283700830328312E-2</v>
      </c>
      <c r="AY85" s="8">
        <f t="shared" si="83"/>
        <v>0.94</v>
      </c>
      <c r="AZ85" s="49">
        <f t="shared" ca="1" si="65"/>
        <v>104</v>
      </c>
      <c r="BB85" s="50">
        <f t="shared" ca="1" si="13"/>
        <v>0.3997930508839137</v>
      </c>
      <c r="BC85" s="8">
        <f t="shared" si="84"/>
        <v>0.94</v>
      </c>
      <c r="BD85" s="49">
        <f t="shared" ca="1" si="66"/>
        <v>140</v>
      </c>
      <c r="BF85" s="50">
        <f t="shared" ca="1" si="14"/>
        <v>0.79764794471710698</v>
      </c>
      <c r="BG85" s="8">
        <f t="shared" si="85"/>
        <v>0.94</v>
      </c>
      <c r="BH85" s="49">
        <f t="shared" ca="1" si="67"/>
        <v>190</v>
      </c>
      <c r="BJ85" s="50">
        <f t="shared" ca="1" si="15"/>
        <v>0.80594319676949855</v>
      </c>
      <c r="BK85" s="8">
        <f t="shared" si="86"/>
        <v>0.94</v>
      </c>
      <c r="BL85" s="49">
        <f t="shared" ca="1" si="68"/>
        <v>152</v>
      </c>
      <c r="BN85" s="50">
        <f t="shared" ca="1" si="16"/>
        <v>0.77223480390693178</v>
      </c>
      <c r="BO85" s="8">
        <f t="shared" si="87"/>
        <v>0.94</v>
      </c>
      <c r="BP85" s="49">
        <f t="shared" ca="1" si="69"/>
        <v>196</v>
      </c>
      <c r="BR85" s="50">
        <f t="shared" ca="1" si="17"/>
        <v>0.22383240764485557</v>
      </c>
      <c r="BS85" s="8">
        <f t="shared" si="88"/>
        <v>0.94</v>
      </c>
      <c r="BT85" s="49">
        <f t="shared" ca="1" si="70"/>
        <v>138</v>
      </c>
    </row>
    <row r="86" spans="1:72" x14ac:dyDescent="0.2">
      <c r="A86" s="22">
        <v>44633</v>
      </c>
      <c r="B86" s="50">
        <f t="shared" ca="1" si="0"/>
        <v>0.28641197864335566</v>
      </c>
      <c r="C86" s="8">
        <f t="shared" si="71"/>
        <v>0.94</v>
      </c>
      <c r="D86" s="49">
        <f t="shared" ca="1" si="53"/>
        <v>84</v>
      </c>
      <c r="F86" s="50">
        <f t="shared" ca="1" si="1"/>
        <v>0.13564549991776365</v>
      </c>
      <c r="G86" s="8">
        <f t="shared" si="72"/>
        <v>0.94</v>
      </c>
      <c r="H86" s="49">
        <f t="shared" ca="1" si="54"/>
        <v>144</v>
      </c>
      <c r="J86" s="50">
        <f t="shared" ca="1" si="2"/>
        <v>0.87549548325440585</v>
      </c>
      <c r="K86" s="8">
        <f t="shared" si="73"/>
        <v>0.94</v>
      </c>
      <c r="L86" s="49">
        <f t="shared" ca="1" si="55"/>
        <v>185</v>
      </c>
      <c r="N86" s="50">
        <f t="shared" ca="1" si="3"/>
        <v>0.51073016507156943</v>
      </c>
      <c r="O86" s="8">
        <f t="shared" si="74"/>
        <v>0.94</v>
      </c>
      <c r="P86" s="49">
        <f t="shared" ca="1" si="56"/>
        <v>218</v>
      </c>
      <c r="R86" s="50">
        <f t="shared" ca="1" si="4"/>
        <v>0.56256696909936399</v>
      </c>
      <c r="S86" s="8">
        <f t="shared" si="75"/>
        <v>0.94</v>
      </c>
      <c r="T86" s="49">
        <f t="shared" ca="1" si="57"/>
        <v>136</v>
      </c>
      <c r="V86" s="50">
        <f t="shared" ca="1" si="5"/>
        <v>0.35375657645762371</v>
      </c>
      <c r="W86" s="8">
        <f t="shared" si="76"/>
        <v>0.94</v>
      </c>
      <c r="X86" s="49">
        <f t="shared" ca="1" si="58"/>
        <v>191</v>
      </c>
      <c r="Z86" s="50">
        <f t="shared" ca="1" si="6"/>
        <v>0.77708328760680334</v>
      </c>
      <c r="AA86" s="8">
        <f t="shared" si="77"/>
        <v>0.94</v>
      </c>
      <c r="AB86" s="49">
        <f t="shared" ca="1" si="59"/>
        <v>306</v>
      </c>
      <c r="AD86" s="50">
        <f t="shared" ca="1" si="7"/>
        <v>9.9996156849151197E-2</v>
      </c>
      <c r="AE86" s="8">
        <f t="shared" si="78"/>
        <v>0.94</v>
      </c>
      <c r="AF86" s="49">
        <f t="shared" ca="1" si="60"/>
        <v>203</v>
      </c>
      <c r="AH86" s="50">
        <f t="shared" ca="1" si="8"/>
        <v>0.675655544359546</v>
      </c>
      <c r="AI86" s="8">
        <f t="shared" si="79"/>
        <v>0.94</v>
      </c>
      <c r="AJ86" s="49">
        <f t="shared" ca="1" si="61"/>
        <v>190</v>
      </c>
      <c r="AL86" s="50">
        <f t="shared" ca="1" si="9"/>
        <v>0.22358095464354233</v>
      </c>
      <c r="AM86" s="8">
        <f t="shared" si="80"/>
        <v>0.94</v>
      </c>
      <c r="AN86" s="49">
        <f t="shared" ca="1" si="62"/>
        <v>111</v>
      </c>
      <c r="AP86" s="50">
        <f t="shared" ca="1" si="10"/>
        <v>0.54924923593406128</v>
      </c>
      <c r="AQ86" s="8">
        <f t="shared" si="81"/>
        <v>0.94</v>
      </c>
      <c r="AR86" s="49">
        <f t="shared" ca="1" si="63"/>
        <v>211</v>
      </c>
      <c r="AT86" s="50">
        <f t="shared" ca="1" si="11"/>
        <v>0.21950481190685855</v>
      </c>
      <c r="AU86" s="8">
        <f t="shared" si="82"/>
        <v>0.94</v>
      </c>
      <c r="AV86" s="49">
        <f t="shared" ca="1" si="64"/>
        <v>144</v>
      </c>
      <c r="AX86" s="50">
        <f t="shared" ca="1" si="12"/>
        <v>0.80148381981919836</v>
      </c>
      <c r="AY86" s="8">
        <f t="shared" si="83"/>
        <v>0.94</v>
      </c>
      <c r="AZ86" s="49">
        <f t="shared" ca="1" si="65"/>
        <v>208</v>
      </c>
      <c r="BB86" s="50">
        <f t="shared" ca="1" si="13"/>
        <v>0.63233338238882986</v>
      </c>
      <c r="BC86" s="8">
        <f t="shared" si="84"/>
        <v>0.94</v>
      </c>
      <c r="BD86" s="49">
        <f t="shared" ca="1" si="66"/>
        <v>164</v>
      </c>
      <c r="BF86" s="50">
        <f t="shared" ca="1" si="14"/>
        <v>0.76530792719953211</v>
      </c>
      <c r="BG86" s="8">
        <f t="shared" si="85"/>
        <v>0.94</v>
      </c>
      <c r="BH86" s="49">
        <f t="shared" ca="1" si="67"/>
        <v>185</v>
      </c>
      <c r="BJ86" s="50">
        <f t="shared" ca="1" si="15"/>
        <v>0.16768464968439789</v>
      </c>
      <c r="BK86" s="8">
        <f t="shared" si="86"/>
        <v>0.94</v>
      </c>
      <c r="BL86" s="49">
        <f t="shared" ca="1" si="68"/>
        <v>92</v>
      </c>
      <c r="BN86" s="50">
        <f t="shared" ca="1" si="16"/>
        <v>0.98142195003227672</v>
      </c>
      <c r="BO86" s="8">
        <f t="shared" si="87"/>
        <v>0.94</v>
      </c>
      <c r="BP86" s="49">
        <f t="shared" ca="1" si="69"/>
        <v>254</v>
      </c>
      <c r="BR86" s="50">
        <f t="shared" ca="1" si="17"/>
        <v>0.56239436556588007</v>
      </c>
      <c r="BS86" s="8">
        <f t="shared" si="88"/>
        <v>0.94</v>
      </c>
      <c r="BT86" s="49">
        <f t="shared" ca="1" si="70"/>
        <v>180</v>
      </c>
    </row>
    <row r="87" spans="1:72" x14ac:dyDescent="0.2">
      <c r="A87" s="22">
        <v>44634</v>
      </c>
      <c r="B87" s="50">
        <f t="shared" ca="1" si="0"/>
        <v>0.38650387884031634</v>
      </c>
      <c r="C87" s="8">
        <f t="shared" si="71"/>
        <v>0.94</v>
      </c>
      <c r="D87" s="49">
        <f t="shared" ca="1" si="53"/>
        <v>89</v>
      </c>
      <c r="F87" s="50">
        <f t="shared" ca="1" si="1"/>
        <v>0.26729958114458063</v>
      </c>
      <c r="G87" s="8">
        <f t="shared" si="72"/>
        <v>0.94</v>
      </c>
      <c r="H87" s="49">
        <f t="shared" ca="1" si="54"/>
        <v>169</v>
      </c>
      <c r="J87" s="50">
        <f t="shared" ca="1" si="2"/>
        <v>0.23622285305627455</v>
      </c>
      <c r="K87" s="8">
        <f t="shared" si="73"/>
        <v>0.94</v>
      </c>
      <c r="L87" s="49">
        <f t="shared" ca="1" si="55"/>
        <v>114</v>
      </c>
      <c r="N87" s="50">
        <f t="shared" ca="1" si="3"/>
        <v>0.94058371049663425</v>
      </c>
      <c r="O87" s="8">
        <f t="shared" si="74"/>
        <v>0.94</v>
      </c>
      <c r="P87" s="49">
        <f t="shared" ca="1" si="56"/>
        <v>306</v>
      </c>
      <c r="R87" s="50">
        <f t="shared" ca="1" si="4"/>
        <v>6.1771696457615932E-2</v>
      </c>
      <c r="S87" s="8">
        <f t="shared" si="75"/>
        <v>0.94</v>
      </c>
      <c r="T87" s="49">
        <f t="shared" ca="1" si="57"/>
        <v>77</v>
      </c>
      <c r="V87" s="50">
        <f t="shared" ca="1" si="5"/>
        <v>0.3493097115417727</v>
      </c>
      <c r="W87" s="8">
        <f t="shared" si="76"/>
        <v>0.94</v>
      </c>
      <c r="X87" s="49">
        <f t="shared" ca="1" si="58"/>
        <v>190</v>
      </c>
      <c r="Z87" s="50">
        <f t="shared" ca="1" si="6"/>
        <v>0.91421488600091405</v>
      </c>
      <c r="AA87" s="8">
        <f t="shared" si="77"/>
        <v>0.94</v>
      </c>
      <c r="AB87" s="49">
        <f t="shared" ca="1" si="59"/>
        <v>347</v>
      </c>
      <c r="AD87" s="50">
        <f t="shared" ca="1" si="7"/>
        <v>0.20551125805579817</v>
      </c>
      <c r="AE87" s="8">
        <f t="shared" si="78"/>
        <v>0.94</v>
      </c>
      <c r="AF87" s="49">
        <f t="shared" ca="1" si="60"/>
        <v>240</v>
      </c>
      <c r="AH87" s="50">
        <f t="shared" ca="1" si="8"/>
        <v>0.60882601219189991</v>
      </c>
      <c r="AI87" s="8">
        <f t="shared" si="79"/>
        <v>0.94</v>
      </c>
      <c r="AJ87" s="49">
        <f t="shared" ca="1" si="61"/>
        <v>182</v>
      </c>
      <c r="AL87" s="50">
        <f t="shared" ca="1" si="9"/>
        <v>0.76912054883796255</v>
      </c>
      <c r="AM87" s="8">
        <f t="shared" si="80"/>
        <v>0.94</v>
      </c>
      <c r="AN87" s="49">
        <f t="shared" ca="1" si="62"/>
        <v>166</v>
      </c>
      <c r="AP87" s="50">
        <f t="shared" ca="1" si="10"/>
        <v>0.81417826628203427</v>
      </c>
      <c r="AQ87" s="8">
        <f t="shared" si="81"/>
        <v>0.94</v>
      </c>
      <c r="AR87" s="49">
        <f t="shared" ca="1" si="63"/>
        <v>253</v>
      </c>
      <c r="AT87" s="50">
        <f t="shared" ca="1" si="11"/>
        <v>0.11318051017103703</v>
      </c>
      <c r="AU87" s="8">
        <f t="shared" si="82"/>
        <v>0.94</v>
      </c>
      <c r="AV87" s="49">
        <f t="shared" ca="1" si="64"/>
        <v>123</v>
      </c>
      <c r="AX87" s="50">
        <f t="shared" ca="1" si="12"/>
        <v>0.4575379671681099</v>
      </c>
      <c r="AY87" s="8">
        <f t="shared" si="83"/>
        <v>0.94</v>
      </c>
      <c r="AZ87" s="49">
        <f t="shared" ca="1" si="65"/>
        <v>165</v>
      </c>
      <c r="BB87" s="50">
        <f t="shared" ca="1" si="13"/>
        <v>0.73940726200696671</v>
      </c>
      <c r="BC87" s="8">
        <f t="shared" si="84"/>
        <v>0.94</v>
      </c>
      <c r="BD87" s="49">
        <f t="shared" ca="1" si="66"/>
        <v>176</v>
      </c>
      <c r="BF87" s="50">
        <f t="shared" ca="1" si="14"/>
        <v>0.16581970969276782</v>
      </c>
      <c r="BG87" s="8">
        <f t="shared" si="85"/>
        <v>0.94</v>
      </c>
      <c r="BH87" s="49">
        <f t="shared" ca="1" si="67"/>
        <v>115</v>
      </c>
      <c r="BJ87" s="50">
        <f t="shared" ca="1" si="15"/>
        <v>1.1979460458345526E-2</v>
      </c>
      <c r="BK87" s="8">
        <f t="shared" si="86"/>
        <v>0.94</v>
      </c>
      <c r="BL87" s="49">
        <f t="shared" ca="1" si="68"/>
        <v>49</v>
      </c>
      <c r="BN87" s="50">
        <f t="shared" ca="1" si="16"/>
        <v>0.8463951579850183</v>
      </c>
      <c r="BO87" s="8">
        <f t="shared" si="87"/>
        <v>0.94</v>
      </c>
      <c r="BP87" s="49">
        <f t="shared" ca="1" si="69"/>
        <v>208</v>
      </c>
      <c r="BR87" s="50">
        <f t="shared" ca="1" si="17"/>
        <v>0.45511774190069298</v>
      </c>
      <c r="BS87" s="8">
        <f t="shared" si="88"/>
        <v>0.94</v>
      </c>
      <c r="BT87" s="49">
        <f t="shared" ca="1" si="70"/>
        <v>168</v>
      </c>
    </row>
    <row r="88" spans="1:72" x14ac:dyDescent="0.2">
      <c r="A88" s="22">
        <v>44635</v>
      </c>
      <c r="B88" s="50">
        <f t="shared" ca="1" si="0"/>
        <v>0.99972077275275339</v>
      </c>
      <c r="C88" s="8">
        <f t="shared" si="71"/>
        <v>0.94</v>
      </c>
      <c r="D88" s="49">
        <f t="shared" ca="1" si="53"/>
        <v>159</v>
      </c>
      <c r="F88" s="50">
        <f t="shared" ca="1" si="1"/>
        <v>0.13338698457161458</v>
      </c>
      <c r="G88" s="8">
        <f t="shared" si="72"/>
        <v>0.94</v>
      </c>
      <c r="H88" s="49">
        <f t="shared" ca="1" si="54"/>
        <v>143</v>
      </c>
      <c r="J88" s="50">
        <f t="shared" ca="1" si="2"/>
        <v>1.4728612252904338E-2</v>
      </c>
      <c r="K88" s="8">
        <f t="shared" si="73"/>
        <v>0.94</v>
      </c>
      <c r="L88" s="49">
        <f t="shared" ca="1" si="55"/>
        <v>60</v>
      </c>
      <c r="N88" s="50">
        <f t="shared" ca="1" si="3"/>
        <v>0.19219133253293297</v>
      </c>
      <c r="O88" s="8">
        <f t="shared" si="74"/>
        <v>0.94</v>
      </c>
      <c r="P88" s="49">
        <f t="shared" ca="1" si="56"/>
        <v>166</v>
      </c>
      <c r="R88" s="50">
        <f t="shared" ca="1" si="4"/>
        <v>0.70040990932603153</v>
      </c>
      <c r="S88" s="8">
        <f t="shared" si="75"/>
        <v>0.94</v>
      </c>
      <c r="T88" s="49">
        <f t="shared" ca="1" si="57"/>
        <v>149</v>
      </c>
      <c r="V88" s="50">
        <f t="shared" ca="1" si="5"/>
        <v>0.90270609381929534</v>
      </c>
      <c r="W88" s="8">
        <f t="shared" si="76"/>
        <v>0.94</v>
      </c>
      <c r="X88" s="49">
        <f t="shared" ca="1" si="58"/>
        <v>285</v>
      </c>
      <c r="Z88" s="50">
        <f t="shared" ca="1" si="6"/>
        <v>0.88426725518810168</v>
      </c>
      <c r="AA88" s="8">
        <f t="shared" si="77"/>
        <v>0.94</v>
      </c>
      <c r="AB88" s="49">
        <f t="shared" ca="1" si="59"/>
        <v>335</v>
      </c>
      <c r="AD88" s="50">
        <f t="shared" ca="1" si="7"/>
        <v>0.85891357816714886</v>
      </c>
      <c r="AE88" s="8">
        <f t="shared" si="78"/>
        <v>0.94</v>
      </c>
      <c r="AF88" s="49">
        <f t="shared" ca="1" si="60"/>
        <v>396</v>
      </c>
      <c r="AH88" s="50">
        <f t="shared" ca="1" si="8"/>
        <v>0.30826441391437509</v>
      </c>
      <c r="AI88" s="8">
        <f t="shared" si="79"/>
        <v>0.94</v>
      </c>
      <c r="AJ88" s="49">
        <f t="shared" ca="1" si="61"/>
        <v>147</v>
      </c>
      <c r="AL88" s="50">
        <f t="shared" ca="1" si="9"/>
        <v>0.46648605391720532</v>
      </c>
      <c r="AM88" s="8">
        <f t="shared" si="80"/>
        <v>0.94</v>
      </c>
      <c r="AN88" s="49">
        <f t="shared" ca="1" si="62"/>
        <v>136</v>
      </c>
      <c r="AP88" s="50">
        <f t="shared" ca="1" si="10"/>
        <v>0.69472445226990398</v>
      </c>
      <c r="AQ88" s="8">
        <f t="shared" si="81"/>
        <v>0.94</v>
      </c>
      <c r="AR88" s="49">
        <f t="shared" ca="1" si="63"/>
        <v>232</v>
      </c>
      <c r="AT88" s="50">
        <f t="shared" ca="1" si="11"/>
        <v>0.43463482530828235</v>
      </c>
      <c r="AU88" s="8">
        <f t="shared" si="82"/>
        <v>0.94</v>
      </c>
      <c r="AV88" s="49">
        <f t="shared" ca="1" si="64"/>
        <v>173</v>
      </c>
      <c r="AX88" s="50">
        <f t="shared" ca="1" si="12"/>
        <v>0.95146843529747105</v>
      </c>
      <c r="AY88" s="8">
        <f t="shared" si="83"/>
        <v>0.94</v>
      </c>
      <c r="AZ88" s="49">
        <f t="shared" ca="1" si="65"/>
        <v>244</v>
      </c>
      <c r="BB88" s="50">
        <f t="shared" ca="1" si="13"/>
        <v>0.57750248131804904</v>
      </c>
      <c r="BC88" s="8">
        <f t="shared" si="84"/>
        <v>0.94</v>
      </c>
      <c r="BD88" s="49">
        <f t="shared" ca="1" si="66"/>
        <v>158</v>
      </c>
      <c r="BF88" s="50">
        <f t="shared" ca="1" si="14"/>
        <v>0.85852010616265306</v>
      </c>
      <c r="BG88" s="8">
        <f t="shared" si="85"/>
        <v>0.94</v>
      </c>
      <c r="BH88" s="49">
        <f t="shared" ca="1" si="67"/>
        <v>199</v>
      </c>
      <c r="BJ88" s="50">
        <f t="shared" ca="1" si="15"/>
        <v>8.3618019751411032E-2</v>
      </c>
      <c r="BK88" s="8">
        <f t="shared" si="86"/>
        <v>0.94</v>
      </c>
      <c r="BL88" s="49">
        <f t="shared" ca="1" si="68"/>
        <v>78</v>
      </c>
      <c r="BN88" s="50">
        <f t="shared" ca="1" si="16"/>
        <v>4.903535721110186E-2</v>
      </c>
      <c r="BO88" s="8">
        <f t="shared" si="87"/>
        <v>0.94</v>
      </c>
      <c r="BP88" s="49">
        <f t="shared" ca="1" si="69"/>
        <v>92</v>
      </c>
      <c r="BR88" s="50">
        <f t="shared" ca="1" si="17"/>
        <v>0.14582519092847412</v>
      </c>
      <c r="BS88" s="8">
        <f t="shared" si="88"/>
        <v>0.94</v>
      </c>
      <c r="BT88" s="49">
        <f t="shared" ca="1" si="70"/>
        <v>124</v>
      </c>
    </row>
    <row r="89" spans="1:72" x14ac:dyDescent="0.2">
      <c r="A89" s="22">
        <v>44636</v>
      </c>
      <c r="B89" s="50">
        <f t="shared" ca="1" si="0"/>
        <v>0.93700296237996628</v>
      </c>
      <c r="C89" s="8">
        <f t="shared" si="71"/>
        <v>0.94</v>
      </c>
      <c r="D89" s="49">
        <f t="shared" ca="1" si="53"/>
        <v>123</v>
      </c>
      <c r="F89" s="50">
        <f t="shared" ca="1" si="1"/>
        <v>4.1376410974129141E-2</v>
      </c>
      <c r="G89" s="8">
        <f t="shared" si="72"/>
        <v>0.94</v>
      </c>
      <c r="H89" s="49">
        <f t="shared" ca="1" si="54"/>
        <v>109</v>
      </c>
      <c r="J89" s="50">
        <f t="shared" ca="1" si="2"/>
        <v>0.83631681565946214</v>
      </c>
      <c r="K89" s="8">
        <f t="shared" si="73"/>
        <v>0.94</v>
      </c>
      <c r="L89" s="49">
        <f t="shared" ca="1" si="55"/>
        <v>178</v>
      </c>
      <c r="N89" s="50">
        <f t="shared" ca="1" si="3"/>
        <v>7.5873316294468363E-2</v>
      </c>
      <c r="O89" s="8">
        <f t="shared" si="74"/>
        <v>0.94</v>
      </c>
      <c r="P89" s="49">
        <f t="shared" ca="1" si="56"/>
        <v>134</v>
      </c>
      <c r="R89" s="50">
        <f t="shared" ca="1" si="4"/>
        <v>0.84735225303025197</v>
      </c>
      <c r="S89" s="8">
        <f t="shared" si="75"/>
        <v>0.94</v>
      </c>
      <c r="T89" s="49">
        <f t="shared" ca="1" si="57"/>
        <v>167</v>
      </c>
      <c r="V89" s="50">
        <f t="shared" ca="1" si="5"/>
        <v>0.39329000072447562</v>
      </c>
      <c r="W89" s="8">
        <f t="shared" si="76"/>
        <v>0.94</v>
      </c>
      <c r="X89" s="49">
        <f t="shared" ca="1" si="58"/>
        <v>197</v>
      </c>
      <c r="Z89" s="50">
        <f t="shared" ca="1" si="6"/>
        <v>7.1670098202682664E-2</v>
      </c>
      <c r="AA89" s="8">
        <f t="shared" si="77"/>
        <v>0.94</v>
      </c>
      <c r="AB89" s="49">
        <f t="shared" ca="1" si="59"/>
        <v>155</v>
      </c>
      <c r="AD89" s="50">
        <f t="shared" ca="1" si="7"/>
        <v>0.98824494895872628</v>
      </c>
      <c r="AE89" s="8">
        <f t="shared" si="78"/>
        <v>0.94</v>
      </c>
      <c r="AF89" s="49">
        <f t="shared" ca="1" si="60"/>
        <v>494</v>
      </c>
      <c r="AH89" s="50">
        <f t="shared" ca="1" si="8"/>
        <v>0.85673848856157231</v>
      </c>
      <c r="AI89" s="8">
        <f t="shared" si="79"/>
        <v>0.94</v>
      </c>
      <c r="AJ89" s="49">
        <f t="shared" ca="1" si="61"/>
        <v>218</v>
      </c>
      <c r="AL89" s="50">
        <f t="shared" ca="1" si="9"/>
        <v>0.68656802419219853</v>
      </c>
      <c r="AM89" s="8">
        <f t="shared" si="80"/>
        <v>0.94</v>
      </c>
      <c r="AN89" s="49">
        <f t="shared" ca="1" si="62"/>
        <v>157</v>
      </c>
      <c r="AP89" s="50">
        <f t="shared" ca="1" si="10"/>
        <v>0.94522257370915108</v>
      </c>
      <c r="AQ89" s="8">
        <f t="shared" si="81"/>
        <v>0.94</v>
      </c>
      <c r="AR89" s="49">
        <f t="shared" ca="1" si="63"/>
        <v>291</v>
      </c>
      <c r="AT89" s="50">
        <f t="shared" ca="1" si="11"/>
        <v>0.41722159678964754</v>
      </c>
      <c r="AU89" s="8">
        <f t="shared" si="82"/>
        <v>0.94</v>
      </c>
      <c r="AV89" s="49">
        <f t="shared" ca="1" si="64"/>
        <v>171</v>
      </c>
      <c r="AX89" s="50">
        <f t="shared" ca="1" si="12"/>
        <v>6.9634758032890209E-2</v>
      </c>
      <c r="AY89" s="8">
        <f t="shared" si="83"/>
        <v>0.94</v>
      </c>
      <c r="AZ89" s="49">
        <f t="shared" ca="1" si="65"/>
        <v>103</v>
      </c>
      <c r="BB89" s="50">
        <f t="shared" ca="1" si="13"/>
        <v>0.81278544481774051</v>
      </c>
      <c r="BC89" s="8">
        <f t="shared" si="84"/>
        <v>0.94</v>
      </c>
      <c r="BD89" s="49">
        <f t="shared" ca="1" si="66"/>
        <v>186</v>
      </c>
      <c r="BF89" s="50">
        <f t="shared" ca="1" si="14"/>
        <v>0.63225532446208188</v>
      </c>
      <c r="BG89" s="8">
        <f t="shared" si="85"/>
        <v>0.94</v>
      </c>
      <c r="BH89" s="49">
        <f t="shared" ca="1" si="67"/>
        <v>169</v>
      </c>
      <c r="BJ89" s="50">
        <f t="shared" ca="1" si="15"/>
        <v>0.44589014590794329</v>
      </c>
      <c r="BK89" s="8">
        <f t="shared" si="86"/>
        <v>0.94</v>
      </c>
      <c r="BL89" s="49">
        <f t="shared" ca="1" si="68"/>
        <v>119</v>
      </c>
      <c r="BN89" s="50">
        <f t="shared" ca="1" si="16"/>
        <v>2.4493419220374735E-2</v>
      </c>
      <c r="BO89" s="8">
        <f t="shared" si="87"/>
        <v>0.94</v>
      </c>
      <c r="BP89" s="49">
        <f t="shared" ca="1" si="69"/>
        <v>78</v>
      </c>
      <c r="BR89" s="50">
        <f t="shared" ca="1" si="17"/>
        <v>0.25641265850554296</v>
      </c>
      <c r="BS89" s="8">
        <f t="shared" si="88"/>
        <v>0.94</v>
      </c>
      <c r="BT89" s="49">
        <f t="shared" ca="1" si="70"/>
        <v>143</v>
      </c>
    </row>
    <row r="90" spans="1:72" x14ac:dyDescent="0.2">
      <c r="A90" s="22">
        <v>44637</v>
      </c>
      <c r="B90" s="50">
        <f t="shared" ca="1" si="0"/>
        <v>8.0175792954748304E-2</v>
      </c>
      <c r="C90" s="8">
        <f t="shared" si="71"/>
        <v>0.94</v>
      </c>
      <c r="D90" s="49">
        <f t="shared" ca="1" si="53"/>
        <v>68</v>
      </c>
      <c r="F90" s="50">
        <f t="shared" ca="1" si="1"/>
        <v>0.2655994727010158</v>
      </c>
      <c r="G90" s="8">
        <f t="shared" si="72"/>
        <v>0.94</v>
      </c>
      <c r="H90" s="49">
        <f t="shared" ca="1" si="54"/>
        <v>169</v>
      </c>
      <c r="J90" s="50">
        <f t="shared" ca="1" si="2"/>
        <v>0.84903097450972942</v>
      </c>
      <c r="K90" s="8">
        <f t="shared" si="73"/>
        <v>0.94</v>
      </c>
      <c r="L90" s="49">
        <f t="shared" ca="1" si="55"/>
        <v>180</v>
      </c>
      <c r="N90" s="50">
        <f t="shared" ca="1" si="3"/>
        <v>0.68699356455603788</v>
      </c>
      <c r="O90" s="8">
        <f t="shared" si="74"/>
        <v>0.94</v>
      </c>
      <c r="P90" s="49">
        <f t="shared" ca="1" si="56"/>
        <v>244</v>
      </c>
      <c r="R90" s="50">
        <f t="shared" ca="1" si="4"/>
        <v>0.16632810833025469</v>
      </c>
      <c r="S90" s="8">
        <f t="shared" si="75"/>
        <v>0.94</v>
      </c>
      <c r="T90" s="49">
        <f t="shared" ca="1" si="57"/>
        <v>97</v>
      </c>
      <c r="V90" s="50">
        <f t="shared" ca="1" si="5"/>
        <v>0.59296911084904158</v>
      </c>
      <c r="W90" s="8">
        <f t="shared" si="76"/>
        <v>0.94</v>
      </c>
      <c r="X90" s="49">
        <f t="shared" ca="1" si="58"/>
        <v>225</v>
      </c>
      <c r="Z90" s="50">
        <f t="shared" ca="1" si="6"/>
        <v>0.72907074525199733</v>
      </c>
      <c r="AA90" s="8">
        <f t="shared" si="77"/>
        <v>0.94</v>
      </c>
      <c r="AB90" s="49">
        <f t="shared" ca="1" si="59"/>
        <v>296</v>
      </c>
      <c r="AD90" s="50">
        <f t="shared" ca="1" si="7"/>
        <v>0.76609347972034103</v>
      </c>
      <c r="AE90" s="8">
        <f t="shared" si="78"/>
        <v>0.94</v>
      </c>
      <c r="AF90" s="49">
        <f t="shared" ca="1" si="60"/>
        <v>367</v>
      </c>
      <c r="AH90" s="50">
        <f t="shared" ca="1" si="8"/>
        <v>0.42093075768833477</v>
      </c>
      <c r="AI90" s="8">
        <f t="shared" si="79"/>
        <v>0.94</v>
      </c>
      <c r="AJ90" s="49">
        <f t="shared" ca="1" si="61"/>
        <v>161</v>
      </c>
      <c r="AL90" s="50">
        <f t="shared" ca="1" si="9"/>
        <v>0.11289960829183976</v>
      </c>
      <c r="AM90" s="8">
        <f t="shared" si="80"/>
        <v>0.94</v>
      </c>
      <c r="AN90" s="49">
        <f t="shared" ca="1" si="62"/>
        <v>94</v>
      </c>
      <c r="AP90" s="50">
        <f t="shared" ca="1" si="10"/>
        <v>0.69766111685008469</v>
      </c>
      <c r="AQ90" s="8">
        <f t="shared" si="81"/>
        <v>0.94</v>
      </c>
      <c r="AR90" s="49">
        <f t="shared" ca="1" si="63"/>
        <v>232</v>
      </c>
      <c r="AT90" s="50">
        <f t="shared" ca="1" si="11"/>
        <v>0.63407085549547437</v>
      </c>
      <c r="AU90" s="8">
        <f t="shared" si="82"/>
        <v>0.94</v>
      </c>
      <c r="AV90" s="49">
        <f t="shared" ca="1" si="64"/>
        <v>197</v>
      </c>
      <c r="AX90" s="50">
        <f t="shared" ca="1" si="12"/>
        <v>0.94586123157732005</v>
      </c>
      <c r="AY90" s="8">
        <f t="shared" si="83"/>
        <v>0.94</v>
      </c>
      <c r="AZ90" s="49">
        <f t="shared" ca="1" si="65"/>
        <v>242</v>
      </c>
      <c r="BB90" s="50">
        <f t="shared" ca="1" si="13"/>
        <v>0.39777985747020284</v>
      </c>
      <c r="BC90" s="8">
        <f t="shared" si="84"/>
        <v>0.94</v>
      </c>
      <c r="BD90" s="49">
        <f t="shared" ca="1" si="66"/>
        <v>140</v>
      </c>
      <c r="BF90" s="50">
        <f t="shared" ca="1" si="14"/>
        <v>0.99005691089983749</v>
      </c>
      <c r="BG90" s="8">
        <f t="shared" si="85"/>
        <v>0.94</v>
      </c>
      <c r="BH90" s="49">
        <f t="shared" ca="1" si="67"/>
        <v>251</v>
      </c>
      <c r="BJ90" s="50">
        <f t="shared" ca="1" si="15"/>
        <v>0.20246263737604131</v>
      </c>
      <c r="BK90" s="8">
        <f t="shared" si="86"/>
        <v>0.94</v>
      </c>
      <c r="BL90" s="49">
        <f t="shared" ca="1" si="68"/>
        <v>96</v>
      </c>
      <c r="BN90" s="50">
        <f t="shared" ca="1" si="16"/>
        <v>5.3677629240123093E-3</v>
      </c>
      <c r="BO90" s="8">
        <f t="shared" si="87"/>
        <v>0.94</v>
      </c>
      <c r="BP90" s="49">
        <f t="shared" ca="1" si="69"/>
        <v>53</v>
      </c>
      <c r="BR90" s="50">
        <f t="shared" ca="1" si="17"/>
        <v>0.67067747981092052</v>
      </c>
      <c r="BS90" s="8">
        <f t="shared" si="88"/>
        <v>0.94</v>
      </c>
      <c r="BT90" s="49">
        <f t="shared" ca="1" si="70"/>
        <v>193</v>
      </c>
    </row>
    <row r="91" spans="1:72" x14ac:dyDescent="0.2">
      <c r="A91" s="22">
        <v>44638</v>
      </c>
      <c r="B91" s="50">
        <f t="shared" ca="1" si="0"/>
        <v>0.81670948912744268</v>
      </c>
      <c r="C91" s="8">
        <f t="shared" si="71"/>
        <v>0.94</v>
      </c>
      <c r="D91" s="49">
        <f t="shared" ca="1" si="53"/>
        <v>111</v>
      </c>
      <c r="F91" s="50">
        <f t="shared" ca="1" si="1"/>
        <v>0.81891203375557564</v>
      </c>
      <c r="G91" s="8">
        <f t="shared" si="72"/>
        <v>0.94</v>
      </c>
      <c r="H91" s="49">
        <f t="shared" ca="1" si="54"/>
        <v>252</v>
      </c>
      <c r="J91" s="50">
        <f t="shared" ca="1" si="2"/>
        <v>0.91361686447230683</v>
      </c>
      <c r="K91" s="8">
        <f t="shared" si="73"/>
        <v>0.94</v>
      </c>
      <c r="L91" s="49">
        <f t="shared" ca="1" si="55"/>
        <v>193</v>
      </c>
      <c r="N91" s="50">
        <f t="shared" ca="1" si="3"/>
        <v>0.99473459976028344</v>
      </c>
      <c r="O91" s="8">
        <f t="shared" si="74"/>
        <v>0.94</v>
      </c>
      <c r="P91" s="49">
        <f t="shared" ca="1" si="56"/>
        <v>363</v>
      </c>
      <c r="R91" s="50">
        <f t="shared" ca="1" si="4"/>
        <v>6.4931710115027075E-3</v>
      </c>
      <c r="S91" s="8">
        <f t="shared" si="75"/>
        <v>0.94</v>
      </c>
      <c r="T91" s="49">
        <f t="shared" ca="1" si="57"/>
        <v>45</v>
      </c>
      <c r="V91" s="50">
        <f t="shared" ca="1" si="5"/>
        <v>0.92546271996009255</v>
      </c>
      <c r="W91" s="8">
        <f t="shared" si="76"/>
        <v>0.94</v>
      </c>
      <c r="X91" s="49">
        <f t="shared" ca="1" si="58"/>
        <v>293</v>
      </c>
      <c r="Z91" s="50">
        <f t="shared" ca="1" si="6"/>
        <v>0.1977205491746763</v>
      </c>
      <c r="AA91" s="8">
        <f t="shared" si="77"/>
        <v>0.94</v>
      </c>
      <c r="AB91" s="49">
        <f t="shared" ca="1" si="59"/>
        <v>197</v>
      </c>
      <c r="AD91" s="50">
        <f t="shared" ca="1" si="7"/>
        <v>0.77373786676600664</v>
      </c>
      <c r="AE91" s="8">
        <f t="shared" si="78"/>
        <v>0.94</v>
      </c>
      <c r="AF91" s="49">
        <f t="shared" ca="1" si="60"/>
        <v>369</v>
      </c>
      <c r="AH91" s="50">
        <f t="shared" ca="1" si="8"/>
        <v>0.3178216436290493</v>
      </c>
      <c r="AI91" s="8">
        <f t="shared" si="79"/>
        <v>0.94</v>
      </c>
      <c r="AJ91" s="49">
        <f t="shared" ca="1" si="61"/>
        <v>148</v>
      </c>
      <c r="AL91" s="50">
        <f t="shared" ca="1" si="9"/>
        <v>0.90595674447264096</v>
      </c>
      <c r="AM91" s="8">
        <f t="shared" si="80"/>
        <v>0.94</v>
      </c>
      <c r="AN91" s="49">
        <f t="shared" ca="1" si="62"/>
        <v>187</v>
      </c>
      <c r="AP91" s="50">
        <f t="shared" ca="1" si="10"/>
        <v>0.73910009153172629</v>
      </c>
      <c r="AQ91" s="8">
        <f t="shared" si="81"/>
        <v>0.94</v>
      </c>
      <c r="AR91" s="49">
        <f t="shared" ca="1" si="63"/>
        <v>239</v>
      </c>
      <c r="AT91" s="50">
        <f t="shared" ca="1" si="11"/>
        <v>0.18019014777720643</v>
      </c>
      <c r="AU91" s="8">
        <f t="shared" si="82"/>
        <v>0.94</v>
      </c>
      <c r="AV91" s="49">
        <f t="shared" ca="1" si="64"/>
        <v>137</v>
      </c>
      <c r="AX91" s="50">
        <f t="shared" ca="1" si="12"/>
        <v>0.23320513348591854</v>
      </c>
      <c r="AY91" s="8">
        <f t="shared" si="83"/>
        <v>0.94</v>
      </c>
      <c r="AZ91" s="49">
        <f t="shared" ca="1" si="65"/>
        <v>137</v>
      </c>
      <c r="BB91" s="50">
        <f t="shared" ca="1" si="13"/>
        <v>0.71420665625537527</v>
      </c>
      <c r="BC91" s="8">
        <f t="shared" si="84"/>
        <v>0.94</v>
      </c>
      <c r="BD91" s="49">
        <f t="shared" ca="1" si="66"/>
        <v>173</v>
      </c>
      <c r="BF91" s="50">
        <f t="shared" ca="1" si="14"/>
        <v>0.94006817791830055</v>
      </c>
      <c r="BG91" s="8">
        <f t="shared" si="85"/>
        <v>0.94</v>
      </c>
      <c r="BH91" s="49">
        <f t="shared" ca="1" si="67"/>
        <v>219</v>
      </c>
      <c r="BJ91" s="50">
        <f t="shared" ca="1" si="15"/>
        <v>0.44153422369405737</v>
      </c>
      <c r="BK91" s="8">
        <f t="shared" si="86"/>
        <v>0.94</v>
      </c>
      <c r="BL91" s="49">
        <f t="shared" ca="1" si="68"/>
        <v>119</v>
      </c>
      <c r="BN91" s="50">
        <f t="shared" ca="1" si="16"/>
        <v>1.1702410759995896E-2</v>
      </c>
      <c r="BO91" s="8">
        <f t="shared" si="87"/>
        <v>0.94</v>
      </c>
      <c r="BP91" s="49">
        <f t="shared" ca="1" si="69"/>
        <v>65</v>
      </c>
      <c r="BR91" s="50">
        <f t="shared" ca="1" si="17"/>
        <v>0.90242762292547196</v>
      </c>
      <c r="BS91" s="8">
        <f t="shared" si="88"/>
        <v>0.94</v>
      </c>
      <c r="BT91" s="49">
        <f t="shared" ca="1" si="70"/>
        <v>233</v>
      </c>
    </row>
    <row r="92" spans="1:72" x14ac:dyDescent="0.2">
      <c r="A92" s="22">
        <v>44639</v>
      </c>
      <c r="B92" s="50">
        <f t="shared" ca="1" si="0"/>
        <v>0.24897898602599888</v>
      </c>
      <c r="C92" s="8">
        <f t="shared" si="71"/>
        <v>0.94</v>
      </c>
      <c r="D92" s="49">
        <f t="shared" ca="1" si="53"/>
        <v>82</v>
      </c>
      <c r="F92" s="50">
        <f t="shared" ca="1" si="1"/>
        <v>0.64609265982016029</v>
      </c>
      <c r="G92" s="8">
        <f t="shared" si="72"/>
        <v>0.94</v>
      </c>
      <c r="H92" s="49">
        <f t="shared" ca="1" si="54"/>
        <v>223</v>
      </c>
      <c r="J92" s="50">
        <f t="shared" ca="1" si="2"/>
        <v>0.40092591188579041</v>
      </c>
      <c r="K92" s="8">
        <f t="shared" si="73"/>
        <v>0.94</v>
      </c>
      <c r="L92" s="49">
        <f t="shared" ca="1" si="55"/>
        <v>132</v>
      </c>
      <c r="N92" s="50">
        <f t="shared" ca="1" si="3"/>
        <v>0.45214621820931522</v>
      </c>
      <c r="O92" s="8">
        <f t="shared" si="74"/>
        <v>0.94</v>
      </c>
      <c r="P92" s="49">
        <f t="shared" ca="1" si="56"/>
        <v>209</v>
      </c>
      <c r="R92" s="50">
        <f t="shared" ca="1" si="4"/>
        <v>0.92676250520944281</v>
      </c>
      <c r="S92" s="8">
        <f t="shared" si="75"/>
        <v>0.94</v>
      </c>
      <c r="T92" s="49">
        <f t="shared" ca="1" si="57"/>
        <v>181</v>
      </c>
      <c r="V92" s="50">
        <f t="shared" ca="1" si="5"/>
        <v>0.476306370646705</v>
      </c>
      <c r="W92" s="8">
        <f t="shared" si="76"/>
        <v>0.94</v>
      </c>
      <c r="X92" s="49">
        <f t="shared" ca="1" si="58"/>
        <v>209</v>
      </c>
      <c r="Z92" s="50">
        <f t="shared" ca="1" si="6"/>
        <v>0.30679616465983617</v>
      </c>
      <c r="AA92" s="8">
        <f t="shared" si="77"/>
        <v>0.94</v>
      </c>
      <c r="AB92" s="49">
        <f t="shared" ca="1" si="59"/>
        <v>220</v>
      </c>
      <c r="AD92" s="50">
        <f t="shared" ca="1" si="7"/>
        <v>0.69214612931178165</v>
      </c>
      <c r="AE92" s="8">
        <f t="shared" si="78"/>
        <v>0.94</v>
      </c>
      <c r="AF92" s="49">
        <f t="shared" ca="1" si="60"/>
        <v>349</v>
      </c>
      <c r="AH92" s="50">
        <f t="shared" ca="1" si="8"/>
        <v>0.75912631127667252</v>
      </c>
      <c r="AI92" s="8">
        <f t="shared" si="79"/>
        <v>0.94</v>
      </c>
      <c r="AJ92" s="49">
        <f t="shared" ca="1" si="61"/>
        <v>201</v>
      </c>
      <c r="AL92" s="50">
        <f t="shared" ca="1" si="9"/>
        <v>0.46311886124590407</v>
      </c>
      <c r="AM92" s="8">
        <f t="shared" si="80"/>
        <v>0.94</v>
      </c>
      <c r="AN92" s="49">
        <f t="shared" ca="1" si="62"/>
        <v>135</v>
      </c>
      <c r="AP92" s="50">
        <f t="shared" ca="1" si="10"/>
        <v>0.30224276514709725</v>
      </c>
      <c r="AQ92" s="8">
        <f t="shared" si="81"/>
        <v>0.94</v>
      </c>
      <c r="AR92" s="49">
        <f t="shared" ca="1" si="63"/>
        <v>176</v>
      </c>
      <c r="AT92" s="50">
        <f t="shared" ca="1" si="11"/>
        <v>0.97178329421752174</v>
      </c>
      <c r="AU92" s="8">
        <f t="shared" si="82"/>
        <v>0.94</v>
      </c>
      <c r="AV92" s="49">
        <f t="shared" ca="1" si="64"/>
        <v>272</v>
      </c>
      <c r="AX92" s="50">
        <f t="shared" ca="1" si="12"/>
        <v>0.81898892111389054</v>
      </c>
      <c r="AY92" s="8">
        <f t="shared" si="83"/>
        <v>0.94</v>
      </c>
      <c r="AZ92" s="49">
        <f t="shared" ca="1" si="65"/>
        <v>211</v>
      </c>
      <c r="BB92" s="50">
        <f t="shared" ca="1" si="13"/>
        <v>0.29418535358342179</v>
      </c>
      <c r="BC92" s="8">
        <f t="shared" si="84"/>
        <v>0.94</v>
      </c>
      <c r="BD92" s="49">
        <f t="shared" ca="1" si="66"/>
        <v>129</v>
      </c>
      <c r="BF92" s="50">
        <f t="shared" ca="1" si="14"/>
        <v>0.55572735493713721</v>
      </c>
      <c r="BG92" s="8">
        <f t="shared" si="85"/>
        <v>0.94</v>
      </c>
      <c r="BH92" s="49">
        <f t="shared" ca="1" si="67"/>
        <v>161</v>
      </c>
      <c r="BJ92" s="50">
        <f t="shared" ca="1" si="15"/>
        <v>0.86419780116997913</v>
      </c>
      <c r="BK92" s="8">
        <f t="shared" si="86"/>
        <v>0.94</v>
      </c>
      <c r="BL92" s="49">
        <f t="shared" ca="1" si="68"/>
        <v>160</v>
      </c>
      <c r="BN92" s="50">
        <f t="shared" ca="1" si="16"/>
        <v>0.74773636252392439</v>
      </c>
      <c r="BO92" s="8">
        <f t="shared" si="87"/>
        <v>0.94</v>
      </c>
      <c r="BP92" s="49">
        <f t="shared" ca="1" si="69"/>
        <v>193</v>
      </c>
      <c r="BR92" s="50">
        <f t="shared" ca="1" si="17"/>
        <v>0.38659928001025923</v>
      </c>
      <c r="BS92" s="8">
        <f t="shared" si="88"/>
        <v>0.94</v>
      </c>
      <c r="BT92" s="49">
        <f t="shared" ca="1" si="70"/>
        <v>160</v>
      </c>
    </row>
    <row r="93" spans="1:72" x14ac:dyDescent="0.2">
      <c r="A93" s="22">
        <v>44640</v>
      </c>
      <c r="B93" s="50">
        <f t="shared" ca="1" si="0"/>
        <v>6.7188766991166937E-2</v>
      </c>
      <c r="C93" s="8">
        <f t="shared" si="71"/>
        <v>0.94</v>
      </c>
      <c r="D93" s="49">
        <f t="shared" ca="1" si="53"/>
        <v>66</v>
      </c>
      <c r="F93" s="50">
        <f t="shared" ca="1" si="1"/>
        <v>0.56748976149604813</v>
      </c>
      <c r="G93" s="8">
        <f t="shared" si="72"/>
        <v>0.94</v>
      </c>
      <c r="H93" s="49">
        <f t="shared" ca="1" si="54"/>
        <v>212</v>
      </c>
      <c r="J93" s="50">
        <f t="shared" ca="1" si="2"/>
        <v>0.30904537510531516</v>
      </c>
      <c r="K93" s="8">
        <f t="shared" si="73"/>
        <v>0.94</v>
      </c>
      <c r="L93" s="49">
        <f t="shared" ca="1" si="55"/>
        <v>123</v>
      </c>
      <c r="N93" s="50">
        <f t="shared" ca="1" si="3"/>
        <v>0.43929399457798557</v>
      </c>
      <c r="O93" s="8">
        <f t="shared" si="74"/>
        <v>0.94</v>
      </c>
      <c r="P93" s="49">
        <f t="shared" ca="1" si="56"/>
        <v>207</v>
      </c>
      <c r="R93" s="50">
        <f t="shared" ca="1" si="4"/>
        <v>0.43534320586339925</v>
      </c>
      <c r="S93" s="8">
        <f t="shared" si="75"/>
        <v>0.94</v>
      </c>
      <c r="T93" s="49">
        <f t="shared" ca="1" si="57"/>
        <v>125</v>
      </c>
      <c r="V93" s="50">
        <f t="shared" ca="1" si="5"/>
        <v>0.89616060945244025</v>
      </c>
      <c r="W93" s="8">
        <f t="shared" si="76"/>
        <v>0.94</v>
      </c>
      <c r="X93" s="49">
        <f t="shared" ca="1" si="58"/>
        <v>283</v>
      </c>
      <c r="Z93" s="50">
        <f t="shared" ca="1" si="6"/>
        <v>0.50859046431636079</v>
      </c>
      <c r="AA93" s="8">
        <f t="shared" si="77"/>
        <v>0.94</v>
      </c>
      <c r="AB93" s="49">
        <f t="shared" ca="1" si="59"/>
        <v>256</v>
      </c>
      <c r="AD93" s="50">
        <f t="shared" ca="1" si="7"/>
        <v>0.31529501488691314</v>
      </c>
      <c r="AE93" s="8">
        <f t="shared" si="78"/>
        <v>0.94</v>
      </c>
      <c r="AF93" s="49">
        <f t="shared" ca="1" si="60"/>
        <v>268</v>
      </c>
      <c r="AH93" s="50">
        <f t="shared" ca="1" si="8"/>
        <v>3.8994359597189887E-2</v>
      </c>
      <c r="AI93" s="8">
        <f t="shared" si="79"/>
        <v>0.94</v>
      </c>
      <c r="AJ93" s="49">
        <f t="shared" ca="1" si="61"/>
        <v>90</v>
      </c>
      <c r="AL93" s="50">
        <f t="shared" ca="1" si="9"/>
        <v>0.69777250003267643</v>
      </c>
      <c r="AM93" s="8">
        <f t="shared" si="80"/>
        <v>0.94</v>
      </c>
      <c r="AN93" s="49">
        <f t="shared" ca="1" si="62"/>
        <v>158</v>
      </c>
      <c r="AP93" s="50">
        <f t="shared" ca="1" si="10"/>
        <v>6.0167243157134509E-2</v>
      </c>
      <c r="AQ93" s="8">
        <f t="shared" si="81"/>
        <v>0.94</v>
      </c>
      <c r="AR93" s="49">
        <f t="shared" ca="1" si="63"/>
        <v>120</v>
      </c>
      <c r="AT93" s="50">
        <f t="shared" ca="1" si="11"/>
        <v>0.66239923704622161</v>
      </c>
      <c r="AU93" s="8">
        <f t="shared" si="82"/>
        <v>0.94</v>
      </c>
      <c r="AV93" s="49">
        <f t="shared" ca="1" si="64"/>
        <v>201</v>
      </c>
      <c r="AX93" s="50">
        <f t="shared" ca="1" si="12"/>
        <v>0.6523629578655975</v>
      </c>
      <c r="AY93" s="8">
        <f t="shared" si="83"/>
        <v>0.94</v>
      </c>
      <c r="AZ93" s="49">
        <f t="shared" ca="1" si="65"/>
        <v>187</v>
      </c>
      <c r="BB93" s="50">
        <f t="shared" ca="1" si="13"/>
        <v>0.24607122212928312</v>
      </c>
      <c r="BC93" s="8">
        <f t="shared" si="84"/>
        <v>0.94</v>
      </c>
      <c r="BD93" s="49">
        <f t="shared" ca="1" si="66"/>
        <v>123</v>
      </c>
      <c r="BF93" s="50">
        <f t="shared" ca="1" si="14"/>
        <v>0.86496285442076137</v>
      </c>
      <c r="BG93" s="8">
        <f t="shared" si="85"/>
        <v>0.94</v>
      </c>
      <c r="BH93" s="49">
        <f t="shared" ca="1" si="67"/>
        <v>201</v>
      </c>
      <c r="BJ93" s="50">
        <f t="shared" ca="1" si="15"/>
        <v>0.20616998559859401</v>
      </c>
      <c r="BK93" s="8">
        <f t="shared" si="86"/>
        <v>0.94</v>
      </c>
      <c r="BL93" s="49">
        <f t="shared" ca="1" si="68"/>
        <v>97</v>
      </c>
      <c r="BN93" s="50">
        <f t="shared" ca="1" si="16"/>
        <v>5.6886266207862524E-2</v>
      </c>
      <c r="BO93" s="8">
        <f t="shared" si="87"/>
        <v>0.94</v>
      </c>
      <c r="BP93" s="49">
        <f t="shared" ca="1" si="69"/>
        <v>95</v>
      </c>
      <c r="BR93" s="50">
        <f t="shared" ca="1" si="17"/>
        <v>0.32196776993223708</v>
      </c>
      <c r="BS93" s="8">
        <f t="shared" si="88"/>
        <v>0.94</v>
      </c>
      <c r="BT93" s="49">
        <f t="shared" ca="1" si="70"/>
        <v>152</v>
      </c>
    </row>
    <row r="94" spans="1:72" x14ac:dyDescent="0.2">
      <c r="A94" s="22">
        <v>44641</v>
      </c>
      <c r="B94" s="50">
        <f t="shared" ca="1" si="0"/>
        <v>0.32281795706508176</v>
      </c>
      <c r="C94" s="8">
        <f t="shared" si="71"/>
        <v>0.94</v>
      </c>
      <c r="D94" s="49">
        <f t="shared" ca="1" si="53"/>
        <v>86</v>
      </c>
      <c r="F94" s="50">
        <f t="shared" ca="1" si="1"/>
        <v>0.59467134317135695</v>
      </c>
      <c r="G94" s="8">
        <f t="shared" si="72"/>
        <v>0.94</v>
      </c>
      <c r="H94" s="49">
        <f t="shared" ca="1" si="54"/>
        <v>216</v>
      </c>
      <c r="J94" s="50">
        <f t="shared" ca="1" si="2"/>
        <v>0.79386367305182759</v>
      </c>
      <c r="K94" s="8">
        <f t="shared" si="73"/>
        <v>0.94</v>
      </c>
      <c r="L94" s="49">
        <f t="shared" ca="1" si="55"/>
        <v>172</v>
      </c>
      <c r="N94" s="50">
        <f t="shared" ca="1" si="3"/>
        <v>0.12469722560538543</v>
      </c>
      <c r="O94" s="8">
        <f t="shared" si="74"/>
        <v>0.94</v>
      </c>
      <c r="P94" s="49">
        <f t="shared" ca="1" si="56"/>
        <v>150</v>
      </c>
      <c r="R94" s="50">
        <f t="shared" ca="1" si="4"/>
        <v>0.97077242599816294</v>
      </c>
      <c r="S94" s="8">
        <f t="shared" si="75"/>
        <v>0.94</v>
      </c>
      <c r="T94" s="49">
        <f t="shared" ca="1" si="57"/>
        <v>197</v>
      </c>
      <c r="V94" s="50">
        <f t="shared" ca="1" si="5"/>
        <v>0.21429274456856462</v>
      </c>
      <c r="W94" s="8">
        <f t="shared" si="76"/>
        <v>0.94</v>
      </c>
      <c r="X94" s="49">
        <f t="shared" ca="1" si="58"/>
        <v>167</v>
      </c>
      <c r="Z94" s="50">
        <f t="shared" ca="1" si="6"/>
        <v>0.30994656793578579</v>
      </c>
      <c r="AA94" s="8">
        <f t="shared" si="77"/>
        <v>0.94</v>
      </c>
      <c r="AB94" s="49">
        <f t="shared" ca="1" si="59"/>
        <v>221</v>
      </c>
      <c r="AD94" s="50">
        <f t="shared" ca="1" si="7"/>
        <v>0.62579359335195284</v>
      </c>
      <c r="AE94" s="8">
        <f t="shared" si="78"/>
        <v>0.94</v>
      </c>
      <c r="AF94" s="49">
        <f t="shared" ca="1" si="60"/>
        <v>334</v>
      </c>
      <c r="AH94" s="50">
        <f t="shared" ca="1" si="8"/>
        <v>0.31018698345315066</v>
      </c>
      <c r="AI94" s="8">
        <f t="shared" si="79"/>
        <v>0.94</v>
      </c>
      <c r="AJ94" s="49">
        <f t="shared" ca="1" si="61"/>
        <v>147</v>
      </c>
      <c r="AL94" s="50">
        <f t="shared" ca="1" si="9"/>
        <v>0.47252199512784165</v>
      </c>
      <c r="AM94" s="8">
        <f t="shared" si="80"/>
        <v>0.94</v>
      </c>
      <c r="AN94" s="49">
        <f t="shared" ca="1" si="62"/>
        <v>136</v>
      </c>
      <c r="AP94" s="50">
        <f t="shared" ca="1" si="10"/>
        <v>0.34851655779414181</v>
      </c>
      <c r="AQ94" s="8">
        <f t="shared" si="81"/>
        <v>0.94</v>
      </c>
      <c r="AR94" s="49">
        <f t="shared" ca="1" si="63"/>
        <v>183</v>
      </c>
      <c r="AT94" s="50">
        <f t="shared" ca="1" si="11"/>
        <v>0.58587271551083786</v>
      </c>
      <c r="AU94" s="8">
        <f t="shared" si="82"/>
        <v>0.94</v>
      </c>
      <c r="AV94" s="49">
        <f t="shared" ca="1" si="64"/>
        <v>191</v>
      </c>
      <c r="AX94" s="50">
        <f t="shared" ca="1" si="12"/>
        <v>0.38958256587821993</v>
      </c>
      <c r="AY94" s="8">
        <f t="shared" si="83"/>
        <v>0.94</v>
      </c>
      <c r="AZ94" s="49">
        <f t="shared" ca="1" si="65"/>
        <v>157</v>
      </c>
      <c r="BB94" s="50">
        <f t="shared" ca="1" si="13"/>
        <v>0.81579571308009136</v>
      </c>
      <c r="BC94" s="8">
        <f t="shared" si="84"/>
        <v>0.94</v>
      </c>
      <c r="BD94" s="49">
        <f t="shared" ca="1" si="66"/>
        <v>187</v>
      </c>
      <c r="BF94" s="50">
        <f t="shared" ca="1" si="14"/>
        <v>0.16034537526170678</v>
      </c>
      <c r="BG94" s="8">
        <f t="shared" si="85"/>
        <v>0.94</v>
      </c>
      <c r="BH94" s="49">
        <f t="shared" ca="1" si="67"/>
        <v>114</v>
      </c>
      <c r="BJ94" s="50">
        <f t="shared" ca="1" si="15"/>
        <v>0.65452183337039604</v>
      </c>
      <c r="BK94" s="8">
        <f t="shared" si="86"/>
        <v>0.94</v>
      </c>
      <c r="BL94" s="49">
        <f t="shared" ca="1" si="68"/>
        <v>137</v>
      </c>
      <c r="BN94" s="50">
        <f t="shared" ca="1" si="16"/>
        <v>0.79962052577786513</v>
      </c>
      <c r="BO94" s="8">
        <f t="shared" si="87"/>
        <v>0.94</v>
      </c>
      <c r="BP94" s="49">
        <f t="shared" ca="1" si="69"/>
        <v>200</v>
      </c>
      <c r="BR94" s="50">
        <f t="shared" ca="1" si="17"/>
        <v>8.9136205676175195E-2</v>
      </c>
      <c r="BS94" s="8">
        <f t="shared" si="88"/>
        <v>0.94</v>
      </c>
      <c r="BT94" s="49">
        <f t="shared" ca="1" si="70"/>
        <v>111</v>
      </c>
    </row>
    <row r="95" spans="1:72" x14ac:dyDescent="0.2">
      <c r="A95" s="22">
        <v>44642</v>
      </c>
      <c r="B95" s="50">
        <f t="shared" ca="1" si="0"/>
        <v>5.852693742587245E-2</v>
      </c>
      <c r="C95" s="8">
        <f t="shared" si="71"/>
        <v>0.94</v>
      </c>
      <c r="D95" s="49">
        <f t="shared" ca="1" si="53"/>
        <v>65</v>
      </c>
      <c r="F95" s="50">
        <f t="shared" ca="1" si="1"/>
        <v>0.371875859524048</v>
      </c>
      <c r="G95" s="8">
        <f t="shared" si="72"/>
        <v>0.94</v>
      </c>
      <c r="H95" s="49">
        <f t="shared" ca="1" si="54"/>
        <v>185</v>
      </c>
      <c r="J95" s="50">
        <f t="shared" ca="1" si="2"/>
        <v>0.31451644645149757</v>
      </c>
      <c r="K95" s="8">
        <f t="shared" si="73"/>
        <v>0.94</v>
      </c>
      <c r="L95" s="49">
        <f t="shared" ca="1" si="55"/>
        <v>123</v>
      </c>
      <c r="N95" s="50">
        <f t="shared" ca="1" si="3"/>
        <v>0.94196985710624359</v>
      </c>
      <c r="O95" s="8">
        <f t="shared" si="74"/>
        <v>0.94</v>
      </c>
      <c r="P95" s="49">
        <f t="shared" ca="1" si="56"/>
        <v>306</v>
      </c>
      <c r="R95" s="50">
        <f t="shared" ca="1" si="4"/>
        <v>0.38685720560418679</v>
      </c>
      <c r="S95" s="8">
        <f t="shared" si="75"/>
        <v>0.94</v>
      </c>
      <c r="T95" s="49">
        <f t="shared" ca="1" si="57"/>
        <v>121</v>
      </c>
      <c r="V95" s="50">
        <f t="shared" ca="1" si="5"/>
        <v>0.79682383921545308</v>
      </c>
      <c r="W95" s="8">
        <f t="shared" si="76"/>
        <v>0.94</v>
      </c>
      <c r="X95" s="49">
        <f t="shared" ca="1" si="58"/>
        <v>259</v>
      </c>
      <c r="Z95" s="50">
        <f t="shared" ca="1" si="6"/>
        <v>0.81936375498955583</v>
      </c>
      <c r="AA95" s="8">
        <f t="shared" si="77"/>
        <v>0.94</v>
      </c>
      <c r="AB95" s="49">
        <f t="shared" ca="1" si="59"/>
        <v>316</v>
      </c>
      <c r="AD95" s="50">
        <f t="shared" ca="1" si="7"/>
        <v>0.31091313371604834</v>
      </c>
      <c r="AE95" s="8">
        <f t="shared" si="78"/>
        <v>0.94</v>
      </c>
      <c r="AF95" s="49">
        <f t="shared" ca="1" si="60"/>
        <v>267</v>
      </c>
      <c r="AH95" s="50">
        <f t="shared" ca="1" si="8"/>
        <v>0.29205317551288879</v>
      </c>
      <c r="AI95" s="8">
        <f t="shared" si="79"/>
        <v>0.94</v>
      </c>
      <c r="AJ95" s="49">
        <f t="shared" ca="1" si="61"/>
        <v>145</v>
      </c>
      <c r="AL95" s="50">
        <f t="shared" ca="1" si="9"/>
        <v>3.9574742374153926E-2</v>
      </c>
      <c r="AM95" s="8">
        <f t="shared" si="80"/>
        <v>0.94</v>
      </c>
      <c r="AN95" s="49">
        <f t="shared" ca="1" si="62"/>
        <v>74</v>
      </c>
      <c r="AP95" s="50">
        <f t="shared" ca="1" si="10"/>
        <v>0.44601939371139299</v>
      </c>
      <c r="AQ95" s="8">
        <f t="shared" si="81"/>
        <v>0.94</v>
      </c>
      <c r="AR95" s="49">
        <f t="shared" ca="1" si="63"/>
        <v>197</v>
      </c>
      <c r="AT95" s="50">
        <f t="shared" ca="1" si="11"/>
        <v>6.7528932589601909E-2</v>
      </c>
      <c r="AU95" s="8">
        <f t="shared" si="82"/>
        <v>0.94</v>
      </c>
      <c r="AV95" s="49">
        <f t="shared" ca="1" si="64"/>
        <v>109</v>
      </c>
      <c r="AX95" s="50">
        <f t="shared" ca="1" si="12"/>
        <v>0.74580678659731559</v>
      </c>
      <c r="AY95" s="8">
        <f t="shared" si="83"/>
        <v>0.94</v>
      </c>
      <c r="AZ95" s="49">
        <f t="shared" ca="1" si="65"/>
        <v>199</v>
      </c>
      <c r="BB95" s="50">
        <f t="shared" ca="1" si="13"/>
        <v>0.19016658841683887</v>
      </c>
      <c r="BC95" s="8">
        <f t="shared" si="84"/>
        <v>0.94</v>
      </c>
      <c r="BD95" s="49">
        <f t="shared" ca="1" si="66"/>
        <v>115</v>
      </c>
      <c r="BF95" s="50">
        <f t="shared" ca="1" si="14"/>
        <v>0.86375633874659963</v>
      </c>
      <c r="BG95" s="8">
        <f t="shared" si="85"/>
        <v>0.94</v>
      </c>
      <c r="BH95" s="49">
        <f t="shared" ca="1" si="67"/>
        <v>200</v>
      </c>
      <c r="BJ95" s="50">
        <f t="shared" ca="1" si="15"/>
        <v>0.2027632690154223</v>
      </c>
      <c r="BK95" s="8">
        <f t="shared" si="86"/>
        <v>0.94</v>
      </c>
      <c r="BL95" s="49">
        <f t="shared" ca="1" si="68"/>
        <v>96</v>
      </c>
      <c r="BN95" s="50">
        <f t="shared" ca="1" si="16"/>
        <v>0.16606351051595081</v>
      </c>
      <c r="BO95" s="8">
        <f t="shared" si="87"/>
        <v>0.94</v>
      </c>
      <c r="BP95" s="49">
        <f t="shared" ca="1" si="69"/>
        <v>121</v>
      </c>
      <c r="BR95" s="50">
        <f t="shared" ca="1" si="17"/>
        <v>0.69085246020563107</v>
      </c>
      <c r="BS95" s="8">
        <f t="shared" si="88"/>
        <v>0.94</v>
      </c>
      <c r="BT95" s="49">
        <f t="shared" ca="1" si="70"/>
        <v>196</v>
      </c>
    </row>
    <row r="96" spans="1:72" x14ac:dyDescent="0.2">
      <c r="A96" s="22">
        <v>44643</v>
      </c>
      <c r="B96" s="50">
        <f t="shared" ca="1" si="0"/>
        <v>0.58514861047798838</v>
      </c>
      <c r="C96" s="8">
        <f t="shared" si="71"/>
        <v>0.94</v>
      </c>
      <c r="D96" s="49">
        <f t="shared" ca="1" si="53"/>
        <v>99</v>
      </c>
      <c r="F96" s="50">
        <f t="shared" ca="1" si="1"/>
        <v>0.38339027568946238</v>
      </c>
      <c r="G96" s="8">
        <f t="shared" si="72"/>
        <v>0.94</v>
      </c>
      <c r="H96" s="49">
        <f t="shared" ca="1" si="54"/>
        <v>187</v>
      </c>
      <c r="J96" s="50">
        <f t="shared" ca="1" si="2"/>
        <v>0.86477826924949808</v>
      </c>
      <c r="K96" s="8">
        <f t="shared" si="73"/>
        <v>0.94</v>
      </c>
      <c r="L96" s="49">
        <f t="shared" ca="1" si="55"/>
        <v>183</v>
      </c>
      <c r="N96" s="50">
        <f t="shared" ca="1" si="3"/>
        <v>0.67560925514663928</v>
      </c>
      <c r="O96" s="8">
        <f t="shared" si="74"/>
        <v>0.94</v>
      </c>
      <c r="P96" s="49">
        <f t="shared" ca="1" si="56"/>
        <v>242</v>
      </c>
      <c r="R96" s="50">
        <f t="shared" ca="1" si="4"/>
        <v>0.69347087315827638</v>
      </c>
      <c r="S96" s="8">
        <f t="shared" si="75"/>
        <v>0.94</v>
      </c>
      <c r="T96" s="49">
        <f t="shared" ca="1" si="57"/>
        <v>149</v>
      </c>
      <c r="V96" s="50">
        <f t="shared" ca="1" si="5"/>
        <v>0.74660248561353315</v>
      </c>
      <c r="W96" s="8">
        <f t="shared" si="76"/>
        <v>0.94</v>
      </c>
      <c r="X96" s="49">
        <f t="shared" ca="1" si="58"/>
        <v>249</v>
      </c>
      <c r="Z96" s="50">
        <f t="shared" ca="1" si="6"/>
        <v>0.93429189661332201</v>
      </c>
      <c r="AA96" s="8">
        <f t="shared" si="77"/>
        <v>0.94</v>
      </c>
      <c r="AB96" s="49">
        <f t="shared" ca="1" si="59"/>
        <v>356</v>
      </c>
      <c r="AD96" s="50">
        <f t="shared" ca="1" si="7"/>
        <v>0.3785597661180613</v>
      </c>
      <c r="AE96" s="8">
        <f t="shared" si="78"/>
        <v>0.94</v>
      </c>
      <c r="AF96" s="49">
        <f t="shared" ca="1" si="60"/>
        <v>283</v>
      </c>
      <c r="AH96" s="50">
        <f t="shared" ca="1" si="8"/>
        <v>0.54624685781489635</v>
      </c>
      <c r="AI96" s="8">
        <f t="shared" si="79"/>
        <v>0.94</v>
      </c>
      <c r="AJ96" s="49">
        <f t="shared" ca="1" si="61"/>
        <v>175</v>
      </c>
      <c r="AL96" s="50">
        <f t="shared" ca="1" si="9"/>
        <v>0.90493841275992226</v>
      </c>
      <c r="AM96" s="8">
        <f t="shared" si="80"/>
        <v>0.94</v>
      </c>
      <c r="AN96" s="49">
        <f t="shared" ca="1" si="62"/>
        <v>187</v>
      </c>
      <c r="AP96" s="50">
        <f t="shared" ca="1" si="10"/>
        <v>0.55503651754852357</v>
      </c>
      <c r="AQ96" s="8">
        <f t="shared" si="81"/>
        <v>0.94</v>
      </c>
      <c r="AR96" s="49">
        <f t="shared" ca="1" si="63"/>
        <v>212</v>
      </c>
      <c r="AT96" s="50">
        <f t="shared" ca="1" si="11"/>
        <v>0.50698026169717103</v>
      </c>
      <c r="AU96" s="8">
        <f t="shared" si="82"/>
        <v>0.94</v>
      </c>
      <c r="AV96" s="49">
        <f t="shared" ca="1" si="64"/>
        <v>182</v>
      </c>
      <c r="AX96" s="50">
        <f t="shared" ca="1" si="12"/>
        <v>0.53440396502950094</v>
      </c>
      <c r="AY96" s="8">
        <f t="shared" si="83"/>
        <v>0.94</v>
      </c>
      <c r="AZ96" s="49">
        <f t="shared" ca="1" si="65"/>
        <v>173</v>
      </c>
      <c r="BB96" s="50">
        <f t="shared" ca="1" si="13"/>
        <v>0.12768520264356276</v>
      </c>
      <c r="BC96" s="8">
        <f t="shared" si="84"/>
        <v>0.94</v>
      </c>
      <c r="BD96" s="49">
        <f t="shared" ca="1" si="66"/>
        <v>105</v>
      </c>
      <c r="BF96" s="50">
        <f t="shared" ca="1" si="14"/>
        <v>9.8568624669301941E-2</v>
      </c>
      <c r="BG96" s="8">
        <f t="shared" si="85"/>
        <v>0.94</v>
      </c>
      <c r="BH96" s="49">
        <f t="shared" ca="1" si="67"/>
        <v>102</v>
      </c>
      <c r="BJ96" s="50">
        <f t="shared" ca="1" si="15"/>
        <v>0.44863776857932824</v>
      </c>
      <c r="BK96" s="8">
        <f t="shared" si="86"/>
        <v>0.94</v>
      </c>
      <c r="BL96" s="49">
        <f t="shared" ca="1" si="68"/>
        <v>119</v>
      </c>
      <c r="BN96" s="50">
        <f t="shared" ca="1" si="16"/>
        <v>0.6925649729939708</v>
      </c>
      <c r="BO96" s="8">
        <f t="shared" si="87"/>
        <v>0.94</v>
      </c>
      <c r="BP96" s="49">
        <f t="shared" ca="1" si="69"/>
        <v>186</v>
      </c>
      <c r="BR96" s="50">
        <f t="shared" ca="1" si="17"/>
        <v>0.5529279045157135</v>
      </c>
      <c r="BS96" s="8">
        <f t="shared" si="88"/>
        <v>0.94</v>
      </c>
      <c r="BT96" s="49">
        <f t="shared" ca="1" si="70"/>
        <v>179</v>
      </c>
    </row>
    <row r="97" spans="1:72" x14ac:dyDescent="0.2">
      <c r="A97" s="22">
        <v>44644</v>
      </c>
      <c r="B97" s="50">
        <f t="shared" ca="1" si="0"/>
        <v>0.90985750022832679</v>
      </c>
      <c r="C97" s="8">
        <f t="shared" si="71"/>
        <v>0.94</v>
      </c>
      <c r="D97" s="49">
        <f t="shared" ca="1" si="53"/>
        <v>120</v>
      </c>
      <c r="F97" s="50">
        <f t="shared" ca="1" si="1"/>
        <v>0.73210111877067374</v>
      </c>
      <c r="G97" s="8">
        <f t="shared" si="72"/>
        <v>0.94</v>
      </c>
      <c r="H97" s="49">
        <f t="shared" ca="1" si="54"/>
        <v>236</v>
      </c>
      <c r="J97" s="50">
        <f t="shared" ca="1" si="2"/>
        <v>0.95930864699854623</v>
      </c>
      <c r="K97" s="8">
        <f t="shared" si="73"/>
        <v>0.94</v>
      </c>
      <c r="L97" s="49">
        <f t="shared" ca="1" si="55"/>
        <v>207</v>
      </c>
      <c r="N97" s="50">
        <f t="shared" ca="1" si="3"/>
        <v>4.520401262500473E-2</v>
      </c>
      <c r="O97" s="8">
        <f t="shared" si="74"/>
        <v>0.94</v>
      </c>
      <c r="P97" s="49">
        <f t="shared" ca="1" si="56"/>
        <v>119</v>
      </c>
      <c r="R97" s="50">
        <f t="shared" ca="1" si="4"/>
        <v>0.39046750763707783</v>
      </c>
      <c r="S97" s="8">
        <f t="shared" si="75"/>
        <v>0.94</v>
      </c>
      <c r="T97" s="49">
        <f t="shared" ca="1" si="57"/>
        <v>121</v>
      </c>
      <c r="V97" s="50">
        <f t="shared" ca="1" si="5"/>
        <v>0.42934027413401965</v>
      </c>
      <c r="W97" s="8">
        <f t="shared" si="76"/>
        <v>0.94</v>
      </c>
      <c r="X97" s="49">
        <f t="shared" ca="1" si="58"/>
        <v>202</v>
      </c>
      <c r="Z97" s="50">
        <f t="shared" ca="1" si="6"/>
        <v>0.97086033372573277</v>
      </c>
      <c r="AA97" s="8">
        <f t="shared" si="77"/>
        <v>0.94</v>
      </c>
      <c r="AB97" s="49">
        <f t="shared" ca="1" si="59"/>
        <v>382</v>
      </c>
      <c r="AD97" s="50">
        <f t="shared" ca="1" si="7"/>
        <v>0.88012270292716088</v>
      </c>
      <c r="AE97" s="8">
        <f t="shared" si="78"/>
        <v>0.94</v>
      </c>
      <c r="AF97" s="49">
        <f t="shared" ca="1" si="60"/>
        <v>404</v>
      </c>
      <c r="AH97" s="50">
        <f t="shared" ca="1" si="8"/>
        <v>0.56524555190770653</v>
      </c>
      <c r="AI97" s="8">
        <f t="shared" si="79"/>
        <v>0.94</v>
      </c>
      <c r="AJ97" s="49">
        <f t="shared" ca="1" si="61"/>
        <v>177</v>
      </c>
      <c r="AL97" s="50">
        <f t="shared" ca="1" si="9"/>
        <v>0.56895817016302563</v>
      </c>
      <c r="AM97" s="8">
        <f t="shared" si="80"/>
        <v>0.94</v>
      </c>
      <c r="AN97" s="49">
        <f t="shared" ca="1" si="62"/>
        <v>145</v>
      </c>
      <c r="AP97" s="50">
        <f t="shared" ca="1" si="10"/>
        <v>0.97676149213994801</v>
      </c>
      <c r="AQ97" s="8">
        <f t="shared" si="81"/>
        <v>0.94</v>
      </c>
      <c r="AR97" s="49">
        <f t="shared" ca="1" si="63"/>
        <v>312</v>
      </c>
      <c r="AT97" s="50">
        <f t="shared" ca="1" si="11"/>
        <v>0.15558121467964225</v>
      </c>
      <c r="AU97" s="8">
        <f t="shared" si="82"/>
        <v>0.94</v>
      </c>
      <c r="AV97" s="49">
        <f t="shared" ca="1" si="64"/>
        <v>132</v>
      </c>
      <c r="AX97" s="50">
        <f t="shared" ca="1" si="12"/>
        <v>0.27594274369694816</v>
      </c>
      <c r="AY97" s="8">
        <f t="shared" si="83"/>
        <v>0.94</v>
      </c>
      <c r="AZ97" s="49">
        <f t="shared" ca="1" si="65"/>
        <v>143</v>
      </c>
      <c r="BB97" s="50">
        <f t="shared" ca="1" si="13"/>
        <v>0.15754665675380586</v>
      </c>
      <c r="BC97" s="8">
        <f t="shared" si="84"/>
        <v>0.94</v>
      </c>
      <c r="BD97" s="49">
        <f t="shared" ca="1" si="66"/>
        <v>110</v>
      </c>
      <c r="BF97" s="50">
        <f t="shared" ca="1" si="14"/>
        <v>0.95484386738186766</v>
      </c>
      <c r="BG97" s="8">
        <f t="shared" si="85"/>
        <v>0.94</v>
      </c>
      <c r="BH97" s="49">
        <f t="shared" ca="1" si="67"/>
        <v>225</v>
      </c>
      <c r="BJ97" s="50">
        <f t="shared" ca="1" si="15"/>
        <v>0.42965360256498775</v>
      </c>
      <c r="BK97" s="8">
        <f t="shared" si="86"/>
        <v>0.94</v>
      </c>
      <c r="BL97" s="49">
        <f t="shared" ca="1" si="68"/>
        <v>118</v>
      </c>
      <c r="BN97" s="50">
        <f t="shared" ca="1" si="16"/>
        <v>0.19830700060302087</v>
      </c>
      <c r="BO97" s="8">
        <f t="shared" si="87"/>
        <v>0.94</v>
      </c>
      <c r="BP97" s="49">
        <f t="shared" ca="1" si="69"/>
        <v>127</v>
      </c>
      <c r="BR97" s="50">
        <f t="shared" ca="1" si="17"/>
        <v>0.68971945059640527</v>
      </c>
      <c r="BS97" s="8">
        <f t="shared" si="88"/>
        <v>0.94</v>
      </c>
      <c r="BT97" s="49">
        <f t="shared" ca="1" si="70"/>
        <v>196</v>
      </c>
    </row>
    <row r="98" spans="1:72" x14ac:dyDescent="0.2">
      <c r="A98" s="22">
        <v>44645</v>
      </c>
      <c r="B98" s="50">
        <f t="shared" ca="1" si="0"/>
        <v>0.52902618086434117</v>
      </c>
      <c r="C98" s="8">
        <f t="shared" si="71"/>
        <v>0.94</v>
      </c>
      <c r="D98" s="49">
        <f t="shared" ca="1" si="53"/>
        <v>96</v>
      </c>
      <c r="F98" s="50">
        <f t="shared" ca="1" si="1"/>
        <v>0.1092083289410013</v>
      </c>
      <c r="G98" s="8">
        <f t="shared" si="72"/>
        <v>0.94</v>
      </c>
      <c r="H98" s="49">
        <f t="shared" ca="1" si="54"/>
        <v>137</v>
      </c>
      <c r="J98" s="50">
        <f t="shared" ca="1" si="2"/>
        <v>0.72648962262812999</v>
      </c>
      <c r="K98" s="8">
        <f t="shared" si="73"/>
        <v>0.94</v>
      </c>
      <c r="L98" s="49">
        <f t="shared" ca="1" si="55"/>
        <v>164</v>
      </c>
      <c r="N98" s="50">
        <f t="shared" ca="1" si="3"/>
        <v>0.40259391246060405</v>
      </c>
      <c r="O98" s="8">
        <f t="shared" si="74"/>
        <v>0.94</v>
      </c>
      <c r="P98" s="49">
        <f t="shared" ca="1" si="56"/>
        <v>202</v>
      </c>
      <c r="R98" s="50">
        <f t="shared" ca="1" si="4"/>
        <v>0.24964425082139619</v>
      </c>
      <c r="S98" s="8">
        <f t="shared" si="75"/>
        <v>0.94</v>
      </c>
      <c r="T98" s="49">
        <f t="shared" ca="1" si="57"/>
        <v>107</v>
      </c>
      <c r="V98" s="50">
        <f t="shared" ca="1" si="5"/>
        <v>8.7044051433011194E-2</v>
      </c>
      <c r="W98" s="8">
        <f t="shared" si="76"/>
        <v>0.94</v>
      </c>
      <c r="X98" s="49">
        <f t="shared" ca="1" si="58"/>
        <v>135</v>
      </c>
      <c r="Z98" s="50">
        <f t="shared" ca="1" si="6"/>
        <v>0.43340176395443764</v>
      </c>
      <c r="AA98" s="8">
        <f t="shared" si="77"/>
        <v>0.94</v>
      </c>
      <c r="AB98" s="49">
        <f t="shared" ca="1" si="59"/>
        <v>243</v>
      </c>
      <c r="AD98" s="50">
        <f t="shared" ca="1" si="7"/>
        <v>0.57565450481718283</v>
      </c>
      <c r="AE98" s="8">
        <f t="shared" si="78"/>
        <v>0.94</v>
      </c>
      <c r="AF98" s="49">
        <f t="shared" ca="1" si="60"/>
        <v>324</v>
      </c>
      <c r="AH98" s="50">
        <f t="shared" ca="1" si="8"/>
        <v>0.63424886343825848</v>
      </c>
      <c r="AI98" s="8">
        <f t="shared" si="79"/>
        <v>0.94</v>
      </c>
      <c r="AJ98" s="49">
        <f t="shared" ca="1" si="61"/>
        <v>185</v>
      </c>
      <c r="AL98" s="50">
        <f t="shared" ca="1" si="9"/>
        <v>0.20594524937267644</v>
      </c>
      <c r="AM98" s="8">
        <f t="shared" si="80"/>
        <v>0.94</v>
      </c>
      <c r="AN98" s="49">
        <f t="shared" ca="1" si="62"/>
        <v>109</v>
      </c>
      <c r="AP98" s="50">
        <f t="shared" ca="1" si="10"/>
        <v>0.8229503870831969</v>
      </c>
      <c r="AQ98" s="8">
        <f t="shared" si="81"/>
        <v>0.94</v>
      </c>
      <c r="AR98" s="49">
        <f t="shared" ca="1" si="63"/>
        <v>255</v>
      </c>
      <c r="AT98" s="50">
        <f t="shared" ca="1" si="11"/>
        <v>0.86591558534133073</v>
      </c>
      <c r="AU98" s="8">
        <f t="shared" si="82"/>
        <v>0.94</v>
      </c>
      <c r="AV98" s="49">
        <f t="shared" ca="1" si="64"/>
        <v>234</v>
      </c>
      <c r="AX98" s="50">
        <f t="shared" ca="1" si="12"/>
        <v>0.23187821443283929</v>
      </c>
      <c r="AY98" s="8">
        <f t="shared" si="83"/>
        <v>0.94</v>
      </c>
      <c r="AZ98" s="49">
        <f t="shared" ca="1" si="65"/>
        <v>137</v>
      </c>
      <c r="BB98" s="50">
        <f t="shared" ca="1" si="13"/>
        <v>0.61196742092117706</v>
      </c>
      <c r="BC98" s="8">
        <f t="shared" si="84"/>
        <v>0.94</v>
      </c>
      <c r="BD98" s="49">
        <f t="shared" ca="1" si="66"/>
        <v>162</v>
      </c>
      <c r="BF98" s="50">
        <f t="shared" ca="1" si="14"/>
        <v>0.27744823732198265</v>
      </c>
      <c r="BG98" s="8">
        <f t="shared" si="85"/>
        <v>0.94</v>
      </c>
      <c r="BH98" s="49">
        <f t="shared" ca="1" si="67"/>
        <v>131</v>
      </c>
      <c r="BJ98" s="50">
        <f t="shared" ca="1" si="15"/>
        <v>0.27449820819289283</v>
      </c>
      <c r="BK98" s="8">
        <f t="shared" si="86"/>
        <v>0.94</v>
      </c>
      <c r="BL98" s="49">
        <f t="shared" ca="1" si="68"/>
        <v>104</v>
      </c>
      <c r="BN98" s="50">
        <f t="shared" ca="1" si="16"/>
        <v>0.48189608550717145</v>
      </c>
      <c r="BO98" s="8">
        <f t="shared" si="87"/>
        <v>0.94</v>
      </c>
      <c r="BP98" s="49">
        <f t="shared" ca="1" si="69"/>
        <v>162</v>
      </c>
      <c r="BR98" s="50">
        <f t="shared" ca="1" si="17"/>
        <v>0.27342344384666861</v>
      </c>
      <c r="BS98" s="8">
        <f t="shared" si="88"/>
        <v>0.94</v>
      </c>
      <c r="BT98" s="49">
        <f t="shared" ca="1" si="70"/>
        <v>145</v>
      </c>
    </row>
    <row r="99" spans="1:72" x14ac:dyDescent="0.2">
      <c r="A99" s="22">
        <v>44646</v>
      </c>
      <c r="B99" s="50">
        <f t="shared" ca="1" si="0"/>
        <v>4.1318838995096141E-2</v>
      </c>
      <c r="C99" s="8">
        <f t="shared" si="71"/>
        <v>0.94</v>
      </c>
      <c r="D99" s="49">
        <f t="shared" ca="1" si="53"/>
        <v>62</v>
      </c>
      <c r="F99" s="50">
        <f t="shared" ca="1" si="1"/>
        <v>0.54634526375160064</v>
      </c>
      <c r="G99" s="8">
        <f t="shared" si="72"/>
        <v>0.94</v>
      </c>
      <c r="H99" s="49">
        <f t="shared" ca="1" si="54"/>
        <v>209</v>
      </c>
      <c r="J99" s="50">
        <f t="shared" ca="1" si="2"/>
        <v>0.16401942971958461</v>
      </c>
      <c r="K99" s="8">
        <f t="shared" si="73"/>
        <v>0.94</v>
      </c>
      <c r="L99" s="49">
        <f t="shared" ca="1" si="55"/>
        <v>105</v>
      </c>
      <c r="N99" s="50">
        <f t="shared" ca="1" si="3"/>
        <v>0.85674802221435975</v>
      </c>
      <c r="O99" s="8">
        <f t="shared" si="74"/>
        <v>0.94</v>
      </c>
      <c r="P99" s="49">
        <f t="shared" ca="1" si="56"/>
        <v>277</v>
      </c>
      <c r="R99" s="50">
        <f t="shared" ca="1" si="4"/>
        <v>0.16236164529018959</v>
      </c>
      <c r="S99" s="8">
        <f t="shared" si="75"/>
        <v>0.94</v>
      </c>
      <c r="T99" s="49">
        <f t="shared" ca="1" si="57"/>
        <v>97</v>
      </c>
      <c r="V99" s="50">
        <f t="shared" ca="1" si="5"/>
        <v>0.34462268108967098</v>
      </c>
      <c r="W99" s="8">
        <f t="shared" si="76"/>
        <v>0.94</v>
      </c>
      <c r="X99" s="49">
        <f t="shared" ca="1" si="58"/>
        <v>189</v>
      </c>
      <c r="Z99" s="50">
        <f t="shared" ca="1" si="6"/>
        <v>0.80453810710997553</v>
      </c>
      <c r="AA99" s="8">
        <f t="shared" si="77"/>
        <v>0.94</v>
      </c>
      <c r="AB99" s="49">
        <f t="shared" ca="1" si="59"/>
        <v>312</v>
      </c>
      <c r="AD99" s="50">
        <f t="shared" ca="1" si="7"/>
        <v>0.7455589877154718</v>
      </c>
      <c r="AE99" s="8">
        <f t="shared" si="78"/>
        <v>0.94</v>
      </c>
      <c r="AF99" s="49">
        <f t="shared" ca="1" si="60"/>
        <v>362</v>
      </c>
      <c r="AH99" s="50">
        <f t="shared" ca="1" si="8"/>
        <v>0.97790959222877427</v>
      </c>
      <c r="AI99" s="8">
        <f t="shared" si="79"/>
        <v>0.94</v>
      </c>
      <c r="AJ99" s="49">
        <f t="shared" ca="1" si="61"/>
        <v>260</v>
      </c>
      <c r="AL99" s="50">
        <f t="shared" ca="1" si="9"/>
        <v>0.16478430683792678</v>
      </c>
      <c r="AM99" s="8">
        <f t="shared" si="80"/>
        <v>0.94</v>
      </c>
      <c r="AN99" s="49">
        <f t="shared" ca="1" si="62"/>
        <v>103</v>
      </c>
      <c r="AP99" s="50">
        <f t="shared" ca="1" si="10"/>
        <v>0.20685945768106628</v>
      </c>
      <c r="AQ99" s="8">
        <f t="shared" si="81"/>
        <v>0.94</v>
      </c>
      <c r="AR99" s="49">
        <f t="shared" ca="1" si="63"/>
        <v>160</v>
      </c>
      <c r="AT99" s="50">
        <f t="shared" ca="1" si="11"/>
        <v>0.5157747861775992</v>
      </c>
      <c r="AU99" s="8">
        <f t="shared" si="82"/>
        <v>0.94</v>
      </c>
      <c r="AV99" s="49">
        <f t="shared" ca="1" si="64"/>
        <v>183</v>
      </c>
      <c r="AX99" s="50">
        <f t="shared" ca="1" si="12"/>
        <v>0.46346297798878566</v>
      </c>
      <c r="AY99" s="8">
        <f t="shared" si="83"/>
        <v>0.94</v>
      </c>
      <c r="AZ99" s="49">
        <f t="shared" ca="1" si="65"/>
        <v>165</v>
      </c>
      <c r="BB99" s="50">
        <f t="shared" ca="1" si="13"/>
        <v>0.13122815758625994</v>
      </c>
      <c r="BC99" s="8">
        <f t="shared" si="84"/>
        <v>0.94</v>
      </c>
      <c r="BD99" s="49">
        <f t="shared" ca="1" si="66"/>
        <v>106</v>
      </c>
      <c r="BF99" s="50">
        <f t="shared" ca="1" si="14"/>
        <v>0.85128507016965194</v>
      </c>
      <c r="BG99" s="8">
        <f t="shared" si="85"/>
        <v>0.94</v>
      </c>
      <c r="BH99" s="49">
        <f t="shared" ca="1" si="67"/>
        <v>198</v>
      </c>
      <c r="BJ99" s="50">
        <f t="shared" ca="1" si="15"/>
        <v>0.41594634916947226</v>
      </c>
      <c r="BK99" s="8">
        <f t="shared" si="86"/>
        <v>0.94</v>
      </c>
      <c r="BL99" s="49">
        <f t="shared" ca="1" si="68"/>
        <v>117</v>
      </c>
      <c r="BN99" s="50">
        <f t="shared" ca="1" si="16"/>
        <v>0.302718341641394</v>
      </c>
      <c r="BO99" s="8">
        <f t="shared" si="87"/>
        <v>0.94</v>
      </c>
      <c r="BP99" s="49">
        <f t="shared" ca="1" si="69"/>
        <v>141</v>
      </c>
      <c r="BR99" s="50">
        <f t="shared" ca="1" si="17"/>
        <v>0.62345736858898837</v>
      </c>
      <c r="BS99" s="8">
        <f t="shared" si="88"/>
        <v>0.94</v>
      </c>
      <c r="BT99" s="49">
        <f t="shared" ca="1" si="70"/>
        <v>187</v>
      </c>
    </row>
    <row r="100" spans="1:72" x14ac:dyDescent="0.2">
      <c r="A100" s="22">
        <v>44647</v>
      </c>
      <c r="B100" s="50">
        <f t="shared" ca="1" si="0"/>
        <v>0.78343650477669791</v>
      </c>
      <c r="C100" s="8">
        <f t="shared" si="71"/>
        <v>0.94</v>
      </c>
      <c r="D100" s="49">
        <f t="shared" ca="1" si="53"/>
        <v>109</v>
      </c>
      <c r="F100" s="50">
        <f t="shared" ca="1" si="1"/>
        <v>7.5264492196352895E-2</v>
      </c>
      <c r="G100" s="8">
        <f t="shared" si="72"/>
        <v>0.94</v>
      </c>
      <c r="H100" s="49">
        <f t="shared" ca="1" si="54"/>
        <v>125</v>
      </c>
      <c r="J100" s="50">
        <f t="shared" ca="1" si="2"/>
        <v>0.10807137875114403</v>
      </c>
      <c r="K100" s="8">
        <f t="shared" si="73"/>
        <v>0.94</v>
      </c>
      <c r="L100" s="49">
        <f t="shared" ca="1" si="55"/>
        <v>95</v>
      </c>
      <c r="N100" s="50">
        <f t="shared" ca="1" si="3"/>
        <v>0.67208089578072849</v>
      </c>
      <c r="O100" s="8">
        <f t="shared" si="74"/>
        <v>0.94</v>
      </c>
      <c r="P100" s="49">
        <f t="shared" ca="1" si="56"/>
        <v>242</v>
      </c>
      <c r="R100" s="50">
        <f t="shared" ca="1" si="4"/>
        <v>0.70549014648453745</v>
      </c>
      <c r="S100" s="8">
        <f t="shared" si="75"/>
        <v>0.94</v>
      </c>
      <c r="T100" s="49">
        <f t="shared" ca="1" si="57"/>
        <v>150</v>
      </c>
      <c r="V100" s="50">
        <f t="shared" ca="1" si="5"/>
        <v>0.75559467667700786</v>
      </c>
      <c r="W100" s="8">
        <f t="shared" si="76"/>
        <v>0.94</v>
      </c>
      <c r="X100" s="49">
        <f t="shared" ca="1" si="58"/>
        <v>251</v>
      </c>
      <c r="Z100" s="50">
        <f t="shared" ca="1" si="6"/>
        <v>0.75663656160619985</v>
      </c>
      <c r="AA100" s="8">
        <f t="shared" si="77"/>
        <v>0.94</v>
      </c>
      <c r="AB100" s="49">
        <f t="shared" ca="1" si="59"/>
        <v>301</v>
      </c>
      <c r="AD100" s="50">
        <f t="shared" ca="1" si="7"/>
        <v>0.3795164868281552</v>
      </c>
      <c r="AE100" s="8">
        <f t="shared" si="78"/>
        <v>0.94</v>
      </c>
      <c r="AF100" s="49">
        <f t="shared" ca="1" si="60"/>
        <v>283</v>
      </c>
      <c r="AH100" s="50">
        <f t="shared" ca="1" si="8"/>
        <v>7.889865642930971E-2</v>
      </c>
      <c r="AI100" s="8">
        <f t="shared" si="79"/>
        <v>0.94</v>
      </c>
      <c r="AJ100" s="49">
        <f t="shared" ca="1" si="61"/>
        <v>106</v>
      </c>
      <c r="AL100" s="50">
        <f t="shared" ca="1" si="9"/>
        <v>0.63051641755990562</v>
      </c>
      <c r="AM100" s="8">
        <f t="shared" si="80"/>
        <v>0.94</v>
      </c>
      <c r="AN100" s="49">
        <f t="shared" ca="1" si="62"/>
        <v>151</v>
      </c>
      <c r="AP100" s="50">
        <f t="shared" ca="1" si="10"/>
        <v>0.63506594167351194</v>
      </c>
      <c r="AQ100" s="8">
        <f t="shared" si="81"/>
        <v>0.94</v>
      </c>
      <c r="AR100" s="49">
        <f t="shared" ca="1" si="63"/>
        <v>223</v>
      </c>
      <c r="AT100" s="50">
        <f t="shared" ca="1" si="11"/>
        <v>0.69609828032472698</v>
      </c>
      <c r="AU100" s="8">
        <f t="shared" si="82"/>
        <v>0.94</v>
      </c>
      <c r="AV100" s="49">
        <f t="shared" ca="1" si="64"/>
        <v>205</v>
      </c>
      <c r="AX100" s="50">
        <f t="shared" ca="1" si="12"/>
        <v>0.62472947626141484</v>
      </c>
      <c r="AY100" s="8">
        <f t="shared" si="83"/>
        <v>0.94</v>
      </c>
      <c r="AZ100" s="49">
        <f t="shared" ca="1" si="65"/>
        <v>184</v>
      </c>
      <c r="BB100" s="50">
        <f t="shared" ca="1" si="13"/>
        <v>4.549876746202508E-2</v>
      </c>
      <c r="BC100" s="8">
        <f t="shared" si="84"/>
        <v>0.94</v>
      </c>
      <c r="BD100" s="49">
        <f t="shared" ca="1" si="66"/>
        <v>83</v>
      </c>
      <c r="BF100" s="50">
        <f t="shared" ca="1" si="14"/>
        <v>0.52941454860430082</v>
      </c>
      <c r="BG100" s="8">
        <f t="shared" si="85"/>
        <v>0.94</v>
      </c>
      <c r="BH100" s="49">
        <f t="shared" ca="1" si="67"/>
        <v>158</v>
      </c>
      <c r="BJ100" s="50">
        <f t="shared" ca="1" si="15"/>
        <v>0.48454451421948364</v>
      </c>
      <c r="BK100" s="8">
        <f t="shared" si="86"/>
        <v>0.94</v>
      </c>
      <c r="BL100" s="49">
        <f t="shared" ca="1" si="68"/>
        <v>122</v>
      </c>
      <c r="BN100" s="50">
        <f t="shared" ca="1" si="16"/>
        <v>0.18700652329475409</v>
      </c>
      <c r="BO100" s="8">
        <f t="shared" si="87"/>
        <v>0.94</v>
      </c>
      <c r="BP100" s="49">
        <f t="shared" ca="1" si="69"/>
        <v>125</v>
      </c>
      <c r="BR100" s="50">
        <f t="shared" ca="1" si="17"/>
        <v>0.94615318704905915</v>
      </c>
      <c r="BS100" s="8">
        <f t="shared" si="88"/>
        <v>0.94</v>
      </c>
      <c r="BT100" s="49">
        <f t="shared" ca="1" si="70"/>
        <v>247</v>
      </c>
    </row>
    <row r="101" spans="1:72" x14ac:dyDescent="0.2">
      <c r="A101" s="22">
        <v>44648</v>
      </c>
      <c r="B101" s="50">
        <f t="shared" ca="1" si="0"/>
        <v>0.43188148305978991</v>
      </c>
      <c r="C101" s="8">
        <f t="shared" si="71"/>
        <v>0.94</v>
      </c>
      <c r="D101" s="49">
        <f t="shared" ca="1" si="53"/>
        <v>91</v>
      </c>
      <c r="F101" s="50">
        <f t="shared" ca="1" si="1"/>
        <v>0.89845148659862073</v>
      </c>
      <c r="G101" s="8">
        <f t="shared" si="72"/>
        <v>0.94</v>
      </c>
      <c r="H101" s="49">
        <f t="shared" ca="1" si="54"/>
        <v>272</v>
      </c>
      <c r="J101" s="50">
        <f t="shared" ca="1" si="2"/>
        <v>0.99569092081515476</v>
      </c>
      <c r="K101" s="8">
        <f t="shared" si="73"/>
        <v>0.94</v>
      </c>
      <c r="L101" s="49">
        <f t="shared" ca="1" si="55"/>
        <v>240</v>
      </c>
      <c r="N101" s="50">
        <f t="shared" ca="1" si="3"/>
        <v>0.30052722114694119</v>
      </c>
      <c r="O101" s="8">
        <f t="shared" si="74"/>
        <v>0.94</v>
      </c>
      <c r="P101" s="49">
        <f t="shared" ca="1" si="56"/>
        <v>186</v>
      </c>
      <c r="R101" s="50">
        <f t="shared" ca="1" si="4"/>
        <v>0.30536537658651575</v>
      </c>
      <c r="S101" s="8">
        <f t="shared" si="75"/>
        <v>0.94</v>
      </c>
      <c r="T101" s="49">
        <f t="shared" ca="1" si="57"/>
        <v>113</v>
      </c>
      <c r="V101" s="50">
        <f t="shared" ca="1" si="5"/>
        <v>9.1038124815746357E-2</v>
      </c>
      <c r="W101" s="8">
        <f t="shared" si="76"/>
        <v>0.94</v>
      </c>
      <c r="X101" s="49">
        <f t="shared" ca="1" si="58"/>
        <v>137</v>
      </c>
      <c r="Z101" s="50">
        <f t="shared" ca="1" si="6"/>
        <v>4.9580679098393032E-2</v>
      </c>
      <c r="AA101" s="8">
        <f t="shared" si="77"/>
        <v>0.94</v>
      </c>
      <c r="AB101" s="49">
        <f t="shared" ca="1" si="59"/>
        <v>143</v>
      </c>
      <c r="AD101" s="50">
        <f t="shared" ca="1" si="7"/>
        <v>0.54584730856457031</v>
      </c>
      <c r="AE101" s="8">
        <f t="shared" si="78"/>
        <v>0.94</v>
      </c>
      <c r="AF101" s="49">
        <f t="shared" ca="1" si="60"/>
        <v>317</v>
      </c>
      <c r="AH101" s="50">
        <f t="shared" ca="1" si="8"/>
        <v>0.41721858786232635</v>
      </c>
      <c r="AI101" s="8">
        <f t="shared" si="79"/>
        <v>0.94</v>
      </c>
      <c r="AJ101" s="49">
        <f t="shared" ca="1" si="61"/>
        <v>160</v>
      </c>
      <c r="AL101" s="50">
        <f t="shared" ca="1" si="9"/>
        <v>0.6725727573510617</v>
      </c>
      <c r="AM101" s="8">
        <f t="shared" si="80"/>
        <v>0.94</v>
      </c>
      <c r="AN101" s="49">
        <f t="shared" ca="1" si="62"/>
        <v>155</v>
      </c>
      <c r="AP101" s="50">
        <f t="shared" ca="1" si="10"/>
        <v>0.63822765734345821</v>
      </c>
      <c r="AQ101" s="8">
        <f t="shared" si="81"/>
        <v>0.94</v>
      </c>
      <c r="AR101" s="49">
        <f t="shared" ca="1" si="63"/>
        <v>223</v>
      </c>
      <c r="AT101" s="50">
        <f t="shared" ca="1" si="11"/>
        <v>0.58893386558784355</v>
      </c>
      <c r="AU101" s="8">
        <f t="shared" si="82"/>
        <v>0.94</v>
      </c>
      <c r="AV101" s="49">
        <f t="shared" ca="1" si="64"/>
        <v>192</v>
      </c>
      <c r="AX101" s="50">
        <f t="shared" ca="1" si="12"/>
        <v>0.87386107779249378</v>
      </c>
      <c r="AY101" s="8">
        <f t="shared" si="83"/>
        <v>0.94</v>
      </c>
      <c r="AZ101" s="49">
        <f t="shared" ca="1" si="65"/>
        <v>221</v>
      </c>
      <c r="BB101" s="50">
        <f t="shared" ca="1" si="13"/>
        <v>0.54455191757864763</v>
      </c>
      <c r="BC101" s="8">
        <f t="shared" si="84"/>
        <v>0.94</v>
      </c>
      <c r="BD101" s="49">
        <f t="shared" ca="1" si="66"/>
        <v>155</v>
      </c>
      <c r="BF101" s="50">
        <f t="shared" ca="1" si="14"/>
        <v>0.17702242839224702</v>
      </c>
      <c r="BG101" s="8">
        <f t="shared" si="85"/>
        <v>0.94</v>
      </c>
      <c r="BH101" s="49">
        <f t="shared" ca="1" si="67"/>
        <v>117</v>
      </c>
      <c r="BJ101" s="50">
        <f t="shared" ca="1" si="15"/>
        <v>0.72585492750666447</v>
      </c>
      <c r="BK101" s="8">
        <f t="shared" si="86"/>
        <v>0.94</v>
      </c>
      <c r="BL101" s="49">
        <f t="shared" ca="1" si="68"/>
        <v>143</v>
      </c>
      <c r="BN101" s="50">
        <f t="shared" ca="1" si="16"/>
        <v>0.40894985817492657</v>
      </c>
      <c r="BO101" s="8">
        <f t="shared" si="87"/>
        <v>0.94</v>
      </c>
      <c r="BP101" s="49">
        <f t="shared" ca="1" si="69"/>
        <v>154</v>
      </c>
      <c r="BR101" s="50">
        <f t="shared" ca="1" si="17"/>
        <v>0.65512884336139277</v>
      </c>
      <c r="BS101" s="8">
        <f t="shared" si="88"/>
        <v>0.94</v>
      </c>
      <c r="BT101" s="49">
        <f t="shared" ca="1" si="70"/>
        <v>191</v>
      </c>
    </row>
    <row r="102" spans="1:72" x14ac:dyDescent="0.2">
      <c r="A102" s="22">
        <v>44649</v>
      </c>
      <c r="B102" s="50">
        <f t="shared" ca="1" si="0"/>
        <v>0.12097445529924145</v>
      </c>
      <c r="C102" s="8">
        <f t="shared" si="71"/>
        <v>0.94</v>
      </c>
      <c r="D102" s="49">
        <f t="shared" ca="1" si="53"/>
        <v>73</v>
      </c>
      <c r="F102" s="50">
        <f t="shared" ca="1" si="1"/>
        <v>0.1732826700313167</v>
      </c>
      <c r="G102" s="8">
        <f t="shared" si="72"/>
        <v>0.94</v>
      </c>
      <c r="H102" s="49">
        <f t="shared" ca="1" si="54"/>
        <v>152</v>
      </c>
      <c r="J102" s="50">
        <f t="shared" ca="1" si="2"/>
        <v>0.49374696199971035</v>
      </c>
      <c r="K102" s="8">
        <f t="shared" si="73"/>
        <v>0.94</v>
      </c>
      <c r="L102" s="49">
        <f t="shared" ca="1" si="55"/>
        <v>141</v>
      </c>
      <c r="N102" s="50">
        <f t="shared" ca="1" si="3"/>
        <v>0.32548675896649593</v>
      </c>
      <c r="O102" s="8">
        <f t="shared" si="74"/>
        <v>0.94</v>
      </c>
      <c r="P102" s="49">
        <f t="shared" ca="1" si="56"/>
        <v>190</v>
      </c>
      <c r="R102" s="50">
        <f t="shared" ca="1" si="4"/>
        <v>7.2920549861840489E-2</v>
      </c>
      <c r="S102" s="8">
        <f t="shared" si="75"/>
        <v>0.94</v>
      </c>
      <c r="T102" s="49">
        <f t="shared" ca="1" si="57"/>
        <v>80</v>
      </c>
      <c r="V102" s="50">
        <f t="shared" ca="1" si="5"/>
        <v>7.227141111211588E-2</v>
      </c>
      <c r="W102" s="8">
        <f t="shared" si="76"/>
        <v>0.94</v>
      </c>
      <c r="X102" s="49">
        <f t="shared" ca="1" si="58"/>
        <v>130</v>
      </c>
      <c r="Z102" s="50">
        <f t="shared" ca="1" si="6"/>
        <v>0.83882552880532424</v>
      </c>
      <c r="AA102" s="8">
        <f t="shared" si="77"/>
        <v>0.94</v>
      </c>
      <c r="AB102" s="49">
        <f t="shared" ca="1" si="59"/>
        <v>321</v>
      </c>
      <c r="AD102" s="50">
        <f t="shared" ca="1" si="7"/>
        <v>0.73904093426936945</v>
      </c>
      <c r="AE102" s="8">
        <f t="shared" si="78"/>
        <v>0.94</v>
      </c>
      <c r="AF102" s="49">
        <f t="shared" ca="1" si="60"/>
        <v>360</v>
      </c>
      <c r="AH102" s="50">
        <f t="shared" ca="1" si="8"/>
        <v>0.78396664986783204</v>
      </c>
      <c r="AI102" s="8">
        <f t="shared" si="79"/>
        <v>0.94</v>
      </c>
      <c r="AJ102" s="49">
        <f t="shared" ca="1" si="61"/>
        <v>205</v>
      </c>
      <c r="AL102" s="50">
        <f t="shared" ca="1" si="9"/>
        <v>1.2386443899395916E-2</v>
      </c>
      <c r="AM102" s="8">
        <f t="shared" si="80"/>
        <v>0.94</v>
      </c>
      <c r="AN102" s="49">
        <f t="shared" ca="1" si="62"/>
        <v>56</v>
      </c>
      <c r="AP102" s="50">
        <f t="shared" ca="1" si="10"/>
        <v>0.40718903386157335</v>
      </c>
      <c r="AQ102" s="8">
        <f t="shared" si="81"/>
        <v>0.94</v>
      </c>
      <c r="AR102" s="49">
        <f t="shared" ca="1" si="63"/>
        <v>191</v>
      </c>
      <c r="AT102" s="50">
        <f t="shared" ca="1" si="11"/>
        <v>0.42866251467728278</v>
      </c>
      <c r="AU102" s="8">
        <f t="shared" si="82"/>
        <v>0.94</v>
      </c>
      <c r="AV102" s="49">
        <f t="shared" ca="1" si="64"/>
        <v>172</v>
      </c>
      <c r="AX102" s="50">
        <f t="shared" ca="1" si="12"/>
        <v>0.69786845609810855</v>
      </c>
      <c r="AY102" s="8">
        <f t="shared" si="83"/>
        <v>0.94</v>
      </c>
      <c r="AZ102" s="49">
        <f t="shared" ca="1" si="65"/>
        <v>193</v>
      </c>
      <c r="BB102" s="50">
        <f t="shared" ca="1" si="13"/>
        <v>0.89599801059180995</v>
      </c>
      <c r="BC102" s="8">
        <f t="shared" si="84"/>
        <v>0.94</v>
      </c>
      <c r="BD102" s="49">
        <f t="shared" ca="1" si="66"/>
        <v>201</v>
      </c>
      <c r="BF102" s="50">
        <f t="shared" ca="1" si="14"/>
        <v>0.86549148578848245</v>
      </c>
      <c r="BG102" s="8">
        <f t="shared" si="85"/>
        <v>0.94</v>
      </c>
      <c r="BH102" s="49">
        <f t="shared" ca="1" si="67"/>
        <v>201</v>
      </c>
      <c r="BJ102" s="50">
        <f t="shared" ca="1" si="15"/>
        <v>0.61992211128012731</v>
      </c>
      <c r="BK102" s="8">
        <f t="shared" si="86"/>
        <v>0.94</v>
      </c>
      <c r="BL102" s="49">
        <f t="shared" ca="1" si="68"/>
        <v>134</v>
      </c>
      <c r="BN102" s="50">
        <f t="shared" ca="1" si="16"/>
        <v>0.39244132128170583</v>
      </c>
      <c r="BO102" s="8">
        <f t="shared" si="87"/>
        <v>0.94</v>
      </c>
      <c r="BP102" s="49">
        <f t="shared" ca="1" si="69"/>
        <v>152</v>
      </c>
      <c r="BR102" s="50">
        <f t="shared" ca="1" si="17"/>
        <v>0.85608540287051493</v>
      </c>
      <c r="BS102" s="8">
        <f t="shared" si="88"/>
        <v>0.94</v>
      </c>
      <c r="BT102" s="49">
        <f t="shared" ca="1" si="70"/>
        <v>222</v>
      </c>
    </row>
    <row r="103" spans="1:72" x14ac:dyDescent="0.2">
      <c r="A103" s="22">
        <v>44650</v>
      </c>
      <c r="B103" s="50">
        <f t="shared" ca="1" si="0"/>
        <v>0.87180259305020069</v>
      </c>
      <c r="C103" s="8">
        <f t="shared" si="71"/>
        <v>0.94</v>
      </c>
      <c r="D103" s="49">
        <f t="shared" ca="1" si="53"/>
        <v>116</v>
      </c>
      <c r="F103" s="50">
        <f t="shared" ca="1" si="1"/>
        <v>0.83304927310951227</v>
      </c>
      <c r="G103" s="8">
        <f t="shared" si="72"/>
        <v>0.94</v>
      </c>
      <c r="H103" s="49">
        <f t="shared" ca="1" si="54"/>
        <v>255</v>
      </c>
      <c r="J103" s="50">
        <f t="shared" ca="1" si="2"/>
        <v>0.37797583096768717</v>
      </c>
      <c r="K103" s="8">
        <f t="shared" si="73"/>
        <v>0.94</v>
      </c>
      <c r="L103" s="49">
        <f t="shared" ca="1" si="55"/>
        <v>130</v>
      </c>
      <c r="N103" s="50">
        <f t="shared" ca="1" si="3"/>
        <v>0.62412660738076542</v>
      </c>
      <c r="O103" s="8">
        <f t="shared" si="74"/>
        <v>0.94</v>
      </c>
      <c r="P103" s="49">
        <f t="shared" ca="1" si="56"/>
        <v>234</v>
      </c>
      <c r="R103" s="50">
        <f t="shared" ca="1" si="4"/>
        <v>0.48663449132651726</v>
      </c>
      <c r="S103" s="8">
        <f t="shared" si="75"/>
        <v>0.94</v>
      </c>
      <c r="T103" s="49">
        <f t="shared" ca="1" si="57"/>
        <v>130</v>
      </c>
      <c r="V103" s="50">
        <f t="shared" ca="1" si="5"/>
        <v>0.40224202421613098</v>
      </c>
      <c r="W103" s="8">
        <f t="shared" si="76"/>
        <v>0.94</v>
      </c>
      <c r="X103" s="49">
        <f t="shared" ca="1" si="58"/>
        <v>198</v>
      </c>
      <c r="Z103" s="50">
        <f t="shared" ca="1" si="6"/>
        <v>0.80985003669544886</v>
      </c>
      <c r="AA103" s="8">
        <f t="shared" si="77"/>
        <v>0.94</v>
      </c>
      <c r="AB103" s="49">
        <f t="shared" ca="1" si="59"/>
        <v>314</v>
      </c>
      <c r="AD103" s="50">
        <f t="shared" ca="1" si="7"/>
        <v>0.18363950343012359</v>
      </c>
      <c r="AE103" s="8">
        <f t="shared" si="78"/>
        <v>0.94</v>
      </c>
      <c r="AF103" s="49">
        <f t="shared" ca="1" si="60"/>
        <v>234</v>
      </c>
      <c r="AH103" s="50">
        <f t="shared" ca="1" si="8"/>
        <v>0.37358558109149553</v>
      </c>
      <c r="AI103" s="8">
        <f t="shared" si="79"/>
        <v>0.94</v>
      </c>
      <c r="AJ103" s="49">
        <f t="shared" ca="1" si="61"/>
        <v>155</v>
      </c>
      <c r="AL103" s="50">
        <f t="shared" ca="1" si="9"/>
        <v>0.12244703523966738</v>
      </c>
      <c r="AM103" s="8">
        <f t="shared" si="80"/>
        <v>0.94</v>
      </c>
      <c r="AN103" s="49">
        <f t="shared" ca="1" si="62"/>
        <v>96</v>
      </c>
      <c r="AP103" s="50">
        <f t="shared" ca="1" si="10"/>
        <v>0.52040729691501941</v>
      </c>
      <c r="AQ103" s="8">
        <f t="shared" si="81"/>
        <v>0.94</v>
      </c>
      <c r="AR103" s="49">
        <f t="shared" ca="1" si="63"/>
        <v>207</v>
      </c>
      <c r="AT103" s="50">
        <f t="shared" ca="1" si="11"/>
        <v>0.34750654148916249</v>
      </c>
      <c r="AU103" s="8">
        <f t="shared" si="82"/>
        <v>0.94</v>
      </c>
      <c r="AV103" s="49">
        <f t="shared" ca="1" si="64"/>
        <v>162</v>
      </c>
      <c r="AX103" s="50">
        <f t="shared" ca="1" si="12"/>
        <v>7.0627282374787659E-2</v>
      </c>
      <c r="AY103" s="8">
        <f t="shared" si="83"/>
        <v>0.94</v>
      </c>
      <c r="AZ103" s="49">
        <f t="shared" ca="1" si="65"/>
        <v>103</v>
      </c>
      <c r="BB103" s="50">
        <f t="shared" ca="1" si="13"/>
        <v>0.66684880779492428</v>
      </c>
      <c r="BC103" s="8">
        <f t="shared" si="84"/>
        <v>0.94</v>
      </c>
      <c r="BD103" s="49">
        <f t="shared" ca="1" si="66"/>
        <v>168</v>
      </c>
      <c r="BF103" s="50">
        <f t="shared" ca="1" si="14"/>
        <v>0.89134297983499877</v>
      </c>
      <c r="BG103" s="8">
        <f t="shared" si="85"/>
        <v>0.94</v>
      </c>
      <c r="BH103" s="49">
        <f t="shared" ca="1" si="67"/>
        <v>206</v>
      </c>
      <c r="BJ103" s="50">
        <f t="shared" ca="1" si="15"/>
        <v>7.4403628280194867E-2</v>
      </c>
      <c r="BK103" s="8">
        <f t="shared" si="86"/>
        <v>0.94</v>
      </c>
      <c r="BL103" s="49">
        <f t="shared" ca="1" si="68"/>
        <v>76</v>
      </c>
      <c r="BN103" s="50">
        <f t="shared" ca="1" si="16"/>
        <v>0.87226137576118412</v>
      </c>
      <c r="BO103" s="8">
        <f t="shared" si="87"/>
        <v>0.94</v>
      </c>
      <c r="BP103" s="49">
        <f t="shared" ca="1" si="69"/>
        <v>213</v>
      </c>
      <c r="BR103" s="50">
        <f t="shared" ca="1" si="17"/>
        <v>4.5062936889012972E-2</v>
      </c>
      <c r="BS103" s="8">
        <f t="shared" si="88"/>
        <v>0.94</v>
      </c>
      <c r="BT103" s="49">
        <f t="shared" ca="1" si="70"/>
        <v>95</v>
      </c>
    </row>
    <row r="104" spans="1:72" x14ac:dyDescent="0.2">
      <c r="A104" s="22">
        <v>44651</v>
      </c>
      <c r="B104" s="50">
        <f t="shared" ca="1" si="0"/>
        <v>0.62250184796656804</v>
      </c>
      <c r="C104" s="8">
        <f t="shared" si="71"/>
        <v>0.94</v>
      </c>
      <c r="D104" s="49">
        <f t="shared" ca="1" si="53"/>
        <v>100</v>
      </c>
      <c r="F104" s="50">
        <f t="shared" ca="1" si="1"/>
        <v>0.9765157088724058</v>
      </c>
      <c r="G104" s="8">
        <f t="shared" si="72"/>
        <v>0.94</v>
      </c>
      <c r="H104" s="49">
        <f t="shared" ca="1" si="54"/>
        <v>310</v>
      </c>
      <c r="J104" s="50">
        <f t="shared" ca="1" si="2"/>
        <v>0.43171327755048061</v>
      </c>
      <c r="K104" s="8">
        <f t="shared" si="73"/>
        <v>0.94</v>
      </c>
      <c r="L104" s="49">
        <f t="shared" ca="1" si="55"/>
        <v>135</v>
      </c>
      <c r="N104" s="50">
        <f t="shared" ca="1" si="3"/>
        <v>0.34871427658197618</v>
      </c>
      <c r="O104" s="8">
        <f t="shared" si="74"/>
        <v>0.94</v>
      </c>
      <c r="P104" s="49">
        <f t="shared" ca="1" si="56"/>
        <v>194</v>
      </c>
      <c r="R104" s="50">
        <f t="shared" ca="1" si="4"/>
        <v>0.69433850948928133</v>
      </c>
      <c r="S104" s="8">
        <f t="shared" si="75"/>
        <v>0.94</v>
      </c>
      <c r="T104" s="49">
        <f t="shared" ca="1" si="57"/>
        <v>149</v>
      </c>
      <c r="V104" s="50">
        <f t="shared" ca="1" si="5"/>
        <v>0.87489342183083996</v>
      </c>
      <c r="W104" s="8">
        <f t="shared" si="76"/>
        <v>0.94</v>
      </c>
      <c r="X104" s="49">
        <f t="shared" ca="1" si="58"/>
        <v>277</v>
      </c>
      <c r="Z104" s="50">
        <f t="shared" ca="1" si="6"/>
        <v>0.14348549400798916</v>
      </c>
      <c r="AA104" s="8">
        <f t="shared" si="77"/>
        <v>0.94</v>
      </c>
      <c r="AB104" s="49">
        <f t="shared" ca="1" si="59"/>
        <v>182</v>
      </c>
      <c r="AD104" s="50">
        <f t="shared" ca="1" si="7"/>
        <v>0.39606784466173872</v>
      </c>
      <c r="AE104" s="8">
        <f t="shared" si="78"/>
        <v>0.94</v>
      </c>
      <c r="AF104" s="49">
        <f t="shared" ca="1" si="60"/>
        <v>286</v>
      </c>
      <c r="AH104" s="50">
        <f t="shared" ca="1" si="8"/>
        <v>0.87708551510595267</v>
      </c>
      <c r="AI104" s="8">
        <f t="shared" si="79"/>
        <v>0.94</v>
      </c>
      <c r="AJ104" s="49">
        <f t="shared" ca="1" si="61"/>
        <v>222</v>
      </c>
      <c r="AL104" s="50">
        <f t="shared" ca="1" si="9"/>
        <v>0.8384883156004721</v>
      </c>
      <c r="AM104" s="8">
        <f t="shared" si="80"/>
        <v>0.94</v>
      </c>
      <c r="AN104" s="49">
        <f t="shared" ca="1" si="62"/>
        <v>175</v>
      </c>
      <c r="AP104" s="50">
        <f t="shared" ca="1" si="10"/>
        <v>3.0702522454126302E-2</v>
      </c>
      <c r="AQ104" s="8">
        <f t="shared" si="81"/>
        <v>0.94</v>
      </c>
      <c r="AR104" s="49">
        <f t="shared" ca="1" si="63"/>
        <v>103</v>
      </c>
      <c r="AT104" s="50">
        <f t="shared" ca="1" si="11"/>
        <v>0.82753038088619146</v>
      </c>
      <c r="AU104" s="8">
        <f t="shared" si="82"/>
        <v>0.94</v>
      </c>
      <c r="AV104" s="49">
        <f t="shared" ca="1" si="64"/>
        <v>226</v>
      </c>
      <c r="AX104" s="50">
        <f t="shared" ca="1" si="12"/>
        <v>0.3510521245626641</v>
      </c>
      <c r="AY104" s="8">
        <f t="shared" si="83"/>
        <v>0.94</v>
      </c>
      <c r="AZ104" s="49">
        <f t="shared" ca="1" si="65"/>
        <v>152</v>
      </c>
      <c r="BB104" s="50">
        <f t="shared" ca="1" si="13"/>
        <v>0.31215843434353208</v>
      </c>
      <c r="BC104" s="8">
        <f t="shared" si="84"/>
        <v>0.94</v>
      </c>
      <c r="BD104" s="49">
        <f t="shared" ca="1" si="66"/>
        <v>131</v>
      </c>
      <c r="BF104" s="50">
        <f t="shared" ca="1" si="14"/>
        <v>0.51876447572078133</v>
      </c>
      <c r="BG104" s="8">
        <f t="shared" si="85"/>
        <v>0.94</v>
      </c>
      <c r="BH104" s="49">
        <f t="shared" ca="1" si="67"/>
        <v>157</v>
      </c>
      <c r="BJ104" s="50">
        <f t="shared" ca="1" si="15"/>
        <v>0.84968567938093353</v>
      </c>
      <c r="BK104" s="8">
        <f t="shared" si="86"/>
        <v>0.94</v>
      </c>
      <c r="BL104" s="49">
        <f t="shared" ca="1" si="68"/>
        <v>158</v>
      </c>
      <c r="BN104" s="50">
        <f t="shared" ca="1" si="16"/>
        <v>0.82096378026847583</v>
      </c>
      <c r="BO104" s="8">
        <f t="shared" si="87"/>
        <v>0.94</v>
      </c>
      <c r="BP104" s="49">
        <f t="shared" ca="1" si="69"/>
        <v>204</v>
      </c>
      <c r="BR104" s="50">
        <f t="shared" ca="1" si="17"/>
        <v>0.19317771668370587</v>
      </c>
      <c r="BS104" s="8">
        <f t="shared" si="88"/>
        <v>0.94</v>
      </c>
      <c r="BT104" s="49">
        <f t="shared" ca="1" si="70"/>
        <v>133</v>
      </c>
    </row>
    <row r="105" spans="1:72" x14ac:dyDescent="0.2">
      <c r="A105" s="22">
        <v>44652</v>
      </c>
      <c r="B105" s="50">
        <f t="shared" ca="1" si="0"/>
        <v>1.9806839602725113E-3</v>
      </c>
      <c r="C105" s="8">
        <f>1-(0.06 + 0.2)</f>
        <v>0.74</v>
      </c>
      <c r="D105" s="49">
        <f t="shared" ca="1" si="53"/>
        <v>32</v>
      </c>
      <c r="F105" s="50">
        <f t="shared" ca="1" si="1"/>
        <v>9.8512615641617618E-2</v>
      </c>
      <c r="G105" s="8">
        <f>1-(0.06 + 0.2)</f>
        <v>0.74</v>
      </c>
      <c r="H105" s="49">
        <f t="shared" ca="1" si="54"/>
        <v>105</v>
      </c>
      <c r="J105" s="50">
        <f t="shared" ca="1" si="2"/>
        <v>0.56656599811011044</v>
      </c>
      <c r="K105" s="8">
        <f>1-(0.06 + 0.2)</f>
        <v>0.74</v>
      </c>
      <c r="L105" s="49">
        <f t="shared" ca="1" si="55"/>
        <v>116</v>
      </c>
      <c r="N105" s="50">
        <f t="shared" ca="1" si="3"/>
        <v>0.6254890551023391</v>
      </c>
      <c r="O105" s="8">
        <f>1-(0.06 + 0.2)</f>
        <v>0.74</v>
      </c>
      <c r="P105" s="49">
        <f t="shared" ca="1" si="56"/>
        <v>185</v>
      </c>
      <c r="R105" s="50">
        <f t="shared" ca="1" si="4"/>
        <v>0.95889607684755607</v>
      </c>
      <c r="S105" s="8">
        <f>1-(0.06 + 0.2)</f>
        <v>0.74</v>
      </c>
      <c r="T105" s="49">
        <f t="shared" ca="1" si="57"/>
        <v>151</v>
      </c>
      <c r="V105" s="50">
        <f t="shared" ca="1" si="5"/>
        <v>1.4278300004393785E-2</v>
      </c>
      <c r="W105" s="8">
        <f>1-(0.06 + 0.2)</f>
        <v>0.74</v>
      </c>
      <c r="X105" s="49">
        <f t="shared" ca="1" si="58"/>
        <v>70</v>
      </c>
      <c r="Z105" s="50">
        <f t="shared" ca="1" si="6"/>
        <v>0.87637642866335663</v>
      </c>
      <c r="AA105" s="8">
        <f>1-(0.06 + 0.2)</f>
        <v>0.74</v>
      </c>
      <c r="AB105" s="49">
        <f t="shared" ca="1" si="59"/>
        <v>262</v>
      </c>
      <c r="AD105" s="50">
        <f t="shared" ca="1" si="7"/>
        <v>0.41553665782581217</v>
      </c>
      <c r="AE105" s="8">
        <f>1-(0.06 + 0.2)</f>
        <v>0.74</v>
      </c>
      <c r="AF105" s="49">
        <f t="shared" ca="1" si="60"/>
        <v>229</v>
      </c>
      <c r="AH105" s="50">
        <f t="shared" ca="1" si="8"/>
        <v>0.87454133274647139</v>
      </c>
      <c r="AI105" s="8">
        <f>1-(0.06 + 0.2)</f>
        <v>0.74</v>
      </c>
      <c r="AJ105" s="49">
        <f t="shared" ca="1" si="61"/>
        <v>174</v>
      </c>
      <c r="AL105" s="50">
        <f t="shared" ca="1" si="9"/>
        <v>0.67658426138423</v>
      </c>
      <c r="AM105" s="8">
        <f>1-(0.06 + 0.2)</f>
        <v>0.74</v>
      </c>
      <c r="AN105" s="49">
        <f t="shared" ca="1" si="62"/>
        <v>123</v>
      </c>
      <c r="AP105" s="50">
        <f t="shared" ca="1" si="10"/>
        <v>7.1121996587351077E-2</v>
      </c>
      <c r="AQ105" s="8">
        <f>1-(0.06 + 0.2)</f>
        <v>0.74</v>
      </c>
      <c r="AR105" s="49">
        <f t="shared" ca="1" si="63"/>
        <v>98</v>
      </c>
      <c r="AT105" s="50">
        <f t="shared" ca="1" si="11"/>
        <v>0.82318623806388735</v>
      </c>
      <c r="AU105" s="8">
        <f>1-(0.06 + 0.2)</f>
        <v>0.74</v>
      </c>
      <c r="AV105" s="49">
        <f t="shared" ca="1" si="64"/>
        <v>177</v>
      </c>
      <c r="AX105" s="50">
        <f t="shared" ca="1" si="12"/>
        <v>0.27431010519387278</v>
      </c>
      <c r="AY105" s="8">
        <f>1-(0.06 + 0.2)</f>
        <v>0.74</v>
      </c>
      <c r="AZ105" s="49">
        <f t="shared" ca="1" si="65"/>
        <v>112</v>
      </c>
      <c r="BB105" s="50">
        <f t="shared" ca="1" si="13"/>
        <v>0.44424547423870575</v>
      </c>
      <c r="BC105" s="8">
        <f>1-(0.06 + 0.2)</f>
        <v>0.74</v>
      </c>
      <c r="BD105" s="49">
        <f t="shared" ca="1" si="66"/>
        <v>114</v>
      </c>
      <c r="BF105" s="50">
        <f t="shared" ca="1" si="14"/>
        <v>0.78669781622689483</v>
      </c>
      <c r="BG105" s="8">
        <f>1-(0.06 + 0.2)</f>
        <v>0.74</v>
      </c>
      <c r="BH105" s="49">
        <f t="shared" ca="1" si="67"/>
        <v>148</v>
      </c>
      <c r="BJ105" s="50">
        <f t="shared" ca="1" si="15"/>
        <v>0.62590162633185897</v>
      </c>
      <c r="BK105" s="8">
        <f>1-(0.06 + 0.2)</f>
        <v>0.74</v>
      </c>
      <c r="BL105" s="49">
        <f t="shared" ca="1" si="68"/>
        <v>106</v>
      </c>
      <c r="BN105" s="50">
        <f t="shared" ca="1" si="16"/>
        <v>0.7003667600228376</v>
      </c>
      <c r="BO105" s="8">
        <f>1-(0.06 + 0.2)</f>
        <v>0.74</v>
      </c>
      <c r="BP105" s="49">
        <f t="shared" ca="1" si="69"/>
        <v>147</v>
      </c>
      <c r="BR105" s="50">
        <f t="shared" ca="1" si="17"/>
        <v>0.28907632853420062</v>
      </c>
      <c r="BS105" s="8">
        <f>1-(0.06 + 0.2)</f>
        <v>0.74</v>
      </c>
      <c r="BT105" s="49">
        <f t="shared" ca="1" si="70"/>
        <v>116</v>
      </c>
    </row>
    <row r="106" spans="1:72" x14ac:dyDescent="0.2">
      <c r="A106" s="22">
        <v>44653</v>
      </c>
      <c r="B106" s="50">
        <f t="shared" ca="1" si="0"/>
        <v>0.82780275230626155</v>
      </c>
      <c r="C106" s="8">
        <f t="shared" ref="C106:C169" si="89">1-(0.06 + 0.2)</f>
        <v>0.74</v>
      </c>
      <c r="D106" s="49">
        <f t="shared" ca="1" si="53"/>
        <v>88</v>
      </c>
      <c r="F106" s="50">
        <f t="shared" ca="1" si="1"/>
        <v>0.78778892936160572</v>
      </c>
      <c r="G106" s="8">
        <f t="shared" ref="G106:G169" si="90">1-(0.06 + 0.2)</f>
        <v>0.74</v>
      </c>
      <c r="H106" s="49">
        <f t="shared" ca="1" si="54"/>
        <v>194</v>
      </c>
      <c r="J106" s="50">
        <f t="shared" ca="1" si="2"/>
        <v>2.4651905889476411E-2</v>
      </c>
      <c r="K106" s="8">
        <f t="shared" ref="K106:K169" si="91">1-(0.06 + 0.2)</f>
        <v>0.74</v>
      </c>
      <c r="L106" s="49">
        <f t="shared" ca="1" si="55"/>
        <v>53</v>
      </c>
      <c r="N106" s="50">
        <f t="shared" ca="1" si="3"/>
        <v>0.99993184652608091</v>
      </c>
      <c r="O106" s="8">
        <f t="shared" ref="O106:O169" si="92">1-(0.06 + 0.2)</f>
        <v>0.74</v>
      </c>
      <c r="P106" s="49">
        <f t="shared" ca="1" si="56"/>
        <v>343</v>
      </c>
      <c r="R106" s="50">
        <f t="shared" ca="1" si="4"/>
        <v>0.49027083786450532</v>
      </c>
      <c r="S106" s="8">
        <f t="shared" ref="S106:S169" si="93">1-(0.06 + 0.2)</f>
        <v>0.74</v>
      </c>
      <c r="T106" s="49">
        <f t="shared" ca="1" si="57"/>
        <v>103</v>
      </c>
      <c r="V106" s="50">
        <f t="shared" ca="1" si="5"/>
        <v>0.64773546312511898</v>
      </c>
      <c r="W106" s="8">
        <f t="shared" ref="W106:W169" si="94">1-(0.06 + 0.2)</f>
        <v>0.74</v>
      </c>
      <c r="X106" s="49">
        <f t="shared" ca="1" si="58"/>
        <v>184</v>
      </c>
      <c r="Z106" s="50">
        <f t="shared" ca="1" si="6"/>
        <v>5.277528753879579E-2</v>
      </c>
      <c r="AA106" s="8">
        <f t="shared" ref="AA106:AA169" si="95">1-(0.06 + 0.2)</f>
        <v>0.74</v>
      </c>
      <c r="AB106" s="49">
        <f t="shared" ca="1" si="59"/>
        <v>114</v>
      </c>
      <c r="AD106" s="50">
        <f t="shared" ca="1" si="7"/>
        <v>0.22482637104118131</v>
      </c>
      <c r="AE106" s="8">
        <f t="shared" ref="AE106:AE169" si="96">1-(0.06 + 0.2)</f>
        <v>0.74</v>
      </c>
      <c r="AF106" s="49">
        <f t="shared" ca="1" si="60"/>
        <v>194</v>
      </c>
      <c r="AH106" s="50">
        <f t="shared" ca="1" si="8"/>
        <v>0.74131038638778446</v>
      </c>
      <c r="AI106" s="8">
        <f t="shared" ref="AI106:AI169" si="97">1-(0.06 + 0.2)</f>
        <v>0.74</v>
      </c>
      <c r="AJ106" s="49">
        <f t="shared" ca="1" si="61"/>
        <v>157</v>
      </c>
      <c r="AL106" s="50">
        <f t="shared" ca="1" si="9"/>
        <v>7.4269211909146815E-2</v>
      </c>
      <c r="AM106" s="8">
        <f t="shared" ref="AM106:AM169" si="98">1-(0.06 + 0.2)</f>
        <v>0.74</v>
      </c>
      <c r="AN106" s="49">
        <f t="shared" ca="1" si="62"/>
        <v>67</v>
      </c>
      <c r="AP106" s="50">
        <f t="shared" ca="1" si="10"/>
        <v>0.95598758837850117</v>
      </c>
      <c r="AQ106" s="8">
        <f t="shared" ref="AQ106:AQ169" si="99">1-(0.06 + 0.2)</f>
        <v>0.74</v>
      </c>
      <c r="AR106" s="49">
        <f t="shared" ca="1" si="63"/>
        <v>234</v>
      </c>
      <c r="AT106" s="50">
        <f t="shared" ca="1" si="11"/>
        <v>0.4298842609253769</v>
      </c>
      <c r="AU106" s="8">
        <f t="shared" ref="AU106:AU169" si="100">1-(0.06 + 0.2)</f>
        <v>0.74</v>
      </c>
      <c r="AV106" s="49">
        <f t="shared" ca="1" si="64"/>
        <v>136</v>
      </c>
      <c r="AX106" s="50">
        <f t="shared" ca="1" si="12"/>
        <v>0.1929848332212375</v>
      </c>
      <c r="AY106" s="8">
        <f t="shared" ref="AY106:AY169" si="101">1-(0.06 + 0.2)</f>
        <v>0.74</v>
      </c>
      <c r="AZ106" s="49">
        <f t="shared" ca="1" si="65"/>
        <v>103</v>
      </c>
      <c r="BB106" s="50">
        <f t="shared" ca="1" si="13"/>
        <v>3.7132719915828782E-2</v>
      </c>
      <c r="BC106" s="8">
        <f t="shared" ref="BC106:BC169" si="102">1-(0.06 + 0.2)</f>
        <v>0.74</v>
      </c>
      <c r="BD106" s="49">
        <f t="shared" ca="1" si="66"/>
        <v>62</v>
      </c>
      <c r="BF106" s="50">
        <f t="shared" ca="1" si="14"/>
        <v>0.43217240579118277</v>
      </c>
      <c r="BG106" s="8">
        <f t="shared" ref="BG106:BG169" si="103">1-(0.06 + 0.2)</f>
        <v>0.74</v>
      </c>
      <c r="BH106" s="49">
        <f t="shared" ca="1" si="67"/>
        <v>117</v>
      </c>
      <c r="BJ106" s="50">
        <f t="shared" ca="1" si="15"/>
        <v>7.5199675534584509E-2</v>
      </c>
      <c r="BK106" s="8">
        <f t="shared" ref="BK106:BK169" si="104">1-(0.06 + 0.2)</f>
        <v>0.74</v>
      </c>
      <c r="BL106" s="49">
        <f t="shared" ca="1" si="68"/>
        <v>60</v>
      </c>
      <c r="BN106" s="50">
        <f t="shared" ca="1" si="16"/>
        <v>0.89006561596934086</v>
      </c>
      <c r="BO106" s="8">
        <f t="shared" ref="BO106:BO169" si="105">1-(0.06 + 0.2)</f>
        <v>0.74</v>
      </c>
      <c r="BP106" s="49">
        <f t="shared" ca="1" si="69"/>
        <v>171</v>
      </c>
      <c r="BR106" s="50">
        <f t="shared" ca="1" si="17"/>
        <v>0.44813376747976019</v>
      </c>
      <c r="BS106" s="8">
        <f t="shared" ref="BS106:BS169" si="106">1-(0.06 + 0.2)</f>
        <v>0.74</v>
      </c>
      <c r="BT106" s="49">
        <f t="shared" ca="1" si="70"/>
        <v>132</v>
      </c>
    </row>
    <row r="107" spans="1:72" x14ac:dyDescent="0.2">
      <c r="A107" s="22">
        <v>44654</v>
      </c>
      <c r="B107" s="50">
        <f t="shared" ca="1" si="0"/>
        <v>9.7263399139947304E-2</v>
      </c>
      <c r="C107" s="8">
        <f t="shared" si="89"/>
        <v>0.74</v>
      </c>
      <c r="D107" s="49">
        <f t="shared" ca="1" si="53"/>
        <v>55</v>
      </c>
      <c r="F107" s="50">
        <f t="shared" ca="1" si="1"/>
        <v>0.58027735630999266</v>
      </c>
      <c r="G107" s="8">
        <f t="shared" si="90"/>
        <v>0.74</v>
      </c>
      <c r="H107" s="49">
        <f t="shared" ca="1" si="54"/>
        <v>169</v>
      </c>
      <c r="J107" s="50">
        <f t="shared" ca="1" si="2"/>
        <v>0.69829743423741997</v>
      </c>
      <c r="K107" s="8">
        <f t="shared" si="91"/>
        <v>0.74</v>
      </c>
      <c r="L107" s="49">
        <f t="shared" ca="1" si="55"/>
        <v>127</v>
      </c>
      <c r="N107" s="50">
        <f t="shared" ca="1" si="3"/>
        <v>0.40527343976012753</v>
      </c>
      <c r="O107" s="8">
        <f t="shared" si="92"/>
        <v>0.74</v>
      </c>
      <c r="P107" s="49">
        <f t="shared" ca="1" si="56"/>
        <v>159</v>
      </c>
      <c r="R107" s="50">
        <f t="shared" ca="1" si="4"/>
        <v>0.84949008159565209</v>
      </c>
      <c r="S107" s="8">
        <f t="shared" si="93"/>
        <v>0.74</v>
      </c>
      <c r="T107" s="49">
        <f t="shared" ca="1" si="57"/>
        <v>131</v>
      </c>
      <c r="V107" s="50">
        <f t="shared" ca="1" si="5"/>
        <v>0.97395382292378907</v>
      </c>
      <c r="W107" s="8">
        <f t="shared" si="94"/>
        <v>0.74</v>
      </c>
      <c r="X107" s="49">
        <f t="shared" ca="1" si="58"/>
        <v>253</v>
      </c>
      <c r="Z107" s="50">
        <f t="shared" ca="1" si="6"/>
        <v>0.38789585474005117</v>
      </c>
      <c r="AA107" s="8">
        <f t="shared" si="95"/>
        <v>0.74</v>
      </c>
      <c r="AB107" s="49">
        <f t="shared" ca="1" si="59"/>
        <v>185</v>
      </c>
      <c r="AD107" s="50">
        <f t="shared" ca="1" si="7"/>
        <v>0.51865622474667805</v>
      </c>
      <c r="AE107" s="8">
        <f t="shared" si="96"/>
        <v>0.74</v>
      </c>
      <c r="AF107" s="49">
        <f t="shared" ca="1" si="60"/>
        <v>245</v>
      </c>
      <c r="AH107" s="50">
        <f t="shared" ca="1" si="8"/>
        <v>0.12058023512977079</v>
      </c>
      <c r="AI107" s="8">
        <f t="shared" si="97"/>
        <v>0.74</v>
      </c>
      <c r="AJ107" s="49">
        <f t="shared" ca="1" si="61"/>
        <v>92</v>
      </c>
      <c r="AL107" s="50">
        <f t="shared" ca="1" si="9"/>
        <v>0.38005955268550129</v>
      </c>
      <c r="AM107" s="8">
        <f t="shared" si="98"/>
        <v>0.74</v>
      </c>
      <c r="AN107" s="49">
        <f t="shared" ca="1" si="62"/>
        <v>101</v>
      </c>
      <c r="AP107" s="50">
        <f t="shared" ca="1" si="10"/>
        <v>0.49810228957695468</v>
      </c>
      <c r="AQ107" s="8">
        <f t="shared" si="99"/>
        <v>0.74</v>
      </c>
      <c r="AR107" s="49">
        <f t="shared" ca="1" si="63"/>
        <v>161</v>
      </c>
      <c r="AT107" s="50">
        <f t="shared" ca="1" si="11"/>
        <v>0.67415916695220379</v>
      </c>
      <c r="AU107" s="8">
        <f t="shared" si="100"/>
        <v>0.74</v>
      </c>
      <c r="AV107" s="49">
        <f t="shared" ca="1" si="64"/>
        <v>159</v>
      </c>
      <c r="AX107" s="50">
        <f t="shared" ca="1" si="12"/>
        <v>0.47798579993520085</v>
      </c>
      <c r="AY107" s="8">
        <f t="shared" si="101"/>
        <v>0.74</v>
      </c>
      <c r="AZ107" s="49">
        <f t="shared" ca="1" si="65"/>
        <v>132</v>
      </c>
      <c r="BB107" s="50">
        <f t="shared" ca="1" si="13"/>
        <v>0.53344584849919463</v>
      </c>
      <c r="BC107" s="8">
        <f t="shared" si="102"/>
        <v>0.74</v>
      </c>
      <c r="BD107" s="49">
        <f t="shared" ca="1" si="66"/>
        <v>121</v>
      </c>
      <c r="BF107" s="50">
        <f t="shared" ca="1" si="14"/>
        <v>0.2849479502976523</v>
      </c>
      <c r="BG107" s="8">
        <f t="shared" si="103"/>
        <v>0.74</v>
      </c>
      <c r="BH107" s="49">
        <f t="shared" ca="1" si="67"/>
        <v>104</v>
      </c>
      <c r="BJ107" s="50">
        <f t="shared" ca="1" si="15"/>
        <v>0.55497860744088712</v>
      </c>
      <c r="BK107" s="8">
        <f t="shared" si="104"/>
        <v>0.74</v>
      </c>
      <c r="BL107" s="49">
        <f t="shared" ca="1" si="68"/>
        <v>101</v>
      </c>
      <c r="BN107" s="50">
        <f t="shared" ca="1" si="16"/>
        <v>0.83672275424105258</v>
      </c>
      <c r="BO107" s="8">
        <f t="shared" si="105"/>
        <v>0.74</v>
      </c>
      <c r="BP107" s="49">
        <f t="shared" ca="1" si="69"/>
        <v>163</v>
      </c>
      <c r="BR107" s="50">
        <f t="shared" ca="1" si="17"/>
        <v>0.50806401076850982</v>
      </c>
      <c r="BS107" s="8">
        <f t="shared" si="106"/>
        <v>0.74</v>
      </c>
      <c r="BT107" s="49">
        <f t="shared" ca="1" si="70"/>
        <v>137</v>
      </c>
    </row>
    <row r="108" spans="1:72" x14ac:dyDescent="0.2">
      <c r="A108" s="22">
        <v>44655</v>
      </c>
      <c r="B108" s="50">
        <f t="shared" ca="1" si="0"/>
        <v>0.48919393247325993</v>
      </c>
      <c r="C108" s="8">
        <f t="shared" si="89"/>
        <v>0.74</v>
      </c>
      <c r="D108" s="49">
        <f t="shared" ca="1" si="53"/>
        <v>74</v>
      </c>
      <c r="F108" s="50">
        <f t="shared" ca="1" si="1"/>
        <v>1.5358882849418554E-2</v>
      </c>
      <c r="G108" s="8">
        <f t="shared" si="90"/>
        <v>0.74</v>
      </c>
      <c r="H108" s="49">
        <f t="shared" ca="1" si="54"/>
        <v>68</v>
      </c>
      <c r="J108" s="50">
        <f t="shared" ca="1" si="2"/>
        <v>8.973402367151595E-2</v>
      </c>
      <c r="K108" s="8">
        <f t="shared" si="91"/>
        <v>0.74</v>
      </c>
      <c r="L108" s="49">
        <f t="shared" ca="1" si="55"/>
        <v>72</v>
      </c>
      <c r="N108" s="50">
        <f t="shared" ca="1" si="3"/>
        <v>0.62531645889822529</v>
      </c>
      <c r="O108" s="8">
        <f t="shared" si="92"/>
        <v>0.74</v>
      </c>
      <c r="P108" s="49">
        <f t="shared" ca="1" si="56"/>
        <v>185</v>
      </c>
      <c r="R108" s="50">
        <f t="shared" ca="1" si="4"/>
        <v>2.580766662904399E-2</v>
      </c>
      <c r="S108" s="8">
        <f t="shared" si="93"/>
        <v>0.74</v>
      </c>
      <c r="T108" s="49">
        <f t="shared" ca="1" si="57"/>
        <v>50</v>
      </c>
      <c r="V108" s="50">
        <f t="shared" ca="1" si="5"/>
        <v>0.70209413406703114</v>
      </c>
      <c r="W108" s="8">
        <f t="shared" si="94"/>
        <v>0.74</v>
      </c>
      <c r="X108" s="49">
        <f t="shared" ca="1" si="58"/>
        <v>191</v>
      </c>
      <c r="Z108" s="50">
        <f t="shared" ca="1" si="6"/>
        <v>0.24631617634471892</v>
      </c>
      <c r="AA108" s="8">
        <f t="shared" si="95"/>
        <v>0.74</v>
      </c>
      <c r="AB108" s="49">
        <f t="shared" ca="1" si="59"/>
        <v>164</v>
      </c>
      <c r="AD108" s="50">
        <f t="shared" ca="1" si="7"/>
        <v>6.8311594988151869E-3</v>
      </c>
      <c r="AE108" s="8">
        <f t="shared" si="96"/>
        <v>0.74</v>
      </c>
      <c r="AF108" s="49">
        <f t="shared" ca="1" si="60"/>
        <v>83</v>
      </c>
      <c r="AH108" s="50">
        <f t="shared" ca="1" si="8"/>
        <v>0.11632388465857413</v>
      </c>
      <c r="AI108" s="8">
        <f t="shared" si="97"/>
        <v>0.74</v>
      </c>
      <c r="AJ108" s="49">
        <f t="shared" ca="1" si="61"/>
        <v>91</v>
      </c>
      <c r="AL108" s="50">
        <f t="shared" ca="1" si="9"/>
        <v>0.33457237504003201</v>
      </c>
      <c r="AM108" s="8">
        <f t="shared" si="98"/>
        <v>0.74</v>
      </c>
      <c r="AN108" s="49">
        <f t="shared" ca="1" si="62"/>
        <v>97</v>
      </c>
      <c r="AP108" s="50">
        <f t="shared" ca="1" si="10"/>
        <v>0.44865402721856951</v>
      </c>
      <c r="AQ108" s="8">
        <f t="shared" si="99"/>
        <v>0.74</v>
      </c>
      <c r="AR108" s="49">
        <f t="shared" ca="1" si="63"/>
        <v>155</v>
      </c>
      <c r="AT108" s="50">
        <f t="shared" ca="1" si="11"/>
        <v>0.11293759535005332</v>
      </c>
      <c r="AU108" s="8">
        <f t="shared" si="100"/>
        <v>0.74</v>
      </c>
      <c r="AV108" s="49">
        <f t="shared" ca="1" si="64"/>
        <v>97</v>
      </c>
      <c r="AX108" s="50">
        <f t="shared" ca="1" si="12"/>
        <v>0.34654159399382589</v>
      </c>
      <c r="AY108" s="8">
        <f t="shared" si="101"/>
        <v>0.74</v>
      </c>
      <c r="AZ108" s="49">
        <f t="shared" ca="1" si="65"/>
        <v>120</v>
      </c>
      <c r="BB108" s="50">
        <f t="shared" ca="1" si="13"/>
        <v>0.20442208550874474</v>
      </c>
      <c r="BC108" s="8">
        <f t="shared" si="102"/>
        <v>0.74</v>
      </c>
      <c r="BD108" s="49">
        <f t="shared" ca="1" si="66"/>
        <v>93</v>
      </c>
      <c r="BF108" s="50">
        <f t="shared" ca="1" si="14"/>
        <v>0.53564405226203249</v>
      </c>
      <c r="BG108" s="8">
        <f t="shared" si="103"/>
        <v>0.74</v>
      </c>
      <c r="BH108" s="49">
        <f t="shared" ca="1" si="67"/>
        <v>125</v>
      </c>
      <c r="BJ108" s="50">
        <f t="shared" ca="1" si="15"/>
        <v>0.71167947054047631</v>
      </c>
      <c r="BK108" s="8">
        <f t="shared" si="104"/>
        <v>0.74</v>
      </c>
      <c r="BL108" s="49">
        <f t="shared" ca="1" si="68"/>
        <v>112</v>
      </c>
      <c r="BN108" s="50">
        <f t="shared" ca="1" si="16"/>
        <v>0.80204292571160551</v>
      </c>
      <c r="BO108" s="8">
        <f t="shared" si="105"/>
        <v>0.74</v>
      </c>
      <c r="BP108" s="49">
        <f t="shared" ca="1" si="69"/>
        <v>158</v>
      </c>
      <c r="BR108" s="50">
        <f t="shared" ca="1" si="17"/>
        <v>0.25046130854836679</v>
      </c>
      <c r="BS108" s="8">
        <f t="shared" si="106"/>
        <v>0.74</v>
      </c>
      <c r="BT108" s="49">
        <f t="shared" ca="1" si="70"/>
        <v>112</v>
      </c>
    </row>
    <row r="109" spans="1:72" x14ac:dyDescent="0.2">
      <c r="A109" s="22">
        <v>44656</v>
      </c>
      <c r="B109" s="50">
        <f t="shared" ca="1" si="0"/>
        <v>0.14365948419204688</v>
      </c>
      <c r="C109" s="8">
        <f t="shared" si="89"/>
        <v>0.74</v>
      </c>
      <c r="D109" s="49">
        <f t="shared" ca="1" si="53"/>
        <v>59</v>
      </c>
      <c r="F109" s="50">
        <f t="shared" ca="1" si="1"/>
        <v>0.46445390184479374</v>
      </c>
      <c r="G109" s="8">
        <f t="shared" si="90"/>
        <v>0.74</v>
      </c>
      <c r="H109" s="49">
        <f t="shared" ca="1" si="54"/>
        <v>156</v>
      </c>
      <c r="J109" s="50">
        <f t="shared" ca="1" si="2"/>
        <v>0.20336188710785885</v>
      </c>
      <c r="K109" s="8">
        <f t="shared" si="91"/>
        <v>0.74</v>
      </c>
      <c r="L109" s="49">
        <f t="shared" ca="1" si="55"/>
        <v>87</v>
      </c>
      <c r="N109" s="50">
        <f t="shared" ca="1" si="3"/>
        <v>0.38391917803865261</v>
      </c>
      <c r="O109" s="8">
        <f t="shared" si="92"/>
        <v>0.74</v>
      </c>
      <c r="P109" s="49">
        <f t="shared" ca="1" si="56"/>
        <v>157</v>
      </c>
      <c r="R109" s="50">
        <f t="shared" ca="1" si="4"/>
        <v>0.93486680602340178</v>
      </c>
      <c r="S109" s="8">
        <f t="shared" si="93"/>
        <v>0.74</v>
      </c>
      <c r="T109" s="49">
        <f t="shared" ca="1" si="57"/>
        <v>145</v>
      </c>
      <c r="V109" s="50">
        <f t="shared" ca="1" si="5"/>
        <v>0.3014964125987657</v>
      </c>
      <c r="W109" s="8">
        <f t="shared" si="94"/>
        <v>0.74</v>
      </c>
      <c r="X109" s="49">
        <f t="shared" ca="1" si="58"/>
        <v>144</v>
      </c>
      <c r="Z109" s="50">
        <f t="shared" ca="1" si="6"/>
        <v>0.97845734732231815</v>
      </c>
      <c r="AA109" s="8">
        <f t="shared" si="95"/>
        <v>0.74</v>
      </c>
      <c r="AB109" s="49">
        <f t="shared" ca="1" si="59"/>
        <v>308</v>
      </c>
      <c r="AD109" s="50">
        <f t="shared" ca="1" si="7"/>
        <v>0.73371616647731597</v>
      </c>
      <c r="AE109" s="8">
        <f t="shared" si="96"/>
        <v>0.74</v>
      </c>
      <c r="AF109" s="49">
        <f t="shared" ca="1" si="60"/>
        <v>283</v>
      </c>
      <c r="AH109" s="50">
        <f t="shared" ca="1" si="8"/>
        <v>0.80405948454960263</v>
      </c>
      <c r="AI109" s="8">
        <f t="shared" si="97"/>
        <v>0.74</v>
      </c>
      <c r="AJ109" s="49">
        <f t="shared" ca="1" si="61"/>
        <v>164</v>
      </c>
      <c r="AL109" s="50">
        <f t="shared" ca="1" si="9"/>
        <v>0.18137098441662836</v>
      </c>
      <c r="AM109" s="8">
        <f t="shared" si="98"/>
        <v>0.74</v>
      </c>
      <c r="AN109" s="49">
        <f t="shared" ca="1" si="62"/>
        <v>83</v>
      </c>
      <c r="AP109" s="50">
        <f t="shared" ca="1" si="10"/>
        <v>0.63681195978985572</v>
      </c>
      <c r="AQ109" s="8">
        <f t="shared" si="99"/>
        <v>0.74</v>
      </c>
      <c r="AR109" s="49">
        <f t="shared" ca="1" si="63"/>
        <v>176</v>
      </c>
      <c r="AT109" s="50">
        <f t="shared" ca="1" si="11"/>
        <v>0.71109501410939913</v>
      </c>
      <c r="AU109" s="8">
        <f t="shared" si="100"/>
        <v>0.74</v>
      </c>
      <c r="AV109" s="49">
        <f t="shared" ca="1" si="64"/>
        <v>163</v>
      </c>
      <c r="AX109" s="50">
        <f t="shared" ca="1" si="12"/>
        <v>0.98996350299665337</v>
      </c>
      <c r="AY109" s="8">
        <f t="shared" si="101"/>
        <v>0.74</v>
      </c>
      <c r="AZ109" s="49">
        <f t="shared" ca="1" si="65"/>
        <v>216</v>
      </c>
      <c r="BB109" s="50">
        <f t="shared" ca="1" si="13"/>
        <v>0.16389764989110489</v>
      </c>
      <c r="BC109" s="8">
        <f t="shared" si="102"/>
        <v>0.74</v>
      </c>
      <c r="BD109" s="49">
        <f t="shared" ca="1" si="66"/>
        <v>88</v>
      </c>
      <c r="BF109" s="50">
        <f t="shared" ca="1" si="14"/>
        <v>0.79468123514060629</v>
      </c>
      <c r="BG109" s="8">
        <f t="shared" si="103"/>
        <v>0.74</v>
      </c>
      <c r="BH109" s="49">
        <f t="shared" ca="1" si="67"/>
        <v>149</v>
      </c>
      <c r="BJ109" s="50">
        <f t="shared" ca="1" si="15"/>
        <v>0.26518744603656108</v>
      </c>
      <c r="BK109" s="8">
        <f t="shared" si="104"/>
        <v>0.74</v>
      </c>
      <c r="BL109" s="49">
        <f t="shared" ca="1" si="68"/>
        <v>81</v>
      </c>
      <c r="BN109" s="50">
        <f t="shared" ca="1" si="16"/>
        <v>0.5494333020750336</v>
      </c>
      <c r="BO109" s="8">
        <f t="shared" si="105"/>
        <v>0.74</v>
      </c>
      <c r="BP109" s="49">
        <f t="shared" ca="1" si="69"/>
        <v>133</v>
      </c>
      <c r="BR109" s="50">
        <f t="shared" ca="1" si="17"/>
        <v>0.58338397570955625</v>
      </c>
      <c r="BS109" s="8">
        <f t="shared" si="106"/>
        <v>0.74</v>
      </c>
      <c r="BT109" s="49">
        <f t="shared" ca="1" si="70"/>
        <v>144</v>
      </c>
    </row>
    <row r="110" spans="1:72" x14ac:dyDescent="0.2">
      <c r="A110" s="22">
        <v>44657</v>
      </c>
      <c r="B110" s="50">
        <f t="shared" ca="1" si="0"/>
        <v>0.37775943287441727</v>
      </c>
      <c r="C110" s="8">
        <f t="shared" si="89"/>
        <v>0.74</v>
      </c>
      <c r="D110" s="49">
        <f t="shared" ca="1" si="53"/>
        <v>70</v>
      </c>
      <c r="F110" s="50">
        <f t="shared" ca="1" si="1"/>
        <v>0.90396792001529824</v>
      </c>
      <c r="G110" s="8">
        <f t="shared" si="90"/>
        <v>0.74</v>
      </c>
      <c r="H110" s="49">
        <f t="shared" ca="1" si="54"/>
        <v>215</v>
      </c>
      <c r="J110" s="50">
        <f t="shared" ca="1" si="2"/>
        <v>0.490573781100344</v>
      </c>
      <c r="K110" s="8">
        <f t="shared" si="91"/>
        <v>0.74</v>
      </c>
      <c r="L110" s="49">
        <f t="shared" ca="1" si="55"/>
        <v>111</v>
      </c>
      <c r="N110" s="50">
        <f t="shared" ca="1" si="3"/>
        <v>0.14592136849455295</v>
      </c>
      <c r="O110" s="8">
        <f t="shared" si="92"/>
        <v>0.74</v>
      </c>
      <c r="P110" s="49">
        <f t="shared" ca="1" si="56"/>
        <v>123</v>
      </c>
      <c r="R110" s="50">
        <f t="shared" ca="1" si="4"/>
        <v>0.10079864903670321</v>
      </c>
      <c r="S110" s="8">
        <f t="shared" si="93"/>
        <v>0.74</v>
      </c>
      <c r="T110" s="49">
        <f t="shared" ca="1" si="57"/>
        <v>68</v>
      </c>
      <c r="V110" s="50">
        <f t="shared" ca="1" si="5"/>
        <v>0.1837788589280237</v>
      </c>
      <c r="W110" s="8">
        <f t="shared" si="94"/>
        <v>0.74</v>
      </c>
      <c r="X110" s="49">
        <f t="shared" ca="1" si="58"/>
        <v>127</v>
      </c>
      <c r="Z110" s="50">
        <f t="shared" ca="1" si="6"/>
        <v>0.65738859309576492</v>
      </c>
      <c r="AA110" s="8">
        <f t="shared" si="95"/>
        <v>0.74</v>
      </c>
      <c r="AB110" s="49">
        <f t="shared" ca="1" si="59"/>
        <v>222</v>
      </c>
      <c r="AD110" s="50">
        <f t="shared" ca="1" si="7"/>
        <v>0.51164312176795246</v>
      </c>
      <c r="AE110" s="8">
        <f t="shared" si="96"/>
        <v>0.74</v>
      </c>
      <c r="AF110" s="49">
        <f t="shared" ca="1" si="60"/>
        <v>244</v>
      </c>
      <c r="AH110" s="50">
        <f t="shared" ca="1" si="8"/>
        <v>0.35589621881830491</v>
      </c>
      <c r="AI110" s="8">
        <f t="shared" si="97"/>
        <v>0.74</v>
      </c>
      <c r="AJ110" s="49">
        <f t="shared" ca="1" si="61"/>
        <v>120</v>
      </c>
      <c r="AL110" s="50">
        <f t="shared" ca="1" si="9"/>
        <v>0.38201417986072628</v>
      </c>
      <c r="AM110" s="8">
        <f t="shared" si="98"/>
        <v>0.74</v>
      </c>
      <c r="AN110" s="49">
        <f t="shared" ca="1" si="62"/>
        <v>101</v>
      </c>
      <c r="AP110" s="50">
        <f t="shared" ca="1" si="10"/>
        <v>0.31622217615127479</v>
      </c>
      <c r="AQ110" s="8">
        <f t="shared" si="99"/>
        <v>0.74</v>
      </c>
      <c r="AR110" s="49">
        <f t="shared" ca="1" si="63"/>
        <v>140</v>
      </c>
      <c r="AT110" s="50">
        <f t="shared" ca="1" si="11"/>
        <v>0.25036661305522279</v>
      </c>
      <c r="AU110" s="8">
        <f t="shared" si="100"/>
        <v>0.74</v>
      </c>
      <c r="AV110" s="49">
        <f t="shared" ca="1" si="64"/>
        <v>117</v>
      </c>
      <c r="AX110" s="50">
        <f t="shared" ca="1" si="12"/>
        <v>0.30713139077317841</v>
      </c>
      <c r="AY110" s="8">
        <f t="shared" si="101"/>
        <v>0.74</v>
      </c>
      <c r="AZ110" s="49">
        <f t="shared" ca="1" si="65"/>
        <v>116</v>
      </c>
      <c r="BB110" s="50">
        <f t="shared" ca="1" si="13"/>
        <v>0.48330202610147888</v>
      </c>
      <c r="BC110" s="8">
        <f t="shared" si="102"/>
        <v>0.74</v>
      </c>
      <c r="BD110" s="49">
        <f t="shared" ca="1" si="66"/>
        <v>117</v>
      </c>
      <c r="BF110" s="50">
        <f t="shared" ca="1" si="14"/>
        <v>0.83916737442228284</v>
      </c>
      <c r="BG110" s="8">
        <f t="shared" si="103"/>
        <v>0.74</v>
      </c>
      <c r="BH110" s="49">
        <f t="shared" ca="1" si="67"/>
        <v>154</v>
      </c>
      <c r="BJ110" s="50">
        <f t="shared" ca="1" si="15"/>
        <v>0.72061119709473365</v>
      </c>
      <c r="BK110" s="8">
        <f t="shared" si="104"/>
        <v>0.74</v>
      </c>
      <c r="BL110" s="49">
        <f t="shared" ca="1" si="68"/>
        <v>113</v>
      </c>
      <c r="BN110" s="50">
        <f t="shared" ca="1" si="16"/>
        <v>0.52485459852557315</v>
      </c>
      <c r="BO110" s="8">
        <f t="shared" si="105"/>
        <v>0.74</v>
      </c>
      <c r="BP110" s="49">
        <f t="shared" ca="1" si="69"/>
        <v>131</v>
      </c>
      <c r="BR110" s="50">
        <f t="shared" ca="1" si="17"/>
        <v>3.8969608755417107E-2</v>
      </c>
      <c r="BS110" s="8">
        <f t="shared" si="106"/>
        <v>0.74</v>
      </c>
      <c r="BT110" s="49">
        <f t="shared" ca="1" si="70"/>
        <v>72</v>
      </c>
    </row>
    <row r="111" spans="1:72" x14ac:dyDescent="0.2">
      <c r="A111" s="22">
        <v>44658</v>
      </c>
      <c r="B111" s="50">
        <f t="shared" ca="1" si="0"/>
        <v>0.518412655506299</v>
      </c>
      <c r="C111" s="8">
        <f t="shared" si="89"/>
        <v>0.74</v>
      </c>
      <c r="D111" s="49">
        <f t="shared" ca="1" si="53"/>
        <v>75</v>
      </c>
      <c r="F111" s="50">
        <f t="shared" ca="1" si="1"/>
        <v>0.8319739402430868</v>
      </c>
      <c r="G111" s="8">
        <f t="shared" si="90"/>
        <v>0.74</v>
      </c>
      <c r="H111" s="49">
        <f t="shared" ca="1" si="54"/>
        <v>201</v>
      </c>
      <c r="J111" s="50">
        <f t="shared" ca="1" si="2"/>
        <v>0.87532854011201777</v>
      </c>
      <c r="K111" s="8">
        <f t="shared" si="91"/>
        <v>0.74</v>
      </c>
      <c r="L111" s="49">
        <f t="shared" ca="1" si="55"/>
        <v>146</v>
      </c>
      <c r="N111" s="50">
        <f t="shared" ca="1" si="3"/>
        <v>0.65878656498615862</v>
      </c>
      <c r="O111" s="8">
        <f t="shared" si="92"/>
        <v>0.74</v>
      </c>
      <c r="P111" s="49">
        <f t="shared" ca="1" si="56"/>
        <v>189</v>
      </c>
      <c r="R111" s="50">
        <f t="shared" ca="1" si="4"/>
        <v>8.2350188468686913E-2</v>
      </c>
      <c r="S111" s="8">
        <f t="shared" si="93"/>
        <v>0.74</v>
      </c>
      <c r="T111" s="49">
        <f t="shared" ca="1" si="57"/>
        <v>65</v>
      </c>
      <c r="V111" s="50">
        <f t="shared" ca="1" si="5"/>
        <v>0.94833810645468652</v>
      </c>
      <c r="W111" s="8">
        <f t="shared" si="94"/>
        <v>0.74</v>
      </c>
      <c r="X111" s="49">
        <f t="shared" ca="1" si="58"/>
        <v>239</v>
      </c>
      <c r="Z111" s="50">
        <f t="shared" ca="1" si="6"/>
        <v>0.22192712780203572</v>
      </c>
      <c r="AA111" s="8">
        <f t="shared" si="95"/>
        <v>0.74</v>
      </c>
      <c r="AB111" s="49">
        <f t="shared" ca="1" si="59"/>
        <v>160</v>
      </c>
      <c r="AD111" s="50">
        <f t="shared" ca="1" si="7"/>
        <v>0.56977943656617813</v>
      </c>
      <c r="AE111" s="8">
        <f t="shared" si="96"/>
        <v>0.74</v>
      </c>
      <c r="AF111" s="49">
        <f t="shared" ca="1" si="60"/>
        <v>254</v>
      </c>
      <c r="AH111" s="50">
        <f t="shared" ca="1" si="8"/>
        <v>4.010428707025071E-2</v>
      </c>
      <c r="AI111" s="8">
        <f t="shared" si="97"/>
        <v>0.74</v>
      </c>
      <c r="AJ111" s="49">
        <f t="shared" ca="1" si="61"/>
        <v>71</v>
      </c>
      <c r="AL111" s="50">
        <f t="shared" ca="1" si="9"/>
        <v>0.51663303496796975</v>
      </c>
      <c r="AM111" s="8">
        <f t="shared" si="98"/>
        <v>0.74</v>
      </c>
      <c r="AN111" s="49">
        <f t="shared" ca="1" si="62"/>
        <v>111</v>
      </c>
      <c r="AP111" s="50">
        <f t="shared" ca="1" si="10"/>
        <v>0.11328200255210286</v>
      </c>
      <c r="AQ111" s="8">
        <f t="shared" si="99"/>
        <v>0.74</v>
      </c>
      <c r="AR111" s="49">
        <f t="shared" ca="1" si="63"/>
        <v>109</v>
      </c>
      <c r="AT111" s="50">
        <f t="shared" ca="1" si="11"/>
        <v>0.7564955450472457</v>
      </c>
      <c r="AU111" s="8">
        <f t="shared" si="100"/>
        <v>0.74</v>
      </c>
      <c r="AV111" s="49">
        <f t="shared" ca="1" si="64"/>
        <v>169</v>
      </c>
      <c r="AX111" s="50">
        <f t="shared" ca="1" si="12"/>
        <v>0.40541476914141772</v>
      </c>
      <c r="AY111" s="8">
        <f t="shared" si="101"/>
        <v>0.74</v>
      </c>
      <c r="AZ111" s="49">
        <f t="shared" ca="1" si="65"/>
        <v>125</v>
      </c>
      <c r="BB111" s="50">
        <f t="shared" ca="1" si="13"/>
        <v>0.79903017325298176</v>
      </c>
      <c r="BC111" s="8">
        <f t="shared" si="102"/>
        <v>0.74</v>
      </c>
      <c r="BD111" s="49">
        <f t="shared" ca="1" si="66"/>
        <v>145</v>
      </c>
      <c r="BF111" s="50">
        <f t="shared" ca="1" si="14"/>
        <v>0.65991163186234891</v>
      </c>
      <c r="BG111" s="8">
        <f t="shared" si="103"/>
        <v>0.74</v>
      </c>
      <c r="BH111" s="49">
        <f t="shared" ca="1" si="67"/>
        <v>136</v>
      </c>
      <c r="BJ111" s="50">
        <f t="shared" ca="1" si="15"/>
        <v>0.4582044780150093</v>
      </c>
      <c r="BK111" s="8">
        <f t="shared" si="104"/>
        <v>0.74</v>
      </c>
      <c r="BL111" s="49">
        <f t="shared" ca="1" si="68"/>
        <v>95</v>
      </c>
      <c r="BN111" s="50">
        <f t="shared" ca="1" si="16"/>
        <v>8.209384899043437E-3</v>
      </c>
      <c r="BO111" s="8">
        <f t="shared" si="105"/>
        <v>0.74</v>
      </c>
      <c r="BP111" s="49">
        <f t="shared" ca="1" si="69"/>
        <v>47</v>
      </c>
      <c r="BR111" s="50">
        <f t="shared" ca="1" si="17"/>
        <v>0.72137445866633976</v>
      </c>
      <c r="BS111" s="8">
        <f t="shared" si="106"/>
        <v>0.74</v>
      </c>
      <c r="BT111" s="49">
        <f t="shared" ca="1" si="70"/>
        <v>158</v>
      </c>
    </row>
    <row r="112" spans="1:72" x14ac:dyDescent="0.2">
      <c r="A112" s="22">
        <v>44659</v>
      </c>
      <c r="B112" s="50">
        <f t="shared" ca="1" si="0"/>
        <v>0.5349326172522042</v>
      </c>
      <c r="C112" s="8">
        <f t="shared" si="89"/>
        <v>0.74</v>
      </c>
      <c r="D112" s="49">
        <f t="shared" ca="1" si="53"/>
        <v>76</v>
      </c>
      <c r="F112" s="50">
        <f t="shared" ca="1" si="1"/>
        <v>0.63638211664649658</v>
      </c>
      <c r="G112" s="8">
        <f t="shared" si="90"/>
        <v>0.74</v>
      </c>
      <c r="H112" s="49">
        <f t="shared" ca="1" si="54"/>
        <v>175</v>
      </c>
      <c r="J112" s="50">
        <f t="shared" ca="1" si="2"/>
        <v>0.75051369559218584</v>
      </c>
      <c r="K112" s="8">
        <f t="shared" si="91"/>
        <v>0.74</v>
      </c>
      <c r="L112" s="49">
        <f t="shared" ca="1" si="55"/>
        <v>132</v>
      </c>
      <c r="N112" s="50">
        <f t="shared" ca="1" si="3"/>
        <v>0.77179420882940075</v>
      </c>
      <c r="O112" s="8">
        <f t="shared" si="92"/>
        <v>0.74</v>
      </c>
      <c r="P112" s="49">
        <f t="shared" ca="1" si="56"/>
        <v>204</v>
      </c>
      <c r="R112" s="50">
        <f t="shared" ca="1" si="4"/>
        <v>0.12730564311689052</v>
      </c>
      <c r="S112" s="8">
        <f t="shared" si="93"/>
        <v>0.74</v>
      </c>
      <c r="T112" s="49">
        <f t="shared" ca="1" si="57"/>
        <v>72</v>
      </c>
      <c r="V112" s="50">
        <f t="shared" ca="1" si="5"/>
        <v>0.77666897030633419</v>
      </c>
      <c r="W112" s="8">
        <f t="shared" si="94"/>
        <v>0.74</v>
      </c>
      <c r="X112" s="49">
        <f t="shared" ca="1" si="58"/>
        <v>201</v>
      </c>
      <c r="Z112" s="50">
        <f t="shared" ca="1" si="6"/>
        <v>0.65795893925253968</v>
      </c>
      <c r="AA112" s="8">
        <f t="shared" si="95"/>
        <v>0.74</v>
      </c>
      <c r="AB112" s="49">
        <f t="shared" ca="1" si="59"/>
        <v>222</v>
      </c>
      <c r="AD112" s="50">
        <f t="shared" ca="1" si="7"/>
        <v>4.4514282227566482E-2</v>
      </c>
      <c r="AE112" s="8">
        <f t="shared" si="96"/>
        <v>0.74</v>
      </c>
      <c r="AF112" s="49">
        <f t="shared" ca="1" si="60"/>
        <v>133</v>
      </c>
      <c r="AH112" s="50">
        <f t="shared" ca="1" si="8"/>
        <v>0.22564914946734704</v>
      </c>
      <c r="AI112" s="8">
        <f t="shared" si="97"/>
        <v>0.74</v>
      </c>
      <c r="AJ112" s="49">
        <f t="shared" ca="1" si="61"/>
        <v>107</v>
      </c>
      <c r="AL112" s="50">
        <f t="shared" ca="1" si="9"/>
        <v>0.85316052583851143</v>
      </c>
      <c r="AM112" s="8">
        <f t="shared" si="98"/>
        <v>0.74</v>
      </c>
      <c r="AN112" s="49">
        <f t="shared" ca="1" si="62"/>
        <v>140</v>
      </c>
      <c r="AP112" s="50">
        <f t="shared" ca="1" si="10"/>
        <v>1.2112699717101272E-2</v>
      </c>
      <c r="AQ112" s="8">
        <f t="shared" si="99"/>
        <v>0.74</v>
      </c>
      <c r="AR112" s="49">
        <f t="shared" ca="1" si="63"/>
        <v>65</v>
      </c>
      <c r="AT112" s="50">
        <f t="shared" ca="1" si="11"/>
        <v>0.66671709009745916</v>
      </c>
      <c r="AU112" s="8">
        <f t="shared" si="100"/>
        <v>0.74</v>
      </c>
      <c r="AV112" s="49">
        <f t="shared" ca="1" si="64"/>
        <v>159</v>
      </c>
      <c r="AX112" s="50">
        <f t="shared" ca="1" si="12"/>
        <v>0.36487202218891945</v>
      </c>
      <c r="AY112" s="8">
        <f t="shared" si="101"/>
        <v>0.74</v>
      </c>
      <c r="AZ112" s="49">
        <f t="shared" ca="1" si="65"/>
        <v>121</v>
      </c>
      <c r="BB112" s="50">
        <f t="shared" ca="1" si="13"/>
        <v>0.30899621007130174</v>
      </c>
      <c r="BC112" s="8">
        <f t="shared" si="102"/>
        <v>0.74</v>
      </c>
      <c r="BD112" s="49">
        <f t="shared" ca="1" si="66"/>
        <v>103</v>
      </c>
      <c r="BF112" s="50">
        <f t="shared" ca="1" si="14"/>
        <v>0.17173090305933114</v>
      </c>
      <c r="BG112" s="8">
        <f t="shared" si="103"/>
        <v>0.74</v>
      </c>
      <c r="BH112" s="49">
        <f t="shared" ca="1" si="67"/>
        <v>92</v>
      </c>
      <c r="BJ112" s="50">
        <f t="shared" ca="1" si="15"/>
        <v>0.78694276120039797</v>
      </c>
      <c r="BK112" s="8">
        <f t="shared" si="104"/>
        <v>0.74</v>
      </c>
      <c r="BL112" s="49">
        <f t="shared" ca="1" si="68"/>
        <v>118</v>
      </c>
      <c r="BN112" s="50">
        <f t="shared" ca="1" si="16"/>
        <v>0.50471211874533795</v>
      </c>
      <c r="BO112" s="8">
        <f t="shared" si="105"/>
        <v>0.74</v>
      </c>
      <c r="BP112" s="49">
        <f t="shared" ca="1" si="69"/>
        <v>129</v>
      </c>
      <c r="BR112" s="50">
        <f t="shared" ca="1" si="17"/>
        <v>0.86190234884307282</v>
      </c>
      <c r="BS112" s="8">
        <f t="shared" si="106"/>
        <v>0.74</v>
      </c>
      <c r="BT112" s="49">
        <f t="shared" ca="1" si="70"/>
        <v>176</v>
      </c>
    </row>
    <row r="113" spans="1:72" x14ac:dyDescent="0.2">
      <c r="A113" s="22">
        <v>44660</v>
      </c>
      <c r="B113" s="50">
        <f t="shared" ca="1" si="0"/>
        <v>0.85538416667889128</v>
      </c>
      <c r="C113" s="8">
        <f t="shared" si="89"/>
        <v>0.74</v>
      </c>
      <c r="D113" s="49">
        <f t="shared" ca="1" si="53"/>
        <v>90</v>
      </c>
      <c r="F113" s="50">
        <f t="shared" ca="1" si="1"/>
        <v>0.1876448205064053</v>
      </c>
      <c r="G113" s="8">
        <f t="shared" si="90"/>
        <v>0.74</v>
      </c>
      <c r="H113" s="49">
        <f t="shared" ca="1" si="54"/>
        <v>122</v>
      </c>
      <c r="J113" s="50">
        <f t="shared" ca="1" si="2"/>
        <v>0.86827817028826382</v>
      </c>
      <c r="K113" s="8">
        <f t="shared" si="91"/>
        <v>0.74</v>
      </c>
      <c r="L113" s="49">
        <f t="shared" ca="1" si="55"/>
        <v>145</v>
      </c>
      <c r="N113" s="50">
        <f t="shared" ca="1" si="3"/>
        <v>0.43465787808096512</v>
      </c>
      <c r="O113" s="8">
        <f t="shared" si="92"/>
        <v>0.74</v>
      </c>
      <c r="P113" s="49">
        <f t="shared" ca="1" si="56"/>
        <v>163</v>
      </c>
      <c r="R113" s="50">
        <f t="shared" ca="1" si="4"/>
        <v>0.36745530898462375</v>
      </c>
      <c r="S113" s="8">
        <f t="shared" si="93"/>
        <v>0.74</v>
      </c>
      <c r="T113" s="49">
        <f t="shared" ca="1" si="57"/>
        <v>94</v>
      </c>
      <c r="V113" s="50">
        <f t="shared" ca="1" si="5"/>
        <v>0.28316748488123744</v>
      </c>
      <c r="W113" s="8">
        <f t="shared" si="94"/>
        <v>0.74</v>
      </c>
      <c r="X113" s="49">
        <f t="shared" ca="1" si="58"/>
        <v>142</v>
      </c>
      <c r="Z113" s="50">
        <f t="shared" ca="1" si="6"/>
        <v>0.98209378638230993</v>
      </c>
      <c r="AA113" s="8">
        <f t="shared" si="95"/>
        <v>0.74</v>
      </c>
      <c r="AB113" s="49">
        <f t="shared" ca="1" si="59"/>
        <v>312</v>
      </c>
      <c r="AD113" s="50">
        <f t="shared" ca="1" si="7"/>
        <v>0.53239198045228586</v>
      </c>
      <c r="AE113" s="8">
        <f t="shared" si="96"/>
        <v>0.74</v>
      </c>
      <c r="AF113" s="49">
        <f t="shared" ca="1" si="60"/>
        <v>248</v>
      </c>
      <c r="AH113" s="50">
        <f t="shared" ca="1" si="8"/>
        <v>0.63450671167977124</v>
      </c>
      <c r="AI113" s="8">
        <f t="shared" si="97"/>
        <v>0.74</v>
      </c>
      <c r="AJ113" s="49">
        <f t="shared" ca="1" si="61"/>
        <v>146</v>
      </c>
      <c r="AL113" s="50">
        <f t="shared" ca="1" si="9"/>
        <v>5.4292183487883117E-2</v>
      </c>
      <c r="AM113" s="8">
        <f t="shared" si="98"/>
        <v>0.74</v>
      </c>
      <c r="AN113" s="49">
        <f t="shared" ca="1" si="62"/>
        <v>63</v>
      </c>
      <c r="AP113" s="50">
        <f t="shared" ca="1" si="10"/>
        <v>0.65498317010184315</v>
      </c>
      <c r="AQ113" s="8">
        <f t="shared" si="99"/>
        <v>0.74</v>
      </c>
      <c r="AR113" s="49">
        <f t="shared" ca="1" si="63"/>
        <v>178</v>
      </c>
      <c r="AT113" s="50">
        <f t="shared" ca="1" si="11"/>
        <v>0.20957972660236401</v>
      </c>
      <c r="AU113" s="8">
        <f t="shared" si="100"/>
        <v>0.74</v>
      </c>
      <c r="AV113" s="49">
        <f t="shared" ca="1" si="64"/>
        <v>112</v>
      </c>
      <c r="AX113" s="50">
        <f t="shared" ca="1" si="12"/>
        <v>0.93166501124093004</v>
      </c>
      <c r="AY113" s="8">
        <f t="shared" si="101"/>
        <v>0.74</v>
      </c>
      <c r="AZ113" s="49">
        <f t="shared" ca="1" si="65"/>
        <v>186</v>
      </c>
      <c r="BB113" s="50">
        <f t="shared" ca="1" si="13"/>
        <v>0.36057406784785018</v>
      </c>
      <c r="BC113" s="8">
        <f t="shared" si="102"/>
        <v>0.74</v>
      </c>
      <c r="BD113" s="49">
        <f t="shared" ca="1" si="66"/>
        <v>107</v>
      </c>
      <c r="BF113" s="50">
        <f t="shared" ca="1" si="14"/>
        <v>0.56599581666422127</v>
      </c>
      <c r="BG113" s="8">
        <f t="shared" si="103"/>
        <v>0.74</v>
      </c>
      <c r="BH113" s="49">
        <f t="shared" ca="1" si="67"/>
        <v>128</v>
      </c>
      <c r="BJ113" s="50">
        <f t="shared" ca="1" si="15"/>
        <v>0.34208435955376448</v>
      </c>
      <c r="BK113" s="8">
        <f t="shared" si="104"/>
        <v>0.74</v>
      </c>
      <c r="BL113" s="49">
        <f t="shared" ca="1" si="68"/>
        <v>87</v>
      </c>
      <c r="BN113" s="50">
        <f t="shared" ca="1" si="16"/>
        <v>0.16460688151498981</v>
      </c>
      <c r="BO113" s="8">
        <f t="shared" si="105"/>
        <v>0.74</v>
      </c>
      <c r="BP113" s="49">
        <f t="shared" ca="1" si="69"/>
        <v>96</v>
      </c>
      <c r="BR113" s="50">
        <f t="shared" ca="1" si="17"/>
        <v>0.98207602078604472</v>
      </c>
      <c r="BS113" s="8">
        <f t="shared" si="106"/>
        <v>0.74</v>
      </c>
      <c r="BT113" s="49">
        <f t="shared" ca="1" si="70"/>
        <v>212</v>
      </c>
    </row>
    <row r="114" spans="1:72" x14ac:dyDescent="0.2">
      <c r="A114" s="22">
        <v>44661</v>
      </c>
      <c r="B114" s="50">
        <f t="shared" ca="1" si="0"/>
        <v>0.89757708734912267</v>
      </c>
      <c r="C114" s="8">
        <f t="shared" si="89"/>
        <v>0.74</v>
      </c>
      <c r="D114" s="49">
        <v>0</v>
      </c>
      <c r="F114" s="50">
        <f t="shared" ca="1" si="1"/>
        <v>0.33754451691297771</v>
      </c>
      <c r="G114" s="8">
        <f t="shared" si="90"/>
        <v>0.74</v>
      </c>
      <c r="H114" s="49">
        <v>0</v>
      </c>
      <c r="J114" s="50">
        <f t="shared" ca="1" si="2"/>
        <v>0.49446388301252198</v>
      </c>
      <c r="K114" s="8">
        <f t="shared" si="91"/>
        <v>0.74</v>
      </c>
      <c r="L114" s="49">
        <v>0</v>
      </c>
      <c r="N114" s="50">
        <f t="shared" ca="1" si="3"/>
        <v>0.80887812581977925</v>
      </c>
      <c r="O114" s="8">
        <f t="shared" si="92"/>
        <v>0.74</v>
      </c>
      <c r="P114" s="49">
        <v>0</v>
      </c>
      <c r="R114" s="50">
        <f t="shared" ca="1" si="4"/>
        <v>0.21908696894561019</v>
      </c>
      <c r="S114" s="8">
        <f t="shared" si="93"/>
        <v>0.74</v>
      </c>
      <c r="T114" s="49">
        <v>0</v>
      </c>
      <c r="V114" s="50">
        <f t="shared" ca="1" si="5"/>
        <v>0.12472648726670288</v>
      </c>
      <c r="W114" s="8">
        <f t="shared" si="94"/>
        <v>0.74</v>
      </c>
      <c r="X114" s="49">
        <v>0</v>
      </c>
      <c r="Z114" s="50">
        <f t="shared" ca="1" si="6"/>
        <v>0.26417367885886167</v>
      </c>
      <c r="AA114" s="8">
        <f t="shared" si="95"/>
        <v>0.74</v>
      </c>
      <c r="AB114" s="49">
        <v>0</v>
      </c>
      <c r="AD114" s="50">
        <f t="shared" ca="1" si="7"/>
        <v>0.67886318478290453</v>
      </c>
      <c r="AE114" s="8">
        <f t="shared" si="96"/>
        <v>0.74</v>
      </c>
      <c r="AF114" s="49">
        <v>0</v>
      </c>
      <c r="AH114" s="50">
        <f t="shared" ca="1" si="8"/>
        <v>0.79220170859225569</v>
      </c>
      <c r="AI114" s="8">
        <f t="shared" si="97"/>
        <v>0.74</v>
      </c>
      <c r="AJ114" s="49">
        <v>0</v>
      </c>
      <c r="AL114" s="50">
        <f t="shared" ca="1" si="9"/>
        <v>0.911092636278798</v>
      </c>
      <c r="AM114" s="8">
        <f t="shared" si="98"/>
        <v>0.74</v>
      </c>
      <c r="AN114" s="49">
        <v>0</v>
      </c>
      <c r="AP114" s="50">
        <f t="shared" ca="1" si="10"/>
        <v>0.81353690256089894</v>
      </c>
      <c r="AQ114" s="8">
        <f t="shared" si="99"/>
        <v>0.74</v>
      </c>
      <c r="AR114" s="49">
        <v>0</v>
      </c>
      <c r="AT114" s="50">
        <f t="shared" ca="1" si="11"/>
        <v>3.3464754101820704E-3</v>
      </c>
      <c r="AU114" s="8">
        <f t="shared" si="100"/>
        <v>0.74</v>
      </c>
      <c r="AV114" s="49">
        <v>0</v>
      </c>
      <c r="AX114" s="50">
        <f t="shared" ca="1" si="12"/>
        <v>0.50071577561150082</v>
      </c>
      <c r="AY114" s="8">
        <f t="shared" si="101"/>
        <v>0.74</v>
      </c>
      <c r="AZ114" s="49">
        <v>0</v>
      </c>
      <c r="BB114" s="50">
        <f t="shared" ca="1" si="13"/>
        <v>5.0715283990377391E-2</v>
      </c>
      <c r="BC114" s="8">
        <f t="shared" si="102"/>
        <v>0.74</v>
      </c>
      <c r="BD114" s="49">
        <v>0</v>
      </c>
      <c r="BF114" s="50">
        <f t="shared" ca="1" si="14"/>
        <v>0.73664145850886908</v>
      </c>
      <c r="BG114" s="8">
        <f t="shared" si="103"/>
        <v>0.74</v>
      </c>
      <c r="BH114" s="49">
        <v>0</v>
      </c>
      <c r="BJ114" s="50">
        <f t="shared" ca="1" si="15"/>
        <v>0.446084964006774</v>
      </c>
      <c r="BK114" s="8">
        <f t="shared" si="104"/>
        <v>0.74</v>
      </c>
      <c r="BL114" s="49">
        <v>0</v>
      </c>
      <c r="BN114" s="50">
        <f t="shared" ca="1" si="16"/>
        <v>0.78876137228564736</v>
      </c>
      <c r="BO114" s="8">
        <f t="shared" si="105"/>
        <v>0.74</v>
      </c>
      <c r="BP114" s="49">
        <v>0</v>
      </c>
      <c r="BR114" s="50">
        <f t="shared" ca="1" si="17"/>
        <v>3.546705687364804E-2</v>
      </c>
      <c r="BS114" s="8">
        <f t="shared" si="106"/>
        <v>0.74</v>
      </c>
      <c r="BT114" s="49">
        <v>0</v>
      </c>
    </row>
    <row r="115" spans="1:72" x14ac:dyDescent="0.2">
      <c r="A115" s="22">
        <v>44662</v>
      </c>
      <c r="B115" s="50">
        <f t="shared" ca="1" si="0"/>
        <v>0.29444962254140339</v>
      </c>
      <c r="C115" s="8">
        <f t="shared" si="89"/>
        <v>0.74</v>
      </c>
      <c r="D115" s="49">
        <v>0</v>
      </c>
      <c r="F115" s="50">
        <f t="shared" ca="1" si="1"/>
        <v>8.7607333218058248E-3</v>
      </c>
      <c r="G115" s="8">
        <f t="shared" si="90"/>
        <v>0.74</v>
      </c>
      <c r="H115" s="49">
        <v>0</v>
      </c>
      <c r="J115" s="50">
        <f t="shared" ca="1" si="2"/>
        <v>2.3197430737665115E-2</v>
      </c>
      <c r="K115" s="8">
        <f t="shared" si="91"/>
        <v>0.74</v>
      </c>
      <c r="L115" s="49">
        <v>0</v>
      </c>
      <c r="N115" s="50">
        <f t="shared" ca="1" si="3"/>
        <v>0.77704944505171369</v>
      </c>
      <c r="O115" s="8">
        <f t="shared" si="92"/>
        <v>0.74</v>
      </c>
      <c r="P115" s="49">
        <v>0</v>
      </c>
      <c r="R115" s="50">
        <f t="shared" ca="1" si="4"/>
        <v>7.0551848727460231E-2</v>
      </c>
      <c r="S115" s="8">
        <f t="shared" si="93"/>
        <v>0.74</v>
      </c>
      <c r="T115" s="49">
        <v>0</v>
      </c>
      <c r="V115" s="50">
        <f t="shared" ca="1" si="5"/>
        <v>0.66169369705917958</v>
      </c>
      <c r="W115" s="8">
        <f t="shared" si="94"/>
        <v>0.74</v>
      </c>
      <c r="X115" s="49">
        <v>0</v>
      </c>
      <c r="Z115" s="50">
        <f t="shared" ca="1" si="6"/>
        <v>0.26519423466295322</v>
      </c>
      <c r="AA115" s="8">
        <f t="shared" si="95"/>
        <v>0.74</v>
      </c>
      <c r="AB115" s="49">
        <v>0</v>
      </c>
      <c r="AD115" s="50">
        <f t="shared" ca="1" si="7"/>
        <v>7.1689296336726271E-2</v>
      </c>
      <c r="AE115" s="8">
        <f t="shared" si="96"/>
        <v>0.74</v>
      </c>
      <c r="AF115" s="49">
        <v>0</v>
      </c>
      <c r="AH115" s="50">
        <f t="shared" ca="1" si="8"/>
        <v>0.23551479173943068</v>
      </c>
      <c r="AI115" s="8">
        <f t="shared" si="97"/>
        <v>0.74</v>
      </c>
      <c r="AJ115" s="49">
        <v>0</v>
      </c>
      <c r="AL115" s="50">
        <f t="shared" ca="1" si="9"/>
        <v>0.12741697726332513</v>
      </c>
      <c r="AM115" s="8">
        <f t="shared" si="98"/>
        <v>0.74</v>
      </c>
      <c r="AN115" s="49">
        <v>0</v>
      </c>
      <c r="AP115" s="50">
        <f t="shared" ca="1" si="10"/>
        <v>3.169668203432241E-2</v>
      </c>
      <c r="AQ115" s="8">
        <f t="shared" si="99"/>
        <v>0.74</v>
      </c>
      <c r="AR115" s="49">
        <v>0</v>
      </c>
      <c r="AT115" s="50">
        <f t="shared" ca="1" si="11"/>
        <v>0.22522962779126188</v>
      </c>
      <c r="AU115" s="8">
        <f t="shared" si="100"/>
        <v>0.74</v>
      </c>
      <c r="AV115" s="49">
        <v>0</v>
      </c>
      <c r="AX115" s="50">
        <f t="shared" ca="1" si="12"/>
        <v>0.80948406934315054</v>
      </c>
      <c r="AY115" s="8">
        <f t="shared" si="101"/>
        <v>0.74</v>
      </c>
      <c r="AZ115" s="49">
        <v>0</v>
      </c>
      <c r="BB115" s="50">
        <f t="shared" ca="1" si="13"/>
        <v>0.15424257758494075</v>
      </c>
      <c r="BC115" s="8">
        <f t="shared" si="102"/>
        <v>0.74</v>
      </c>
      <c r="BD115" s="49">
        <v>0</v>
      </c>
      <c r="BF115" s="50">
        <f t="shared" ca="1" si="14"/>
        <v>0.47074114930417832</v>
      </c>
      <c r="BG115" s="8">
        <f t="shared" si="103"/>
        <v>0.74</v>
      </c>
      <c r="BH115" s="49">
        <v>0</v>
      </c>
      <c r="BJ115" s="50">
        <f t="shared" ca="1" si="15"/>
        <v>0.46724801520761849</v>
      </c>
      <c r="BK115" s="8">
        <f t="shared" si="104"/>
        <v>0.74</v>
      </c>
      <c r="BL115" s="49">
        <v>0</v>
      </c>
      <c r="BN115" s="50">
        <f t="shared" ca="1" si="16"/>
        <v>0.4922410291875674</v>
      </c>
      <c r="BO115" s="8">
        <f t="shared" si="105"/>
        <v>0.74</v>
      </c>
      <c r="BP115" s="49">
        <v>0</v>
      </c>
      <c r="BR115" s="50">
        <f t="shared" ca="1" si="17"/>
        <v>0.88149180754650391</v>
      </c>
      <c r="BS115" s="8">
        <f t="shared" si="106"/>
        <v>0.74</v>
      </c>
      <c r="BT115" s="49">
        <v>0</v>
      </c>
    </row>
    <row r="116" spans="1:72" x14ac:dyDescent="0.2">
      <c r="A116" s="22">
        <v>44663</v>
      </c>
      <c r="B116" s="50">
        <f t="shared" ca="1" si="0"/>
        <v>0.6997914576500972</v>
      </c>
      <c r="C116" s="8">
        <f t="shared" si="89"/>
        <v>0.74</v>
      </c>
      <c r="D116" s="49">
        <v>0</v>
      </c>
      <c r="F116" s="50">
        <f t="shared" ca="1" si="1"/>
        <v>0.13501368392468382</v>
      </c>
      <c r="G116" s="8">
        <f t="shared" si="90"/>
        <v>0.74</v>
      </c>
      <c r="H116" s="49">
        <v>0</v>
      </c>
      <c r="J116" s="50">
        <f t="shared" ca="1" si="2"/>
        <v>0.12567970367387116</v>
      </c>
      <c r="K116" s="8">
        <f t="shared" si="91"/>
        <v>0.74</v>
      </c>
      <c r="L116" s="49">
        <v>0</v>
      </c>
      <c r="N116" s="50">
        <f t="shared" ca="1" si="3"/>
        <v>0.65551034330772251</v>
      </c>
      <c r="O116" s="8">
        <f t="shared" si="92"/>
        <v>0.74</v>
      </c>
      <c r="P116" s="49">
        <v>0</v>
      </c>
      <c r="R116" s="50">
        <f t="shared" ca="1" si="4"/>
        <v>0.84417216682627549</v>
      </c>
      <c r="S116" s="8">
        <f t="shared" si="93"/>
        <v>0.74</v>
      </c>
      <c r="T116" s="49">
        <v>0</v>
      </c>
      <c r="V116" s="50">
        <f t="shared" ca="1" si="5"/>
        <v>0.9283384436287957</v>
      </c>
      <c r="W116" s="8">
        <f t="shared" si="94"/>
        <v>0.74</v>
      </c>
      <c r="X116" s="49">
        <v>0</v>
      </c>
      <c r="Z116" s="50">
        <f t="shared" ca="1" si="6"/>
        <v>0.84207667992320334</v>
      </c>
      <c r="AA116" s="8">
        <f t="shared" si="95"/>
        <v>0.74</v>
      </c>
      <c r="AB116" s="49">
        <v>0</v>
      </c>
      <c r="AD116" s="50">
        <f t="shared" ca="1" si="7"/>
        <v>6.6417272563151886E-2</v>
      </c>
      <c r="AE116" s="8">
        <f t="shared" si="96"/>
        <v>0.74</v>
      </c>
      <c r="AF116" s="49">
        <v>0</v>
      </c>
      <c r="AH116" s="50">
        <f t="shared" ca="1" si="8"/>
        <v>0.12125757355735545</v>
      </c>
      <c r="AI116" s="8">
        <f t="shared" si="97"/>
        <v>0.74</v>
      </c>
      <c r="AJ116" s="49">
        <v>0</v>
      </c>
      <c r="AL116" s="50">
        <f t="shared" ca="1" si="9"/>
        <v>0.27803195821953031</v>
      </c>
      <c r="AM116" s="8">
        <f t="shared" si="98"/>
        <v>0.74</v>
      </c>
      <c r="AN116" s="49">
        <v>0</v>
      </c>
      <c r="AP116" s="50">
        <f t="shared" ca="1" si="10"/>
        <v>0.45653042051912496</v>
      </c>
      <c r="AQ116" s="8">
        <f t="shared" si="99"/>
        <v>0.74</v>
      </c>
      <c r="AR116" s="49">
        <v>0</v>
      </c>
      <c r="AT116" s="50">
        <f t="shared" ca="1" si="11"/>
        <v>0.36006579854275145</v>
      </c>
      <c r="AU116" s="8">
        <f t="shared" si="100"/>
        <v>0.74</v>
      </c>
      <c r="AV116" s="49">
        <v>0</v>
      </c>
      <c r="AX116" s="50">
        <f t="shared" ca="1" si="12"/>
        <v>0.53207661966725039</v>
      </c>
      <c r="AY116" s="8">
        <f t="shared" si="101"/>
        <v>0.74</v>
      </c>
      <c r="AZ116" s="49">
        <v>0</v>
      </c>
      <c r="BB116" s="50">
        <f t="shared" ca="1" si="13"/>
        <v>0.84319151678451254</v>
      </c>
      <c r="BC116" s="8">
        <f t="shared" si="102"/>
        <v>0.74</v>
      </c>
      <c r="BD116" s="49">
        <v>0</v>
      </c>
      <c r="BF116" s="50">
        <f t="shared" ca="1" si="14"/>
        <v>0.81087744317442667</v>
      </c>
      <c r="BG116" s="8">
        <f t="shared" si="103"/>
        <v>0.74</v>
      </c>
      <c r="BH116" s="49">
        <v>0</v>
      </c>
      <c r="BJ116" s="50">
        <f t="shared" ca="1" si="15"/>
        <v>7.1120058375686801E-2</v>
      </c>
      <c r="BK116" s="8">
        <f t="shared" si="104"/>
        <v>0.74</v>
      </c>
      <c r="BL116" s="49">
        <v>0</v>
      </c>
      <c r="BN116" s="50">
        <f t="shared" ca="1" si="16"/>
        <v>0.67503713508762286</v>
      </c>
      <c r="BO116" s="8">
        <f t="shared" si="105"/>
        <v>0.74</v>
      </c>
      <c r="BP116" s="49">
        <v>0</v>
      </c>
      <c r="BR116" s="50">
        <f t="shared" ca="1" si="17"/>
        <v>0.84001154984026161</v>
      </c>
      <c r="BS116" s="8">
        <f t="shared" si="106"/>
        <v>0.74</v>
      </c>
      <c r="BT116" s="49">
        <v>0</v>
      </c>
    </row>
    <row r="117" spans="1:72" x14ac:dyDescent="0.2">
      <c r="A117" s="22">
        <v>44664</v>
      </c>
      <c r="B117" s="50">
        <f t="shared" ca="1" si="0"/>
        <v>0.84222482565274814</v>
      </c>
      <c r="C117" s="8">
        <f t="shared" si="89"/>
        <v>0.74</v>
      </c>
      <c r="D117" s="49">
        <v>0</v>
      </c>
      <c r="F117" s="50">
        <f t="shared" ca="1" si="1"/>
        <v>0.66079761236420287</v>
      </c>
      <c r="G117" s="8">
        <f t="shared" si="90"/>
        <v>0.74</v>
      </c>
      <c r="H117" s="49">
        <v>0</v>
      </c>
      <c r="J117" s="50">
        <f t="shared" ca="1" si="2"/>
        <v>0.73342760215118163</v>
      </c>
      <c r="K117" s="8">
        <f t="shared" si="91"/>
        <v>0.74</v>
      </c>
      <c r="L117" s="49">
        <v>0</v>
      </c>
      <c r="N117" s="50">
        <f t="shared" ca="1" si="3"/>
        <v>0.15129385544025953</v>
      </c>
      <c r="O117" s="8">
        <f t="shared" si="92"/>
        <v>0.74</v>
      </c>
      <c r="P117" s="49">
        <v>0</v>
      </c>
      <c r="R117" s="50">
        <f t="shared" ca="1" si="4"/>
        <v>0.44118390405068753</v>
      </c>
      <c r="S117" s="8">
        <f t="shared" si="93"/>
        <v>0.74</v>
      </c>
      <c r="T117" s="49">
        <v>0</v>
      </c>
      <c r="V117" s="50">
        <f t="shared" ca="1" si="5"/>
        <v>0.64101929521865764</v>
      </c>
      <c r="W117" s="8">
        <f t="shared" si="94"/>
        <v>0.74</v>
      </c>
      <c r="X117" s="49">
        <v>0</v>
      </c>
      <c r="Z117" s="50">
        <f t="shared" ca="1" si="6"/>
        <v>0.68064965557729762</v>
      </c>
      <c r="AA117" s="8">
        <f t="shared" si="95"/>
        <v>0.74</v>
      </c>
      <c r="AB117" s="49">
        <v>0</v>
      </c>
      <c r="AD117" s="50">
        <f t="shared" ca="1" si="7"/>
        <v>0.51010147079827928</v>
      </c>
      <c r="AE117" s="8">
        <f t="shared" si="96"/>
        <v>0.74</v>
      </c>
      <c r="AF117" s="49">
        <v>0</v>
      </c>
      <c r="AH117" s="50">
        <f t="shared" ca="1" si="8"/>
        <v>0.84427092649975555</v>
      </c>
      <c r="AI117" s="8">
        <f t="shared" si="97"/>
        <v>0.74</v>
      </c>
      <c r="AJ117" s="49">
        <v>0</v>
      </c>
      <c r="AL117" s="50">
        <f t="shared" ca="1" si="9"/>
        <v>0.45219901418749542</v>
      </c>
      <c r="AM117" s="8">
        <f t="shared" si="98"/>
        <v>0.74</v>
      </c>
      <c r="AN117" s="49">
        <v>0</v>
      </c>
      <c r="AP117" s="50">
        <f t="shared" ca="1" si="10"/>
        <v>0.26840983448193634</v>
      </c>
      <c r="AQ117" s="8">
        <f t="shared" si="99"/>
        <v>0.74</v>
      </c>
      <c r="AR117" s="49">
        <v>0</v>
      </c>
      <c r="AT117" s="50">
        <f t="shared" ca="1" si="11"/>
        <v>0.79454316006947578</v>
      </c>
      <c r="AU117" s="8">
        <f t="shared" si="100"/>
        <v>0.74</v>
      </c>
      <c r="AV117" s="49">
        <v>0</v>
      </c>
      <c r="AX117" s="50">
        <f t="shared" ca="1" si="12"/>
        <v>0.45769927375267361</v>
      </c>
      <c r="AY117" s="8">
        <f t="shared" si="101"/>
        <v>0.74</v>
      </c>
      <c r="AZ117" s="49">
        <v>0</v>
      </c>
      <c r="BB117" s="50">
        <f t="shared" ca="1" si="13"/>
        <v>0.37438305476376599</v>
      </c>
      <c r="BC117" s="8">
        <f t="shared" si="102"/>
        <v>0.74</v>
      </c>
      <c r="BD117" s="49">
        <v>0</v>
      </c>
      <c r="BF117" s="50">
        <f t="shared" ca="1" si="14"/>
        <v>0.98112222253846892</v>
      </c>
      <c r="BG117" s="8">
        <f t="shared" si="103"/>
        <v>0.74</v>
      </c>
      <c r="BH117" s="49">
        <v>0</v>
      </c>
      <c r="BJ117" s="50">
        <f t="shared" ca="1" si="15"/>
        <v>0.84168672976538228</v>
      </c>
      <c r="BK117" s="8">
        <f t="shared" si="104"/>
        <v>0.74</v>
      </c>
      <c r="BL117" s="49">
        <v>0</v>
      </c>
      <c r="BN117" s="50">
        <f t="shared" ca="1" si="16"/>
        <v>0.50288292905771659</v>
      </c>
      <c r="BO117" s="8">
        <f t="shared" si="105"/>
        <v>0.74</v>
      </c>
      <c r="BP117" s="49">
        <v>0</v>
      </c>
      <c r="BR117" s="50">
        <f t="shared" ca="1" si="17"/>
        <v>0.88515715522271599</v>
      </c>
      <c r="BS117" s="8">
        <f t="shared" si="106"/>
        <v>0.74</v>
      </c>
      <c r="BT117" s="49">
        <v>0</v>
      </c>
    </row>
    <row r="118" spans="1:72" x14ac:dyDescent="0.2">
      <c r="A118" s="22">
        <v>44665</v>
      </c>
      <c r="B118" s="50">
        <f t="shared" ca="1" si="0"/>
        <v>0.26763348062110204</v>
      </c>
      <c r="C118" s="8">
        <f t="shared" si="89"/>
        <v>0.74</v>
      </c>
      <c r="D118" s="49">
        <v>0</v>
      </c>
      <c r="F118" s="50">
        <f t="shared" ca="1" si="1"/>
        <v>0.82593920915472363</v>
      </c>
      <c r="G118" s="8">
        <f t="shared" si="90"/>
        <v>0.74</v>
      </c>
      <c r="H118" s="49">
        <v>0</v>
      </c>
      <c r="J118" s="50">
        <f t="shared" ca="1" si="2"/>
        <v>0.61984535086350745</v>
      </c>
      <c r="K118" s="8">
        <f t="shared" si="91"/>
        <v>0.74</v>
      </c>
      <c r="L118" s="49">
        <v>0</v>
      </c>
      <c r="N118" s="50">
        <f t="shared" ca="1" si="3"/>
        <v>3.1093984553585141E-2</v>
      </c>
      <c r="O118" s="8">
        <f t="shared" si="92"/>
        <v>0.74</v>
      </c>
      <c r="P118" s="49">
        <v>0</v>
      </c>
      <c r="R118" s="50">
        <f t="shared" ca="1" si="4"/>
        <v>0.61737896202210352</v>
      </c>
      <c r="S118" s="8">
        <f t="shared" si="93"/>
        <v>0.74</v>
      </c>
      <c r="T118" s="49">
        <v>0</v>
      </c>
      <c r="V118" s="50">
        <f t="shared" ca="1" si="5"/>
        <v>0.47391604448605906</v>
      </c>
      <c r="W118" s="8">
        <f t="shared" si="94"/>
        <v>0.74</v>
      </c>
      <c r="X118" s="49">
        <v>0</v>
      </c>
      <c r="Z118" s="50">
        <f t="shared" ca="1" si="6"/>
        <v>0.48550343582399591</v>
      </c>
      <c r="AA118" s="8">
        <f t="shared" si="95"/>
        <v>0.74</v>
      </c>
      <c r="AB118" s="49">
        <v>0</v>
      </c>
      <c r="AD118" s="50">
        <f t="shared" ca="1" si="7"/>
        <v>0.99392194156371449</v>
      </c>
      <c r="AE118" s="8">
        <f t="shared" si="96"/>
        <v>0.74</v>
      </c>
      <c r="AF118" s="49">
        <v>0</v>
      </c>
      <c r="AH118" s="50">
        <f t="shared" ca="1" si="8"/>
        <v>0.9788982677677095</v>
      </c>
      <c r="AI118" s="8">
        <f t="shared" si="97"/>
        <v>0.74</v>
      </c>
      <c r="AJ118" s="49">
        <v>0</v>
      </c>
      <c r="AL118" s="50">
        <f t="shared" ca="1" si="9"/>
        <v>0.67254288738590828</v>
      </c>
      <c r="AM118" s="8">
        <f t="shared" si="98"/>
        <v>0.74</v>
      </c>
      <c r="AN118" s="49">
        <v>0</v>
      </c>
      <c r="AP118" s="50">
        <f t="shared" ca="1" si="10"/>
        <v>0.96872196793607601</v>
      </c>
      <c r="AQ118" s="8">
        <f t="shared" si="99"/>
        <v>0.74</v>
      </c>
      <c r="AR118" s="49">
        <v>0</v>
      </c>
      <c r="AT118" s="50">
        <f t="shared" ca="1" si="11"/>
        <v>0.62389065529759713</v>
      </c>
      <c r="AU118" s="8">
        <f t="shared" si="100"/>
        <v>0.74</v>
      </c>
      <c r="AV118" s="49">
        <v>0</v>
      </c>
      <c r="AX118" s="50">
        <f t="shared" ca="1" si="12"/>
        <v>0.77446091281110641</v>
      </c>
      <c r="AY118" s="8">
        <f t="shared" si="101"/>
        <v>0.74</v>
      </c>
      <c r="AZ118" s="49">
        <v>0</v>
      </c>
      <c r="BB118" s="50">
        <f t="shared" ca="1" si="13"/>
        <v>0.75520618156986519</v>
      </c>
      <c r="BC118" s="8">
        <f t="shared" si="102"/>
        <v>0.74</v>
      </c>
      <c r="BD118" s="49">
        <v>0</v>
      </c>
      <c r="BF118" s="50">
        <f t="shared" ca="1" si="14"/>
        <v>0.97579038510797167</v>
      </c>
      <c r="BG118" s="8">
        <f t="shared" si="103"/>
        <v>0.74</v>
      </c>
      <c r="BH118" s="49">
        <v>0</v>
      </c>
      <c r="BJ118" s="50">
        <f t="shared" ca="1" si="15"/>
        <v>0.51499183006012506</v>
      </c>
      <c r="BK118" s="8">
        <f t="shared" si="104"/>
        <v>0.74</v>
      </c>
      <c r="BL118" s="49">
        <v>0</v>
      </c>
      <c r="BN118" s="50">
        <f t="shared" ca="1" si="16"/>
        <v>0.2780653522904003</v>
      </c>
      <c r="BO118" s="8">
        <f t="shared" si="105"/>
        <v>0.74</v>
      </c>
      <c r="BP118" s="49">
        <v>0</v>
      </c>
      <c r="BR118" s="50">
        <f t="shared" ca="1" si="17"/>
        <v>0.17449582684121434</v>
      </c>
      <c r="BS118" s="8">
        <f t="shared" si="106"/>
        <v>0.74</v>
      </c>
      <c r="BT118" s="49">
        <v>0</v>
      </c>
    </row>
    <row r="119" spans="1:72" x14ac:dyDescent="0.2">
      <c r="A119" s="22">
        <v>44666</v>
      </c>
      <c r="B119" s="50">
        <f t="shared" ca="1" si="0"/>
        <v>0.55643312844887027</v>
      </c>
      <c r="C119" s="8">
        <f t="shared" si="89"/>
        <v>0.74</v>
      </c>
      <c r="D119" s="49">
        <v>0</v>
      </c>
      <c r="F119" s="50">
        <f t="shared" ca="1" si="1"/>
        <v>0.9442271410842128</v>
      </c>
      <c r="G119" s="8">
        <f t="shared" si="90"/>
        <v>0.74</v>
      </c>
      <c r="H119" s="49">
        <v>0</v>
      </c>
      <c r="J119" s="50">
        <f t="shared" ca="1" si="2"/>
        <v>0.97275354384884472</v>
      </c>
      <c r="K119" s="8">
        <f t="shared" si="91"/>
        <v>0.74</v>
      </c>
      <c r="L119" s="49">
        <v>0</v>
      </c>
      <c r="N119" s="50">
        <f t="shared" ca="1" si="3"/>
        <v>0.49708356883571014</v>
      </c>
      <c r="O119" s="8">
        <f t="shared" si="92"/>
        <v>0.74</v>
      </c>
      <c r="P119" s="49">
        <v>0</v>
      </c>
      <c r="R119" s="50">
        <f t="shared" ca="1" si="4"/>
        <v>0.44390437448266351</v>
      </c>
      <c r="S119" s="8">
        <f t="shared" si="93"/>
        <v>0.74</v>
      </c>
      <c r="T119" s="49">
        <v>0</v>
      </c>
      <c r="V119" s="50">
        <f t="shared" ca="1" si="5"/>
        <v>0.22600478010006464</v>
      </c>
      <c r="W119" s="8">
        <f t="shared" si="94"/>
        <v>0.74</v>
      </c>
      <c r="X119" s="49">
        <v>0</v>
      </c>
      <c r="Z119" s="50">
        <f t="shared" ca="1" si="6"/>
        <v>0.38866370823863539</v>
      </c>
      <c r="AA119" s="8">
        <f t="shared" si="95"/>
        <v>0.74</v>
      </c>
      <c r="AB119" s="49">
        <v>0</v>
      </c>
      <c r="AD119" s="50">
        <f t="shared" ca="1" si="7"/>
        <v>0.34776123370715206</v>
      </c>
      <c r="AE119" s="8">
        <f t="shared" si="96"/>
        <v>0.74</v>
      </c>
      <c r="AF119" s="49">
        <v>0</v>
      </c>
      <c r="AH119" s="50">
        <f t="shared" ca="1" si="8"/>
        <v>4.7211576882111306E-4</v>
      </c>
      <c r="AI119" s="8">
        <f t="shared" si="97"/>
        <v>0.74</v>
      </c>
      <c r="AJ119" s="49">
        <v>0</v>
      </c>
      <c r="AL119" s="50">
        <f t="shared" ca="1" si="9"/>
        <v>0.1111406852079686</v>
      </c>
      <c r="AM119" s="8">
        <f t="shared" si="98"/>
        <v>0.74</v>
      </c>
      <c r="AN119" s="49">
        <v>0</v>
      </c>
      <c r="AP119" s="50">
        <f t="shared" ca="1" si="10"/>
        <v>0.83501167782954056</v>
      </c>
      <c r="AQ119" s="8">
        <f t="shared" si="99"/>
        <v>0.74</v>
      </c>
      <c r="AR119" s="49">
        <v>0</v>
      </c>
      <c r="AT119" s="50">
        <f t="shared" ca="1" si="11"/>
        <v>0.22449164734012317</v>
      </c>
      <c r="AU119" s="8">
        <f t="shared" si="100"/>
        <v>0.74</v>
      </c>
      <c r="AV119" s="49">
        <v>0</v>
      </c>
      <c r="AX119" s="50">
        <f t="shared" ca="1" si="12"/>
        <v>0.44787133802364354</v>
      </c>
      <c r="AY119" s="8">
        <f t="shared" si="101"/>
        <v>0.74</v>
      </c>
      <c r="AZ119" s="49">
        <v>0</v>
      </c>
      <c r="BB119" s="50">
        <f t="shared" ca="1" si="13"/>
        <v>8.6220111025795299E-2</v>
      </c>
      <c r="BC119" s="8">
        <f t="shared" si="102"/>
        <v>0.74</v>
      </c>
      <c r="BD119" s="49">
        <v>0</v>
      </c>
      <c r="BF119" s="50">
        <f t="shared" ca="1" si="14"/>
        <v>0.17581244454319911</v>
      </c>
      <c r="BG119" s="8">
        <f t="shared" si="103"/>
        <v>0.74</v>
      </c>
      <c r="BH119" s="49">
        <v>0</v>
      </c>
      <c r="BJ119" s="50">
        <f t="shared" ca="1" si="15"/>
        <v>0.68290478833885138</v>
      </c>
      <c r="BK119" s="8">
        <f t="shared" si="104"/>
        <v>0.74</v>
      </c>
      <c r="BL119" s="49">
        <v>0</v>
      </c>
      <c r="BN119" s="50">
        <f t="shared" ca="1" si="16"/>
        <v>0.7412751126164645</v>
      </c>
      <c r="BO119" s="8">
        <f t="shared" si="105"/>
        <v>0.74</v>
      </c>
      <c r="BP119" s="49">
        <v>0</v>
      </c>
      <c r="BR119" s="50">
        <f t="shared" ca="1" si="17"/>
        <v>0.58779646598693391</v>
      </c>
      <c r="BS119" s="8">
        <f t="shared" si="106"/>
        <v>0.74</v>
      </c>
      <c r="BT119" s="49">
        <v>0</v>
      </c>
    </row>
    <row r="120" spans="1:72" x14ac:dyDescent="0.2">
      <c r="A120" s="22">
        <v>44667</v>
      </c>
      <c r="B120" s="50">
        <f t="shared" ca="1" si="0"/>
        <v>8.7397558123267327E-2</v>
      </c>
      <c r="C120" s="8">
        <f t="shared" si="89"/>
        <v>0.74</v>
      </c>
      <c r="D120" s="49">
        <v>0</v>
      </c>
      <c r="F120" s="50">
        <f t="shared" ca="1" si="1"/>
        <v>0.69628028105787898</v>
      </c>
      <c r="G120" s="8">
        <f t="shared" si="90"/>
        <v>0.74</v>
      </c>
      <c r="H120" s="49">
        <v>0</v>
      </c>
      <c r="J120" s="50">
        <f t="shared" ca="1" si="2"/>
        <v>0.21811509015872976</v>
      </c>
      <c r="K120" s="8">
        <f t="shared" si="91"/>
        <v>0.74</v>
      </c>
      <c r="L120" s="49">
        <v>0</v>
      </c>
      <c r="N120" s="50">
        <f t="shared" ca="1" si="3"/>
        <v>0.352512247363715</v>
      </c>
      <c r="O120" s="8">
        <f t="shared" si="92"/>
        <v>0.74</v>
      </c>
      <c r="P120" s="49">
        <v>0</v>
      </c>
      <c r="R120" s="50">
        <f t="shared" ca="1" si="4"/>
        <v>0.92909179837741918</v>
      </c>
      <c r="S120" s="8">
        <f t="shared" si="93"/>
        <v>0.74</v>
      </c>
      <c r="T120" s="49">
        <v>0</v>
      </c>
      <c r="V120" s="50">
        <f t="shared" ca="1" si="5"/>
        <v>0.20777605719450998</v>
      </c>
      <c r="W120" s="8">
        <f t="shared" si="94"/>
        <v>0.74</v>
      </c>
      <c r="X120" s="49">
        <v>0</v>
      </c>
      <c r="Z120" s="50">
        <f t="shared" ca="1" si="6"/>
        <v>0.27179173145517488</v>
      </c>
      <c r="AA120" s="8">
        <f t="shared" si="95"/>
        <v>0.74</v>
      </c>
      <c r="AB120" s="49">
        <v>0</v>
      </c>
      <c r="AD120" s="50">
        <f t="shared" ca="1" si="7"/>
        <v>0.77864651474476865</v>
      </c>
      <c r="AE120" s="8">
        <f t="shared" si="96"/>
        <v>0.74</v>
      </c>
      <c r="AF120" s="49">
        <v>0</v>
      </c>
      <c r="AH120" s="50">
        <f t="shared" ca="1" si="8"/>
        <v>0.26348390364403917</v>
      </c>
      <c r="AI120" s="8">
        <f t="shared" si="97"/>
        <v>0.74</v>
      </c>
      <c r="AJ120" s="49">
        <v>0</v>
      </c>
      <c r="AL120" s="50">
        <f t="shared" ca="1" si="9"/>
        <v>0.61160388382015929</v>
      </c>
      <c r="AM120" s="8">
        <f t="shared" si="98"/>
        <v>0.74</v>
      </c>
      <c r="AN120" s="49">
        <v>0</v>
      </c>
      <c r="AP120" s="50">
        <f t="shared" ca="1" si="10"/>
        <v>0.8670735334460159</v>
      </c>
      <c r="AQ120" s="8">
        <f t="shared" si="99"/>
        <v>0.74</v>
      </c>
      <c r="AR120" s="49">
        <v>0</v>
      </c>
      <c r="AT120" s="50">
        <f t="shared" ca="1" si="11"/>
        <v>0.82279989216130645</v>
      </c>
      <c r="AU120" s="8">
        <f t="shared" si="100"/>
        <v>0.74</v>
      </c>
      <c r="AV120" s="49">
        <v>0</v>
      </c>
      <c r="AX120" s="50">
        <f t="shared" ca="1" si="12"/>
        <v>0.93884906913401434</v>
      </c>
      <c r="AY120" s="8">
        <f t="shared" si="101"/>
        <v>0.74</v>
      </c>
      <c r="AZ120" s="49">
        <v>0</v>
      </c>
      <c r="BB120" s="50">
        <f t="shared" ca="1" si="13"/>
        <v>0.16140717233696544</v>
      </c>
      <c r="BC120" s="8">
        <f t="shared" si="102"/>
        <v>0.74</v>
      </c>
      <c r="BD120" s="49">
        <v>0</v>
      </c>
      <c r="BF120" s="50">
        <f t="shared" ca="1" si="14"/>
        <v>6.8525560478463587E-2</v>
      </c>
      <c r="BG120" s="8">
        <f t="shared" si="103"/>
        <v>0.74</v>
      </c>
      <c r="BH120" s="49">
        <v>0</v>
      </c>
      <c r="BJ120" s="50">
        <f t="shared" ca="1" si="15"/>
        <v>0.6632752426984424</v>
      </c>
      <c r="BK120" s="8">
        <f t="shared" si="104"/>
        <v>0.74</v>
      </c>
      <c r="BL120" s="49">
        <v>0</v>
      </c>
      <c r="BN120" s="50">
        <f t="shared" ca="1" si="16"/>
        <v>0.22809428667870502</v>
      </c>
      <c r="BO120" s="8">
        <f t="shared" si="105"/>
        <v>0.74</v>
      </c>
      <c r="BP120" s="49">
        <v>0</v>
      </c>
      <c r="BR120" s="50">
        <f t="shared" ca="1" si="17"/>
        <v>0.28191809718484995</v>
      </c>
      <c r="BS120" s="8">
        <f t="shared" si="106"/>
        <v>0.74</v>
      </c>
      <c r="BT120" s="49">
        <v>0</v>
      </c>
    </row>
    <row r="121" spans="1:72" x14ac:dyDescent="0.2">
      <c r="A121" s="22">
        <v>44668</v>
      </c>
      <c r="B121" s="50">
        <f t="shared" ca="1" si="0"/>
        <v>3.161405741772505E-2</v>
      </c>
      <c r="C121" s="8">
        <f t="shared" si="89"/>
        <v>0.74</v>
      </c>
      <c r="D121" s="49">
        <v>0</v>
      </c>
      <c r="F121" s="50">
        <f t="shared" ca="1" si="1"/>
        <v>0.5133887216458547</v>
      </c>
      <c r="G121" s="8">
        <f t="shared" si="90"/>
        <v>0.74</v>
      </c>
      <c r="H121" s="49">
        <v>0</v>
      </c>
      <c r="J121" s="50">
        <f t="shared" ca="1" si="2"/>
        <v>0.74205120469023489</v>
      </c>
      <c r="K121" s="8">
        <f t="shared" si="91"/>
        <v>0.74</v>
      </c>
      <c r="L121" s="49">
        <v>0</v>
      </c>
      <c r="N121" s="50">
        <f t="shared" ca="1" si="3"/>
        <v>0.60472512701241921</v>
      </c>
      <c r="O121" s="8">
        <f t="shared" si="92"/>
        <v>0.74</v>
      </c>
      <c r="P121" s="49">
        <v>0</v>
      </c>
      <c r="R121" s="50">
        <f t="shared" ca="1" si="4"/>
        <v>0.1076745088887604</v>
      </c>
      <c r="S121" s="8">
        <f t="shared" si="93"/>
        <v>0.74</v>
      </c>
      <c r="T121" s="49">
        <v>0</v>
      </c>
      <c r="V121" s="50">
        <f t="shared" ca="1" si="5"/>
        <v>0.95061622898743681</v>
      </c>
      <c r="W121" s="8">
        <f t="shared" si="94"/>
        <v>0.74</v>
      </c>
      <c r="X121" s="49">
        <v>0</v>
      </c>
      <c r="Z121" s="50">
        <f t="shared" ca="1" si="6"/>
        <v>0.49393116214517963</v>
      </c>
      <c r="AA121" s="8">
        <f t="shared" si="95"/>
        <v>0.74</v>
      </c>
      <c r="AB121" s="49">
        <v>0</v>
      </c>
      <c r="AD121" s="50">
        <f t="shared" ca="1" si="7"/>
        <v>1.23275452780649E-2</v>
      </c>
      <c r="AE121" s="8">
        <f t="shared" si="96"/>
        <v>0.74</v>
      </c>
      <c r="AF121" s="49">
        <v>0</v>
      </c>
      <c r="AH121" s="50">
        <f t="shared" ca="1" si="8"/>
        <v>0.3020705406706431</v>
      </c>
      <c r="AI121" s="8">
        <f t="shared" si="97"/>
        <v>0.74</v>
      </c>
      <c r="AJ121" s="49">
        <v>0</v>
      </c>
      <c r="AL121" s="50">
        <f t="shared" ca="1" si="9"/>
        <v>0.92488382507213851</v>
      </c>
      <c r="AM121" s="8">
        <f t="shared" si="98"/>
        <v>0.74</v>
      </c>
      <c r="AN121" s="49">
        <v>0</v>
      </c>
      <c r="AP121" s="50">
        <f t="shared" ca="1" si="10"/>
        <v>0.28307420448552445</v>
      </c>
      <c r="AQ121" s="8">
        <f t="shared" si="99"/>
        <v>0.74</v>
      </c>
      <c r="AR121" s="49">
        <v>0</v>
      </c>
      <c r="AT121" s="50">
        <f t="shared" ca="1" si="11"/>
        <v>0.44679542263246186</v>
      </c>
      <c r="AU121" s="8">
        <f t="shared" si="100"/>
        <v>0.74</v>
      </c>
      <c r="AV121" s="49">
        <v>0</v>
      </c>
      <c r="AX121" s="50">
        <f t="shared" ca="1" si="12"/>
        <v>0.24804619304438513</v>
      </c>
      <c r="AY121" s="8">
        <f t="shared" si="101"/>
        <v>0.74</v>
      </c>
      <c r="AZ121" s="49">
        <v>0</v>
      </c>
      <c r="BB121" s="50">
        <f t="shared" ca="1" si="13"/>
        <v>0.31153396400843036</v>
      </c>
      <c r="BC121" s="8">
        <f t="shared" si="102"/>
        <v>0.74</v>
      </c>
      <c r="BD121" s="49">
        <v>0</v>
      </c>
      <c r="BF121" s="50">
        <f t="shared" ca="1" si="14"/>
        <v>0.54068186069631829</v>
      </c>
      <c r="BG121" s="8">
        <f t="shared" si="103"/>
        <v>0.74</v>
      </c>
      <c r="BH121" s="49">
        <v>0</v>
      </c>
      <c r="BJ121" s="50">
        <f t="shared" ca="1" si="15"/>
        <v>0.98248570054017326</v>
      </c>
      <c r="BK121" s="8">
        <f t="shared" si="104"/>
        <v>0.74</v>
      </c>
      <c r="BL121" s="49">
        <v>0</v>
      </c>
      <c r="BN121" s="50">
        <f t="shared" ca="1" si="16"/>
        <v>0.58466149360863262</v>
      </c>
      <c r="BO121" s="8">
        <f t="shared" si="105"/>
        <v>0.74</v>
      </c>
      <c r="BP121" s="49">
        <v>0</v>
      </c>
      <c r="BR121" s="50">
        <f t="shared" ca="1" si="17"/>
        <v>0.35237642512967093</v>
      </c>
      <c r="BS121" s="8">
        <f t="shared" si="106"/>
        <v>0.74</v>
      </c>
      <c r="BT121" s="49">
        <v>0</v>
      </c>
    </row>
    <row r="122" spans="1:72" x14ac:dyDescent="0.2">
      <c r="A122" s="22">
        <v>44669</v>
      </c>
      <c r="B122" s="50">
        <f t="shared" ca="1" si="0"/>
        <v>0.78938747648753926</v>
      </c>
      <c r="C122" s="8">
        <f t="shared" si="89"/>
        <v>0.74</v>
      </c>
      <c r="D122" s="49">
        <v>0</v>
      </c>
      <c r="F122" s="50">
        <f t="shared" ca="1" si="1"/>
        <v>0.29151712868660418</v>
      </c>
      <c r="G122" s="8">
        <f t="shared" si="90"/>
        <v>0.74</v>
      </c>
      <c r="H122" s="49">
        <v>0</v>
      </c>
      <c r="J122" s="50">
        <f t="shared" ca="1" si="2"/>
        <v>0.91569039536190222</v>
      </c>
      <c r="K122" s="8">
        <f t="shared" si="91"/>
        <v>0.74</v>
      </c>
      <c r="L122" s="49">
        <v>0</v>
      </c>
      <c r="N122" s="50">
        <f t="shared" ca="1" si="3"/>
        <v>0.1106928322814752</v>
      </c>
      <c r="O122" s="8">
        <f t="shared" si="92"/>
        <v>0.74</v>
      </c>
      <c r="P122" s="49">
        <v>0</v>
      </c>
      <c r="R122" s="50">
        <f t="shared" ca="1" si="4"/>
        <v>2.0264015832573312E-2</v>
      </c>
      <c r="S122" s="8">
        <f t="shared" si="93"/>
        <v>0.74</v>
      </c>
      <c r="T122" s="49">
        <v>0</v>
      </c>
      <c r="V122" s="50">
        <f t="shared" ca="1" si="5"/>
        <v>0.67934959352183888</v>
      </c>
      <c r="W122" s="8">
        <f t="shared" si="94"/>
        <v>0.74</v>
      </c>
      <c r="X122" s="49">
        <v>0</v>
      </c>
      <c r="Z122" s="50">
        <f t="shared" ca="1" si="6"/>
        <v>0.34474692804346219</v>
      </c>
      <c r="AA122" s="8">
        <f t="shared" si="95"/>
        <v>0.74</v>
      </c>
      <c r="AB122" s="49">
        <v>0</v>
      </c>
      <c r="AD122" s="50">
        <f t="shared" ca="1" si="7"/>
        <v>0.77371642090227699</v>
      </c>
      <c r="AE122" s="8">
        <f t="shared" si="96"/>
        <v>0.74</v>
      </c>
      <c r="AF122" s="49">
        <v>0</v>
      </c>
      <c r="AH122" s="50">
        <f t="shared" ca="1" si="8"/>
        <v>0.93256921142801552</v>
      </c>
      <c r="AI122" s="8">
        <f t="shared" si="97"/>
        <v>0.74</v>
      </c>
      <c r="AJ122" s="49">
        <v>0</v>
      </c>
      <c r="AL122" s="50">
        <f t="shared" ca="1" si="9"/>
        <v>0.79830718331104589</v>
      </c>
      <c r="AM122" s="8">
        <f t="shared" si="98"/>
        <v>0.74</v>
      </c>
      <c r="AN122" s="49">
        <v>0</v>
      </c>
      <c r="AP122" s="50">
        <f t="shared" ca="1" si="10"/>
        <v>0.90853274576763432</v>
      </c>
      <c r="AQ122" s="8">
        <f t="shared" si="99"/>
        <v>0.74</v>
      </c>
      <c r="AR122" s="49">
        <v>0</v>
      </c>
      <c r="AT122" s="50">
        <f t="shared" ca="1" si="11"/>
        <v>0.62932361490821254</v>
      </c>
      <c r="AU122" s="8">
        <f t="shared" si="100"/>
        <v>0.74</v>
      </c>
      <c r="AV122" s="49">
        <v>0</v>
      </c>
      <c r="AX122" s="50">
        <f t="shared" ca="1" si="12"/>
        <v>0.7625214234221408</v>
      </c>
      <c r="AY122" s="8">
        <f t="shared" si="101"/>
        <v>0.74</v>
      </c>
      <c r="AZ122" s="49">
        <v>0</v>
      </c>
      <c r="BB122" s="50">
        <f t="shared" ca="1" si="13"/>
        <v>0.31800691702772654</v>
      </c>
      <c r="BC122" s="8">
        <f t="shared" si="102"/>
        <v>0.74</v>
      </c>
      <c r="BD122" s="49">
        <v>0</v>
      </c>
      <c r="BF122" s="50">
        <f t="shared" ca="1" si="14"/>
        <v>0.80423071745605756</v>
      </c>
      <c r="BG122" s="8">
        <f t="shared" si="103"/>
        <v>0.74</v>
      </c>
      <c r="BH122" s="49">
        <v>0</v>
      </c>
      <c r="BJ122" s="50">
        <f t="shared" ca="1" si="15"/>
        <v>0.41679631542501017</v>
      </c>
      <c r="BK122" s="8">
        <f t="shared" si="104"/>
        <v>0.74</v>
      </c>
      <c r="BL122" s="49">
        <v>0</v>
      </c>
      <c r="BN122" s="50">
        <f t="shared" ca="1" si="16"/>
        <v>1.4428903334534171E-2</v>
      </c>
      <c r="BO122" s="8">
        <f t="shared" si="105"/>
        <v>0.74</v>
      </c>
      <c r="BP122" s="49">
        <v>0</v>
      </c>
      <c r="BR122" s="50">
        <f t="shared" ca="1" si="17"/>
        <v>0.59947033642070735</v>
      </c>
      <c r="BS122" s="8">
        <f t="shared" si="106"/>
        <v>0.74</v>
      </c>
      <c r="BT122" s="49">
        <v>0</v>
      </c>
    </row>
    <row r="123" spans="1:72" x14ac:dyDescent="0.2">
      <c r="A123" s="22">
        <v>44670</v>
      </c>
      <c r="B123" s="50">
        <f t="shared" ca="1" si="0"/>
        <v>0.85106137280190064</v>
      </c>
      <c r="C123" s="8">
        <f t="shared" si="89"/>
        <v>0.74</v>
      </c>
      <c r="D123" s="49">
        <f t="shared" ref="D123:D186" ca="1" si="107">ROUNDUP(_xlfn.NORM.INV(B123,C$4*C123,C$6*C123),0)</f>
        <v>90</v>
      </c>
      <c r="F123" s="50">
        <f t="shared" ca="1" si="1"/>
        <v>0.92238332941454171</v>
      </c>
      <c r="G123" s="8">
        <f t="shared" si="90"/>
        <v>0.74</v>
      </c>
      <c r="H123" s="49">
        <f t="shared" ref="H123:H186" ca="1" si="108">ROUNDUP(_xlfn.NORM.INV(F123,G$4*G123,G$6*G123),0)</f>
        <v>220</v>
      </c>
      <c r="J123" s="50">
        <f t="shared" ca="1" si="2"/>
        <v>0.60348052454021495</v>
      </c>
      <c r="K123" s="8">
        <f t="shared" si="91"/>
        <v>0.74</v>
      </c>
      <c r="L123" s="49">
        <f t="shared" ref="L123:L186" ca="1" si="109">ROUNDUP(_xlfn.NORM.INV(J123,K$4*K123,K$6*K123),0)</f>
        <v>119</v>
      </c>
      <c r="N123" s="50">
        <f t="shared" ca="1" si="3"/>
        <v>0.9758246287018687</v>
      </c>
      <c r="O123" s="8">
        <f t="shared" si="92"/>
        <v>0.74</v>
      </c>
      <c r="P123" s="49">
        <f t="shared" ref="P123:P186" ca="1" si="110">ROUNDUP(_xlfn.NORM.INV(N123,O$4*O123,O$6*O123),0)</f>
        <v>260</v>
      </c>
      <c r="R123" s="50">
        <f t="shared" ca="1" si="4"/>
        <v>0.97631044504334508</v>
      </c>
      <c r="S123" s="8">
        <f t="shared" si="93"/>
        <v>0.74</v>
      </c>
      <c r="T123" s="49">
        <f t="shared" ref="T123:T186" ca="1" si="111">ROUNDUP(_xlfn.NORM.INV(R123,S$4*S123,S$6*S123),0)</f>
        <v>157</v>
      </c>
      <c r="V123" s="50">
        <f t="shared" ca="1" si="5"/>
        <v>0.61197714073306297</v>
      </c>
      <c r="W123" s="8">
        <f t="shared" si="94"/>
        <v>0.74</v>
      </c>
      <c r="X123" s="49">
        <f t="shared" ref="X123:X186" ca="1" si="112">ROUNDUP(_xlfn.NORM.INV(V123,W$4*W123,W$6*W123),0)</f>
        <v>180</v>
      </c>
      <c r="Z123" s="50">
        <f t="shared" ca="1" si="6"/>
        <v>0.80515291027717806</v>
      </c>
      <c r="AA123" s="8">
        <f t="shared" si="95"/>
        <v>0.74</v>
      </c>
      <c r="AB123" s="49">
        <f t="shared" ref="AB123:AB186" ca="1" si="113">ROUNDUP(_xlfn.NORM.INV(Z123,AA$4*AA123,AA$6*AA123),0)</f>
        <v>246</v>
      </c>
      <c r="AD123" s="50">
        <f t="shared" ca="1" si="7"/>
        <v>0.91353715324039808</v>
      </c>
      <c r="AE123" s="8">
        <f t="shared" si="96"/>
        <v>0.74</v>
      </c>
      <c r="AF123" s="49">
        <f t="shared" ref="AF123:AF186" ca="1" si="114">ROUNDUP(_xlfn.NORM.INV(AD123,AE$4*AE123,AE$6*AE123),0)</f>
        <v>330</v>
      </c>
      <c r="AH123" s="50">
        <f t="shared" ca="1" si="8"/>
        <v>0.46116737416000841</v>
      </c>
      <c r="AI123" s="8">
        <f t="shared" si="97"/>
        <v>0.74</v>
      </c>
      <c r="AJ123" s="49">
        <f t="shared" ref="AJ123:AJ186" ca="1" si="115">ROUNDUP(_xlfn.NORM.INV(AH123,AI$4*AI123,AI$6*AI123),0)</f>
        <v>130</v>
      </c>
      <c r="AL123" s="50">
        <f t="shared" ca="1" si="9"/>
        <v>0.67821079239968285</v>
      </c>
      <c r="AM123" s="8">
        <f t="shared" si="98"/>
        <v>0.74</v>
      </c>
      <c r="AN123" s="49">
        <f t="shared" ref="AN123:AN186" ca="1" si="116">ROUNDUP(_xlfn.NORM.INV(AL123,AM$4*AM123,AM$6*AM123),0)</f>
        <v>123</v>
      </c>
      <c r="AP123" s="50">
        <f t="shared" ca="1" si="10"/>
        <v>0.1073342596856689</v>
      </c>
      <c r="AQ123" s="8">
        <f t="shared" si="99"/>
        <v>0.74</v>
      </c>
      <c r="AR123" s="49">
        <f t="shared" ref="AR123:AR186" ca="1" si="117">ROUNDUP(_xlfn.NORM.INV(AP123,AQ$4*AQ123,AQ$6*AQ123),0)</f>
        <v>108</v>
      </c>
      <c r="AT123" s="50">
        <f t="shared" ca="1" si="11"/>
        <v>8.6216615691974585E-2</v>
      </c>
      <c r="AU123" s="8">
        <f t="shared" si="100"/>
        <v>0.74</v>
      </c>
      <c r="AV123" s="49">
        <f t="shared" ref="AV123:AV186" ca="1" si="118">ROUNDUP(_xlfn.NORM.INV(AT123,AU$4*AU123,AU$6*AU123),0)</f>
        <v>91</v>
      </c>
      <c r="AX123" s="50">
        <f t="shared" ca="1" si="12"/>
        <v>0.12021947293852231</v>
      </c>
      <c r="AY123" s="8">
        <f t="shared" si="101"/>
        <v>0.74</v>
      </c>
      <c r="AZ123" s="49">
        <f t="shared" ref="AZ123:AZ186" ca="1" si="119">ROUNDUP(_xlfn.NORM.INV(AX123,AY$4*AY123,AY$6*AY123),0)</f>
        <v>92</v>
      </c>
      <c r="BB123" s="50">
        <f t="shared" ca="1" si="13"/>
        <v>0.97754429707660506</v>
      </c>
      <c r="BC123" s="8">
        <f t="shared" si="102"/>
        <v>0.74</v>
      </c>
      <c r="BD123" s="49">
        <f t="shared" ref="BD123:BD186" ca="1" si="120">ROUNDUP(_xlfn.NORM.INV(BB123,BC$4*BC123,BC$6*BC123),0)</f>
        <v>182</v>
      </c>
      <c r="BF123" s="50">
        <f t="shared" ca="1" si="14"/>
        <v>0.22534975734805196</v>
      </c>
      <c r="BG123" s="8">
        <f t="shared" si="103"/>
        <v>0.74</v>
      </c>
      <c r="BH123" s="49">
        <f t="shared" ref="BH123:BH186" ca="1" si="121">ROUNDUP(_xlfn.NORM.INV(BF123,BG$4*BG123,BG$6*BG123),0)</f>
        <v>98</v>
      </c>
      <c r="BJ123" s="50">
        <f t="shared" ca="1" si="15"/>
        <v>0.68376252187507192</v>
      </c>
      <c r="BK123" s="8">
        <f t="shared" si="104"/>
        <v>0.74</v>
      </c>
      <c r="BL123" s="49">
        <f t="shared" ref="BL123:BL186" ca="1" si="122">ROUNDUP(_xlfn.NORM.INV(BJ123,BK$4*BK123,BK$6*BK123),0)</f>
        <v>110</v>
      </c>
      <c r="BN123" s="50">
        <f t="shared" ca="1" si="16"/>
        <v>9.5075191713687723E-2</v>
      </c>
      <c r="BO123" s="8">
        <f t="shared" si="105"/>
        <v>0.74</v>
      </c>
      <c r="BP123" s="49">
        <f t="shared" ref="BP123:BP186" ca="1" si="123">ROUNDUP(_xlfn.NORM.INV(BN123,BO$4*BO123,BO$6*BO123),0)</f>
        <v>84</v>
      </c>
      <c r="BR123" s="50">
        <f t="shared" ca="1" si="17"/>
        <v>0.37727033569858548</v>
      </c>
      <c r="BS123" s="8">
        <f t="shared" si="106"/>
        <v>0.74</v>
      </c>
      <c r="BT123" s="49">
        <f t="shared" ref="BT123:BT186" ca="1" si="124">ROUNDUP(_xlfn.NORM.INV(BR123,BS$4*BS123,BS$6*BS123),0)</f>
        <v>125</v>
      </c>
    </row>
    <row r="124" spans="1:72" x14ac:dyDescent="0.2">
      <c r="A124" s="22">
        <v>44671</v>
      </c>
      <c r="B124" s="50">
        <f t="shared" ca="1" si="0"/>
        <v>0.74547820977797341</v>
      </c>
      <c r="C124" s="8">
        <f t="shared" si="89"/>
        <v>0.74</v>
      </c>
      <c r="D124" s="49">
        <f t="shared" ca="1" si="107"/>
        <v>84</v>
      </c>
      <c r="F124" s="50">
        <f t="shared" ca="1" si="1"/>
        <v>0.31494253004698358</v>
      </c>
      <c r="G124" s="8">
        <f t="shared" si="90"/>
        <v>0.74</v>
      </c>
      <c r="H124" s="49">
        <f t="shared" ca="1" si="108"/>
        <v>139</v>
      </c>
      <c r="J124" s="50">
        <f t="shared" ca="1" si="2"/>
        <v>0.48700542451900708</v>
      </c>
      <c r="K124" s="8">
        <f t="shared" si="91"/>
        <v>0.74</v>
      </c>
      <c r="L124" s="49">
        <f t="shared" ca="1" si="109"/>
        <v>111</v>
      </c>
      <c r="N124" s="50">
        <f t="shared" ca="1" si="3"/>
        <v>0.25894599904047655</v>
      </c>
      <c r="O124" s="8">
        <f t="shared" si="92"/>
        <v>0.74</v>
      </c>
      <c r="P124" s="49">
        <f t="shared" ca="1" si="110"/>
        <v>141</v>
      </c>
      <c r="R124" s="50">
        <f t="shared" ca="1" si="4"/>
        <v>0.85344351567915722</v>
      </c>
      <c r="S124" s="8">
        <f t="shared" si="93"/>
        <v>0.74</v>
      </c>
      <c r="T124" s="49">
        <f t="shared" ca="1" si="111"/>
        <v>132</v>
      </c>
      <c r="V124" s="50">
        <f t="shared" ca="1" si="5"/>
        <v>0.68711827483539856</v>
      </c>
      <c r="W124" s="8">
        <f t="shared" si="94"/>
        <v>0.74</v>
      </c>
      <c r="X124" s="49">
        <f t="shared" ca="1" si="112"/>
        <v>189</v>
      </c>
      <c r="Z124" s="50">
        <f t="shared" ca="1" si="6"/>
        <v>0.24328409226820535</v>
      </c>
      <c r="AA124" s="8">
        <f t="shared" si="95"/>
        <v>0.74</v>
      </c>
      <c r="AB124" s="49">
        <f t="shared" ca="1" si="113"/>
        <v>163</v>
      </c>
      <c r="AD124" s="50">
        <f t="shared" ca="1" si="7"/>
        <v>0.40169876755919109</v>
      </c>
      <c r="AE124" s="8">
        <f t="shared" si="96"/>
        <v>0.74</v>
      </c>
      <c r="AF124" s="49">
        <f t="shared" ca="1" si="114"/>
        <v>226</v>
      </c>
      <c r="AH124" s="50">
        <f t="shared" ca="1" si="8"/>
        <v>0.74189823981248615</v>
      </c>
      <c r="AI124" s="8">
        <f t="shared" si="97"/>
        <v>0.74</v>
      </c>
      <c r="AJ124" s="49">
        <f t="shared" ca="1" si="115"/>
        <v>157</v>
      </c>
      <c r="AL124" s="50">
        <f t="shared" ca="1" si="9"/>
        <v>0.47700132458450306</v>
      </c>
      <c r="AM124" s="8">
        <f t="shared" si="98"/>
        <v>0.74</v>
      </c>
      <c r="AN124" s="49">
        <f t="shared" ca="1" si="116"/>
        <v>108</v>
      </c>
      <c r="AP124" s="50">
        <f t="shared" ca="1" si="10"/>
        <v>0.83470884700875447</v>
      </c>
      <c r="AQ124" s="8">
        <f t="shared" si="99"/>
        <v>0.74</v>
      </c>
      <c r="AR124" s="49">
        <f t="shared" ca="1" si="117"/>
        <v>203</v>
      </c>
      <c r="AT124" s="50">
        <f t="shared" ca="1" si="11"/>
        <v>0.62992918015743615</v>
      </c>
      <c r="AU124" s="8">
        <f t="shared" si="100"/>
        <v>0.74</v>
      </c>
      <c r="AV124" s="49">
        <f t="shared" ca="1" si="118"/>
        <v>155</v>
      </c>
      <c r="AX124" s="50">
        <f t="shared" ca="1" si="12"/>
        <v>0.21994298760006736</v>
      </c>
      <c r="AY124" s="8">
        <f t="shared" si="101"/>
        <v>0.74</v>
      </c>
      <c r="AZ124" s="49">
        <f t="shared" ca="1" si="119"/>
        <v>106</v>
      </c>
      <c r="BB124" s="50">
        <f t="shared" ca="1" si="13"/>
        <v>0.1736563659382776</v>
      </c>
      <c r="BC124" s="8">
        <f t="shared" si="102"/>
        <v>0.74</v>
      </c>
      <c r="BD124" s="49">
        <f t="shared" ca="1" si="120"/>
        <v>89</v>
      </c>
      <c r="BF124" s="50">
        <f t="shared" ca="1" si="14"/>
        <v>9.058840835803772E-3</v>
      </c>
      <c r="BG124" s="8">
        <f t="shared" si="103"/>
        <v>0.74</v>
      </c>
      <c r="BH124" s="49">
        <f t="shared" ca="1" si="121"/>
        <v>46</v>
      </c>
      <c r="BJ124" s="50">
        <f t="shared" ca="1" si="15"/>
        <v>0.12744061657473371</v>
      </c>
      <c r="BK124" s="8">
        <f t="shared" si="104"/>
        <v>0.74</v>
      </c>
      <c r="BL124" s="49">
        <f t="shared" ca="1" si="122"/>
        <v>68</v>
      </c>
      <c r="BN124" s="50">
        <f t="shared" ca="1" si="16"/>
        <v>0.65148594922095249</v>
      </c>
      <c r="BO124" s="8">
        <f t="shared" si="105"/>
        <v>0.74</v>
      </c>
      <c r="BP124" s="49">
        <f t="shared" ca="1" si="123"/>
        <v>142</v>
      </c>
      <c r="BR124" s="50">
        <f t="shared" ca="1" si="17"/>
        <v>0.317281971831883</v>
      </c>
      <c r="BS124" s="8">
        <f t="shared" si="106"/>
        <v>0.74</v>
      </c>
      <c r="BT124" s="49">
        <f t="shared" ca="1" si="124"/>
        <v>119</v>
      </c>
    </row>
    <row r="125" spans="1:72" x14ac:dyDescent="0.2">
      <c r="A125" s="22">
        <v>44672</v>
      </c>
      <c r="B125" s="50">
        <f t="shared" ca="1" si="0"/>
        <v>0.81915152162922877</v>
      </c>
      <c r="C125" s="8">
        <f t="shared" si="89"/>
        <v>0.74</v>
      </c>
      <c r="D125" s="49">
        <f t="shared" ca="1" si="107"/>
        <v>88</v>
      </c>
      <c r="F125" s="50">
        <f t="shared" ca="1" si="1"/>
        <v>0.40838934669548366</v>
      </c>
      <c r="G125" s="8">
        <f t="shared" si="90"/>
        <v>0.74</v>
      </c>
      <c r="H125" s="49">
        <f t="shared" ca="1" si="108"/>
        <v>150</v>
      </c>
      <c r="J125" s="50">
        <f t="shared" ca="1" si="2"/>
        <v>0.47704270061653609</v>
      </c>
      <c r="K125" s="8">
        <f t="shared" si="91"/>
        <v>0.74</v>
      </c>
      <c r="L125" s="49">
        <f t="shared" ca="1" si="109"/>
        <v>110</v>
      </c>
      <c r="N125" s="50">
        <f t="shared" ca="1" si="3"/>
        <v>0.33846498642191991</v>
      </c>
      <c r="O125" s="8">
        <f t="shared" si="92"/>
        <v>0.74</v>
      </c>
      <c r="P125" s="49">
        <f t="shared" ca="1" si="110"/>
        <v>151</v>
      </c>
      <c r="R125" s="50">
        <f t="shared" ca="1" si="4"/>
        <v>0.77361181553592584</v>
      </c>
      <c r="S125" s="8">
        <f t="shared" si="93"/>
        <v>0.74</v>
      </c>
      <c r="T125" s="49">
        <f t="shared" ca="1" si="111"/>
        <v>124</v>
      </c>
      <c r="V125" s="50">
        <f t="shared" ca="1" si="5"/>
        <v>0.24981123608275069</v>
      </c>
      <c r="W125" s="8">
        <f t="shared" si="94"/>
        <v>0.74</v>
      </c>
      <c r="X125" s="49">
        <f t="shared" ca="1" si="112"/>
        <v>137</v>
      </c>
      <c r="Z125" s="50">
        <f t="shared" ca="1" si="6"/>
        <v>0.90261099599422234</v>
      </c>
      <c r="AA125" s="8">
        <f t="shared" si="95"/>
        <v>0.74</v>
      </c>
      <c r="AB125" s="49">
        <f t="shared" ca="1" si="113"/>
        <v>269</v>
      </c>
      <c r="AD125" s="50">
        <f t="shared" ca="1" si="7"/>
        <v>0.36350203530082204</v>
      </c>
      <c r="AE125" s="8">
        <f t="shared" si="96"/>
        <v>0.74</v>
      </c>
      <c r="AF125" s="49">
        <f t="shared" ca="1" si="114"/>
        <v>220</v>
      </c>
      <c r="AH125" s="50">
        <f t="shared" ca="1" si="8"/>
        <v>0.13977639923947505</v>
      </c>
      <c r="AI125" s="8">
        <f t="shared" si="97"/>
        <v>0.74</v>
      </c>
      <c r="AJ125" s="49">
        <f t="shared" ca="1" si="115"/>
        <v>95</v>
      </c>
      <c r="AL125" s="50">
        <f t="shared" ca="1" si="9"/>
        <v>0.17550113572600201</v>
      </c>
      <c r="AM125" s="8">
        <f t="shared" si="98"/>
        <v>0.74</v>
      </c>
      <c r="AN125" s="49">
        <f t="shared" ca="1" si="116"/>
        <v>82</v>
      </c>
      <c r="AP125" s="50">
        <f t="shared" ca="1" si="10"/>
        <v>0.71261576322425402</v>
      </c>
      <c r="AQ125" s="8">
        <f t="shared" si="99"/>
        <v>0.74</v>
      </c>
      <c r="AR125" s="49">
        <f t="shared" ca="1" si="117"/>
        <v>185</v>
      </c>
      <c r="AT125" s="50">
        <f t="shared" ca="1" si="11"/>
        <v>0.21221314304974248</v>
      </c>
      <c r="AU125" s="8">
        <f t="shared" si="100"/>
        <v>0.74</v>
      </c>
      <c r="AV125" s="49">
        <f t="shared" ca="1" si="118"/>
        <v>112</v>
      </c>
      <c r="AX125" s="50">
        <f t="shared" ca="1" si="12"/>
        <v>8.7651499400248634E-3</v>
      </c>
      <c r="AY125" s="8">
        <f t="shared" si="101"/>
        <v>0.74</v>
      </c>
      <c r="AZ125" s="49">
        <f t="shared" ca="1" si="119"/>
        <v>49</v>
      </c>
      <c r="BB125" s="50">
        <f t="shared" ca="1" si="13"/>
        <v>0.57829473509233531</v>
      </c>
      <c r="BC125" s="8">
        <f t="shared" si="102"/>
        <v>0.74</v>
      </c>
      <c r="BD125" s="49">
        <f t="shared" ca="1" si="120"/>
        <v>125</v>
      </c>
      <c r="BF125" s="50">
        <f t="shared" ca="1" si="14"/>
        <v>0.16038253354360776</v>
      </c>
      <c r="BG125" s="8">
        <f t="shared" si="103"/>
        <v>0.74</v>
      </c>
      <c r="BH125" s="49">
        <f t="shared" ca="1" si="121"/>
        <v>90</v>
      </c>
      <c r="BJ125" s="50">
        <f t="shared" ca="1" si="15"/>
        <v>0.46753546153009184</v>
      </c>
      <c r="BK125" s="8">
        <f t="shared" si="104"/>
        <v>0.74</v>
      </c>
      <c r="BL125" s="49">
        <f t="shared" ca="1" si="122"/>
        <v>95</v>
      </c>
      <c r="BN125" s="50">
        <f t="shared" ca="1" si="16"/>
        <v>6.6275746564087301E-3</v>
      </c>
      <c r="BO125" s="8">
        <f t="shared" si="105"/>
        <v>0.74</v>
      </c>
      <c r="BP125" s="49">
        <f t="shared" ca="1" si="123"/>
        <v>44</v>
      </c>
      <c r="BR125" s="50">
        <f t="shared" ca="1" si="17"/>
        <v>0.84097405063438868</v>
      </c>
      <c r="BS125" s="8">
        <f t="shared" si="106"/>
        <v>0.74</v>
      </c>
      <c r="BT125" s="49">
        <f t="shared" ca="1" si="124"/>
        <v>172</v>
      </c>
    </row>
    <row r="126" spans="1:72" x14ac:dyDescent="0.2">
      <c r="A126" s="22">
        <v>44673</v>
      </c>
      <c r="B126" s="50">
        <f t="shared" ca="1" si="0"/>
        <v>0.34297808055656032</v>
      </c>
      <c r="C126" s="8">
        <f t="shared" si="89"/>
        <v>0.74</v>
      </c>
      <c r="D126" s="49">
        <f t="shared" ca="1" si="107"/>
        <v>69</v>
      </c>
      <c r="F126" s="50">
        <f t="shared" ca="1" si="1"/>
        <v>0.32229676208357061</v>
      </c>
      <c r="G126" s="8">
        <f t="shared" si="90"/>
        <v>0.74</v>
      </c>
      <c r="H126" s="49">
        <f t="shared" ca="1" si="108"/>
        <v>140</v>
      </c>
      <c r="J126" s="50">
        <f t="shared" ca="1" si="2"/>
        <v>0.92273515209645229</v>
      </c>
      <c r="K126" s="8">
        <f t="shared" si="91"/>
        <v>0.74</v>
      </c>
      <c r="L126" s="49">
        <f t="shared" ca="1" si="109"/>
        <v>154</v>
      </c>
      <c r="N126" s="50">
        <f t="shared" ca="1" si="3"/>
        <v>0.7904715543446742</v>
      </c>
      <c r="O126" s="8">
        <f t="shared" si="92"/>
        <v>0.74</v>
      </c>
      <c r="P126" s="49">
        <f t="shared" ca="1" si="110"/>
        <v>207</v>
      </c>
      <c r="R126" s="50">
        <f t="shared" ca="1" si="4"/>
        <v>0.78218001057567355</v>
      </c>
      <c r="S126" s="8">
        <f t="shared" si="93"/>
        <v>0.74</v>
      </c>
      <c r="T126" s="49">
        <f t="shared" ca="1" si="111"/>
        <v>125</v>
      </c>
      <c r="V126" s="50">
        <f t="shared" ca="1" si="5"/>
        <v>0.44874335861573977</v>
      </c>
      <c r="W126" s="8">
        <f t="shared" si="94"/>
        <v>0.74</v>
      </c>
      <c r="X126" s="49">
        <f t="shared" ca="1" si="112"/>
        <v>161</v>
      </c>
      <c r="Z126" s="50">
        <f t="shared" ca="1" si="6"/>
        <v>0.92993846938464353</v>
      </c>
      <c r="AA126" s="8">
        <f t="shared" si="95"/>
        <v>0.74</v>
      </c>
      <c r="AB126" s="49">
        <f t="shared" ca="1" si="113"/>
        <v>279</v>
      </c>
      <c r="AD126" s="50">
        <f t="shared" ca="1" si="7"/>
        <v>0.542314222972197</v>
      </c>
      <c r="AE126" s="8">
        <f t="shared" si="96"/>
        <v>0.74</v>
      </c>
      <c r="AF126" s="49">
        <f t="shared" ca="1" si="114"/>
        <v>249</v>
      </c>
      <c r="AH126" s="50">
        <f t="shared" ca="1" si="8"/>
        <v>3.8741210433079765E-3</v>
      </c>
      <c r="AI126" s="8">
        <f t="shared" si="97"/>
        <v>0.74</v>
      </c>
      <c r="AJ126" s="49">
        <f t="shared" ca="1" si="115"/>
        <v>39</v>
      </c>
      <c r="AL126" s="50">
        <f t="shared" ca="1" si="9"/>
        <v>0.44604859992439427</v>
      </c>
      <c r="AM126" s="8">
        <f t="shared" si="98"/>
        <v>0.74</v>
      </c>
      <c r="AN126" s="49">
        <f t="shared" ca="1" si="116"/>
        <v>105</v>
      </c>
      <c r="AP126" s="50">
        <f t="shared" ca="1" si="10"/>
        <v>0.49658565161182111</v>
      </c>
      <c r="AQ126" s="8">
        <f t="shared" si="99"/>
        <v>0.74</v>
      </c>
      <c r="AR126" s="49">
        <f t="shared" ca="1" si="117"/>
        <v>161</v>
      </c>
      <c r="AT126" s="50">
        <f t="shared" ca="1" si="11"/>
        <v>0.2984192832492838</v>
      </c>
      <c r="AU126" s="8">
        <f t="shared" si="100"/>
        <v>0.74</v>
      </c>
      <c r="AV126" s="49">
        <f t="shared" ca="1" si="118"/>
        <v>122</v>
      </c>
      <c r="AX126" s="50">
        <f t="shared" ca="1" si="12"/>
        <v>0.79793986703755071</v>
      </c>
      <c r="AY126" s="8">
        <f t="shared" si="101"/>
        <v>0.74</v>
      </c>
      <c r="AZ126" s="49">
        <f t="shared" ca="1" si="119"/>
        <v>163</v>
      </c>
      <c r="BB126" s="50">
        <f t="shared" ca="1" si="13"/>
        <v>0.49521397787138333</v>
      </c>
      <c r="BC126" s="8">
        <f t="shared" si="102"/>
        <v>0.74</v>
      </c>
      <c r="BD126" s="49">
        <f t="shared" ca="1" si="120"/>
        <v>118</v>
      </c>
      <c r="BF126" s="50">
        <f t="shared" ca="1" si="14"/>
        <v>5.2941278861755814E-2</v>
      </c>
      <c r="BG126" s="8">
        <f t="shared" si="103"/>
        <v>0.74</v>
      </c>
      <c r="BH126" s="49">
        <f t="shared" ca="1" si="121"/>
        <v>70</v>
      </c>
      <c r="BJ126" s="50">
        <f t="shared" ca="1" si="15"/>
        <v>6.4753041243129639E-3</v>
      </c>
      <c r="BK126" s="8">
        <f t="shared" si="104"/>
        <v>0.74</v>
      </c>
      <c r="BL126" s="49">
        <f t="shared" ca="1" si="122"/>
        <v>33</v>
      </c>
      <c r="BN126" s="50">
        <f t="shared" ca="1" si="16"/>
        <v>0.84348273480279246</v>
      </c>
      <c r="BO126" s="8">
        <f t="shared" si="105"/>
        <v>0.74</v>
      </c>
      <c r="BP126" s="49">
        <f t="shared" ca="1" si="123"/>
        <v>163</v>
      </c>
      <c r="BR126" s="50">
        <f t="shared" ca="1" si="17"/>
        <v>0.46789654980469775</v>
      </c>
      <c r="BS126" s="8">
        <f t="shared" si="106"/>
        <v>0.74</v>
      </c>
      <c r="BT126" s="49">
        <f t="shared" ca="1" si="124"/>
        <v>133</v>
      </c>
    </row>
    <row r="127" spans="1:72" x14ac:dyDescent="0.2">
      <c r="A127" s="22">
        <v>44674</v>
      </c>
      <c r="B127" s="50">
        <f t="shared" ca="1" si="0"/>
        <v>0.24309504590771169</v>
      </c>
      <c r="C127" s="8">
        <f t="shared" si="89"/>
        <v>0.74</v>
      </c>
      <c r="D127" s="49">
        <f t="shared" ca="1" si="107"/>
        <v>64</v>
      </c>
      <c r="F127" s="50">
        <f t="shared" ca="1" si="1"/>
        <v>0.65699156007931281</v>
      </c>
      <c r="G127" s="8">
        <f t="shared" si="90"/>
        <v>0.74</v>
      </c>
      <c r="H127" s="49">
        <f t="shared" ca="1" si="108"/>
        <v>177</v>
      </c>
      <c r="J127" s="50">
        <f t="shared" ca="1" si="2"/>
        <v>7.8818253486769074E-2</v>
      </c>
      <c r="K127" s="8">
        <f t="shared" si="91"/>
        <v>0.74</v>
      </c>
      <c r="L127" s="49">
        <f t="shared" ca="1" si="109"/>
        <v>70</v>
      </c>
      <c r="N127" s="50">
        <f t="shared" ca="1" si="3"/>
        <v>0.57549736267259521</v>
      </c>
      <c r="O127" s="8">
        <f t="shared" si="92"/>
        <v>0.74</v>
      </c>
      <c r="P127" s="49">
        <f t="shared" ca="1" si="110"/>
        <v>179</v>
      </c>
      <c r="R127" s="50">
        <f t="shared" ca="1" si="4"/>
        <v>0.43586919864521623</v>
      </c>
      <c r="S127" s="8">
        <f t="shared" si="93"/>
        <v>0.74</v>
      </c>
      <c r="T127" s="49">
        <f t="shared" ca="1" si="111"/>
        <v>99</v>
      </c>
      <c r="V127" s="50">
        <f t="shared" ca="1" si="5"/>
        <v>0.80535165015118415</v>
      </c>
      <c r="W127" s="8">
        <f t="shared" si="94"/>
        <v>0.74</v>
      </c>
      <c r="X127" s="49">
        <f t="shared" ca="1" si="112"/>
        <v>205</v>
      </c>
      <c r="Z127" s="50">
        <f t="shared" ca="1" si="6"/>
        <v>0.90012101048570159</v>
      </c>
      <c r="AA127" s="8">
        <f t="shared" si="95"/>
        <v>0.74</v>
      </c>
      <c r="AB127" s="49">
        <f t="shared" ca="1" si="113"/>
        <v>269</v>
      </c>
      <c r="AD127" s="50">
        <f t="shared" ca="1" si="7"/>
        <v>0.82400585252931313</v>
      </c>
      <c r="AE127" s="8">
        <f t="shared" si="96"/>
        <v>0.74</v>
      </c>
      <c r="AF127" s="49">
        <f t="shared" ca="1" si="114"/>
        <v>303</v>
      </c>
      <c r="AH127" s="50">
        <f t="shared" ca="1" si="8"/>
        <v>0.59529145462509181</v>
      </c>
      <c r="AI127" s="8">
        <f t="shared" si="97"/>
        <v>0.74</v>
      </c>
      <c r="AJ127" s="49">
        <f t="shared" ca="1" si="115"/>
        <v>142</v>
      </c>
      <c r="AL127" s="50">
        <f t="shared" ca="1" si="9"/>
        <v>0.71674280167044757</v>
      </c>
      <c r="AM127" s="8">
        <f t="shared" si="98"/>
        <v>0.74</v>
      </c>
      <c r="AN127" s="49">
        <f t="shared" ca="1" si="116"/>
        <v>126</v>
      </c>
      <c r="AP127" s="50">
        <f t="shared" ca="1" si="10"/>
        <v>0.40828520314501227</v>
      </c>
      <c r="AQ127" s="8">
        <f t="shared" si="99"/>
        <v>0.74</v>
      </c>
      <c r="AR127" s="49">
        <f t="shared" ca="1" si="117"/>
        <v>151</v>
      </c>
      <c r="AT127" s="50">
        <f t="shared" ca="1" si="11"/>
        <v>0.33234419313591135</v>
      </c>
      <c r="AU127" s="8">
        <f t="shared" si="100"/>
        <v>0.74</v>
      </c>
      <c r="AV127" s="49">
        <f t="shared" ca="1" si="118"/>
        <v>126</v>
      </c>
      <c r="AX127" s="50">
        <f t="shared" ca="1" si="12"/>
        <v>0.65952442600323846</v>
      </c>
      <c r="AY127" s="8">
        <f t="shared" si="101"/>
        <v>0.74</v>
      </c>
      <c r="AZ127" s="49">
        <f t="shared" ca="1" si="119"/>
        <v>148</v>
      </c>
      <c r="BB127" s="50">
        <f t="shared" ca="1" si="13"/>
        <v>0.79800340797924696</v>
      </c>
      <c r="BC127" s="8">
        <f t="shared" si="102"/>
        <v>0.74</v>
      </c>
      <c r="BD127" s="49">
        <f t="shared" ca="1" si="120"/>
        <v>145</v>
      </c>
      <c r="BF127" s="50">
        <f t="shared" ca="1" si="14"/>
        <v>0.91392547743262376</v>
      </c>
      <c r="BG127" s="8">
        <f t="shared" si="103"/>
        <v>0.74</v>
      </c>
      <c r="BH127" s="49">
        <f t="shared" ca="1" si="121"/>
        <v>167</v>
      </c>
      <c r="BJ127" s="50">
        <f t="shared" ca="1" si="15"/>
        <v>0.33347025025306321</v>
      </c>
      <c r="BK127" s="8">
        <f t="shared" si="104"/>
        <v>0.74</v>
      </c>
      <c r="BL127" s="49">
        <f t="shared" ca="1" si="122"/>
        <v>86</v>
      </c>
      <c r="BN127" s="50">
        <f t="shared" ca="1" si="16"/>
        <v>0.72048251725880397</v>
      </c>
      <c r="BO127" s="8">
        <f t="shared" si="105"/>
        <v>0.74</v>
      </c>
      <c r="BP127" s="49">
        <f t="shared" ca="1" si="123"/>
        <v>149</v>
      </c>
      <c r="BR127" s="50">
        <f t="shared" ca="1" si="17"/>
        <v>0.95575216045806677</v>
      </c>
      <c r="BS127" s="8">
        <f t="shared" si="106"/>
        <v>0.74</v>
      </c>
      <c r="BT127" s="49">
        <f t="shared" ca="1" si="124"/>
        <v>198</v>
      </c>
    </row>
    <row r="128" spans="1:72" x14ac:dyDescent="0.2">
      <c r="A128" s="22">
        <v>44675</v>
      </c>
      <c r="B128" s="50">
        <f t="shared" ca="1" si="0"/>
        <v>0.84042645335259814</v>
      </c>
      <c r="C128" s="8">
        <f t="shared" si="89"/>
        <v>0.74</v>
      </c>
      <c r="D128" s="49">
        <f t="shared" ca="1" si="107"/>
        <v>89</v>
      </c>
      <c r="F128" s="50">
        <f t="shared" ca="1" si="1"/>
        <v>0.94605949916939658</v>
      </c>
      <c r="G128" s="8">
        <f t="shared" si="90"/>
        <v>0.74</v>
      </c>
      <c r="H128" s="49">
        <f t="shared" ca="1" si="108"/>
        <v>228</v>
      </c>
      <c r="J128" s="50">
        <f t="shared" ca="1" si="2"/>
        <v>0.73348879728153737</v>
      </c>
      <c r="K128" s="8">
        <f t="shared" si="91"/>
        <v>0.74</v>
      </c>
      <c r="L128" s="49">
        <f t="shared" ca="1" si="109"/>
        <v>130</v>
      </c>
      <c r="N128" s="50">
        <f t="shared" ca="1" si="3"/>
        <v>0.33133242253071227</v>
      </c>
      <c r="O128" s="8">
        <f t="shared" si="92"/>
        <v>0.74</v>
      </c>
      <c r="P128" s="49">
        <f t="shared" ca="1" si="110"/>
        <v>150</v>
      </c>
      <c r="R128" s="50">
        <f t="shared" ca="1" si="4"/>
        <v>0.64917205918358978</v>
      </c>
      <c r="S128" s="8">
        <f t="shared" si="93"/>
        <v>0.74</v>
      </c>
      <c r="T128" s="49">
        <f t="shared" ca="1" si="111"/>
        <v>114</v>
      </c>
      <c r="V128" s="50">
        <f t="shared" ca="1" si="5"/>
        <v>0.66221359161415194</v>
      </c>
      <c r="W128" s="8">
        <f t="shared" si="94"/>
        <v>0.74</v>
      </c>
      <c r="X128" s="49">
        <f t="shared" ca="1" si="112"/>
        <v>186</v>
      </c>
      <c r="Z128" s="50">
        <f t="shared" ca="1" si="6"/>
        <v>0.23216611279964394</v>
      </c>
      <c r="AA128" s="8">
        <f t="shared" si="95"/>
        <v>0.74</v>
      </c>
      <c r="AB128" s="49">
        <f t="shared" ca="1" si="113"/>
        <v>161</v>
      </c>
      <c r="AD128" s="50">
        <f t="shared" ca="1" si="7"/>
        <v>0.96690267436788946</v>
      </c>
      <c r="AE128" s="8">
        <f t="shared" si="96"/>
        <v>0.74</v>
      </c>
      <c r="AF128" s="49">
        <f t="shared" ca="1" si="114"/>
        <v>361</v>
      </c>
      <c r="AH128" s="50">
        <f t="shared" ca="1" si="8"/>
        <v>0.5570477524967008</v>
      </c>
      <c r="AI128" s="8">
        <f t="shared" si="97"/>
        <v>0.74</v>
      </c>
      <c r="AJ128" s="49">
        <f t="shared" ca="1" si="115"/>
        <v>139</v>
      </c>
      <c r="AL128" s="50">
        <f t="shared" ca="1" si="9"/>
        <v>0.10741851710481132</v>
      </c>
      <c r="AM128" s="8">
        <f t="shared" si="98"/>
        <v>0.74</v>
      </c>
      <c r="AN128" s="49">
        <f t="shared" ca="1" si="116"/>
        <v>73</v>
      </c>
      <c r="AP128" s="50">
        <f t="shared" ca="1" si="10"/>
        <v>0.96779277208654924</v>
      </c>
      <c r="AQ128" s="8">
        <f t="shared" si="99"/>
        <v>0.74</v>
      </c>
      <c r="AR128" s="49">
        <f t="shared" ca="1" si="117"/>
        <v>240</v>
      </c>
      <c r="AT128" s="50">
        <f t="shared" ca="1" si="11"/>
        <v>0.87512424190070215</v>
      </c>
      <c r="AU128" s="8">
        <f t="shared" si="100"/>
        <v>0.74</v>
      </c>
      <c r="AV128" s="49">
        <f t="shared" ca="1" si="118"/>
        <v>186</v>
      </c>
      <c r="AX128" s="50">
        <f t="shared" ca="1" si="12"/>
        <v>0.80927646553579735</v>
      </c>
      <c r="AY128" s="8">
        <f t="shared" si="101"/>
        <v>0.74</v>
      </c>
      <c r="AZ128" s="49">
        <f t="shared" ca="1" si="119"/>
        <v>165</v>
      </c>
      <c r="BB128" s="50">
        <f t="shared" ca="1" si="13"/>
        <v>0.89296420068777194</v>
      </c>
      <c r="BC128" s="8">
        <f t="shared" si="102"/>
        <v>0.74</v>
      </c>
      <c r="BD128" s="49">
        <f t="shared" ca="1" si="120"/>
        <v>158</v>
      </c>
      <c r="BF128" s="50">
        <f t="shared" ca="1" si="14"/>
        <v>0.48274760039770948</v>
      </c>
      <c r="BG128" s="8">
        <f t="shared" si="103"/>
        <v>0.74</v>
      </c>
      <c r="BH128" s="49">
        <f t="shared" ca="1" si="121"/>
        <v>121</v>
      </c>
      <c r="BJ128" s="50">
        <f t="shared" ca="1" si="15"/>
        <v>0.12534218017423071</v>
      </c>
      <c r="BK128" s="8">
        <f t="shared" si="104"/>
        <v>0.74</v>
      </c>
      <c r="BL128" s="49">
        <f t="shared" ca="1" si="122"/>
        <v>68</v>
      </c>
      <c r="BN128" s="50">
        <f t="shared" ca="1" si="16"/>
        <v>0.56953111324621097</v>
      </c>
      <c r="BO128" s="8">
        <f t="shared" si="105"/>
        <v>0.74</v>
      </c>
      <c r="BP128" s="49">
        <f t="shared" ca="1" si="123"/>
        <v>135</v>
      </c>
      <c r="BR128" s="50">
        <f t="shared" ca="1" si="17"/>
        <v>0.4993934727883953</v>
      </c>
      <c r="BS128" s="8">
        <f t="shared" si="106"/>
        <v>0.74</v>
      </c>
      <c r="BT128" s="49">
        <f t="shared" ca="1" si="124"/>
        <v>136</v>
      </c>
    </row>
    <row r="129" spans="1:72" x14ac:dyDescent="0.2">
      <c r="A129" s="22">
        <v>44676</v>
      </c>
      <c r="B129" s="50">
        <f t="shared" ca="1" si="0"/>
        <v>0.89053495251802228</v>
      </c>
      <c r="C129" s="8">
        <f t="shared" si="89"/>
        <v>0.74</v>
      </c>
      <c r="D129" s="49">
        <f t="shared" ca="1" si="107"/>
        <v>93</v>
      </c>
      <c r="F129" s="50">
        <f t="shared" ca="1" si="1"/>
        <v>0.56907638041232866</v>
      </c>
      <c r="G129" s="8">
        <f t="shared" si="90"/>
        <v>0.74</v>
      </c>
      <c r="H129" s="49">
        <f t="shared" ca="1" si="108"/>
        <v>167</v>
      </c>
      <c r="J129" s="50">
        <f t="shared" ca="1" si="2"/>
        <v>0.37267193916971675</v>
      </c>
      <c r="K129" s="8">
        <f t="shared" si="91"/>
        <v>0.74</v>
      </c>
      <c r="L129" s="49">
        <f t="shared" ca="1" si="109"/>
        <v>102</v>
      </c>
      <c r="N129" s="50">
        <f t="shared" ca="1" si="3"/>
        <v>0.52168883688178236</v>
      </c>
      <c r="O129" s="8">
        <f t="shared" si="92"/>
        <v>0.74</v>
      </c>
      <c r="P129" s="49">
        <f t="shared" ca="1" si="110"/>
        <v>173</v>
      </c>
      <c r="R129" s="50">
        <f t="shared" ca="1" si="4"/>
        <v>0.81205337017645618</v>
      </c>
      <c r="S129" s="8">
        <f t="shared" si="93"/>
        <v>0.74</v>
      </c>
      <c r="T129" s="49">
        <f t="shared" ca="1" si="111"/>
        <v>127</v>
      </c>
      <c r="V129" s="50">
        <f t="shared" ca="1" si="5"/>
        <v>0.78553644891658092</v>
      </c>
      <c r="W129" s="8">
        <f t="shared" si="94"/>
        <v>0.74</v>
      </c>
      <c r="X129" s="49">
        <f t="shared" ca="1" si="112"/>
        <v>202</v>
      </c>
      <c r="Z129" s="50">
        <f t="shared" ca="1" si="6"/>
        <v>0.11364265547138952</v>
      </c>
      <c r="AA129" s="8">
        <f t="shared" si="95"/>
        <v>0.74</v>
      </c>
      <c r="AB129" s="49">
        <f t="shared" ca="1" si="113"/>
        <v>136</v>
      </c>
      <c r="AD129" s="50">
        <f t="shared" ca="1" si="7"/>
        <v>0.45336261846485371</v>
      </c>
      <c r="AE129" s="8">
        <f t="shared" si="96"/>
        <v>0.74</v>
      </c>
      <c r="AF129" s="49">
        <f t="shared" ca="1" si="114"/>
        <v>235</v>
      </c>
      <c r="AH129" s="50">
        <f t="shared" ca="1" si="8"/>
        <v>0.76297380629305722</v>
      </c>
      <c r="AI129" s="8">
        <f t="shared" si="97"/>
        <v>0.74</v>
      </c>
      <c r="AJ129" s="49">
        <f t="shared" ca="1" si="115"/>
        <v>159</v>
      </c>
      <c r="AL129" s="50">
        <f t="shared" ca="1" si="9"/>
        <v>0.86801969656084133</v>
      </c>
      <c r="AM129" s="8">
        <f t="shared" si="98"/>
        <v>0.74</v>
      </c>
      <c r="AN129" s="49">
        <f t="shared" ca="1" si="116"/>
        <v>142</v>
      </c>
      <c r="AP129" s="50">
        <f t="shared" ca="1" si="10"/>
        <v>0.24888616708681421</v>
      </c>
      <c r="AQ129" s="8">
        <f t="shared" si="99"/>
        <v>0.74</v>
      </c>
      <c r="AR129" s="49">
        <f t="shared" ca="1" si="117"/>
        <v>132</v>
      </c>
      <c r="AT129" s="50">
        <f t="shared" ca="1" si="11"/>
        <v>0.73200942036445926</v>
      </c>
      <c r="AU129" s="8">
        <f t="shared" si="100"/>
        <v>0.74</v>
      </c>
      <c r="AV129" s="49">
        <f t="shared" ca="1" si="118"/>
        <v>166</v>
      </c>
      <c r="AX129" s="50">
        <f t="shared" ca="1" si="12"/>
        <v>0.73095925955075147</v>
      </c>
      <c r="AY129" s="8">
        <f t="shared" si="101"/>
        <v>0.74</v>
      </c>
      <c r="AZ129" s="49">
        <f t="shared" ca="1" si="119"/>
        <v>155</v>
      </c>
      <c r="BB129" s="50">
        <f t="shared" ca="1" si="13"/>
        <v>0.50007055476848017</v>
      </c>
      <c r="BC129" s="8">
        <f t="shared" si="102"/>
        <v>0.74</v>
      </c>
      <c r="BD129" s="49">
        <f t="shared" ca="1" si="120"/>
        <v>119</v>
      </c>
      <c r="BF129" s="50">
        <f t="shared" ca="1" si="14"/>
        <v>0.34712719512834234</v>
      </c>
      <c r="BG129" s="8">
        <f t="shared" si="103"/>
        <v>0.74</v>
      </c>
      <c r="BH129" s="49">
        <f t="shared" ca="1" si="121"/>
        <v>110</v>
      </c>
      <c r="BJ129" s="50">
        <f t="shared" ca="1" si="15"/>
        <v>0.54049483312762625</v>
      </c>
      <c r="BK129" s="8">
        <f t="shared" si="104"/>
        <v>0.74</v>
      </c>
      <c r="BL129" s="49">
        <f t="shared" ca="1" si="122"/>
        <v>100</v>
      </c>
      <c r="BN129" s="50">
        <f t="shared" ca="1" si="16"/>
        <v>0.19535763923238036</v>
      </c>
      <c r="BO129" s="8">
        <f t="shared" si="105"/>
        <v>0.74</v>
      </c>
      <c r="BP129" s="49">
        <f t="shared" ca="1" si="123"/>
        <v>100</v>
      </c>
      <c r="BR129" s="50">
        <f t="shared" ca="1" si="17"/>
        <v>0.18678255151502132</v>
      </c>
      <c r="BS129" s="8">
        <f t="shared" si="106"/>
        <v>0.74</v>
      </c>
      <c r="BT129" s="49">
        <f t="shared" ca="1" si="124"/>
        <v>104</v>
      </c>
    </row>
    <row r="130" spans="1:72" x14ac:dyDescent="0.2">
      <c r="A130" s="22">
        <v>44677</v>
      </c>
      <c r="B130" s="50">
        <f t="shared" ca="1" si="0"/>
        <v>4.7074520709507572E-2</v>
      </c>
      <c r="C130" s="8">
        <f t="shared" si="89"/>
        <v>0.74</v>
      </c>
      <c r="D130" s="49">
        <f t="shared" ca="1" si="107"/>
        <v>50</v>
      </c>
      <c r="F130" s="50">
        <f t="shared" ca="1" si="1"/>
        <v>0.13129306872014501</v>
      </c>
      <c r="G130" s="8">
        <f t="shared" si="90"/>
        <v>0.74</v>
      </c>
      <c r="H130" s="49">
        <f t="shared" ca="1" si="108"/>
        <v>112</v>
      </c>
      <c r="J130" s="50">
        <f t="shared" ca="1" si="2"/>
        <v>5.915079427417802E-2</v>
      </c>
      <c r="K130" s="8">
        <f t="shared" si="91"/>
        <v>0.74</v>
      </c>
      <c r="L130" s="49">
        <f t="shared" ca="1" si="109"/>
        <v>65</v>
      </c>
      <c r="N130" s="50">
        <f t="shared" ca="1" si="3"/>
        <v>0.52654936921944939</v>
      </c>
      <c r="O130" s="8">
        <f t="shared" si="92"/>
        <v>0.74</v>
      </c>
      <c r="P130" s="49">
        <f t="shared" ca="1" si="110"/>
        <v>173</v>
      </c>
      <c r="R130" s="50">
        <f t="shared" ca="1" si="4"/>
        <v>0.59213893847614774</v>
      </c>
      <c r="S130" s="8">
        <f t="shared" si="93"/>
        <v>0.74</v>
      </c>
      <c r="T130" s="49">
        <f t="shared" ca="1" si="111"/>
        <v>110</v>
      </c>
      <c r="V130" s="50">
        <f t="shared" ca="1" si="5"/>
        <v>0.62656143361344241</v>
      </c>
      <c r="W130" s="8">
        <f t="shared" si="94"/>
        <v>0.74</v>
      </c>
      <c r="X130" s="49">
        <f t="shared" ca="1" si="112"/>
        <v>181</v>
      </c>
      <c r="Z130" s="50">
        <f t="shared" ca="1" si="6"/>
        <v>0.13892892849091043</v>
      </c>
      <c r="AA130" s="8">
        <f t="shared" si="95"/>
        <v>0.74</v>
      </c>
      <c r="AB130" s="49">
        <f t="shared" ca="1" si="113"/>
        <v>142</v>
      </c>
      <c r="AD130" s="50">
        <f t="shared" ca="1" si="7"/>
        <v>0.74438536296564328</v>
      </c>
      <c r="AE130" s="8">
        <f t="shared" si="96"/>
        <v>0.74</v>
      </c>
      <c r="AF130" s="49">
        <f t="shared" ca="1" si="114"/>
        <v>285</v>
      </c>
      <c r="AH130" s="50">
        <f t="shared" ca="1" si="8"/>
        <v>0.95032653591383365</v>
      </c>
      <c r="AI130" s="8">
        <f t="shared" si="97"/>
        <v>0.74</v>
      </c>
      <c r="AJ130" s="49">
        <f t="shared" ca="1" si="115"/>
        <v>192</v>
      </c>
      <c r="AL130" s="50">
        <f t="shared" ca="1" si="9"/>
        <v>0.63606546673325381</v>
      </c>
      <c r="AM130" s="8">
        <f t="shared" si="98"/>
        <v>0.74</v>
      </c>
      <c r="AN130" s="49">
        <f t="shared" ca="1" si="116"/>
        <v>119</v>
      </c>
      <c r="AP130" s="50">
        <f t="shared" ca="1" si="10"/>
        <v>0.21613064999040643</v>
      </c>
      <c r="AQ130" s="8">
        <f t="shared" si="99"/>
        <v>0.74</v>
      </c>
      <c r="AR130" s="49">
        <f t="shared" ca="1" si="117"/>
        <v>127</v>
      </c>
      <c r="AT130" s="50">
        <f t="shared" ca="1" si="11"/>
        <v>0.15662251764334301</v>
      </c>
      <c r="AU130" s="8">
        <f t="shared" si="100"/>
        <v>0.74</v>
      </c>
      <c r="AV130" s="49">
        <f t="shared" ca="1" si="118"/>
        <v>104</v>
      </c>
      <c r="AX130" s="50">
        <f t="shared" ca="1" si="12"/>
        <v>0.83995065376804778</v>
      </c>
      <c r="AY130" s="8">
        <f t="shared" si="101"/>
        <v>0.74</v>
      </c>
      <c r="AZ130" s="49">
        <f t="shared" ca="1" si="119"/>
        <v>169</v>
      </c>
      <c r="BB130" s="50">
        <f t="shared" ca="1" si="13"/>
        <v>0.67564298242025245</v>
      </c>
      <c r="BC130" s="8">
        <f t="shared" si="102"/>
        <v>0.74</v>
      </c>
      <c r="BD130" s="49">
        <f t="shared" ca="1" si="120"/>
        <v>133</v>
      </c>
      <c r="BF130" s="50">
        <f t="shared" ca="1" si="14"/>
        <v>0.53926102622547212</v>
      </c>
      <c r="BG130" s="8">
        <f t="shared" si="103"/>
        <v>0.74</v>
      </c>
      <c r="BH130" s="49">
        <f t="shared" ca="1" si="121"/>
        <v>125</v>
      </c>
      <c r="BJ130" s="50">
        <f t="shared" ca="1" si="15"/>
        <v>0.86770546336517884</v>
      </c>
      <c r="BK130" s="8">
        <f t="shared" si="104"/>
        <v>0.74</v>
      </c>
      <c r="BL130" s="49">
        <f t="shared" ca="1" si="122"/>
        <v>126</v>
      </c>
      <c r="BN130" s="50">
        <f t="shared" ca="1" si="16"/>
        <v>0.41846373740326126</v>
      </c>
      <c r="BO130" s="8">
        <f t="shared" si="105"/>
        <v>0.74</v>
      </c>
      <c r="BP130" s="49">
        <f t="shared" ca="1" si="123"/>
        <v>122</v>
      </c>
      <c r="BR130" s="50">
        <f t="shared" ca="1" si="17"/>
        <v>0.56554169277472022</v>
      </c>
      <c r="BS130" s="8">
        <f t="shared" si="106"/>
        <v>0.74</v>
      </c>
      <c r="BT130" s="49">
        <f t="shared" ca="1" si="124"/>
        <v>142</v>
      </c>
    </row>
    <row r="131" spans="1:72" x14ac:dyDescent="0.2">
      <c r="A131" s="22">
        <v>44678</v>
      </c>
      <c r="B131" s="50">
        <f t="shared" ca="1" si="0"/>
        <v>0.25076587076867374</v>
      </c>
      <c r="C131" s="8">
        <f t="shared" si="89"/>
        <v>0.74</v>
      </c>
      <c r="D131" s="49">
        <f t="shared" ca="1" si="107"/>
        <v>65</v>
      </c>
      <c r="F131" s="50">
        <f t="shared" ca="1" si="1"/>
        <v>5.1149454879928946E-2</v>
      </c>
      <c r="G131" s="8">
        <f t="shared" si="90"/>
        <v>0.74</v>
      </c>
      <c r="H131" s="49">
        <f t="shared" ca="1" si="108"/>
        <v>90</v>
      </c>
      <c r="J131" s="50">
        <f t="shared" ca="1" si="2"/>
        <v>0.20404078800405168</v>
      </c>
      <c r="K131" s="8">
        <f t="shared" si="91"/>
        <v>0.74</v>
      </c>
      <c r="L131" s="49">
        <f t="shared" ca="1" si="109"/>
        <v>87</v>
      </c>
      <c r="N131" s="50">
        <f t="shared" ca="1" si="3"/>
        <v>0.35183762875549063</v>
      </c>
      <c r="O131" s="8">
        <f t="shared" si="92"/>
        <v>0.74</v>
      </c>
      <c r="P131" s="49">
        <f t="shared" ca="1" si="110"/>
        <v>153</v>
      </c>
      <c r="R131" s="50">
        <f t="shared" ca="1" si="4"/>
        <v>0.63105723307320438</v>
      </c>
      <c r="S131" s="8">
        <f t="shared" si="93"/>
        <v>0.74</v>
      </c>
      <c r="T131" s="49">
        <f t="shared" ca="1" si="111"/>
        <v>112</v>
      </c>
      <c r="V131" s="50">
        <f t="shared" ca="1" si="5"/>
        <v>0.38795289720840076</v>
      </c>
      <c r="W131" s="8">
        <f t="shared" si="94"/>
        <v>0.74</v>
      </c>
      <c r="X131" s="49">
        <f t="shared" ca="1" si="112"/>
        <v>154</v>
      </c>
      <c r="Z131" s="50">
        <f t="shared" ca="1" si="6"/>
        <v>0.25529117819467195</v>
      </c>
      <c r="AA131" s="8">
        <f t="shared" si="95"/>
        <v>0.74</v>
      </c>
      <c r="AB131" s="49">
        <f t="shared" ca="1" si="113"/>
        <v>165</v>
      </c>
      <c r="AD131" s="50">
        <f t="shared" ca="1" si="7"/>
        <v>0.62519335040346424</v>
      </c>
      <c r="AE131" s="8">
        <f t="shared" si="96"/>
        <v>0.74</v>
      </c>
      <c r="AF131" s="49">
        <f t="shared" ca="1" si="114"/>
        <v>263</v>
      </c>
      <c r="AH131" s="50">
        <f t="shared" ca="1" si="8"/>
        <v>0.89937632784796551</v>
      </c>
      <c r="AI131" s="8">
        <f t="shared" si="97"/>
        <v>0.74</v>
      </c>
      <c r="AJ131" s="49">
        <f t="shared" ca="1" si="115"/>
        <v>179</v>
      </c>
      <c r="AL131" s="50">
        <f t="shared" ca="1" si="9"/>
        <v>0.64245905414536553</v>
      </c>
      <c r="AM131" s="8">
        <f t="shared" si="98"/>
        <v>0.74</v>
      </c>
      <c r="AN131" s="49">
        <f t="shared" ca="1" si="116"/>
        <v>120</v>
      </c>
      <c r="AP131" s="50">
        <f t="shared" ca="1" si="10"/>
        <v>3.0697988792022124E-2</v>
      </c>
      <c r="AQ131" s="8">
        <f t="shared" si="99"/>
        <v>0.74</v>
      </c>
      <c r="AR131" s="49">
        <f t="shared" ca="1" si="117"/>
        <v>81</v>
      </c>
      <c r="AT131" s="50">
        <f t="shared" ca="1" si="11"/>
        <v>0.8556551459671925</v>
      </c>
      <c r="AU131" s="8">
        <f t="shared" si="100"/>
        <v>0.74</v>
      </c>
      <c r="AV131" s="49">
        <f t="shared" ca="1" si="118"/>
        <v>182</v>
      </c>
      <c r="AX131" s="50">
        <f t="shared" ca="1" si="12"/>
        <v>0.60986889471193362</v>
      </c>
      <c r="AY131" s="8">
        <f t="shared" si="101"/>
        <v>0.74</v>
      </c>
      <c r="AZ131" s="49">
        <f t="shared" ca="1" si="119"/>
        <v>143</v>
      </c>
      <c r="BB131" s="50">
        <f t="shared" ca="1" si="13"/>
        <v>0.31117760383591531</v>
      </c>
      <c r="BC131" s="8">
        <f t="shared" si="102"/>
        <v>0.74</v>
      </c>
      <c r="BD131" s="49">
        <f t="shared" ca="1" si="120"/>
        <v>103</v>
      </c>
      <c r="BF131" s="50">
        <f t="shared" ca="1" si="14"/>
        <v>8.8504650915935734E-2</v>
      </c>
      <c r="BG131" s="8">
        <f t="shared" si="103"/>
        <v>0.74</v>
      </c>
      <c r="BH131" s="49">
        <f t="shared" ca="1" si="121"/>
        <v>78</v>
      </c>
      <c r="BJ131" s="50">
        <f t="shared" ca="1" si="15"/>
        <v>4.4801858161413577E-2</v>
      </c>
      <c r="BK131" s="8">
        <f t="shared" si="104"/>
        <v>0.74</v>
      </c>
      <c r="BL131" s="49">
        <f t="shared" ca="1" si="122"/>
        <v>54</v>
      </c>
      <c r="BN131" s="50">
        <f t="shared" ca="1" si="16"/>
        <v>0.59347783175559243</v>
      </c>
      <c r="BO131" s="8">
        <f t="shared" si="105"/>
        <v>0.74</v>
      </c>
      <c r="BP131" s="49">
        <f t="shared" ca="1" si="123"/>
        <v>137</v>
      </c>
      <c r="BR131" s="50">
        <f t="shared" ca="1" si="17"/>
        <v>0.88015462393107713</v>
      </c>
      <c r="BS131" s="8">
        <f t="shared" si="106"/>
        <v>0.74</v>
      </c>
      <c r="BT131" s="49">
        <f t="shared" ca="1" si="124"/>
        <v>179</v>
      </c>
    </row>
    <row r="132" spans="1:72" x14ac:dyDescent="0.2">
      <c r="A132" s="22">
        <v>44679</v>
      </c>
      <c r="B132" s="50">
        <f t="shared" ca="1" si="0"/>
        <v>0.99095747234196263</v>
      </c>
      <c r="C132" s="8">
        <f t="shared" si="89"/>
        <v>0.74</v>
      </c>
      <c r="D132" s="49">
        <f t="shared" ca="1" si="107"/>
        <v>109</v>
      </c>
      <c r="F132" s="50">
        <f t="shared" ca="1" si="1"/>
        <v>0.53451169091016204</v>
      </c>
      <c r="G132" s="8">
        <f t="shared" si="90"/>
        <v>0.74</v>
      </c>
      <c r="H132" s="49">
        <f t="shared" ca="1" si="108"/>
        <v>164</v>
      </c>
      <c r="J132" s="50">
        <f t="shared" ca="1" si="2"/>
        <v>0.14487258810544446</v>
      </c>
      <c r="K132" s="8">
        <f t="shared" si="91"/>
        <v>0.74</v>
      </c>
      <c r="L132" s="49">
        <f t="shared" ca="1" si="109"/>
        <v>80</v>
      </c>
      <c r="N132" s="50">
        <f t="shared" ca="1" si="3"/>
        <v>8.0449989736363525E-2</v>
      </c>
      <c r="O132" s="8">
        <f t="shared" si="92"/>
        <v>0.74</v>
      </c>
      <c r="P132" s="49">
        <f t="shared" ca="1" si="110"/>
        <v>107</v>
      </c>
      <c r="R132" s="50">
        <f t="shared" ca="1" si="4"/>
        <v>0.80043913333551264</v>
      </c>
      <c r="S132" s="8">
        <f t="shared" si="93"/>
        <v>0.74</v>
      </c>
      <c r="T132" s="49">
        <f t="shared" ca="1" si="111"/>
        <v>126</v>
      </c>
      <c r="V132" s="50">
        <f t="shared" ca="1" si="5"/>
        <v>0.66122865248161189</v>
      </c>
      <c r="W132" s="8">
        <f t="shared" si="94"/>
        <v>0.74</v>
      </c>
      <c r="X132" s="49">
        <f t="shared" ca="1" si="112"/>
        <v>185</v>
      </c>
      <c r="Z132" s="50">
        <f t="shared" ca="1" si="6"/>
        <v>0.80633461886158464</v>
      </c>
      <c r="AA132" s="8">
        <f t="shared" si="95"/>
        <v>0.74</v>
      </c>
      <c r="AB132" s="49">
        <f t="shared" ca="1" si="113"/>
        <v>246</v>
      </c>
      <c r="AD132" s="50">
        <f t="shared" ca="1" si="7"/>
        <v>0.21954128920569072</v>
      </c>
      <c r="AE132" s="8">
        <f t="shared" si="96"/>
        <v>0.74</v>
      </c>
      <c r="AF132" s="49">
        <f t="shared" ca="1" si="114"/>
        <v>193</v>
      </c>
      <c r="AH132" s="50">
        <f t="shared" ca="1" si="8"/>
        <v>0.75881053909598417</v>
      </c>
      <c r="AI132" s="8">
        <f t="shared" si="97"/>
        <v>0.74</v>
      </c>
      <c r="AJ132" s="49">
        <f t="shared" ca="1" si="115"/>
        <v>159</v>
      </c>
      <c r="AL132" s="50">
        <f t="shared" ca="1" si="9"/>
        <v>0.3804783787278686</v>
      </c>
      <c r="AM132" s="8">
        <f t="shared" si="98"/>
        <v>0.74</v>
      </c>
      <c r="AN132" s="49">
        <f t="shared" ca="1" si="116"/>
        <v>101</v>
      </c>
      <c r="AP132" s="50">
        <f t="shared" ca="1" si="10"/>
        <v>0.15020222429006247</v>
      </c>
      <c r="AQ132" s="8">
        <f t="shared" si="99"/>
        <v>0.74</v>
      </c>
      <c r="AR132" s="49">
        <f t="shared" ca="1" si="117"/>
        <v>117</v>
      </c>
      <c r="AT132" s="50">
        <f t="shared" ca="1" si="11"/>
        <v>0.64991142294389648</v>
      </c>
      <c r="AU132" s="8">
        <f t="shared" si="100"/>
        <v>0.74</v>
      </c>
      <c r="AV132" s="49">
        <f t="shared" ca="1" si="118"/>
        <v>157</v>
      </c>
      <c r="AX132" s="50">
        <f t="shared" ca="1" si="12"/>
        <v>9.0066650797529957E-2</v>
      </c>
      <c r="AY132" s="8">
        <f t="shared" si="101"/>
        <v>0.74</v>
      </c>
      <c r="AZ132" s="49">
        <f t="shared" ca="1" si="119"/>
        <v>86</v>
      </c>
      <c r="BB132" s="50">
        <f t="shared" ca="1" si="13"/>
        <v>0.40750606898645836</v>
      </c>
      <c r="BC132" s="8">
        <f t="shared" si="102"/>
        <v>0.74</v>
      </c>
      <c r="BD132" s="49">
        <f t="shared" ca="1" si="120"/>
        <v>111</v>
      </c>
      <c r="BF132" s="50">
        <f t="shared" ca="1" si="14"/>
        <v>0.21253766943635333</v>
      </c>
      <c r="BG132" s="8">
        <f t="shared" si="103"/>
        <v>0.74</v>
      </c>
      <c r="BH132" s="49">
        <f t="shared" ca="1" si="121"/>
        <v>96</v>
      </c>
      <c r="BJ132" s="50">
        <f t="shared" ca="1" si="15"/>
        <v>0.68612192897888435</v>
      </c>
      <c r="BK132" s="8">
        <f t="shared" si="104"/>
        <v>0.74</v>
      </c>
      <c r="BL132" s="49">
        <f t="shared" ca="1" si="122"/>
        <v>110</v>
      </c>
      <c r="BN132" s="50">
        <f t="shared" ca="1" si="16"/>
        <v>0.54726740864783052</v>
      </c>
      <c r="BO132" s="8">
        <f t="shared" si="105"/>
        <v>0.74</v>
      </c>
      <c r="BP132" s="49">
        <f t="shared" ca="1" si="123"/>
        <v>133</v>
      </c>
      <c r="BR132" s="50">
        <f t="shared" ca="1" si="17"/>
        <v>0.2891809750334956</v>
      </c>
      <c r="BS132" s="8">
        <f t="shared" si="106"/>
        <v>0.74</v>
      </c>
      <c r="BT132" s="49">
        <f t="shared" ca="1" si="124"/>
        <v>116</v>
      </c>
    </row>
    <row r="133" spans="1:72" x14ac:dyDescent="0.2">
      <c r="A133" s="22">
        <v>44680</v>
      </c>
      <c r="B133" s="50">
        <f t="shared" ca="1" si="0"/>
        <v>0.42626785516631671</v>
      </c>
      <c r="C133" s="8">
        <f t="shared" si="89"/>
        <v>0.74</v>
      </c>
      <c r="D133" s="49">
        <f t="shared" ca="1" si="107"/>
        <v>72</v>
      </c>
      <c r="F133" s="50">
        <f t="shared" ca="1" si="1"/>
        <v>0.4338508401870651</v>
      </c>
      <c r="G133" s="8">
        <f t="shared" si="90"/>
        <v>0.74</v>
      </c>
      <c r="H133" s="49">
        <f t="shared" ca="1" si="108"/>
        <v>153</v>
      </c>
      <c r="J133" s="50">
        <f t="shared" ca="1" si="2"/>
        <v>0.47543239383108804</v>
      </c>
      <c r="K133" s="8">
        <f t="shared" si="91"/>
        <v>0.74</v>
      </c>
      <c r="L133" s="49">
        <f t="shared" ca="1" si="109"/>
        <v>110</v>
      </c>
      <c r="N133" s="50">
        <f t="shared" ca="1" si="3"/>
        <v>0.23650276393598546</v>
      </c>
      <c r="O133" s="8">
        <f t="shared" si="92"/>
        <v>0.74</v>
      </c>
      <c r="P133" s="49">
        <f t="shared" ca="1" si="110"/>
        <v>138</v>
      </c>
      <c r="R133" s="50">
        <f t="shared" ca="1" si="4"/>
        <v>0.38587676511693081</v>
      </c>
      <c r="S133" s="8">
        <f t="shared" si="93"/>
        <v>0.74</v>
      </c>
      <c r="T133" s="49">
        <f t="shared" ca="1" si="111"/>
        <v>95</v>
      </c>
      <c r="V133" s="50">
        <f t="shared" ca="1" si="5"/>
        <v>0.8022052052163523</v>
      </c>
      <c r="W133" s="8">
        <f t="shared" si="94"/>
        <v>0.74</v>
      </c>
      <c r="X133" s="49">
        <f t="shared" ca="1" si="112"/>
        <v>205</v>
      </c>
      <c r="Z133" s="50">
        <f t="shared" ca="1" si="6"/>
        <v>0.62956380455018202</v>
      </c>
      <c r="AA133" s="8">
        <f t="shared" si="95"/>
        <v>0.74</v>
      </c>
      <c r="AB133" s="49">
        <f t="shared" ca="1" si="113"/>
        <v>218</v>
      </c>
      <c r="AD133" s="50">
        <f t="shared" ca="1" si="7"/>
        <v>0.69128291526619634</v>
      </c>
      <c r="AE133" s="8">
        <f t="shared" si="96"/>
        <v>0.74</v>
      </c>
      <c r="AF133" s="49">
        <f t="shared" ca="1" si="114"/>
        <v>275</v>
      </c>
      <c r="AH133" s="50">
        <f t="shared" ca="1" si="8"/>
        <v>0.96494491861740472</v>
      </c>
      <c r="AI133" s="8">
        <f t="shared" si="97"/>
        <v>0.74</v>
      </c>
      <c r="AJ133" s="49">
        <f t="shared" ca="1" si="115"/>
        <v>198</v>
      </c>
      <c r="AL133" s="50">
        <f t="shared" ca="1" si="9"/>
        <v>7.9873588794109329E-3</v>
      </c>
      <c r="AM133" s="8">
        <f t="shared" si="98"/>
        <v>0.74</v>
      </c>
      <c r="AN133" s="49">
        <f t="shared" ca="1" si="116"/>
        <v>39</v>
      </c>
      <c r="AP133" s="50">
        <f t="shared" ca="1" si="10"/>
        <v>0.9680453202065934</v>
      </c>
      <c r="AQ133" s="8">
        <f t="shared" si="99"/>
        <v>0.74</v>
      </c>
      <c r="AR133" s="49">
        <f t="shared" ca="1" si="117"/>
        <v>240</v>
      </c>
      <c r="AT133" s="50">
        <f t="shared" ca="1" si="11"/>
        <v>0.32169801556372291</v>
      </c>
      <c r="AU133" s="8">
        <f t="shared" si="100"/>
        <v>0.74</v>
      </c>
      <c r="AV133" s="49">
        <f t="shared" ca="1" si="118"/>
        <v>125</v>
      </c>
      <c r="AX133" s="50">
        <f t="shared" ca="1" si="12"/>
        <v>0.2011961736302299</v>
      </c>
      <c r="AY133" s="8">
        <f t="shared" si="101"/>
        <v>0.74</v>
      </c>
      <c r="AZ133" s="49">
        <f t="shared" ca="1" si="119"/>
        <v>104</v>
      </c>
      <c r="BB133" s="50">
        <f t="shared" ca="1" si="13"/>
        <v>0.95639953843140924</v>
      </c>
      <c r="BC133" s="8">
        <f t="shared" si="102"/>
        <v>0.74</v>
      </c>
      <c r="BD133" s="49">
        <f t="shared" ca="1" si="120"/>
        <v>172</v>
      </c>
      <c r="BF133" s="50">
        <f t="shared" ca="1" si="14"/>
        <v>0.73740385509309381</v>
      </c>
      <c r="BG133" s="8">
        <f t="shared" si="103"/>
        <v>0.74</v>
      </c>
      <c r="BH133" s="49">
        <f t="shared" ca="1" si="121"/>
        <v>143</v>
      </c>
      <c r="BJ133" s="50">
        <f t="shared" ca="1" si="15"/>
        <v>0.77821155692978128</v>
      </c>
      <c r="BK133" s="8">
        <f t="shared" si="104"/>
        <v>0.74</v>
      </c>
      <c r="BL133" s="49">
        <f t="shared" ca="1" si="122"/>
        <v>117</v>
      </c>
      <c r="BN133" s="50">
        <f t="shared" ca="1" si="16"/>
        <v>0.24620410714057372</v>
      </c>
      <c r="BO133" s="8">
        <f t="shared" si="105"/>
        <v>0.74</v>
      </c>
      <c r="BP133" s="49">
        <f t="shared" ca="1" si="123"/>
        <v>105</v>
      </c>
      <c r="BR133" s="50">
        <f t="shared" ca="1" si="17"/>
        <v>0.16542750385394589</v>
      </c>
      <c r="BS133" s="8">
        <f t="shared" si="106"/>
        <v>0.74</v>
      </c>
      <c r="BT133" s="49">
        <f t="shared" ca="1" si="124"/>
        <v>101</v>
      </c>
    </row>
    <row r="134" spans="1:72" x14ac:dyDescent="0.2">
      <c r="A134" s="22">
        <v>44681</v>
      </c>
      <c r="B134" s="50">
        <f t="shared" ca="1" si="0"/>
        <v>4.3379931403372596E-2</v>
      </c>
      <c r="C134" s="8">
        <f t="shared" si="89"/>
        <v>0.74</v>
      </c>
      <c r="D134" s="49">
        <f t="shared" ca="1" si="107"/>
        <v>49</v>
      </c>
      <c r="F134" s="50">
        <f t="shared" ca="1" si="1"/>
        <v>0.23108050068466324</v>
      </c>
      <c r="G134" s="8">
        <f t="shared" si="90"/>
        <v>0.74</v>
      </c>
      <c r="H134" s="49">
        <f t="shared" ca="1" si="108"/>
        <v>129</v>
      </c>
      <c r="J134" s="50">
        <f t="shared" ca="1" si="2"/>
        <v>0.76748947503370335</v>
      </c>
      <c r="K134" s="8">
        <f t="shared" si="91"/>
        <v>0.74</v>
      </c>
      <c r="L134" s="49">
        <f t="shared" ca="1" si="109"/>
        <v>133</v>
      </c>
      <c r="N134" s="50">
        <f t="shared" ca="1" si="3"/>
        <v>0.36916848093825927</v>
      </c>
      <c r="O134" s="8">
        <f t="shared" si="92"/>
        <v>0.74</v>
      </c>
      <c r="P134" s="49">
        <f t="shared" ca="1" si="110"/>
        <v>155</v>
      </c>
      <c r="R134" s="50">
        <f t="shared" ca="1" si="4"/>
        <v>0.60863389264783274</v>
      </c>
      <c r="S134" s="8">
        <f t="shared" si="93"/>
        <v>0.74</v>
      </c>
      <c r="T134" s="49">
        <f t="shared" ca="1" si="111"/>
        <v>111</v>
      </c>
      <c r="V134" s="50">
        <f t="shared" ca="1" si="5"/>
        <v>0.9271086962066355</v>
      </c>
      <c r="W134" s="8">
        <f t="shared" si="94"/>
        <v>0.74</v>
      </c>
      <c r="X134" s="49">
        <f t="shared" ca="1" si="112"/>
        <v>232</v>
      </c>
      <c r="Z134" s="50">
        <f t="shared" ca="1" si="6"/>
        <v>0.27686132596414337</v>
      </c>
      <c r="AA134" s="8">
        <f t="shared" si="95"/>
        <v>0.74</v>
      </c>
      <c r="AB134" s="49">
        <f t="shared" ca="1" si="113"/>
        <v>169</v>
      </c>
      <c r="AD134" s="50">
        <f t="shared" ca="1" si="7"/>
        <v>0.53027331340007999</v>
      </c>
      <c r="AE134" s="8">
        <f t="shared" si="96"/>
        <v>0.74</v>
      </c>
      <c r="AF134" s="49">
        <f t="shared" ca="1" si="114"/>
        <v>247</v>
      </c>
      <c r="AH134" s="50">
        <f t="shared" ca="1" si="8"/>
        <v>0.54785510271415949</v>
      </c>
      <c r="AI134" s="8">
        <f t="shared" si="97"/>
        <v>0.74</v>
      </c>
      <c r="AJ134" s="49">
        <f t="shared" ca="1" si="115"/>
        <v>138</v>
      </c>
      <c r="AL134" s="50">
        <f t="shared" ca="1" si="9"/>
        <v>0.95123759918115192</v>
      </c>
      <c r="AM134" s="8">
        <f t="shared" si="98"/>
        <v>0.74</v>
      </c>
      <c r="AN134" s="49">
        <f t="shared" ca="1" si="116"/>
        <v>158</v>
      </c>
      <c r="AP134" s="50">
        <f t="shared" ca="1" si="10"/>
        <v>5.8579926792916126E-2</v>
      </c>
      <c r="AQ134" s="8">
        <f t="shared" si="99"/>
        <v>0.74</v>
      </c>
      <c r="AR134" s="49">
        <f t="shared" ca="1" si="117"/>
        <v>94</v>
      </c>
      <c r="AT134" s="50">
        <f t="shared" ca="1" si="11"/>
        <v>0.94288273748693363</v>
      </c>
      <c r="AU134" s="8">
        <f t="shared" si="100"/>
        <v>0.74</v>
      </c>
      <c r="AV134" s="49">
        <f t="shared" ca="1" si="118"/>
        <v>202</v>
      </c>
      <c r="AX134" s="50">
        <f t="shared" ca="1" si="12"/>
        <v>0.76764809291807456</v>
      </c>
      <c r="AY134" s="8">
        <f t="shared" si="101"/>
        <v>0.74</v>
      </c>
      <c r="AZ134" s="49">
        <f t="shared" ca="1" si="119"/>
        <v>160</v>
      </c>
      <c r="BB134" s="50">
        <f t="shared" ca="1" si="13"/>
        <v>0.59798952651485704</v>
      </c>
      <c r="BC134" s="8">
        <f t="shared" si="102"/>
        <v>0.74</v>
      </c>
      <c r="BD134" s="49">
        <f t="shared" ca="1" si="120"/>
        <v>126</v>
      </c>
      <c r="BF134" s="50">
        <f t="shared" ca="1" si="14"/>
        <v>0.21429828887971425</v>
      </c>
      <c r="BG134" s="8">
        <f t="shared" si="103"/>
        <v>0.74</v>
      </c>
      <c r="BH134" s="49">
        <f t="shared" ca="1" si="121"/>
        <v>97</v>
      </c>
      <c r="BJ134" s="50">
        <f t="shared" ca="1" si="15"/>
        <v>0.15648157170034505</v>
      </c>
      <c r="BK134" s="8">
        <f t="shared" si="104"/>
        <v>0.74</v>
      </c>
      <c r="BL134" s="49">
        <f t="shared" ca="1" si="122"/>
        <v>71</v>
      </c>
      <c r="BN134" s="50">
        <f t="shared" ca="1" si="16"/>
        <v>0.94827761709082203</v>
      </c>
      <c r="BO134" s="8">
        <f t="shared" si="105"/>
        <v>0.74</v>
      </c>
      <c r="BP134" s="49">
        <f t="shared" ca="1" si="123"/>
        <v>185</v>
      </c>
      <c r="BR134" s="50">
        <f t="shared" ca="1" si="17"/>
        <v>0.99385780481720543</v>
      </c>
      <c r="BS134" s="8">
        <f t="shared" si="106"/>
        <v>0.74</v>
      </c>
      <c r="BT134" s="49">
        <f t="shared" ca="1" si="124"/>
        <v>227</v>
      </c>
    </row>
    <row r="135" spans="1:72" x14ac:dyDescent="0.2">
      <c r="A135" s="22">
        <v>44682</v>
      </c>
      <c r="B135" s="50">
        <f t="shared" ca="1" si="0"/>
        <v>0.50226341527537766</v>
      </c>
      <c r="C135" s="8">
        <f t="shared" si="89"/>
        <v>0.74</v>
      </c>
      <c r="D135" s="49">
        <f t="shared" ca="1" si="107"/>
        <v>75</v>
      </c>
      <c r="F135" s="50">
        <f t="shared" ca="1" si="1"/>
        <v>0.9901797351611572</v>
      </c>
      <c r="G135" s="8">
        <f t="shared" si="90"/>
        <v>0.74</v>
      </c>
      <c r="H135" s="49">
        <f t="shared" ca="1" si="108"/>
        <v>259</v>
      </c>
      <c r="J135" s="50">
        <f t="shared" ca="1" si="2"/>
        <v>0.14626456233534746</v>
      </c>
      <c r="K135" s="8">
        <f t="shared" si="91"/>
        <v>0.74</v>
      </c>
      <c r="L135" s="49">
        <f t="shared" ca="1" si="109"/>
        <v>80</v>
      </c>
      <c r="N135" s="50">
        <f t="shared" ca="1" si="3"/>
        <v>0.17011278090590187</v>
      </c>
      <c r="O135" s="8">
        <f t="shared" si="92"/>
        <v>0.74</v>
      </c>
      <c r="P135" s="49">
        <f t="shared" ca="1" si="110"/>
        <v>127</v>
      </c>
      <c r="R135" s="50">
        <f t="shared" ca="1" si="4"/>
        <v>0.15959997793196801</v>
      </c>
      <c r="S135" s="8">
        <f t="shared" si="93"/>
        <v>0.74</v>
      </c>
      <c r="T135" s="49">
        <f t="shared" ca="1" si="111"/>
        <v>76</v>
      </c>
      <c r="V135" s="50">
        <f t="shared" ca="1" si="5"/>
        <v>0.37464511922541055</v>
      </c>
      <c r="W135" s="8">
        <f t="shared" si="94"/>
        <v>0.74</v>
      </c>
      <c r="X135" s="49">
        <f t="shared" ca="1" si="112"/>
        <v>153</v>
      </c>
      <c r="Z135" s="50">
        <f t="shared" ca="1" si="6"/>
        <v>0.11181771513852368</v>
      </c>
      <c r="AA135" s="8">
        <f t="shared" si="95"/>
        <v>0.74</v>
      </c>
      <c r="AB135" s="49">
        <f t="shared" ca="1" si="113"/>
        <v>135</v>
      </c>
      <c r="AD135" s="50">
        <f t="shared" ca="1" si="7"/>
        <v>0.86506915268038931</v>
      </c>
      <c r="AE135" s="8">
        <f t="shared" si="96"/>
        <v>0.74</v>
      </c>
      <c r="AF135" s="49">
        <f t="shared" ca="1" si="114"/>
        <v>314</v>
      </c>
      <c r="AH135" s="50">
        <f t="shared" ca="1" si="8"/>
        <v>0.4732015818459322</v>
      </c>
      <c r="AI135" s="8">
        <f t="shared" si="97"/>
        <v>0.74</v>
      </c>
      <c r="AJ135" s="49">
        <f t="shared" ca="1" si="115"/>
        <v>131</v>
      </c>
      <c r="AL135" s="50">
        <f t="shared" ca="1" si="9"/>
        <v>0.48229886954928303</v>
      </c>
      <c r="AM135" s="8">
        <f t="shared" si="98"/>
        <v>0.74</v>
      </c>
      <c r="AN135" s="49">
        <f t="shared" ca="1" si="116"/>
        <v>108</v>
      </c>
      <c r="AP135" s="50">
        <f t="shared" ca="1" si="10"/>
        <v>0.36956091347465903</v>
      </c>
      <c r="AQ135" s="8">
        <f t="shared" si="99"/>
        <v>0.74</v>
      </c>
      <c r="AR135" s="49">
        <f t="shared" ca="1" si="117"/>
        <v>147</v>
      </c>
      <c r="AT135" s="50">
        <f t="shared" ca="1" si="11"/>
        <v>0.93037177904742063</v>
      </c>
      <c r="AU135" s="8">
        <f t="shared" si="100"/>
        <v>0.74</v>
      </c>
      <c r="AV135" s="49">
        <f t="shared" ca="1" si="118"/>
        <v>198</v>
      </c>
      <c r="AX135" s="50">
        <f t="shared" ca="1" si="12"/>
        <v>0.90952737112019511</v>
      </c>
      <c r="AY135" s="8">
        <f t="shared" si="101"/>
        <v>0.74</v>
      </c>
      <c r="AZ135" s="49">
        <f t="shared" ca="1" si="119"/>
        <v>181</v>
      </c>
      <c r="BB135" s="50">
        <f t="shared" ca="1" si="13"/>
        <v>0.14533027846538693</v>
      </c>
      <c r="BC135" s="8">
        <f t="shared" si="102"/>
        <v>0.74</v>
      </c>
      <c r="BD135" s="49">
        <f t="shared" ca="1" si="120"/>
        <v>85</v>
      </c>
      <c r="BF135" s="50">
        <f t="shared" ca="1" si="14"/>
        <v>0.55517580545518896</v>
      </c>
      <c r="BG135" s="8">
        <f t="shared" si="103"/>
        <v>0.74</v>
      </c>
      <c r="BH135" s="49">
        <f t="shared" ca="1" si="121"/>
        <v>127</v>
      </c>
      <c r="BJ135" s="50">
        <f t="shared" ca="1" si="15"/>
        <v>0.22245646699998245</v>
      </c>
      <c r="BK135" s="8">
        <f t="shared" si="104"/>
        <v>0.74</v>
      </c>
      <c r="BL135" s="49">
        <f t="shared" ca="1" si="122"/>
        <v>78</v>
      </c>
      <c r="BN135" s="50">
        <f t="shared" ca="1" si="16"/>
        <v>0.52579593665417657</v>
      </c>
      <c r="BO135" s="8">
        <f t="shared" si="105"/>
        <v>0.74</v>
      </c>
      <c r="BP135" s="49">
        <f t="shared" ca="1" si="123"/>
        <v>131</v>
      </c>
      <c r="BR135" s="50">
        <f t="shared" ca="1" si="17"/>
        <v>0.73091797414949211</v>
      </c>
      <c r="BS135" s="8">
        <f t="shared" si="106"/>
        <v>0.74</v>
      </c>
      <c r="BT135" s="49">
        <f t="shared" ca="1" si="124"/>
        <v>159</v>
      </c>
    </row>
    <row r="136" spans="1:72" x14ac:dyDescent="0.2">
      <c r="A136" s="22">
        <v>44683</v>
      </c>
      <c r="B136" s="50">
        <f t="shared" ca="1" si="0"/>
        <v>0.82636408636831127</v>
      </c>
      <c r="C136" s="8">
        <f t="shared" si="89"/>
        <v>0.74</v>
      </c>
      <c r="D136" s="49">
        <f t="shared" ca="1" si="107"/>
        <v>88</v>
      </c>
      <c r="F136" s="50">
        <f t="shared" ca="1" si="1"/>
        <v>0.38609041274966838</v>
      </c>
      <c r="G136" s="8">
        <f t="shared" si="90"/>
        <v>0.74</v>
      </c>
      <c r="H136" s="49">
        <f t="shared" ca="1" si="108"/>
        <v>148</v>
      </c>
      <c r="J136" s="50">
        <f t="shared" ca="1" si="2"/>
        <v>0.59123717711830071</v>
      </c>
      <c r="K136" s="8">
        <f t="shared" si="91"/>
        <v>0.74</v>
      </c>
      <c r="L136" s="49">
        <f t="shared" ca="1" si="109"/>
        <v>118</v>
      </c>
      <c r="N136" s="50">
        <f t="shared" ca="1" si="3"/>
        <v>0.13077925236742649</v>
      </c>
      <c r="O136" s="8">
        <f t="shared" si="92"/>
        <v>0.74</v>
      </c>
      <c r="P136" s="49">
        <f t="shared" ca="1" si="110"/>
        <v>119</v>
      </c>
      <c r="R136" s="50">
        <f t="shared" ca="1" si="4"/>
        <v>0.27452440716308979</v>
      </c>
      <c r="S136" s="8">
        <f t="shared" si="93"/>
        <v>0.74</v>
      </c>
      <c r="T136" s="49">
        <f t="shared" ca="1" si="111"/>
        <v>87</v>
      </c>
      <c r="V136" s="50">
        <f t="shared" ca="1" si="5"/>
        <v>0.54544884416761164</v>
      </c>
      <c r="W136" s="8">
        <f t="shared" si="94"/>
        <v>0.74</v>
      </c>
      <c r="X136" s="49">
        <f t="shared" ca="1" si="112"/>
        <v>172</v>
      </c>
      <c r="Z136" s="50">
        <f t="shared" ca="1" si="6"/>
        <v>0.31474511113366777</v>
      </c>
      <c r="AA136" s="8">
        <f t="shared" si="95"/>
        <v>0.74</v>
      </c>
      <c r="AB136" s="49">
        <f t="shared" ca="1" si="113"/>
        <v>175</v>
      </c>
      <c r="AD136" s="50">
        <f t="shared" ca="1" si="7"/>
        <v>0.24683481190598577</v>
      </c>
      <c r="AE136" s="8">
        <f t="shared" si="96"/>
        <v>0.74</v>
      </c>
      <c r="AF136" s="49">
        <f t="shared" ca="1" si="114"/>
        <v>198</v>
      </c>
      <c r="AH136" s="50">
        <f t="shared" ca="1" si="8"/>
        <v>0.32309446636105155</v>
      </c>
      <c r="AI136" s="8">
        <f t="shared" si="97"/>
        <v>0.74</v>
      </c>
      <c r="AJ136" s="49">
        <f t="shared" ca="1" si="115"/>
        <v>117</v>
      </c>
      <c r="AL136" s="50">
        <f t="shared" ca="1" si="9"/>
        <v>0.21795867735173058</v>
      </c>
      <c r="AM136" s="8">
        <f t="shared" si="98"/>
        <v>0.74</v>
      </c>
      <c r="AN136" s="49">
        <f t="shared" ca="1" si="116"/>
        <v>87</v>
      </c>
      <c r="AP136" s="50">
        <f t="shared" ca="1" si="10"/>
        <v>0.2477658043295754</v>
      </c>
      <c r="AQ136" s="8">
        <f t="shared" si="99"/>
        <v>0.74</v>
      </c>
      <c r="AR136" s="49">
        <f t="shared" ca="1" si="117"/>
        <v>132</v>
      </c>
      <c r="AT136" s="50">
        <f t="shared" ca="1" si="11"/>
        <v>0.48044115917489327</v>
      </c>
      <c r="AU136" s="8">
        <f t="shared" si="100"/>
        <v>0.74</v>
      </c>
      <c r="AV136" s="49">
        <f t="shared" ca="1" si="118"/>
        <v>141</v>
      </c>
      <c r="AX136" s="50">
        <f t="shared" ca="1" si="12"/>
        <v>0.66360973979288496</v>
      </c>
      <c r="AY136" s="8">
        <f t="shared" si="101"/>
        <v>0.74</v>
      </c>
      <c r="AZ136" s="49">
        <f t="shared" ca="1" si="119"/>
        <v>149</v>
      </c>
      <c r="BB136" s="50">
        <f t="shared" ca="1" si="13"/>
        <v>0.84670809064415387</v>
      </c>
      <c r="BC136" s="8">
        <f t="shared" si="102"/>
        <v>0.74</v>
      </c>
      <c r="BD136" s="49">
        <f t="shared" ca="1" si="120"/>
        <v>151</v>
      </c>
      <c r="BF136" s="50">
        <f t="shared" ca="1" si="14"/>
        <v>6.6404581239683291E-2</v>
      </c>
      <c r="BG136" s="8">
        <f t="shared" si="103"/>
        <v>0.74</v>
      </c>
      <c r="BH136" s="49">
        <f t="shared" ca="1" si="121"/>
        <v>73</v>
      </c>
      <c r="BJ136" s="50">
        <f t="shared" ca="1" si="15"/>
        <v>0.45444403108538756</v>
      </c>
      <c r="BK136" s="8">
        <f t="shared" si="104"/>
        <v>0.74</v>
      </c>
      <c r="BL136" s="49">
        <f t="shared" ca="1" si="122"/>
        <v>94</v>
      </c>
      <c r="BN136" s="50">
        <f t="shared" ca="1" si="16"/>
        <v>0.22609381115039706</v>
      </c>
      <c r="BO136" s="8">
        <f t="shared" si="105"/>
        <v>0.74</v>
      </c>
      <c r="BP136" s="49">
        <f t="shared" ca="1" si="123"/>
        <v>103</v>
      </c>
      <c r="BR136" s="50">
        <f t="shared" ca="1" si="17"/>
        <v>0.29928427979582994</v>
      </c>
      <c r="BS136" s="8">
        <f t="shared" si="106"/>
        <v>0.74</v>
      </c>
      <c r="BT136" s="49">
        <f t="shared" ca="1" si="124"/>
        <v>117</v>
      </c>
    </row>
    <row r="137" spans="1:72" x14ac:dyDescent="0.2">
      <c r="A137" s="22">
        <v>44684</v>
      </c>
      <c r="B137" s="50">
        <f t="shared" ca="1" si="0"/>
        <v>0.97634609492728608</v>
      </c>
      <c r="C137" s="8">
        <f t="shared" si="89"/>
        <v>0.74</v>
      </c>
      <c r="D137" s="49">
        <f t="shared" ca="1" si="107"/>
        <v>104</v>
      </c>
      <c r="F137" s="50">
        <f t="shared" ca="1" si="1"/>
        <v>0.93477490350294556</v>
      </c>
      <c r="G137" s="8">
        <f t="shared" si="90"/>
        <v>0.74</v>
      </c>
      <c r="H137" s="49">
        <f t="shared" ca="1" si="108"/>
        <v>224</v>
      </c>
      <c r="J137" s="50">
        <f t="shared" ca="1" si="2"/>
        <v>4.4804376771831467E-2</v>
      </c>
      <c r="K137" s="8">
        <f t="shared" si="91"/>
        <v>0.74</v>
      </c>
      <c r="L137" s="49">
        <f t="shared" ca="1" si="109"/>
        <v>61</v>
      </c>
      <c r="N137" s="50">
        <f t="shared" ca="1" si="3"/>
        <v>0.47770802871823337</v>
      </c>
      <c r="O137" s="8">
        <f t="shared" si="92"/>
        <v>0.74</v>
      </c>
      <c r="P137" s="49">
        <f t="shared" ca="1" si="110"/>
        <v>168</v>
      </c>
      <c r="R137" s="50">
        <f t="shared" ca="1" si="4"/>
        <v>0.56522533352106019</v>
      </c>
      <c r="S137" s="8">
        <f t="shared" si="93"/>
        <v>0.74</v>
      </c>
      <c r="T137" s="49">
        <f t="shared" ca="1" si="111"/>
        <v>108</v>
      </c>
      <c r="V137" s="50">
        <f t="shared" ca="1" si="5"/>
        <v>0.64002787307438358</v>
      </c>
      <c r="W137" s="8">
        <f t="shared" si="94"/>
        <v>0.74</v>
      </c>
      <c r="X137" s="49">
        <f t="shared" ca="1" si="112"/>
        <v>183</v>
      </c>
      <c r="Z137" s="50">
        <f t="shared" ca="1" si="6"/>
        <v>0.99776829331634087</v>
      </c>
      <c r="AA137" s="8">
        <f t="shared" si="95"/>
        <v>0.74</v>
      </c>
      <c r="AB137" s="49">
        <f t="shared" ca="1" si="113"/>
        <v>352</v>
      </c>
      <c r="AD137" s="50">
        <f t="shared" ca="1" si="7"/>
        <v>0.38630502184533866</v>
      </c>
      <c r="AE137" s="8">
        <f t="shared" si="96"/>
        <v>0.74</v>
      </c>
      <c r="AF137" s="49">
        <f t="shared" ca="1" si="114"/>
        <v>224</v>
      </c>
      <c r="AH137" s="50">
        <f t="shared" ca="1" si="8"/>
        <v>0.58463933878246599</v>
      </c>
      <c r="AI137" s="8">
        <f t="shared" si="97"/>
        <v>0.74</v>
      </c>
      <c r="AJ137" s="49">
        <f t="shared" ca="1" si="115"/>
        <v>141</v>
      </c>
      <c r="AL137" s="50">
        <f t="shared" ca="1" si="9"/>
        <v>7.7301493762509166E-2</v>
      </c>
      <c r="AM137" s="8">
        <f t="shared" si="98"/>
        <v>0.74</v>
      </c>
      <c r="AN137" s="49">
        <f t="shared" ca="1" si="116"/>
        <v>68</v>
      </c>
      <c r="AP137" s="50">
        <f t="shared" ca="1" si="10"/>
        <v>0.66394994676138086</v>
      </c>
      <c r="AQ137" s="8">
        <f t="shared" si="99"/>
        <v>0.74</v>
      </c>
      <c r="AR137" s="49">
        <f t="shared" ca="1" si="117"/>
        <v>179</v>
      </c>
      <c r="AT137" s="50">
        <f t="shared" ca="1" si="11"/>
        <v>0.16722016647543825</v>
      </c>
      <c r="AU137" s="8">
        <f t="shared" si="100"/>
        <v>0.74</v>
      </c>
      <c r="AV137" s="49">
        <f t="shared" ca="1" si="118"/>
        <v>106</v>
      </c>
      <c r="AX137" s="50">
        <f t="shared" ca="1" si="12"/>
        <v>0.64520973330576681</v>
      </c>
      <c r="AY137" s="8">
        <f t="shared" si="101"/>
        <v>0.74</v>
      </c>
      <c r="AZ137" s="49">
        <f t="shared" ca="1" si="119"/>
        <v>147</v>
      </c>
      <c r="BB137" s="50">
        <f t="shared" ca="1" si="13"/>
        <v>0.97114057299328294</v>
      </c>
      <c r="BC137" s="8">
        <f t="shared" si="102"/>
        <v>0.74</v>
      </c>
      <c r="BD137" s="49">
        <f t="shared" ca="1" si="120"/>
        <v>178</v>
      </c>
      <c r="BF137" s="50">
        <f t="shared" ca="1" si="14"/>
        <v>3.541030052033034E-2</v>
      </c>
      <c r="BG137" s="8">
        <f t="shared" si="103"/>
        <v>0.74</v>
      </c>
      <c r="BH137" s="49">
        <f t="shared" ca="1" si="121"/>
        <v>64</v>
      </c>
      <c r="BJ137" s="50">
        <f t="shared" ca="1" si="15"/>
        <v>0.67864560963726972</v>
      </c>
      <c r="BK137" s="8">
        <f t="shared" si="104"/>
        <v>0.74</v>
      </c>
      <c r="BL137" s="49">
        <f t="shared" ca="1" si="122"/>
        <v>109</v>
      </c>
      <c r="BN137" s="50">
        <f t="shared" ca="1" si="16"/>
        <v>0.79763531064880833</v>
      </c>
      <c r="BO137" s="8">
        <f t="shared" si="105"/>
        <v>0.74</v>
      </c>
      <c r="BP137" s="49">
        <f t="shared" ca="1" si="123"/>
        <v>157</v>
      </c>
      <c r="BR137" s="50">
        <f t="shared" ca="1" si="17"/>
        <v>0.5492880113436619</v>
      </c>
      <c r="BS137" s="8">
        <f t="shared" si="106"/>
        <v>0.74</v>
      </c>
      <c r="BT137" s="49">
        <f t="shared" ca="1" si="124"/>
        <v>141</v>
      </c>
    </row>
    <row r="138" spans="1:72" x14ac:dyDescent="0.2">
      <c r="A138" s="22">
        <v>44685</v>
      </c>
      <c r="B138" s="50">
        <f t="shared" ca="1" si="0"/>
        <v>0.6332667146792107</v>
      </c>
      <c r="C138" s="8">
        <f t="shared" si="89"/>
        <v>0.74</v>
      </c>
      <c r="D138" s="49">
        <f t="shared" ca="1" si="107"/>
        <v>80</v>
      </c>
      <c r="F138" s="50">
        <f t="shared" ca="1" si="1"/>
        <v>0.33137593078566174</v>
      </c>
      <c r="G138" s="8">
        <f t="shared" si="90"/>
        <v>0.74</v>
      </c>
      <c r="H138" s="49">
        <f t="shared" ca="1" si="108"/>
        <v>141</v>
      </c>
      <c r="J138" s="50">
        <f t="shared" ca="1" si="2"/>
        <v>0.86327334725540594</v>
      </c>
      <c r="K138" s="8">
        <f t="shared" si="91"/>
        <v>0.74</v>
      </c>
      <c r="L138" s="49">
        <f t="shared" ca="1" si="109"/>
        <v>144</v>
      </c>
      <c r="N138" s="50">
        <f t="shared" ca="1" si="3"/>
        <v>0.61196425520050579</v>
      </c>
      <c r="O138" s="8">
        <f t="shared" si="92"/>
        <v>0.74</v>
      </c>
      <c r="P138" s="49">
        <f t="shared" ca="1" si="110"/>
        <v>183</v>
      </c>
      <c r="R138" s="50">
        <f t="shared" ca="1" si="4"/>
        <v>0.18150848092817251</v>
      </c>
      <c r="S138" s="8">
        <f t="shared" si="93"/>
        <v>0.74</v>
      </c>
      <c r="T138" s="49">
        <f t="shared" ca="1" si="111"/>
        <v>78</v>
      </c>
      <c r="V138" s="50">
        <f t="shared" ca="1" si="5"/>
        <v>0.5839699325205554</v>
      </c>
      <c r="W138" s="8">
        <f t="shared" si="94"/>
        <v>0.74</v>
      </c>
      <c r="X138" s="49">
        <f t="shared" ca="1" si="112"/>
        <v>176</v>
      </c>
      <c r="Z138" s="50">
        <f t="shared" ca="1" si="6"/>
        <v>3.3076001457692739E-2</v>
      </c>
      <c r="AA138" s="8">
        <f t="shared" si="95"/>
        <v>0.74</v>
      </c>
      <c r="AB138" s="49">
        <f t="shared" ca="1" si="113"/>
        <v>102</v>
      </c>
      <c r="AD138" s="50">
        <f t="shared" ca="1" si="7"/>
        <v>0.1983222962955683</v>
      </c>
      <c r="AE138" s="8">
        <f t="shared" si="96"/>
        <v>0.74</v>
      </c>
      <c r="AF138" s="49">
        <f t="shared" ca="1" si="114"/>
        <v>188</v>
      </c>
      <c r="AH138" s="50">
        <f t="shared" ca="1" si="8"/>
        <v>0.22097902607062914</v>
      </c>
      <c r="AI138" s="8">
        <f t="shared" si="97"/>
        <v>0.74</v>
      </c>
      <c r="AJ138" s="49">
        <f t="shared" ca="1" si="115"/>
        <v>106</v>
      </c>
      <c r="AL138" s="50">
        <f t="shared" ca="1" si="9"/>
        <v>0.76176115812081924</v>
      </c>
      <c r="AM138" s="8">
        <f t="shared" si="98"/>
        <v>0.74</v>
      </c>
      <c r="AN138" s="49">
        <f t="shared" ca="1" si="116"/>
        <v>130</v>
      </c>
      <c r="AP138" s="50">
        <f t="shared" ca="1" si="10"/>
        <v>0.78569001679227757</v>
      </c>
      <c r="AQ138" s="8">
        <f t="shared" si="99"/>
        <v>0.74</v>
      </c>
      <c r="AR138" s="49">
        <f t="shared" ca="1" si="117"/>
        <v>195</v>
      </c>
      <c r="AT138" s="50">
        <f t="shared" ca="1" si="11"/>
        <v>0.1753404292226034</v>
      </c>
      <c r="AU138" s="8">
        <f t="shared" si="100"/>
        <v>0.74</v>
      </c>
      <c r="AV138" s="49">
        <f t="shared" ca="1" si="118"/>
        <v>107</v>
      </c>
      <c r="AX138" s="50">
        <f t="shared" ca="1" si="12"/>
        <v>0.43096384904006646</v>
      </c>
      <c r="AY138" s="8">
        <f t="shared" si="101"/>
        <v>0.74</v>
      </c>
      <c r="AZ138" s="49">
        <f t="shared" ca="1" si="119"/>
        <v>127</v>
      </c>
      <c r="BB138" s="50">
        <f t="shared" ca="1" si="13"/>
        <v>0.39679264425781791</v>
      </c>
      <c r="BC138" s="8">
        <f t="shared" si="102"/>
        <v>0.74</v>
      </c>
      <c r="BD138" s="49">
        <f t="shared" ca="1" si="120"/>
        <v>110</v>
      </c>
      <c r="BF138" s="50">
        <f t="shared" ca="1" si="14"/>
        <v>0.50787386795887524</v>
      </c>
      <c r="BG138" s="8">
        <f t="shared" si="103"/>
        <v>0.74</v>
      </c>
      <c r="BH138" s="49">
        <f t="shared" ca="1" si="121"/>
        <v>123</v>
      </c>
      <c r="BJ138" s="50">
        <f t="shared" ca="1" si="15"/>
        <v>0.33825810110465271</v>
      </c>
      <c r="BK138" s="8">
        <f t="shared" si="104"/>
        <v>0.74</v>
      </c>
      <c r="BL138" s="49">
        <f t="shared" ca="1" si="122"/>
        <v>87</v>
      </c>
      <c r="BN138" s="50">
        <f t="shared" ca="1" si="16"/>
        <v>0.72393665402153984</v>
      </c>
      <c r="BO138" s="8">
        <f t="shared" si="105"/>
        <v>0.74</v>
      </c>
      <c r="BP138" s="49">
        <f t="shared" ca="1" si="123"/>
        <v>149</v>
      </c>
      <c r="BR138" s="50">
        <f t="shared" ca="1" si="17"/>
        <v>0.78443015554306683</v>
      </c>
      <c r="BS138" s="8">
        <f t="shared" si="106"/>
        <v>0.74</v>
      </c>
      <c r="BT138" s="49">
        <f t="shared" ca="1" si="124"/>
        <v>165</v>
      </c>
    </row>
    <row r="139" spans="1:72" x14ac:dyDescent="0.2">
      <c r="A139" s="22">
        <v>44686</v>
      </c>
      <c r="B139" s="50">
        <f t="shared" ca="1" si="0"/>
        <v>0.57288068111797663</v>
      </c>
      <c r="C139" s="8">
        <f t="shared" si="89"/>
        <v>0.74</v>
      </c>
      <c r="D139" s="49">
        <f t="shared" ca="1" si="107"/>
        <v>77</v>
      </c>
      <c r="F139" s="50">
        <f t="shared" ca="1" si="1"/>
        <v>0.66668939043561903</v>
      </c>
      <c r="G139" s="8">
        <f t="shared" si="90"/>
        <v>0.74</v>
      </c>
      <c r="H139" s="49">
        <f t="shared" ca="1" si="108"/>
        <v>178</v>
      </c>
      <c r="J139" s="50">
        <f t="shared" ca="1" si="2"/>
        <v>0.37203111728575777</v>
      </c>
      <c r="K139" s="8">
        <f t="shared" si="91"/>
        <v>0.74</v>
      </c>
      <c r="L139" s="49">
        <f t="shared" ca="1" si="109"/>
        <v>102</v>
      </c>
      <c r="N139" s="50">
        <f t="shared" ca="1" si="3"/>
        <v>1.5220734987659967E-2</v>
      </c>
      <c r="O139" s="8">
        <f t="shared" si="92"/>
        <v>0.74</v>
      </c>
      <c r="P139" s="49">
        <f t="shared" ca="1" si="110"/>
        <v>72</v>
      </c>
      <c r="R139" s="50">
        <f t="shared" ca="1" si="4"/>
        <v>0.59648756847154305</v>
      </c>
      <c r="S139" s="8">
        <f t="shared" si="93"/>
        <v>0.74</v>
      </c>
      <c r="T139" s="49">
        <f t="shared" ca="1" si="111"/>
        <v>110</v>
      </c>
      <c r="V139" s="50">
        <f t="shared" ca="1" si="5"/>
        <v>6.8915299730182955E-2</v>
      </c>
      <c r="W139" s="8">
        <f t="shared" si="94"/>
        <v>0.74</v>
      </c>
      <c r="X139" s="49">
        <f t="shared" ca="1" si="112"/>
        <v>101</v>
      </c>
      <c r="Z139" s="50">
        <f t="shared" ca="1" si="6"/>
        <v>0.30880806308829845</v>
      </c>
      <c r="AA139" s="8">
        <f t="shared" si="95"/>
        <v>0.74</v>
      </c>
      <c r="AB139" s="49">
        <f t="shared" ca="1" si="113"/>
        <v>174</v>
      </c>
      <c r="AD139" s="50">
        <f t="shared" ca="1" si="7"/>
        <v>0.64549999024271121</v>
      </c>
      <c r="AE139" s="8">
        <f t="shared" si="96"/>
        <v>0.74</v>
      </c>
      <c r="AF139" s="49">
        <f t="shared" ca="1" si="114"/>
        <v>267</v>
      </c>
      <c r="AH139" s="50">
        <f t="shared" ca="1" si="8"/>
        <v>0.74973578720887546</v>
      </c>
      <c r="AI139" s="8">
        <f t="shared" si="97"/>
        <v>0.74</v>
      </c>
      <c r="AJ139" s="49">
        <f t="shared" ca="1" si="115"/>
        <v>157</v>
      </c>
      <c r="AL139" s="50">
        <f t="shared" ca="1" si="9"/>
        <v>0.59142017244667888</v>
      </c>
      <c r="AM139" s="8">
        <f t="shared" si="98"/>
        <v>0.74</v>
      </c>
      <c r="AN139" s="49">
        <f t="shared" ca="1" si="116"/>
        <v>116</v>
      </c>
      <c r="AP139" s="50">
        <f t="shared" ca="1" si="10"/>
        <v>0.90157656756559357</v>
      </c>
      <c r="AQ139" s="8">
        <f t="shared" si="99"/>
        <v>0.74</v>
      </c>
      <c r="AR139" s="49">
        <f t="shared" ca="1" si="117"/>
        <v>216</v>
      </c>
      <c r="AT139" s="50">
        <f t="shared" ca="1" si="11"/>
        <v>0.65031250888014858</v>
      </c>
      <c r="AU139" s="8">
        <f t="shared" si="100"/>
        <v>0.74</v>
      </c>
      <c r="AV139" s="49">
        <f t="shared" ca="1" si="118"/>
        <v>157</v>
      </c>
      <c r="AX139" s="50">
        <f t="shared" ca="1" si="12"/>
        <v>0.27129450658971876</v>
      </c>
      <c r="AY139" s="8">
        <f t="shared" si="101"/>
        <v>0.74</v>
      </c>
      <c r="AZ139" s="49">
        <f t="shared" ca="1" si="119"/>
        <v>112</v>
      </c>
      <c r="BB139" s="50">
        <f t="shared" ca="1" si="13"/>
        <v>0.45090872022600681</v>
      </c>
      <c r="BC139" s="8">
        <f t="shared" si="102"/>
        <v>0.74</v>
      </c>
      <c r="BD139" s="49">
        <f t="shared" ca="1" si="120"/>
        <v>115</v>
      </c>
      <c r="BF139" s="50">
        <f t="shared" ca="1" si="14"/>
        <v>0.75802939867448027</v>
      </c>
      <c r="BG139" s="8">
        <f t="shared" si="103"/>
        <v>0.74</v>
      </c>
      <c r="BH139" s="49">
        <f t="shared" ca="1" si="121"/>
        <v>145</v>
      </c>
      <c r="BJ139" s="50">
        <f t="shared" ca="1" si="15"/>
        <v>0.84039770300704975</v>
      </c>
      <c r="BK139" s="8">
        <f t="shared" si="104"/>
        <v>0.74</v>
      </c>
      <c r="BL139" s="49">
        <f t="shared" ca="1" si="122"/>
        <v>123</v>
      </c>
      <c r="BN139" s="50">
        <f t="shared" ca="1" si="16"/>
        <v>0.24247575340234273</v>
      </c>
      <c r="BO139" s="8">
        <f t="shared" si="105"/>
        <v>0.74</v>
      </c>
      <c r="BP139" s="49">
        <f t="shared" ca="1" si="123"/>
        <v>105</v>
      </c>
      <c r="BR139" s="50">
        <f t="shared" ca="1" si="17"/>
        <v>0.28926003765432073</v>
      </c>
      <c r="BS139" s="8">
        <f t="shared" si="106"/>
        <v>0.74</v>
      </c>
      <c r="BT139" s="49">
        <f t="shared" ca="1" si="124"/>
        <v>116</v>
      </c>
    </row>
    <row r="140" spans="1:72" x14ac:dyDescent="0.2">
      <c r="A140" s="22">
        <v>44687</v>
      </c>
      <c r="B140" s="50">
        <f t="shared" ca="1" si="0"/>
        <v>0.85339284229974344</v>
      </c>
      <c r="C140" s="8">
        <f t="shared" si="89"/>
        <v>0.74</v>
      </c>
      <c r="D140" s="49">
        <f t="shared" ca="1" si="107"/>
        <v>90</v>
      </c>
      <c r="F140" s="50">
        <f t="shared" ca="1" si="1"/>
        <v>5.95251744359242E-2</v>
      </c>
      <c r="G140" s="8">
        <f t="shared" si="90"/>
        <v>0.74</v>
      </c>
      <c r="H140" s="49">
        <f t="shared" ca="1" si="108"/>
        <v>94</v>
      </c>
      <c r="J140" s="50">
        <f t="shared" ca="1" si="2"/>
        <v>0.59227280762212264</v>
      </c>
      <c r="K140" s="8">
        <f t="shared" si="91"/>
        <v>0.74</v>
      </c>
      <c r="L140" s="49">
        <f t="shared" ca="1" si="109"/>
        <v>118</v>
      </c>
      <c r="N140" s="50">
        <f t="shared" ca="1" si="3"/>
        <v>0.86921937002363081</v>
      </c>
      <c r="O140" s="8">
        <f t="shared" si="92"/>
        <v>0.74</v>
      </c>
      <c r="P140" s="49">
        <f t="shared" ca="1" si="110"/>
        <v>221</v>
      </c>
      <c r="R140" s="50">
        <f t="shared" ca="1" si="4"/>
        <v>0.62156996442201795</v>
      </c>
      <c r="S140" s="8">
        <f t="shared" si="93"/>
        <v>0.74</v>
      </c>
      <c r="T140" s="49">
        <f t="shared" ca="1" si="111"/>
        <v>112</v>
      </c>
      <c r="V140" s="50">
        <f t="shared" ca="1" si="5"/>
        <v>8.2492413259389386E-2</v>
      </c>
      <c r="W140" s="8">
        <f t="shared" si="94"/>
        <v>0.74</v>
      </c>
      <c r="X140" s="49">
        <f t="shared" ca="1" si="112"/>
        <v>105</v>
      </c>
      <c r="Z140" s="50">
        <f t="shared" ca="1" si="6"/>
        <v>0.89007766612020844</v>
      </c>
      <c r="AA140" s="8">
        <f t="shared" si="95"/>
        <v>0.74</v>
      </c>
      <c r="AB140" s="49">
        <f t="shared" ca="1" si="113"/>
        <v>266</v>
      </c>
      <c r="AD140" s="50">
        <f t="shared" ca="1" si="7"/>
        <v>0.42531929476855068</v>
      </c>
      <c r="AE140" s="8">
        <f t="shared" si="96"/>
        <v>0.74</v>
      </c>
      <c r="AF140" s="49">
        <f t="shared" ca="1" si="114"/>
        <v>230</v>
      </c>
      <c r="AH140" s="50">
        <f t="shared" ca="1" si="8"/>
        <v>0.32611326178032918</v>
      </c>
      <c r="AI140" s="8">
        <f t="shared" si="97"/>
        <v>0.74</v>
      </c>
      <c r="AJ140" s="49">
        <f t="shared" ca="1" si="115"/>
        <v>118</v>
      </c>
      <c r="AL140" s="50">
        <f t="shared" ca="1" si="9"/>
        <v>0.53532127249629535</v>
      </c>
      <c r="AM140" s="8">
        <f t="shared" si="98"/>
        <v>0.74</v>
      </c>
      <c r="AN140" s="49">
        <f t="shared" ca="1" si="116"/>
        <v>112</v>
      </c>
      <c r="AP140" s="50">
        <f t="shared" ca="1" si="10"/>
        <v>0.11395317344345401</v>
      </c>
      <c r="AQ140" s="8">
        <f t="shared" si="99"/>
        <v>0.74</v>
      </c>
      <c r="AR140" s="49">
        <f t="shared" ca="1" si="117"/>
        <v>109</v>
      </c>
      <c r="AT140" s="50">
        <f t="shared" ca="1" si="11"/>
        <v>0.88457522562606461</v>
      </c>
      <c r="AU140" s="8">
        <f t="shared" si="100"/>
        <v>0.74</v>
      </c>
      <c r="AV140" s="49">
        <f t="shared" ca="1" si="118"/>
        <v>188</v>
      </c>
      <c r="AX140" s="50">
        <f t="shared" ca="1" si="12"/>
        <v>7.6774834773210454E-2</v>
      </c>
      <c r="AY140" s="8">
        <f t="shared" si="101"/>
        <v>0.74</v>
      </c>
      <c r="AZ140" s="49">
        <f t="shared" ca="1" si="119"/>
        <v>83</v>
      </c>
      <c r="BB140" s="50">
        <f t="shared" ca="1" si="13"/>
        <v>0.56504553395814705</v>
      </c>
      <c r="BC140" s="8">
        <f t="shared" si="102"/>
        <v>0.74</v>
      </c>
      <c r="BD140" s="49">
        <f t="shared" ca="1" si="120"/>
        <v>124</v>
      </c>
      <c r="BF140" s="50">
        <f t="shared" ca="1" si="14"/>
        <v>0.10391878060148696</v>
      </c>
      <c r="BG140" s="8">
        <f t="shared" si="103"/>
        <v>0.74</v>
      </c>
      <c r="BH140" s="49">
        <f t="shared" ca="1" si="121"/>
        <v>81</v>
      </c>
      <c r="BJ140" s="50">
        <f t="shared" ca="1" si="15"/>
        <v>0.88426931418537535</v>
      </c>
      <c r="BK140" s="8">
        <f t="shared" si="104"/>
        <v>0.74</v>
      </c>
      <c r="BL140" s="49">
        <f t="shared" ca="1" si="122"/>
        <v>128</v>
      </c>
      <c r="BN140" s="50">
        <f t="shared" ca="1" si="16"/>
        <v>0.24250118767000628</v>
      </c>
      <c r="BO140" s="8">
        <f t="shared" si="105"/>
        <v>0.74</v>
      </c>
      <c r="BP140" s="49">
        <f t="shared" ca="1" si="123"/>
        <v>105</v>
      </c>
      <c r="BR140" s="50">
        <f t="shared" ca="1" si="17"/>
        <v>0.15041064163996354</v>
      </c>
      <c r="BS140" s="8">
        <f t="shared" si="106"/>
        <v>0.74</v>
      </c>
      <c r="BT140" s="49">
        <f t="shared" ca="1" si="124"/>
        <v>99</v>
      </c>
    </row>
    <row r="141" spans="1:72" x14ac:dyDescent="0.2">
      <c r="A141" s="22">
        <v>44688</v>
      </c>
      <c r="B141" s="50">
        <f t="shared" ca="1" si="0"/>
        <v>0.88970083039126924</v>
      </c>
      <c r="C141" s="8">
        <f t="shared" si="89"/>
        <v>0.74</v>
      </c>
      <c r="D141" s="49">
        <f t="shared" ca="1" si="107"/>
        <v>93</v>
      </c>
      <c r="F141" s="50">
        <f t="shared" ca="1" si="1"/>
        <v>9.8331551777854909E-2</v>
      </c>
      <c r="G141" s="8">
        <f t="shared" si="90"/>
        <v>0.74</v>
      </c>
      <c r="H141" s="49">
        <f t="shared" ca="1" si="108"/>
        <v>105</v>
      </c>
      <c r="J141" s="50">
        <f t="shared" ca="1" si="2"/>
        <v>0.30685809345762283</v>
      </c>
      <c r="K141" s="8">
        <f t="shared" si="91"/>
        <v>0.74</v>
      </c>
      <c r="L141" s="49">
        <f t="shared" ca="1" si="109"/>
        <v>97</v>
      </c>
      <c r="N141" s="50">
        <f t="shared" ca="1" si="3"/>
        <v>0.5852449268419071</v>
      </c>
      <c r="O141" s="8">
        <f t="shared" si="92"/>
        <v>0.74</v>
      </c>
      <c r="P141" s="49">
        <f t="shared" ca="1" si="110"/>
        <v>180</v>
      </c>
      <c r="R141" s="50">
        <f t="shared" ca="1" si="4"/>
        <v>0.23116264742904646</v>
      </c>
      <c r="S141" s="8">
        <f t="shared" si="93"/>
        <v>0.74</v>
      </c>
      <c r="T141" s="49">
        <f t="shared" ca="1" si="111"/>
        <v>83</v>
      </c>
      <c r="V141" s="50">
        <f t="shared" ca="1" si="5"/>
        <v>0.64057967894528667</v>
      </c>
      <c r="W141" s="8">
        <f t="shared" si="94"/>
        <v>0.74</v>
      </c>
      <c r="X141" s="49">
        <f t="shared" ca="1" si="112"/>
        <v>183</v>
      </c>
      <c r="Z141" s="50">
        <f t="shared" ca="1" si="6"/>
        <v>0.6040869198340858</v>
      </c>
      <c r="AA141" s="8">
        <f t="shared" si="95"/>
        <v>0.74</v>
      </c>
      <c r="AB141" s="49">
        <f t="shared" ca="1" si="113"/>
        <v>214</v>
      </c>
      <c r="AD141" s="50">
        <f t="shared" ca="1" si="7"/>
        <v>0.43157611031789822</v>
      </c>
      <c r="AE141" s="8">
        <f t="shared" si="96"/>
        <v>0.74</v>
      </c>
      <c r="AF141" s="49">
        <f t="shared" ca="1" si="114"/>
        <v>231</v>
      </c>
      <c r="AH141" s="50">
        <f t="shared" ca="1" si="8"/>
        <v>0.55391737140388353</v>
      </c>
      <c r="AI141" s="8">
        <f t="shared" si="97"/>
        <v>0.74</v>
      </c>
      <c r="AJ141" s="49">
        <f t="shared" ca="1" si="115"/>
        <v>138</v>
      </c>
      <c r="AL141" s="50">
        <f t="shared" ca="1" si="9"/>
        <v>6.4944265658295586E-2</v>
      </c>
      <c r="AM141" s="8">
        <f t="shared" si="98"/>
        <v>0.74</v>
      </c>
      <c r="AN141" s="49">
        <f t="shared" ca="1" si="116"/>
        <v>65</v>
      </c>
      <c r="AP141" s="50">
        <f t="shared" ca="1" si="10"/>
        <v>0.50761128368664676</v>
      </c>
      <c r="AQ141" s="8">
        <f t="shared" si="99"/>
        <v>0.74</v>
      </c>
      <c r="AR141" s="49">
        <f t="shared" ca="1" si="117"/>
        <v>162</v>
      </c>
      <c r="AT141" s="50">
        <f t="shared" ca="1" si="11"/>
        <v>4.9423117581076093E-2</v>
      </c>
      <c r="AU141" s="8">
        <f t="shared" si="100"/>
        <v>0.74</v>
      </c>
      <c r="AV141" s="49">
        <f t="shared" ca="1" si="118"/>
        <v>80</v>
      </c>
      <c r="AX141" s="50">
        <f t="shared" ca="1" si="12"/>
        <v>0.84913540348230521</v>
      </c>
      <c r="AY141" s="8">
        <f t="shared" si="101"/>
        <v>0.74</v>
      </c>
      <c r="AZ141" s="49">
        <f t="shared" ca="1" si="119"/>
        <v>170</v>
      </c>
      <c r="BB141" s="50">
        <f t="shared" ca="1" si="13"/>
        <v>0.81087204142092728</v>
      </c>
      <c r="BC141" s="8">
        <f t="shared" si="102"/>
        <v>0.74</v>
      </c>
      <c r="BD141" s="49">
        <f t="shared" ca="1" si="120"/>
        <v>146</v>
      </c>
      <c r="BF141" s="50">
        <f t="shared" ca="1" si="14"/>
        <v>0.87383722479656833</v>
      </c>
      <c r="BG141" s="8">
        <f t="shared" si="103"/>
        <v>0.74</v>
      </c>
      <c r="BH141" s="49">
        <f t="shared" ca="1" si="121"/>
        <v>159</v>
      </c>
      <c r="BJ141" s="50">
        <f t="shared" ca="1" si="15"/>
        <v>0.25103528011415244</v>
      </c>
      <c r="BK141" s="8">
        <f t="shared" si="104"/>
        <v>0.74</v>
      </c>
      <c r="BL141" s="49">
        <f t="shared" ca="1" si="122"/>
        <v>80</v>
      </c>
      <c r="BN141" s="50">
        <f t="shared" ca="1" si="16"/>
        <v>0.49112156696353815</v>
      </c>
      <c r="BO141" s="8">
        <f t="shared" si="105"/>
        <v>0.74</v>
      </c>
      <c r="BP141" s="49">
        <f t="shared" ca="1" si="123"/>
        <v>128</v>
      </c>
      <c r="BR141" s="50">
        <f t="shared" ca="1" si="17"/>
        <v>0.56909339408604331</v>
      </c>
      <c r="BS141" s="8">
        <f t="shared" si="106"/>
        <v>0.74</v>
      </c>
      <c r="BT141" s="49">
        <f t="shared" ca="1" si="124"/>
        <v>143</v>
      </c>
    </row>
    <row r="142" spans="1:72" x14ac:dyDescent="0.2">
      <c r="A142" s="22">
        <v>44689</v>
      </c>
      <c r="B142" s="50">
        <f t="shared" ca="1" si="0"/>
        <v>8.276349180579301E-2</v>
      </c>
      <c r="C142" s="8">
        <f t="shared" si="89"/>
        <v>0.74</v>
      </c>
      <c r="D142" s="49">
        <f t="shared" ca="1" si="107"/>
        <v>54</v>
      </c>
      <c r="F142" s="50">
        <f t="shared" ca="1" si="1"/>
        <v>0.65299564278243394</v>
      </c>
      <c r="G142" s="8">
        <f t="shared" si="90"/>
        <v>0.74</v>
      </c>
      <c r="H142" s="49">
        <f t="shared" ca="1" si="108"/>
        <v>177</v>
      </c>
      <c r="J142" s="50">
        <f t="shared" ca="1" si="2"/>
        <v>0.29034441613922302</v>
      </c>
      <c r="K142" s="8">
        <f t="shared" si="91"/>
        <v>0.74</v>
      </c>
      <c r="L142" s="49">
        <f t="shared" ca="1" si="109"/>
        <v>95</v>
      </c>
      <c r="N142" s="50">
        <f t="shared" ca="1" si="3"/>
        <v>0.45768789702702439</v>
      </c>
      <c r="O142" s="8">
        <f t="shared" si="92"/>
        <v>0.74</v>
      </c>
      <c r="P142" s="49">
        <f t="shared" ca="1" si="110"/>
        <v>165</v>
      </c>
      <c r="R142" s="50">
        <f t="shared" ca="1" si="4"/>
        <v>0.56090944458394254</v>
      </c>
      <c r="S142" s="8">
        <f t="shared" si="93"/>
        <v>0.74</v>
      </c>
      <c r="T142" s="49">
        <f t="shared" ca="1" si="111"/>
        <v>107</v>
      </c>
      <c r="V142" s="50">
        <f t="shared" ca="1" si="5"/>
        <v>0.24448790870282699</v>
      </c>
      <c r="W142" s="8">
        <f t="shared" si="94"/>
        <v>0.74</v>
      </c>
      <c r="X142" s="49">
        <f t="shared" ca="1" si="112"/>
        <v>136</v>
      </c>
      <c r="Z142" s="50">
        <f t="shared" ca="1" si="6"/>
        <v>0.70957230872644161</v>
      </c>
      <c r="AA142" s="8">
        <f t="shared" si="95"/>
        <v>0.74</v>
      </c>
      <c r="AB142" s="49">
        <f t="shared" ca="1" si="113"/>
        <v>230</v>
      </c>
      <c r="AD142" s="50">
        <f t="shared" ca="1" si="7"/>
        <v>0.35451862520972299</v>
      </c>
      <c r="AE142" s="8">
        <f t="shared" si="96"/>
        <v>0.74</v>
      </c>
      <c r="AF142" s="49">
        <f t="shared" ca="1" si="114"/>
        <v>218</v>
      </c>
      <c r="AH142" s="50">
        <f t="shared" ca="1" si="8"/>
        <v>0.56799836140917281</v>
      </c>
      <c r="AI142" s="8">
        <f t="shared" si="97"/>
        <v>0.74</v>
      </c>
      <c r="AJ142" s="49">
        <f t="shared" ca="1" si="115"/>
        <v>140</v>
      </c>
      <c r="AL142" s="50">
        <f t="shared" ca="1" si="9"/>
        <v>0.53777581400218788</v>
      </c>
      <c r="AM142" s="8">
        <f t="shared" si="98"/>
        <v>0.74</v>
      </c>
      <c r="AN142" s="49">
        <f t="shared" ca="1" si="116"/>
        <v>112</v>
      </c>
      <c r="AP142" s="50">
        <f t="shared" ca="1" si="10"/>
        <v>0.48980735371294948</v>
      </c>
      <c r="AQ142" s="8">
        <f t="shared" si="99"/>
        <v>0.74</v>
      </c>
      <c r="AR142" s="49">
        <f t="shared" ca="1" si="117"/>
        <v>160</v>
      </c>
      <c r="AT142" s="50">
        <f t="shared" ca="1" si="11"/>
        <v>0.13048403697161159</v>
      </c>
      <c r="AU142" s="8">
        <f t="shared" si="100"/>
        <v>0.74</v>
      </c>
      <c r="AV142" s="49">
        <f t="shared" ca="1" si="118"/>
        <v>100</v>
      </c>
      <c r="AX142" s="50">
        <f t="shared" ca="1" si="12"/>
        <v>0.313541852867396</v>
      </c>
      <c r="AY142" s="8">
        <f t="shared" si="101"/>
        <v>0.74</v>
      </c>
      <c r="AZ142" s="49">
        <f t="shared" ca="1" si="119"/>
        <v>116</v>
      </c>
      <c r="BB142" s="50">
        <f t="shared" ca="1" si="13"/>
        <v>0.61627579950724021</v>
      </c>
      <c r="BC142" s="8">
        <f t="shared" si="102"/>
        <v>0.74</v>
      </c>
      <c r="BD142" s="49">
        <f t="shared" ca="1" si="120"/>
        <v>128</v>
      </c>
      <c r="BF142" s="50">
        <f t="shared" ca="1" si="14"/>
        <v>0.29634654121850013</v>
      </c>
      <c r="BG142" s="8">
        <f t="shared" si="103"/>
        <v>0.74</v>
      </c>
      <c r="BH142" s="49">
        <f t="shared" ca="1" si="121"/>
        <v>105</v>
      </c>
      <c r="BJ142" s="50">
        <f t="shared" ca="1" si="15"/>
        <v>0.93769029816635041</v>
      </c>
      <c r="BK142" s="8">
        <f t="shared" si="104"/>
        <v>0.74</v>
      </c>
      <c r="BL142" s="49">
        <f t="shared" ca="1" si="122"/>
        <v>137</v>
      </c>
      <c r="BN142" s="50">
        <f t="shared" ca="1" si="16"/>
        <v>0.95219042051761227</v>
      </c>
      <c r="BO142" s="8">
        <f t="shared" si="105"/>
        <v>0.74</v>
      </c>
      <c r="BP142" s="49">
        <f t="shared" ca="1" si="123"/>
        <v>186</v>
      </c>
      <c r="BR142" s="50">
        <f t="shared" ca="1" si="17"/>
        <v>0.48625920795927158</v>
      </c>
      <c r="BS142" s="8">
        <f t="shared" si="106"/>
        <v>0.74</v>
      </c>
      <c r="BT142" s="49">
        <f t="shared" ca="1" si="124"/>
        <v>135</v>
      </c>
    </row>
    <row r="143" spans="1:72" x14ac:dyDescent="0.2">
      <c r="A143" s="22">
        <v>44690</v>
      </c>
      <c r="B143" s="50">
        <f t="shared" ca="1" si="0"/>
        <v>0.91865228762463358</v>
      </c>
      <c r="C143" s="8">
        <f t="shared" si="89"/>
        <v>0.74</v>
      </c>
      <c r="D143" s="49">
        <f t="shared" ca="1" si="107"/>
        <v>95</v>
      </c>
      <c r="F143" s="50">
        <f t="shared" ca="1" si="1"/>
        <v>0.49569416166567293</v>
      </c>
      <c r="G143" s="8">
        <f t="shared" si="90"/>
        <v>0.74</v>
      </c>
      <c r="H143" s="49">
        <f t="shared" ca="1" si="108"/>
        <v>159</v>
      </c>
      <c r="J143" s="50">
        <f t="shared" ca="1" si="2"/>
        <v>0.75098381065403541</v>
      </c>
      <c r="K143" s="8">
        <f t="shared" si="91"/>
        <v>0.74</v>
      </c>
      <c r="L143" s="49">
        <f t="shared" ca="1" si="109"/>
        <v>132</v>
      </c>
      <c r="N143" s="50">
        <f t="shared" ca="1" si="3"/>
        <v>0.57482400344135787</v>
      </c>
      <c r="O143" s="8">
        <f t="shared" si="92"/>
        <v>0.74</v>
      </c>
      <c r="P143" s="49">
        <f t="shared" ca="1" si="110"/>
        <v>179</v>
      </c>
      <c r="R143" s="50">
        <f t="shared" ca="1" si="4"/>
        <v>0.83349010092083886</v>
      </c>
      <c r="S143" s="8">
        <f t="shared" si="93"/>
        <v>0.74</v>
      </c>
      <c r="T143" s="49">
        <f t="shared" ca="1" si="111"/>
        <v>130</v>
      </c>
      <c r="V143" s="50">
        <f t="shared" ca="1" si="5"/>
        <v>0.90114437703694927</v>
      </c>
      <c r="W143" s="8">
        <f t="shared" si="94"/>
        <v>0.74</v>
      </c>
      <c r="X143" s="49">
        <f t="shared" ca="1" si="112"/>
        <v>224</v>
      </c>
      <c r="Z143" s="50">
        <f t="shared" ca="1" si="6"/>
        <v>0.74936357835397027</v>
      </c>
      <c r="AA143" s="8">
        <f t="shared" si="95"/>
        <v>0.74</v>
      </c>
      <c r="AB143" s="49">
        <f t="shared" ca="1" si="113"/>
        <v>236</v>
      </c>
      <c r="AD143" s="50">
        <f t="shared" ca="1" si="7"/>
        <v>5.021569472634535E-2</v>
      </c>
      <c r="AE143" s="8">
        <f t="shared" si="96"/>
        <v>0.74</v>
      </c>
      <c r="AF143" s="49">
        <f t="shared" ca="1" si="114"/>
        <v>136</v>
      </c>
      <c r="AH143" s="50">
        <f t="shared" ca="1" si="8"/>
        <v>0.27428906229589822</v>
      </c>
      <c r="AI143" s="8">
        <f t="shared" si="97"/>
        <v>0.74</v>
      </c>
      <c r="AJ143" s="49">
        <f t="shared" ca="1" si="115"/>
        <v>112</v>
      </c>
      <c r="AL143" s="50">
        <f t="shared" ca="1" si="9"/>
        <v>0.30266182498347605</v>
      </c>
      <c r="AM143" s="8">
        <f t="shared" si="98"/>
        <v>0.74</v>
      </c>
      <c r="AN143" s="49">
        <f t="shared" ca="1" si="116"/>
        <v>94</v>
      </c>
      <c r="AP143" s="50">
        <f t="shared" ca="1" si="10"/>
        <v>0.20069153704233478</v>
      </c>
      <c r="AQ143" s="8">
        <f t="shared" si="99"/>
        <v>0.74</v>
      </c>
      <c r="AR143" s="49">
        <f t="shared" ca="1" si="117"/>
        <v>125</v>
      </c>
      <c r="AT143" s="50">
        <f t="shared" ca="1" si="11"/>
        <v>0.17897583895555413</v>
      </c>
      <c r="AU143" s="8">
        <f t="shared" si="100"/>
        <v>0.74</v>
      </c>
      <c r="AV143" s="49">
        <f t="shared" ca="1" si="118"/>
        <v>108</v>
      </c>
      <c r="AX143" s="50">
        <f t="shared" ca="1" si="12"/>
        <v>0.62273969196210321</v>
      </c>
      <c r="AY143" s="8">
        <f t="shared" si="101"/>
        <v>0.74</v>
      </c>
      <c r="AZ143" s="49">
        <f t="shared" ca="1" si="119"/>
        <v>145</v>
      </c>
      <c r="BB143" s="50">
        <f t="shared" ca="1" si="13"/>
        <v>0.87006018608023861</v>
      </c>
      <c r="BC143" s="8">
        <f t="shared" si="102"/>
        <v>0.74</v>
      </c>
      <c r="BD143" s="49">
        <f t="shared" ca="1" si="120"/>
        <v>154</v>
      </c>
      <c r="BF143" s="50">
        <f t="shared" ca="1" si="14"/>
        <v>0.41664531786732051</v>
      </c>
      <c r="BG143" s="8">
        <f t="shared" si="103"/>
        <v>0.74</v>
      </c>
      <c r="BH143" s="49">
        <f t="shared" ca="1" si="121"/>
        <v>115</v>
      </c>
      <c r="BJ143" s="50">
        <f t="shared" ca="1" si="15"/>
        <v>0.96019189128157711</v>
      </c>
      <c r="BK143" s="8">
        <f t="shared" si="104"/>
        <v>0.74</v>
      </c>
      <c r="BL143" s="49">
        <f t="shared" ca="1" si="122"/>
        <v>143</v>
      </c>
      <c r="BN143" s="50">
        <f t="shared" ca="1" si="16"/>
        <v>0.64535058364441855</v>
      </c>
      <c r="BO143" s="8">
        <f t="shared" si="105"/>
        <v>0.74</v>
      </c>
      <c r="BP143" s="49">
        <f t="shared" ca="1" si="123"/>
        <v>142</v>
      </c>
      <c r="BR143" s="50">
        <f t="shared" ca="1" si="17"/>
        <v>0.61087501926267307</v>
      </c>
      <c r="BS143" s="8">
        <f t="shared" si="106"/>
        <v>0.74</v>
      </c>
      <c r="BT143" s="49">
        <f t="shared" ca="1" si="124"/>
        <v>146</v>
      </c>
    </row>
    <row r="144" spans="1:72" x14ac:dyDescent="0.2">
      <c r="A144" s="22">
        <v>44691</v>
      </c>
      <c r="B144" s="50">
        <f t="shared" ca="1" si="0"/>
        <v>0.60085124728679873</v>
      </c>
      <c r="C144" s="8">
        <f t="shared" si="89"/>
        <v>0.74</v>
      </c>
      <c r="D144" s="49">
        <f t="shared" ca="1" si="107"/>
        <v>78</v>
      </c>
      <c r="F144" s="50">
        <f t="shared" ca="1" si="1"/>
        <v>0.29659569080892478</v>
      </c>
      <c r="G144" s="8">
        <f t="shared" si="90"/>
        <v>0.74</v>
      </c>
      <c r="H144" s="49">
        <f t="shared" ca="1" si="108"/>
        <v>137</v>
      </c>
      <c r="J144" s="50">
        <f t="shared" ca="1" si="2"/>
        <v>0.36920884588256231</v>
      </c>
      <c r="K144" s="8">
        <f t="shared" si="91"/>
        <v>0.74</v>
      </c>
      <c r="L144" s="49">
        <f t="shared" ca="1" si="109"/>
        <v>102</v>
      </c>
      <c r="N144" s="50">
        <f t="shared" ca="1" si="3"/>
        <v>0.66666622160861855</v>
      </c>
      <c r="O144" s="8">
        <f t="shared" si="92"/>
        <v>0.74</v>
      </c>
      <c r="P144" s="49">
        <f t="shared" ca="1" si="110"/>
        <v>190</v>
      </c>
      <c r="R144" s="50">
        <f t="shared" ca="1" si="4"/>
        <v>0.63665839542184843</v>
      </c>
      <c r="S144" s="8">
        <f t="shared" si="93"/>
        <v>0.74</v>
      </c>
      <c r="T144" s="49">
        <f t="shared" ca="1" si="111"/>
        <v>113</v>
      </c>
      <c r="V144" s="50">
        <f t="shared" ca="1" si="5"/>
        <v>0.1673448479390548</v>
      </c>
      <c r="W144" s="8">
        <f t="shared" si="94"/>
        <v>0.74</v>
      </c>
      <c r="X144" s="49">
        <f t="shared" ca="1" si="112"/>
        <v>124</v>
      </c>
      <c r="Z144" s="50">
        <f t="shared" ca="1" si="6"/>
        <v>0.25082060107701676</v>
      </c>
      <c r="AA144" s="8">
        <f t="shared" si="95"/>
        <v>0.74</v>
      </c>
      <c r="AB144" s="49">
        <f t="shared" ca="1" si="113"/>
        <v>165</v>
      </c>
      <c r="AD144" s="50">
        <f t="shared" ca="1" si="7"/>
        <v>0.87559724355629498</v>
      </c>
      <c r="AE144" s="8">
        <f t="shared" si="96"/>
        <v>0.74</v>
      </c>
      <c r="AF144" s="49">
        <f t="shared" ca="1" si="114"/>
        <v>317</v>
      </c>
      <c r="AH144" s="50">
        <f t="shared" ca="1" si="8"/>
        <v>0.93275861130903726</v>
      </c>
      <c r="AI144" s="8">
        <f t="shared" si="97"/>
        <v>0.74</v>
      </c>
      <c r="AJ144" s="49">
        <f t="shared" ca="1" si="115"/>
        <v>187</v>
      </c>
      <c r="AL144" s="50">
        <f t="shared" ca="1" si="9"/>
        <v>0.46096556134336963</v>
      </c>
      <c r="AM144" s="8">
        <f t="shared" si="98"/>
        <v>0.74</v>
      </c>
      <c r="AN144" s="49">
        <f t="shared" ca="1" si="116"/>
        <v>107</v>
      </c>
      <c r="AP144" s="50">
        <f t="shared" ca="1" si="10"/>
        <v>0.76403006156729603</v>
      </c>
      <c r="AQ144" s="8">
        <f t="shared" si="99"/>
        <v>0.74</v>
      </c>
      <c r="AR144" s="49">
        <f t="shared" ca="1" si="117"/>
        <v>192</v>
      </c>
      <c r="AT144" s="50">
        <f t="shared" ca="1" si="11"/>
        <v>0.39289005089600348</v>
      </c>
      <c r="AU144" s="8">
        <f t="shared" si="100"/>
        <v>0.74</v>
      </c>
      <c r="AV144" s="49">
        <f t="shared" ca="1" si="118"/>
        <v>132</v>
      </c>
      <c r="AX144" s="50">
        <f t="shared" ca="1" si="12"/>
        <v>0.19945522031277896</v>
      </c>
      <c r="AY144" s="8">
        <f t="shared" si="101"/>
        <v>0.74</v>
      </c>
      <c r="AZ144" s="49">
        <f t="shared" ca="1" si="119"/>
        <v>104</v>
      </c>
      <c r="BB144" s="50">
        <f t="shared" ca="1" si="13"/>
        <v>0.27333796761179963</v>
      </c>
      <c r="BC144" s="8">
        <f t="shared" si="102"/>
        <v>0.74</v>
      </c>
      <c r="BD144" s="49">
        <f t="shared" ca="1" si="120"/>
        <v>100</v>
      </c>
      <c r="BF144" s="50">
        <f t="shared" ca="1" si="14"/>
        <v>0.69170926599116456</v>
      </c>
      <c r="BG144" s="8">
        <f t="shared" si="103"/>
        <v>0.74</v>
      </c>
      <c r="BH144" s="49">
        <f t="shared" ca="1" si="121"/>
        <v>139</v>
      </c>
      <c r="BJ144" s="50">
        <f t="shared" ca="1" si="15"/>
        <v>8.2842807307968336E-2</v>
      </c>
      <c r="BK144" s="8">
        <f t="shared" si="104"/>
        <v>0.74</v>
      </c>
      <c r="BL144" s="49">
        <f t="shared" ca="1" si="122"/>
        <v>62</v>
      </c>
      <c r="BN144" s="50">
        <f t="shared" ca="1" si="16"/>
        <v>0.71850154854960524</v>
      </c>
      <c r="BO144" s="8">
        <f t="shared" si="105"/>
        <v>0.74</v>
      </c>
      <c r="BP144" s="49">
        <f t="shared" ca="1" si="123"/>
        <v>149</v>
      </c>
      <c r="BR144" s="50">
        <f t="shared" ca="1" si="17"/>
        <v>0.7113187971033097</v>
      </c>
      <c r="BS144" s="8">
        <f t="shared" si="106"/>
        <v>0.74</v>
      </c>
      <c r="BT144" s="49">
        <f t="shared" ca="1" si="124"/>
        <v>156</v>
      </c>
    </row>
    <row r="145" spans="1:72" x14ac:dyDescent="0.2">
      <c r="A145" s="22">
        <v>44692</v>
      </c>
      <c r="B145" s="50">
        <f t="shared" ca="1" si="0"/>
        <v>0.14363915186941045</v>
      </c>
      <c r="C145" s="8">
        <f t="shared" si="89"/>
        <v>0.74</v>
      </c>
      <c r="D145" s="49">
        <f t="shared" ca="1" si="107"/>
        <v>59</v>
      </c>
      <c r="F145" s="50">
        <f t="shared" ca="1" si="1"/>
        <v>0.32405231361025488</v>
      </c>
      <c r="G145" s="8">
        <f t="shared" si="90"/>
        <v>0.74</v>
      </c>
      <c r="H145" s="49">
        <f t="shared" ca="1" si="108"/>
        <v>140</v>
      </c>
      <c r="J145" s="50">
        <f t="shared" ca="1" si="2"/>
        <v>0.43432405331661827</v>
      </c>
      <c r="K145" s="8">
        <f t="shared" si="91"/>
        <v>0.74</v>
      </c>
      <c r="L145" s="49">
        <f t="shared" ca="1" si="109"/>
        <v>107</v>
      </c>
      <c r="N145" s="50">
        <f t="shared" ca="1" si="3"/>
        <v>0.39639967563535605</v>
      </c>
      <c r="O145" s="8">
        <f t="shared" si="92"/>
        <v>0.74</v>
      </c>
      <c r="P145" s="49">
        <f t="shared" ca="1" si="110"/>
        <v>158</v>
      </c>
      <c r="R145" s="50">
        <f t="shared" ca="1" si="4"/>
        <v>0.11030755094157962</v>
      </c>
      <c r="S145" s="8">
        <f t="shared" si="93"/>
        <v>0.74</v>
      </c>
      <c r="T145" s="49">
        <f t="shared" ca="1" si="111"/>
        <v>70</v>
      </c>
      <c r="V145" s="50">
        <f t="shared" ca="1" si="5"/>
        <v>0.20873821997878506</v>
      </c>
      <c r="W145" s="8">
        <f t="shared" si="94"/>
        <v>0.74</v>
      </c>
      <c r="X145" s="49">
        <f t="shared" ca="1" si="112"/>
        <v>131</v>
      </c>
      <c r="Z145" s="50">
        <f t="shared" ca="1" si="6"/>
        <v>0.12489670360832428</v>
      </c>
      <c r="AA145" s="8">
        <f t="shared" si="95"/>
        <v>0.74</v>
      </c>
      <c r="AB145" s="49">
        <f t="shared" ca="1" si="113"/>
        <v>139</v>
      </c>
      <c r="AD145" s="50">
        <f t="shared" ca="1" si="7"/>
        <v>0.77085137892053779</v>
      </c>
      <c r="AE145" s="8">
        <f t="shared" si="96"/>
        <v>0.74</v>
      </c>
      <c r="AF145" s="49">
        <f t="shared" ca="1" si="114"/>
        <v>290</v>
      </c>
      <c r="AH145" s="50">
        <f t="shared" ca="1" si="8"/>
        <v>0.87574009453163426</v>
      </c>
      <c r="AI145" s="8">
        <f t="shared" si="97"/>
        <v>0.74</v>
      </c>
      <c r="AJ145" s="49">
        <f t="shared" ca="1" si="115"/>
        <v>175</v>
      </c>
      <c r="AL145" s="50">
        <f t="shared" ca="1" si="9"/>
        <v>0.78947301508823087</v>
      </c>
      <c r="AM145" s="8">
        <f t="shared" si="98"/>
        <v>0.74</v>
      </c>
      <c r="AN145" s="49">
        <f t="shared" ca="1" si="116"/>
        <v>133</v>
      </c>
      <c r="AP145" s="50">
        <f t="shared" ca="1" si="10"/>
        <v>0.66617411030045204</v>
      </c>
      <c r="AQ145" s="8">
        <f t="shared" si="99"/>
        <v>0.74</v>
      </c>
      <c r="AR145" s="49">
        <f t="shared" ca="1" si="117"/>
        <v>179</v>
      </c>
      <c r="AT145" s="50">
        <f t="shared" ca="1" si="11"/>
        <v>0.5534223257587304</v>
      </c>
      <c r="AU145" s="8">
        <f t="shared" si="100"/>
        <v>0.74</v>
      </c>
      <c r="AV145" s="49">
        <f t="shared" ca="1" si="118"/>
        <v>147</v>
      </c>
      <c r="AX145" s="50">
        <f t="shared" ca="1" si="12"/>
        <v>0.11514642783749385</v>
      </c>
      <c r="AY145" s="8">
        <f t="shared" si="101"/>
        <v>0.74</v>
      </c>
      <c r="AZ145" s="49">
        <f t="shared" ca="1" si="119"/>
        <v>91</v>
      </c>
      <c r="BB145" s="50">
        <f t="shared" ca="1" si="13"/>
        <v>0.51481120757488608</v>
      </c>
      <c r="BC145" s="8">
        <f t="shared" si="102"/>
        <v>0.74</v>
      </c>
      <c r="BD145" s="49">
        <f t="shared" ca="1" si="120"/>
        <v>120</v>
      </c>
      <c r="BF145" s="50">
        <f t="shared" ca="1" si="14"/>
        <v>0.33225941287726746</v>
      </c>
      <c r="BG145" s="8">
        <f t="shared" si="103"/>
        <v>0.74</v>
      </c>
      <c r="BH145" s="49">
        <f t="shared" ca="1" si="121"/>
        <v>108</v>
      </c>
      <c r="BJ145" s="50">
        <f t="shared" ca="1" si="15"/>
        <v>0.40832308112169668</v>
      </c>
      <c r="BK145" s="8">
        <f t="shared" si="104"/>
        <v>0.74</v>
      </c>
      <c r="BL145" s="49">
        <f t="shared" ca="1" si="122"/>
        <v>91</v>
      </c>
      <c r="BN145" s="50">
        <f t="shared" ca="1" si="16"/>
        <v>0.17778567976689186</v>
      </c>
      <c r="BO145" s="8">
        <f t="shared" si="105"/>
        <v>0.74</v>
      </c>
      <c r="BP145" s="49">
        <f t="shared" ca="1" si="123"/>
        <v>97</v>
      </c>
      <c r="BR145" s="50">
        <f t="shared" ca="1" si="17"/>
        <v>8.1281142590593936E-2</v>
      </c>
      <c r="BS145" s="8">
        <f t="shared" si="106"/>
        <v>0.74</v>
      </c>
      <c r="BT145" s="49">
        <f t="shared" ca="1" si="124"/>
        <v>86</v>
      </c>
    </row>
    <row r="146" spans="1:72" x14ac:dyDescent="0.2">
      <c r="A146" s="22">
        <v>44693</v>
      </c>
      <c r="B146" s="50">
        <f t="shared" ca="1" si="0"/>
        <v>0.37254913438850412</v>
      </c>
      <c r="C146" s="8">
        <f t="shared" si="89"/>
        <v>0.74</v>
      </c>
      <c r="D146" s="49">
        <f t="shared" ca="1" si="107"/>
        <v>70</v>
      </c>
      <c r="F146" s="50">
        <f t="shared" ca="1" si="1"/>
        <v>0.44396981248859568</v>
      </c>
      <c r="G146" s="8">
        <f t="shared" si="90"/>
        <v>0.74</v>
      </c>
      <c r="H146" s="49">
        <f t="shared" ca="1" si="108"/>
        <v>154</v>
      </c>
      <c r="J146" s="50">
        <f t="shared" ca="1" si="2"/>
        <v>8.1799777637243332E-2</v>
      </c>
      <c r="K146" s="8">
        <f t="shared" si="91"/>
        <v>0.74</v>
      </c>
      <c r="L146" s="49">
        <f t="shared" ca="1" si="109"/>
        <v>70</v>
      </c>
      <c r="N146" s="50">
        <f t="shared" ca="1" si="3"/>
        <v>0.87602063266165353</v>
      </c>
      <c r="O146" s="8">
        <f t="shared" si="92"/>
        <v>0.74</v>
      </c>
      <c r="P146" s="49">
        <f t="shared" ca="1" si="110"/>
        <v>223</v>
      </c>
      <c r="R146" s="50">
        <f t="shared" ca="1" si="4"/>
        <v>0.60225503038841732</v>
      </c>
      <c r="S146" s="8">
        <f t="shared" si="93"/>
        <v>0.74</v>
      </c>
      <c r="T146" s="49">
        <f t="shared" ca="1" si="111"/>
        <v>110</v>
      </c>
      <c r="V146" s="50">
        <f t="shared" ca="1" si="5"/>
        <v>0.81362317647340332</v>
      </c>
      <c r="W146" s="8">
        <f t="shared" si="94"/>
        <v>0.74</v>
      </c>
      <c r="X146" s="49">
        <f t="shared" ca="1" si="112"/>
        <v>207</v>
      </c>
      <c r="Z146" s="50">
        <f t="shared" ca="1" si="6"/>
        <v>0.78450335465744858</v>
      </c>
      <c r="AA146" s="8">
        <f t="shared" si="95"/>
        <v>0.74</v>
      </c>
      <c r="AB146" s="49">
        <f t="shared" ca="1" si="113"/>
        <v>242</v>
      </c>
      <c r="AD146" s="50">
        <f t="shared" ca="1" si="7"/>
        <v>0.46482748229034621</v>
      </c>
      <c r="AE146" s="8">
        <f t="shared" si="96"/>
        <v>0.74</v>
      </c>
      <c r="AF146" s="49">
        <f t="shared" ca="1" si="114"/>
        <v>237</v>
      </c>
      <c r="AH146" s="50">
        <f t="shared" ca="1" si="8"/>
        <v>0.52249373872742089</v>
      </c>
      <c r="AI146" s="8">
        <f t="shared" si="97"/>
        <v>0.74</v>
      </c>
      <c r="AJ146" s="49">
        <f t="shared" ca="1" si="115"/>
        <v>136</v>
      </c>
      <c r="AL146" s="50">
        <f t="shared" ca="1" si="9"/>
        <v>0.64681280185471179</v>
      </c>
      <c r="AM146" s="8">
        <f t="shared" si="98"/>
        <v>0.74</v>
      </c>
      <c r="AN146" s="49">
        <f t="shared" ca="1" si="116"/>
        <v>120</v>
      </c>
      <c r="AP146" s="50">
        <f t="shared" ca="1" si="10"/>
        <v>0.48435077001294746</v>
      </c>
      <c r="AQ146" s="8">
        <f t="shared" si="99"/>
        <v>0.74</v>
      </c>
      <c r="AR146" s="49">
        <f t="shared" ca="1" si="117"/>
        <v>159</v>
      </c>
      <c r="AT146" s="50">
        <f t="shared" ca="1" si="11"/>
        <v>0.35294217521681448</v>
      </c>
      <c r="AU146" s="8">
        <f t="shared" si="100"/>
        <v>0.74</v>
      </c>
      <c r="AV146" s="49">
        <f t="shared" ca="1" si="118"/>
        <v>128</v>
      </c>
      <c r="AX146" s="50">
        <f t="shared" ca="1" si="12"/>
        <v>0.1403667188360318</v>
      </c>
      <c r="AY146" s="8">
        <f t="shared" si="101"/>
        <v>0.74</v>
      </c>
      <c r="AZ146" s="49">
        <f t="shared" ca="1" si="119"/>
        <v>95</v>
      </c>
      <c r="BB146" s="50">
        <f t="shared" ca="1" si="13"/>
        <v>2.1609361137355787E-2</v>
      </c>
      <c r="BC146" s="8">
        <f t="shared" si="102"/>
        <v>0.74</v>
      </c>
      <c r="BD146" s="49">
        <f t="shared" ca="1" si="120"/>
        <v>55</v>
      </c>
      <c r="BF146" s="50">
        <f t="shared" ca="1" si="14"/>
        <v>0.56575485022282268</v>
      </c>
      <c r="BG146" s="8">
        <f t="shared" si="103"/>
        <v>0.74</v>
      </c>
      <c r="BH146" s="49">
        <f t="shared" ca="1" si="121"/>
        <v>128</v>
      </c>
      <c r="BJ146" s="50">
        <f t="shared" ca="1" si="15"/>
        <v>7.4687699505916694E-2</v>
      </c>
      <c r="BK146" s="8">
        <f t="shared" si="104"/>
        <v>0.74</v>
      </c>
      <c r="BL146" s="49">
        <f t="shared" ca="1" si="122"/>
        <v>60</v>
      </c>
      <c r="BN146" s="50">
        <f t="shared" ca="1" si="16"/>
        <v>0.63630030714259234</v>
      </c>
      <c r="BO146" s="8">
        <f t="shared" si="105"/>
        <v>0.74</v>
      </c>
      <c r="BP146" s="49">
        <f t="shared" ca="1" si="123"/>
        <v>141</v>
      </c>
      <c r="BR146" s="50">
        <f t="shared" ca="1" si="17"/>
        <v>0.72092811203453022</v>
      </c>
      <c r="BS146" s="8">
        <f t="shared" si="106"/>
        <v>0.74</v>
      </c>
      <c r="BT146" s="49">
        <f t="shared" ca="1" si="124"/>
        <v>157</v>
      </c>
    </row>
    <row r="147" spans="1:72" x14ac:dyDescent="0.2">
      <c r="A147" s="22">
        <v>44694</v>
      </c>
      <c r="B147" s="50">
        <f t="shared" ca="1" si="0"/>
        <v>0.65253337038209169</v>
      </c>
      <c r="C147" s="8">
        <f t="shared" si="89"/>
        <v>0.74</v>
      </c>
      <c r="D147" s="49">
        <f t="shared" ca="1" si="107"/>
        <v>80</v>
      </c>
      <c r="F147" s="50">
        <f t="shared" ca="1" si="1"/>
        <v>0.29271198785358998</v>
      </c>
      <c r="G147" s="8">
        <f t="shared" si="90"/>
        <v>0.74</v>
      </c>
      <c r="H147" s="49">
        <f t="shared" ca="1" si="108"/>
        <v>137</v>
      </c>
      <c r="J147" s="50">
        <f t="shared" ca="1" si="2"/>
        <v>0.79914827173811953</v>
      </c>
      <c r="K147" s="8">
        <f t="shared" si="91"/>
        <v>0.74</v>
      </c>
      <c r="L147" s="49">
        <f t="shared" ca="1" si="109"/>
        <v>136</v>
      </c>
      <c r="N147" s="50">
        <f t="shared" ca="1" si="3"/>
        <v>0.94623947021459642</v>
      </c>
      <c r="O147" s="8">
        <f t="shared" si="92"/>
        <v>0.74</v>
      </c>
      <c r="P147" s="49">
        <f t="shared" ca="1" si="110"/>
        <v>243</v>
      </c>
      <c r="R147" s="50">
        <f t="shared" ca="1" si="4"/>
        <v>0.22197923630816629</v>
      </c>
      <c r="S147" s="8">
        <f t="shared" si="93"/>
        <v>0.74</v>
      </c>
      <c r="T147" s="49">
        <f t="shared" ca="1" si="111"/>
        <v>82</v>
      </c>
      <c r="V147" s="50">
        <f t="shared" ca="1" si="5"/>
        <v>0.90715446632555008</v>
      </c>
      <c r="W147" s="8">
        <f t="shared" si="94"/>
        <v>0.74</v>
      </c>
      <c r="X147" s="49">
        <f t="shared" ca="1" si="112"/>
        <v>226</v>
      </c>
      <c r="Z147" s="50">
        <f t="shared" ca="1" si="6"/>
        <v>0.40990642693684554</v>
      </c>
      <c r="AA147" s="8">
        <f t="shared" si="95"/>
        <v>0.74</v>
      </c>
      <c r="AB147" s="49">
        <f t="shared" ca="1" si="113"/>
        <v>188</v>
      </c>
      <c r="AD147" s="50">
        <f t="shared" ca="1" si="7"/>
        <v>0.78062999347531847</v>
      </c>
      <c r="AE147" s="8">
        <f t="shared" si="96"/>
        <v>0.74</v>
      </c>
      <c r="AF147" s="49">
        <f t="shared" ca="1" si="114"/>
        <v>292</v>
      </c>
      <c r="AH147" s="50">
        <f t="shared" ca="1" si="8"/>
        <v>0.63934313994381164</v>
      </c>
      <c r="AI147" s="8">
        <f t="shared" si="97"/>
        <v>0.74</v>
      </c>
      <c r="AJ147" s="49">
        <f t="shared" ca="1" si="115"/>
        <v>146</v>
      </c>
      <c r="AL147" s="50">
        <f t="shared" ca="1" si="9"/>
        <v>0.18995210981595467</v>
      </c>
      <c r="AM147" s="8">
        <f t="shared" si="98"/>
        <v>0.74</v>
      </c>
      <c r="AN147" s="49">
        <f t="shared" ca="1" si="116"/>
        <v>84</v>
      </c>
      <c r="AP147" s="50">
        <f t="shared" ca="1" si="10"/>
        <v>0.55855242944132277</v>
      </c>
      <c r="AQ147" s="8">
        <f t="shared" si="99"/>
        <v>0.74</v>
      </c>
      <c r="AR147" s="49">
        <f t="shared" ca="1" si="117"/>
        <v>167</v>
      </c>
      <c r="AT147" s="50">
        <f t="shared" ca="1" si="11"/>
        <v>0.24434873356039344</v>
      </c>
      <c r="AU147" s="8">
        <f t="shared" si="100"/>
        <v>0.74</v>
      </c>
      <c r="AV147" s="49">
        <f t="shared" ca="1" si="118"/>
        <v>116</v>
      </c>
      <c r="AX147" s="50">
        <f t="shared" ca="1" si="12"/>
        <v>0.53759882897611311</v>
      </c>
      <c r="AY147" s="8">
        <f t="shared" si="101"/>
        <v>0.74</v>
      </c>
      <c r="AZ147" s="49">
        <f t="shared" ca="1" si="119"/>
        <v>137</v>
      </c>
      <c r="BB147" s="50">
        <f t="shared" ca="1" si="13"/>
        <v>0.38723969830301874</v>
      </c>
      <c r="BC147" s="8">
        <f t="shared" si="102"/>
        <v>0.74</v>
      </c>
      <c r="BD147" s="49">
        <f t="shared" ca="1" si="120"/>
        <v>110</v>
      </c>
      <c r="BF147" s="50">
        <f t="shared" ca="1" si="14"/>
        <v>0.87619118567245124</v>
      </c>
      <c r="BG147" s="8">
        <f t="shared" si="103"/>
        <v>0.74</v>
      </c>
      <c r="BH147" s="49">
        <f t="shared" ca="1" si="121"/>
        <v>160</v>
      </c>
      <c r="BJ147" s="50">
        <f t="shared" ca="1" si="15"/>
        <v>0.65956584343126223</v>
      </c>
      <c r="BK147" s="8">
        <f t="shared" si="104"/>
        <v>0.74</v>
      </c>
      <c r="BL147" s="49">
        <f t="shared" ca="1" si="122"/>
        <v>108</v>
      </c>
      <c r="BN147" s="50">
        <f t="shared" ca="1" si="16"/>
        <v>0.95029904802369036</v>
      </c>
      <c r="BO147" s="8">
        <f t="shared" si="105"/>
        <v>0.74</v>
      </c>
      <c r="BP147" s="49">
        <f t="shared" ca="1" si="123"/>
        <v>185</v>
      </c>
      <c r="BR147" s="50">
        <f t="shared" ca="1" si="17"/>
        <v>0.59131278483422389</v>
      </c>
      <c r="BS147" s="8">
        <f t="shared" si="106"/>
        <v>0.74</v>
      </c>
      <c r="BT147" s="49">
        <f t="shared" ca="1" si="124"/>
        <v>145</v>
      </c>
    </row>
    <row r="148" spans="1:72" x14ac:dyDescent="0.2">
      <c r="A148" s="22">
        <v>44695</v>
      </c>
      <c r="B148" s="50">
        <f t="shared" ca="1" si="0"/>
        <v>0.91634324005516832</v>
      </c>
      <c r="C148" s="8">
        <f t="shared" si="89"/>
        <v>0.74</v>
      </c>
      <c r="D148" s="49">
        <f t="shared" ca="1" si="107"/>
        <v>95</v>
      </c>
      <c r="F148" s="50">
        <f t="shared" ca="1" si="1"/>
        <v>0.69728528522905198</v>
      </c>
      <c r="G148" s="8">
        <f t="shared" si="90"/>
        <v>0.74</v>
      </c>
      <c r="H148" s="49">
        <f t="shared" ca="1" si="108"/>
        <v>182</v>
      </c>
      <c r="J148" s="50">
        <f t="shared" ca="1" si="2"/>
        <v>0.40592233140227185</v>
      </c>
      <c r="K148" s="8">
        <f t="shared" si="91"/>
        <v>0.74</v>
      </c>
      <c r="L148" s="49">
        <f t="shared" ca="1" si="109"/>
        <v>104</v>
      </c>
      <c r="N148" s="50">
        <f t="shared" ca="1" si="3"/>
        <v>4.5848750239432912E-2</v>
      </c>
      <c r="O148" s="8">
        <f t="shared" si="92"/>
        <v>0.74</v>
      </c>
      <c r="P148" s="49">
        <f t="shared" ca="1" si="110"/>
        <v>94</v>
      </c>
      <c r="R148" s="50">
        <f t="shared" ca="1" si="4"/>
        <v>0.57984236042019377</v>
      </c>
      <c r="S148" s="8">
        <f t="shared" si="93"/>
        <v>0.74</v>
      </c>
      <c r="T148" s="49">
        <f t="shared" ca="1" si="111"/>
        <v>109</v>
      </c>
      <c r="V148" s="50">
        <f t="shared" ca="1" si="5"/>
        <v>0.19808868527578705</v>
      </c>
      <c r="W148" s="8">
        <f t="shared" si="94"/>
        <v>0.74</v>
      </c>
      <c r="X148" s="49">
        <f t="shared" ca="1" si="112"/>
        <v>129</v>
      </c>
      <c r="Z148" s="50">
        <f t="shared" ca="1" si="6"/>
        <v>0.71110820718319234</v>
      </c>
      <c r="AA148" s="8">
        <f t="shared" si="95"/>
        <v>0.74</v>
      </c>
      <c r="AB148" s="49">
        <f t="shared" ca="1" si="113"/>
        <v>230</v>
      </c>
      <c r="AD148" s="50">
        <f t="shared" ca="1" si="7"/>
        <v>0.24625904896285744</v>
      </c>
      <c r="AE148" s="8">
        <f t="shared" si="96"/>
        <v>0.74</v>
      </c>
      <c r="AF148" s="49">
        <f t="shared" ca="1" si="114"/>
        <v>198</v>
      </c>
      <c r="AH148" s="50">
        <f t="shared" ca="1" si="8"/>
        <v>0.25081145929655302</v>
      </c>
      <c r="AI148" s="8">
        <f t="shared" si="97"/>
        <v>0.74</v>
      </c>
      <c r="AJ148" s="49">
        <f t="shared" ca="1" si="115"/>
        <v>110</v>
      </c>
      <c r="AL148" s="50">
        <f t="shared" ca="1" si="9"/>
        <v>0.45520171808276888</v>
      </c>
      <c r="AM148" s="8">
        <f t="shared" si="98"/>
        <v>0.74</v>
      </c>
      <c r="AN148" s="49">
        <f t="shared" ca="1" si="116"/>
        <v>106</v>
      </c>
      <c r="AP148" s="50">
        <f t="shared" ca="1" si="10"/>
        <v>0.39151661611502653</v>
      </c>
      <c r="AQ148" s="8">
        <f t="shared" si="99"/>
        <v>0.74</v>
      </c>
      <c r="AR148" s="49">
        <f t="shared" ca="1" si="117"/>
        <v>149</v>
      </c>
      <c r="AT148" s="50">
        <f t="shared" ca="1" si="11"/>
        <v>0.58682851347142251</v>
      </c>
      <c r="AU148" s="8">
        <f t="shared" si="100"/>
        <v>0.74</v>
      </c>
      <c r="AV148" s="49">
        <f t="shared" ca="1" si="118"/>
        <v>151</v>
      </c>
      <c r="AX148" s="50">
        <f t="shared" ca="1" si="12"/>
        <v>0.68435780198399654</v>
      </c>
      <c r="AY148" s="8">
        <f t="shared" si="101"/>
        <v>0.74</v>
      </c>
      <c r="AZ148" s="49">
        <f t="shared" ca="1" si="119"/>
        <v>151</v>
      </c>
      <c r="BB148" s="50">
        <f t="shared" ca="1" si="13"/>
        <v>0.75138594439185524</v>
      </c>
      <c r="BC148" s="8">
        <f t="shared" si="102"/>
        <v>0.74</v>
      </c>
      <c r="BD148" s="49">
        <f t="shared" ca="1" si="120"/>
        <v>140</v>
      </c>
      <c r="BF148" s="50">
        <f t="shared" ca="1" si="14"/>
        <v>0.85564563674293359</v>
      </c>
      <c r="BG148" s="8">
        <f t="shared" si="103"/>
        <v>0.74</v>
      </c>
      <c r="BH148" s="49">
        <f t="shared" ca="1" si="121"/>
        <v>157</v>
      </c>
      <c r="BJ148" s="50">
        <f t="shared" ca="1" si="15"/>
        <v>0.542993593623187</v>
      </c>
      <c r="BK148" s="8">
        <f t="shared" si="104"/>
        <v>0.74</v>
      </c>
      <c r="BL148" s="49">
        <f t="shared" ca="1" si="122"/>
        <v>100</v>
      </c>
      <c r="BN148" s="50">
        <f t="shared" ca="1" si="16"/>
        <v>0.47729962289553207</v>
      </c>
      <c r="BO148" s="8">
        <f t="shared" si="105"/>
        <v>0.74</v>
      </c>
      <c r="BP148" s="49">
        <f t="shared" ca="1" si="123"/>
        <v>127</v>
      </c>
      <c r="BR148" s="50">
        <f t="shared" ca="1" si="17"/>
        <v>0.25970070829241398</v>
      </c>
      <c r="BS148" s="8">
        <f t="shared" si="106"/>
        <v>0.74</v>
      </c>
      <c r="BT148" s="49">
        <f t="shared" ca="1" si="124"/>
        <v>113</v>
      </c>
    </row>
    <row r="149" spans="1:72" x14ac:dyDescent="0.2">
      <c r="A149" s="22">
        <v>44696</v>
      </c>
      <c r="B149" s="50">
        <f t="shared" ca="1" si="0"/>
        <v>0.43354445975768818</v>
      </c>
      <c r="C149" s="8">
        <f t="shared" si="89"/>
        <v>0.74</v>
      </c>
      <c r="D149" s="49">
        <f t="shared" ca="1" si="107"/>
        <v>72</v>
      </c>
      <c r="F149" s="50">
        <f t="shared" ca="1" si="1"/>
        <v>0.59893286681456226</v>
      </c>
      <c r="G149" s="8">
        <f t="shared" si="90"/>
        <v>0.74</v>
      </c>
      <c r="H149" s="49">
        <f t="shared" ca="1" si="108"/>
        <v>171</v>
      </c>
      <c r="J149" s="50">
        <f t="shared" ca="1" si="2"/>
        <v>0.93478544206855918</v>
      </c>
      <c r="K149" s="8">
        <f t="shared" si="91"/>
        <v>0.74</v>
      </c>
      <c r="L149" s="49">
        <f t="shared" ca="1" si="109"/>
        <v>156</v>
      </c>
      <c r="N149" s="50">
        <f t="shared" ca="1" si="3"/>
        <v>3.6034567205207924E-2</v>
      </c>
      <c r="O149" s="8">
        <f t="shared" si="92"/>
        <v>0.74</v>
      </c>
      <c r="P149" s="49">
        <f t="shared" ca="1" si="110"/>
        <v>89</v>
      </c>
      <c r="R149" s="50">
        <f t="shared" ca="1" si="4"/>
        <v>7.4816611927954857E-2</v>
      </c>
      <c r="S149" s="8">
        <f t="shared" si="93"/>
        <v>0.74</v>
      </c>
      <c r="T149" s="49">
        <f t="shared" ca="1" si="111"/>
        <v>64</v>
      </c>
      <c r="V149" s="50">
        <f t="shared" ca="1" si="5"/>
        <v>0.67588402512680346</v>
      </c>
      <c r="W149" s="8">
        <f t="shared" si="94"/>
        <v>0.74</v>
      </c>
      <c r="X149" s="49">
        <f t="shared" ca="1" si="112"/>
        <v>187</v>
      </c>
      <c r="Z149" s="50">
        <f t="shared" ca="1" si="6"/>
        <v>0.35737232521614148</v>
      </c>
      <c r="AA149" s="8">
        <f t="shared" si="95"/>
        <v>0.74</v>
      </c>
      <c r="AB149" s="49">
        <f t="shared" ca="1" si="113"/>
        <v>181</v>
      </c>
      <c r="AD149" s="50">
        <f t="shared" ca="1" si="7"/>
        <v>0.43896822087537368</v>
      </c>
      <c r="AE149" s="8">
        <f t="shared" si="96"/>
        <v>0.74</v>
      </c>
      <c r="AF149" s="49">
        <f t="shared" ca="1" si="114"/>
        <v>233</v>
      </c>
      <c r="AH149" s="50">
        <f t="shared" ca="1" si="8"/>
        <v>0.64416442913587302</v>
      </c>
      <c r="AI149" s="8">
        <f t="shared" si="97"/>
        <v>0.74</v>
      </c>
      <c r="AJ149" s="49">
        <f t="shared" ca="1" si="115"/>
        <v>147</v>
      </c>
      <c r="AL149" s="50">
        <f t="shared" ca="1" si="9"/>
        <v>0.53572627125073047</v>
      </c>
      <c r="AM149" s="8">
        <f t="shared" si="98"/>
        <v>0.74</v>
      </c>
      <c r="AN149" s="49">
        <f t="shared" ca="1" si="116"/>
        <v>112</v>
      </c>
      <c r="AP149" s="50">
        <f t="shared" ca="1" si="10"/>
        <v>0.29682149625510446</v>
      </c>
      <c r="AQ149" s="8">
        <f t="shared" si="99"/>
        <v>0.74</v>
      </c>
      <c r="AR149" s="49">
        <f t="shared" ca="1" si="117"/>
        <v>138</v>
      </c>
      <c r="AT149" s="50">
        <f t="shared" ca="1" si="11"/>
        <v>0.40311665414587106</v>
      </c>
      <c r="AU149" s="8">
        <f t="shared" si="100"/>
        <v>0.74</v>
      </c>
      <c r="AV149" s="49">
        <f t="shared" ca="1" si="118"/>
        <v>133</v>
      </c>
      <c r="AX149" s="50">
        <f t="shared" ca="1" si="12"/>
        <v>0.74170041986489543</v>
      </c>
      <c r="AY149" s="8">
        <f t="shared" si="101"/>
        <v>0.74</v>
      </c>
      <c r="AZ149" s="49">
        <f t="shared" ca="1" si="119"/>
        <v>157</v>
      </c>
      <c r="BB149" s="50">
        <f t="shared" ca="1" si="13"/>
        <v>0.92659328498997151</v>
      </c>
      <c r="BC149" s="8">
        <f t="shared" si="102"/>
        <v>0.74</v>
      </c>
      <c r="BD149" s="49">
        <f t="shared" ca="1" si="120"/>
        <v>164</v>
      </c>
      <c r="BF149" s="50">
        <f t="shared" ca="1" si="14"/>
        <v>0.72021162276550887</v>
      </c>
      <c r="BG149" s="8">
        <f t="shared" si="103"/>
        <v>0.74</v>
      </c>
      <c r="BH149" s="49">
        <f t="shared" ca="1" si="121"/>
        <v>141</v>
      </c>
      <c r="BJ149" s="50">
        <f t="shared" ca="1" si="15"/>
        <v>0.15185932836267968</v>
      </c>
      <c r="BK149" s="8">
        <f t="shared" si="104"/>
        <v>0.74</v>
      </c>
      <c r="BL149" s="49">
        <f t="shared" ca="1" si="122"/>
        <v>71</v>
      </c>
      <c r="BN149" s="50">
        <f t="shared" ca="1" si="16"/>
        <v>0.46389375240780606</v>
      </c>
      <c r="BO149" s="8">
        <f t="shared" si="105"/>
        <v>0.74</v>
      </c>
      <c r="BP149" s="49">
        <f t="shared" ca="1" si="123"/>
        <v>126</v>
      </c>
      <c r="BR149" s="50">
        <f t="shared" ca="1" si="17"/>
        <v>0.9411598458283108</v>
      </c>
      <c r="BS149" s="8">
        <f t="shared" si="106"/>
        <v>0.74</v>
      </c>
      <c r="BT149" s="49">
        <f t="shared" ca="1" si="124"/>
        <v>193</v>
      </c>
    </row>
    <row r="150" spans="1:72" x14ac:dyDescent="0.2">
      <c r="A150" s="22">
        <v>44697</v>
      </c>
      <c r="B150" s="50">
        <f t="shared" ca="1" si="0"/>
        <v>0.56216643205127792</v>
      </c>
      <c r="C150" s="8">
        <f t="shared" si="89"/>
        <v>0.74</v>
      </c>
      <c r="D150" s="49">
        <f t="shared" ca="1" si="107"/>
        <v>77</v>
      </c>
      <c r="F150" s="50">
        <f t="shared" ca="1" si="1"/>
        <v>0.44515206234215432</v>
      </c>
      <c r="G150" s="8">
        <f t="shared" si="90"/>
        <v>0.74</v>
      </c>
      <c r="H150" s="49">
        <f t="shared" ca="1" si="108"/>
        <v>154</v>
      </c>
      <c r="J150" s="50">
        <f t="shared" ca="1" si="2"/>
        <v>3.6448837624280861E-2</v>
      </c>
      <c r="K150" s="8">
        <f t="shared" si="91"/>
        <v>0.74</v>
      </c>
      <c r="L150" s="49">
        <f t="shared" ca="1" si="109"/>
        <v>58</v>
      </c>
      <c r="N150" s="50">
        <f t="shared" ca="1" si="3"/>
        <v>0.99987378365646151</v>
      </c>
      <c r="O150" s="8">
        <f t="shared" si="92"/>
        <v>0.74</v>
      </c>
      <c r="P150" s="49">
        <f t="shared" ca="1" si="110"/>
        <v>336</v>
      </c>
      <c r="R150" s="50">
        <f t="shared" ca="1" si="4"/>
        <v>0.42979890053975978</v>
      </c>
      <c r="S150" s="8">
        <f t="shared" si="93"/>
        <v>0.74</v>
      </c>
      <c r="T150" s="49">
        <f t="shared" ca="1" si="111"/>
        <v>98</v>
      </c>
      <c r="V150" s="50">
        <f t="shared" ca="1" si="5"/>
        <v>0.59824795337310144</v>
      </c>
      <c r="W150" s="8">
        <f t="shared" si="94"/>
        <v>0.74</v>
      </c>
      <c r="X150" s="49">
        <f t="shared" ca="1" si="112"/>
        <v>178</v>
      </c>
      <c r="Z150" s="50">
        <f t="shared" ca="1" si="6"/>
        <v>0.71803839209014608</v>
      </c>
      <c r="AA150" s="8">
        <f t="shared" si="95"/>
        <v>0.74</v>
      </c>
      <c r="AB150" s="49">
        <f t="shared" ca="1" si="113"/>
        <v>231</v>
      </c>
      <c r="AD150" s="50">
        <f t="shared" ca="1" si="7"/>
        <v>4.3371691056225181E-2</v>
      </c>
      <c r="AE150" s="8">
        <f t="shared" si="96"/>
        <v>0.74</v>
      </c>
      <c r="AF150" s="49">
        <f t="shared" ca="1" si="114"/>
        <v>132</v>
      </c>
      <c r="AH150" s="50">
        <f t="shared" ca="1" si="8"/>
        <v>0.32084996025070578</v>
      </c>
      <c r="AI150" s="8">
        <f t="shared" si="97"/>
        <v>0.74</v>
      </c>
      <c r="AJ150" s="49">
        <f t="shared" ca="1" si="115"/>
        <v>117</v>
      </c>
      <c r="AL150" s="50">
        <f t="shared" ca="1" si="9"/>
        <v>0.24607622278249819</v>
      </c>
      <c r="AM150" s="8">
        <f t="shared" si="98"/>
        <v>0.74</v>
      </c>
      <c r="AN150" s="49">
        <f t="shared" ca="1" si="116"/>
        <v>89</v>
      </c>
      <c r="AP150" s="50">
        <f t="shared" ca="1" si="10"/>
        <v>0.93847723895540713</v>
      </c>
      <c r="AQ150" s="8">
        <f t="shared" si="99"/>
        <v>0.74</v>
      </c>
      <c r="AR150" s="49">
        <f t="shared" ca="1" si="117"/>
        <v>227</v>
      </c>
      <c r="AT150" s="50">
        <f t="shared" ca="1" si="11"/>
        <v>0.26796445517557355</v>
      </c>
      <c r="AU150" s="8">
        <f t="shared" si="100"/>
        <v>0.74</v>
      </c>
      <c r="AV150" s="49">
        <f t="shared" ca="1" si="118"/>
        <v>119</v>
      </c>
      <c r="AX150" s="50">
        <f t="shared" ca="1" si="12"/>
        <v>7.2752755241347278E-2</v>
      </c>
      <c r="AY150" s="8">
        <f t="shared" si="101"/>
        <v>0.74</v>
      </c>
      <c r="AZ150" s="49">
        <f t="shared" ca="1" si="119"/>
        <v>82</v>
      </c>
      <c r="BB150" s="50">
        <f t="shared" ca="1" si="13"/>
        <v>5.1453254821761996E-2</v>
      </c>
      <c r="BC150" s="8">
        <f t="shared" si="102"/>
        <v>0.74</v>
      </c>
      <c r="BD150" s="49">
        <f t="shared" ca="1" si="120"/>
        <v>67</v>
      </c>
      <c r="BF150" s="50">
        <f t="shared" ca="1" si="14"/>
        <v>9.2057188485659247E-2</v>
      </c>
      <c r="BG150" s="8">
        <f t="shared" si="103"/>
        <v>0.74</v>
      </c>
      <c r="BH150" s="49">
        <f t="shared" ca="1" si="121"/>
        <v>79</v>
      </c>
      <c r="BJ150" s="50">
        <f t="shared" ca="1" si="15"/>
        <v>0.58138589169788746</v>
      </c>
      <c r="BK150" s="8">
        <f t="shared" si="104"/>
        <v>0.74</v>
      </c>
      <c r="BL150" s="49">
        <f t="shared" ca="1" si="122"/>
        <v>103</v>
      </c>
      <c r="BN150" s="50">
        <f t="shared" ca="1" si="16"/>
        <v>0.56599565741418856</v>
      </c>
      <c r="BO150" s="8">
        <f t="shared" si="105"/>
        <v>0.74</v>
      </c>
      <c r="BP150" s="49">
        <f t="shared" ca="1" si="123"/>
        <v>135</v>
      </c>
      <c r="BR150" s="50">
        <f t="shared" ca="1" si="17"/>
        <v>7.2759665026651654E-2</v>
      </c>
      <c r="BS150" s="8">
        <f t="shared" si="106"/>
        <v>0.74</v>
      </c>
      <c r="BT150" s="49">
        <f t="shared" ca="1" si="124"/>
        <v>84</v>
      </c>
    </row>
    <row r="151" spans="1:72" x14ac:dyDescent="0.2">
      <c r="A151" s="22">
        <v>44698</v>
      </c>
      <c r="B151" s="50">
        <f t="shared" ca="1" si="0"/>
        <v>0.24166368389810911</v>
      </c>
      <c r="C151" s="8">
        <f t="shared" si="89"/>
        <v>0.74</v>
      </c>
      <c r="D151" s="49">
        <f t="shared" ca="1" si="107"/>
        <v>64</v>
      </c>
      <c r="F151" s="50">
        <f t="shared" ca="1" si="1"/>
        <v>0.6623619628239461</v>
      </c>
      <c r="G151" s="8">
        <f t="shared" si="90"/>
        <v>0.74</v>
      </c>
      <c r="H151" s="49">
        <f t="shared" ca="1" si="108"/>
        <v>178</v>
      </c>
      <c r="J151" s="50">
        <f t="shared" ca="1" si="2"/>
        <v>0.75355202432114965</v>
      </c>
      <c r="K151" s="8">
        <f t="shared" si="91"/>
        <v>0.74</v>
      </c>
      <c r="L151" s="49">
        <f t="shared" ca="1" si="109"/>
        <v>132</v>
      </c>
      <c r="N151" s="50">
        <f t="shared" ca="1" si="3"/>
        <v>6.2918384003855854E-2</v>
      </c>
      <c r="O151" s="8">
        <f t="shared" si="92"/>
        <v>0.74</v>
      </c>
      <c r="P151" s="49">
        <f t="shared" ca="1" si="110"/>
        <v>101</v>
      </c>
      <c r="R151" s="50">
        <f t="shared" ca="1" si="4"/>
        <v>0.18619087025221281</v>
      </c>
      <c r="S151" s="8">
        <f t="shared" si="93"/>
        <v>0.74</v>
      </c>
      <c r="T151" s="49">
        <f t="shared" ca="1" si="111"/>
        <v>79</v>
      </c>
      <c r="V151" s="50">
        <f t="shared" ca="1" si="5"/>
        <v>4.7361550250359485E-2</v>
      </c>
      <c r="W151" s="8">
        <f t="shared" si="94"/>
        <v>0.74</v>
      </c>
      <c r="X151" s="49">
        <f t="shared" ca="1" si="112"/>
        <v>93</v>
      </c>
      <c r="Z151" s="50">
        <f t="shared" ca="1" si="6"/>
        <v>0.19692776780537979</v>
      </c>
      <c r="AA151" s="8">
        <f t="shared" si="95"/>
        <v>0.74</v>
      </c>
      <c r="AB151" s="49">
        <f t="shared" ca="1" si="113"/>
        <v>155</v>
      </c>
      <c r="AD151" s="50">
        <f t="shared" ca="1" si="7"/>
        <v>0.41447910080705441</v>
      </c>
      <c r="AE151" s="8">
        <f t="shared" si="96"/>
        <v>0.74</v>
      </c>
      <c r="AF151" s="49">
        <f t="shared" ca="1" si="114"/>
        <v>229</v>
      </c>
      <c r="AH151" s="50">
        <f t="shared" ca="1" si="8"/>
        <v>0.38384772973210624</v>
      </c>
      <c r="AI151" s="8">
        <f t="shared" si="97"/>
        <v>0.74</v>
      </c>
      <c r="AJ151" s="49">
        <f t="shared" ca="1" si="115"/>
        <v>123</v>
      </c>
      <c r="AL151" s="50">
        <f t="shared" ca="1" si="9"/>
        <v>0.21839495325783542</v>
      </c>
      <c r="AM151" s="8">
        <f t="shared" si="98"/>
        <v>0.74</v>
      </c>
      <c r="AN151" s="49">
        <f t="shared" ca="1" si="116"/>
        <v>87</v>
      </c>
      <c r="AP151" s="50">
        <f t="shared" ca="1" si="10"/>
        <v>0.39304200226692032</v>
      </c>
      <c r="AQ151" s="8">
        <f t="shared" si="99"/>
        <v>0.74</v>
      </c>
      <c r="AR151" s="49">
        <f t="shared" ca="1" si="117"/>
        <v>149</v>
      </c>
      <c r="AT151" s="50">
        <f t="shared" ca="1" si="11"/>
        <v>0.5876602556891759</v>
      </c>
      <c r="AU151" s="8">
        <f t="shared" si="100"/>
        <v>0.74</v>
      </c>
      <c r="AV151" s="49">
        <f t="shared" ca="1" si="118"/>
        <v>151</v>
      </c>
      <c r="AX151" s="50">
        <f t="shared" ca="1" si="12"/>
        <v>0.89634712562540331</v>
      </c>
      <c r="AY151" s="8">
        <f t="shared" si="101"/>
        <v>0.74</v>
      </c>
      <c r="AZ151" s="49">
        <f t="shared" ca="1" si="119"/>
        <v>178</v>
      </c>
      <c r="BB151" s="50">
        <f t="shared" ca="1" si="13"/>
        <v>0.87285405182380427</v>
      </c>
      <c r="BC151" s="8">
        <f t="shared" si="102"/>
        <v>0.74</v>
      </c>
      <c r="BD151" s="49">
        <f t="shared" ca="1" si="120"/>
        <v>155</v>
      </c>
      <c r="BF151" s="50">
        <f t="shared" ca="1" si="14"/>
        <v>0.60691877290515517</v>
      </c>
      <c r="BG151" s="8">
        <f t="shared" si="103"/>
        <v>0.74</v>
      </c>
      <c r="BH151" s="49">
        <f t="shared" ca="1" si="121"/>
        <v>131</v>
      </c>
      <c r="BJ151" s="50">
        <f t="shared" ca="1" si="15"/>
        <v>0.28075122947583608</v>
      </c>
      <c r="BK151" s="8">
        <f t="shared" si="104"/>
        <v>0.74</v>
      </c>
      <c r="BL151" s="49">
        <f t="shared" ca="1" si="122"/>
        <v>82</v>
      </c>
      <c r="BN151" s="50">
        <f t="shared" ca="1" si="16"/>
        <v>0.56495263565251397</v>
      </c>
      <c r="BO151" s="8">
        <f t="shared" si="105"/>
        <v>0.74</v>
      </c>
      <c r="BP151" s="49">
        <f t="shared" ca="1" si="123"/>
        <v>135</v>
      </c>
      <c r="BR151" s="50">
        <f t="shared" ca="1" si="17"/>
        <v>0.4051122102934589</v>
      </c>
      <c r="BS151" s="8">
        <f t="shared" si="106"/>
        <v>0.74</v>
      </c>
      <c r="BT151" s="49">
        <f t="shared" ca="1" si="124"/>
        <v>128</v>
      </c>
    </row>
    <row r="152" spans="1:72" x14ac:dyDescent="0.2">
      <c r="A152" s="22">
        <v>44699</v>
      </c>
      <c r="B152" s="50">
        <f t="shared" ca="1" si="0"/>
        <v>0.30859287627700527</v>
      </c>
      <c r="C152" s="8">
        <f t="shared" si="89"/>
        <v>0.74</v>
      </c>
      <c r="D152" s="49">
        <f t="shared" ca="1" si="107"/>
        <v>67</v>
      </c>
      <c r="F152" s="50">
        <f t="shared" ca="1" si="1"/>
        <v>0.38197992151560678</v>
      </c>
      <c r="G152" s="8">
        <f t="shared" si="90"/>
        <v>0.74</v>
      </c>
      <c r="H152" s="49">
        <f t="shared" ca="1" si="108"/>
        <v>147</v>
      </c>
      <c r="J152" s="50">
        <f t="shared" ca="1" si="2"/>
        <v>0.15583498612665625</v>
      </c>
      <c r="K152" s="8">
        <f t="shared" si="91"/>
        <v>0.74</v>
      </c>
      <c r="L152" s="49">
        <f t="shared" ca="1" si="109"/>
        <v>82</v>
      </c>
      <c r="N152" s="50">
        <f t="shared" ca="1" si="3"/>
        <v>0.37782308028004397</v>
      </c>
      <c r="O152" s="8">
        <f t="shared" si="92"/>
        <v>0.74</v>
      </c>
      <c r="P152" s="49">
        <f t="shared" ca="1" si="110"/>
        <v>156</v>
      </c>
      <c r="R152" s="50">
        <f t="shared" ca="1" si="4"/>
        <v>0.47861546291775681</v>
      </c>
      <c r="S152" s="8">
        <f t="shared" si="93"/>
        <v>0.74</v>
      </c>
      <c r="T152" s="49">
        <f t="shared" ca="1" si="111"/>
        <v>102</v>
      </c>
      <c r="V152" s="50">
        <f t="shared" ca="1" si="5"/>
        <v>0.98674356201802282</v>
      </c>
      <c r="W152" s="8">
        <f t="shared" si="94"/>
        <v>0.74</v>
      </c>
      <c r="X152" s="49">
        <f t="shared" ca="1" si="112"/>
        <v>266</v>
      </c>
      <c r="Z152" s="50">
        <f t="shared" ca="1" si="6"/>
        <v>0.84585589403244399</v>
      </c>
      <c r="AA152" s="8">
        <f t="shared" si="95"/>
        <v>0.74</v>
      </c>
      <c r="AB152" s="49">
        <f t="shared" ca="1" si="113"/>
        <v>255</v>
      </c>
      <c r="AD152" s="50">
        <f t="shared" ca="1" si="7"/>
        <v>0.14129724221847051</v>
      </c>
      <c r="AE152" s="8">
        <f t="shared" si="96"/>
        <v>0.74</v>
      </c>
      <c r="AF152" s="49">
        <f t="shared" ca="1" si="114"/>
        <v>173</v>
      </c>
      <c r="AH152" s="50">
        <f t="shared" ca="1" si="8"/>
        <v>0.79630284863373335</v>
      </c>
      <c r="AI152" s="8">
        <f t="shared" si="97"/>
        <v>0.74</v>
      </c>
      <c r="AJ152" s="49">
        <f t="shared" ca="1" si="115"/>
        <v>163</v>
      </c>
      <c r="AL152" s="50">
        <f t="shared" ca="1" si="9"/>
        <v>0.23907052695717912</v>
      </c>
      <c r="AM152" s="8">
        <f t="shared" si="98"/>
        <v>0.74</v>
      </c>
      <c r="AN152" s="49">
        <f t="shared" ca="1" si="116"/>
        <v>89</v>
      </c>
      <c r="AP152" s="50">
        <f t="shared" ca="1" si="10"/>
        <v>0.70712024631862735</v>
      </c>
      <c r="AQ152" s="8">
        <f t="shared" si="99"/>
        <v>0.74</v>
      </c>
      <c r="AR152" s="49">
        <f t="shared" ca="1" si="117"/>
        <v>184</v>
      </c>
      <c r="AT152" s="50">
        <f t="shared" ca="1" si="11"/>
        <v>0.420359581935289</v>
      </c>
      <c r="AU152" s="8">
        <f t="shared" si="100"/>
        <v>0.74</v>
      </c>
      <c r="AV152" s="49">
        <f t="shared" ca="1" si="118"/>
        <v>135</v>
      </c>
      <c r="AX152" s="50">
        <f t="shared" ca="1" si="12"/>
        <v>0.29609097377506843</v>
      </c>
      <c r="AY152" s="8">
        <f t="shared" si="101"/>
        <v>0.74</v>
      </c>
      <c r="AZ152" s="49">
        <f t="shared" ca="1" si="119"/>
        <v>115</v>
      </c>
      <c r="BB152" s="50">
        <f t="shared" ca="1" si="13"/>
        <v>0.6219276370966238</v>
      </c>
      <c r="BC152" s="8">
        <f t="shared" si="102"/>
        <v>0.74</v>
      </c>
      <c r="BD152" s="49">
        <f t="shared" ca="1" si="120"/>
        <v>128</v>
      </c>
      <c r="BF152" s="50">
        <f t="shared" ca="1" si="14"/>
        <v>0.95704900990490349</v>
      </c>
      <c r="BG152" s="8">
        <f t="shared" si="103"/>
        <v>0.74</v>
      </c>
      <c r="BH152" s="49">
        <f t="shared" ca="1" si="121"/>
        <v>178</v>
      </c>
      <c r="BJ152" s="50">
        <f t="shared" ca="1" si="15"/>
        <v>0.74415165809145534</v>
      </c>
      <c r="BK152" s="8">
        <f t="shared" si="104"/>
        <v>0.74</v>
      </c>
      <c r="BL152" s="49">
        <f t="shared" ca="1" si="122"/>
        <v>114</v>
      </c>
      <c r="BN152" s="50">
        <f t="shared" ca="1" si="16"/>
        <v>0.82689538787965899</v>
      </c>
      <c r="BO152" s="8">
        <f t="shared" si="105"/>
        <v>0.74</v>
      </c>
      <c r="BP152" s="49">
        <f t="shared" ca="1" si="123"/>
        <v>161</v>
      </c>
      <c r="BR152" s="50">
        <f t="shared" ca="1" si="17"/>
        <v>0.80500382644802149</v>
      </c>
      <c r="BS152" s="8">
        <f t="shared" si="106"/>
        <v>0.74</v>
      </c>
      <c r="BT152" s="49">
        <f t="shared" ca="1" si="124"/>
        <v>167</v>
      </c>
    </row>
    <row r="153" spans="1:72" x14ac:dyDescent="0.2">
      <c r="A153" s="22">
        <v>44700</v>
      </c>
      <c r="B153" s="50">
        <f t="shared" ca="1" si="0"/>
        <v>0.78951922356878168</v>
      </c>
      <c r="C153" s="8">
        <f t="shared" si="89"/>
        <v>0.74</v>
      </c>
      <c r="D153" s="49">
        <f t="shared" ca="1" si="107"/>
        <v>86</v>
      </c>
      <c r="F153" s="50">
        <f t="shared" ca="1" si="1"/>
        <v>0.69463059775309244</v>
      </c>
      <c r="G153" s="8">
        <f t="shared" si="90"/>
        <v>0.74</v>
      </c>
      <c r="H153" s="49">
        <f t="shared" ca="1" si="108"/>
        <v>182</v>
      </c>
      <c r="J153" s="50">
        <f t="shared" ca="1" si="2"/>
        <v>0.31994149863847787</v>
      </c>
      <c r="K153" s="8">
        <f t="shared" si="91"/>
        <v>0.74</v>
      </c>
      <c r="L153" s="49">
        <f t="shared" ca="1" si="109"/>
        <v>98</v>
      </c>
      <c r="N153" s="50">
        <f t="shared" ca="1" si="3"/>
        <v>0.48374480436444367</v>
      </c>
      <c r="O153" s="8">
        <f t="shared" si="92"/>
        <v>0.74</v>
      </c>
      <c r="P153" s="49">
        <f t="shared" ca="1" si="110"/>
        <v>168</v>
      </c>
      <c r="R153" s="50">
        <f t="shared" ca="1" si="4"/>
        <v>0.15301840476647499</v>
      </c>
      <c r="S153" s="8">
        <f t="shared" si="93"/>
        <v>0.74</v>
      </c>
      <c r="T153" s="49">
        <f t="shared" ca="1" si="111"/>
        <v>75</v>
      </c>
      <c r="V153" s="50">
        <f t="shared" ca="1" si="5"/>
        <v>0.17956527953210777</v>
      </c>
      <c r="W153" s="8">
        <f t="shared" si="94"/>
        <v>0.74</v>
      </c>
      <c r="X153" s="49">
        <f t="shared" ca="1" si="112"/>
        <v>126</v>
      </c>
      <c r="Z153" s="50">
        <f t="shared" ca="1" si="6"/>
        <v>0.6777102570357566</v>
      </c>
      <c r="AA153" s="8">
        <f t="shared" si="95"/>
        <v>0.74</v>
      </c>
      <c r="AB153" s="49">
        <f t="shared" ca="1" si="113"/>
        <v>225</v>
      </c>
      <c r="AD153" s="50">
        <f t="shared" ca="1" si="7"/>
        <v>0.52730797803514429</v>
      </c>
      <c r="AE153" s="8">
        <f t="shared" si="96"/>
        <v>0.74</v>
      </c>
      <c r="AF153" s="49">
        <f t="shared" ca="1" si="114"/>
        <v>247</v>
      </c>
      <c r="AH153" s="50">
        <f t="shared" ca="1" si="8"/>
        <v>0.85611839445115134</v>
      </c>
      <c r="AI153" s="8">
        <f t="shared" si="97"/>
        <v>0.74</v>
      </c>
      <c r="AJ153" s="49">
        <f t="shared" ca="1" si="115"/>
        <v>171</v>
      </c>
      <c r="AL153" s="50">
        <f t="shared" ca="1" si="9"/>
        <v>6.489282800659768E-2</v>
      </c>
      <c r="AM153" s="8">
        <f t="shared" si="98"/>
        <v>0.74</v>
      </c>
      <c r="AN153" s="49">
        <f t="shared" ca="1" si="116"/>
        <v>65</v>
      </c>
      <c r="AP153" s="50">
        <f t="shared" ca="1" si="10"/>
        <v>0.59531363777336976</v>
      </c>
      <c r="AQ153" s="8">
        <f t="shared" si="99"/>
        <v>0.74</v>
      </c>
      <c r="AR153" s="49">
        <f t="shared" ca="1" si="117"/>
        <v>171</v>
      </c>
      <c r="AT153" s="50">
        <f t="shared" ca="1" si="11"/>
        <v>0.7820627664855978</v>
      </c>
      <c r="AU153" s="8">
        <f t="shared" si="100"/>
        <v>0.74</v>
      </c>
      <c r="AV153" s="49">
        <f t="shared" ca="1" si="118"/>
        <v>172</v>
      </c>
      <c r="AX153" s="50">
        <f t="shared" ca="1" si="12"/>
        <v>7.0853972254415143E-2</v>
      </c>
      <c r="AY153" s="8">
        <f t="shared" si="101"/>
        <v>0.74</v>
      </c>
      <c r="AZ153" s="49">
        <f t="shared" ca="1" si="119"/>
        <v>81</v>
      </c>
      <c r="BB153" s="50">
        <f t="shared" ca="1" si="13"/>
        <v>0.76176843485684798</v>
      </c>
      <c r="BC153" s="8">
        <f t="shared" si="102"/>
        <v>0.74</v>
      </c>
      <c r="BD153" s="49">
        <f t="shared" ca="1" si="120"/>
        <v>141</v>
      </c>
      <c r="BF153" s="50">
        <f t="shared" ca="1" si="14"/>
        <v>0.25221224854115343</v>
      </c>
      <c r="BG153" s="8">
        <f t="shared" si="103"/>
        <v>0.74</v>
      </c>
      <c r="BH153" s="49">
        <f t="shared" ca="1" si="121"/>
        <v>101</v>
      </c>
      <c r="BJ153" s="50">
        <f t="shared" ca="1" si="15"/>
        <v>0.26045560061568462</v>
      </c>
      <c r="BK153" s="8">
        <f t="shared" si="104"/>
        <v>0.74</v>
      </c>
      <c r="BL153" s="49">
        <f t="shared" ca="1" si="122"/>
        <v>81</v>
      </c>
      <c r="BN153" s="50">
        <f t="shared" ca="1" si="16"/>
        <v>0.21593890308650632</v>
      </c>
      <c r="BO153" s="8">
        <f t="shared" si="105"/>
        <v>0.74</v>
      </c>
      <c r="BP153" s="49">
        <f t="shared" ca="1" si="123"/>
        <v>102</v>
      </c>
      <c r="BR153" s="50">
        <f t="shared" ca="1" si="17"/>
        <v>0.83547988596662437</v>
      </c>
      <c r="BS153" s="8">
        <f t="shared" si="106"/>
        <v>0.74</v>
      </c>
      <c r="BT153" s="49">
        <f t="shared" ca="1" si="124"/>
        <v>172</v>
      </c>
    </row>
    <row r="154" spans="1:72" x14ac:dyDescent="0.2">
      <c r="A154" s="22">
        <v>44701</v>
      </c>
      <c r="B154" s="50">
        <f t="shared" ca="1" si="0"/>
        <v>0.51481756208458263</v>
      </c>
      <c r="C154" s="8">
        <f t="shared" si="89"/>
        <v>0.74</v>
      </c>
      <c r="D154" s="49">
        <f t="shared" ca="1" si="107"/>
        <v>75</v>
      </c>
      <c r="F154" s="50">
        <f t="shared" ca="1" si="1"/>
        <v>0.68177350349053611</v>
      </c>
      <c r="G154" s="8">
        <f t="shared" si="90"/>
        <v>0.74</v>
      </c>
      <c r="H154" s="49">
        <f t="shared" ca="1" si="108"/>
        <v>180</v>
      </c>
      <c r="J154" s="50">
        <f t="shared" ca="1" si="2"/>
        <v>0.93868821922246437</v>
      </c>
      <c r="K154" s="8">
        <f t="shared" si="91"/>
        <v>0.74</v>
      </c>
      <c r="L154" s="49">
        <f t="shared" ca="1" si="109"/>
        <v>157</v>
      </c>
      <c r="N154" s="50">
        <f t="shared" ca="1" si="3"/>
        <v>0.29873565434465221</v>
      </c>
      <c r="O154" s="8">
        <f t="shared" si="92"/>
        <v>0.74</v>
      </c>
      <c r="P154" s="49">
        <f t="shared" ca="1" si="110"/>
        <v>146</v>
      </c>
      <c r="R154" s="50">
        <f t="shared" ca="1" si="4"/>
        <v>0.62134071852416872</v>
      </c>
      <c r="S154" s="8">
        <f t="shared" si="93"/>
        <v>0.74</v>
      </c>
      <c r="T154" s="49">
        <f t="shared" ca="1" si="111"/>
        <v>112</v>
      </c>
      <c r="V154" s="50">
        <f t="shared" ca="1" si="5"/>
        <v>0.16576041692269283</v>
      </c>
      <c r="W154" s="8">
        <f t="shared" si="94"/>
        <v>0.74</v>
      </c>
      <c r="X154" s="49">
        <f t="shared" ca="1" si="112"/>
        <v>124</v>
      </c>
      <c r="Z154" s="50">
        <f t="shared" ca="1" si="6"/>
        <v>5.8090214876973745E-2</v>
      </c>
      <c r="AA154" s="8">
        <f t="shared" si="95"/>
        <v>0.74</v>
      </c>
      <c r="AB154" s="49">
        <f t="shared" ca="1" si="113"/>
        <v>117</v>
      </c>
      <c r="AD154" s="50">
        <f t="shared" ca="1" si="7"/>
        <v>0.47442938644286137</v>
      </c>
      <c r="AE154" s="8">
        <f t="shared" si="96"/>
        <v>0.74</v>
      </c>
      <c r="AF154" s="49">
        <f t="shared" ca="1" si="114"/>
        <v>238</v>
      </c>
      <c r="AH154" s="50">
        <f t="shared" ca="1" si="8"/>
        <v>4.2449893723893406E-2</v>
      </c>
      <c r="AI154" s="8">
        <f t="shared" si="97"/>
        <v>0.74</v>
      </c>
      <c r="AJ154" s="49">
        <f t="shared" ca="1" si="115"/>
        <v>72</v>
      </c>
      <c r="AL154" s="50">
        <f t="shared" ca="1" si="9"/>
        <v>0.3217138474735296</v>
      </c>
      <c r="AM154" s="8">
        <f t="shared" si="98"/>
        <v>0.74</v>
      </c>
      <c r="AN154" s="49">
        <f t="shared" ca="1" si="116"/>
        <v>96</v>
      </c>
      <c r="AP154" s="50">
        <f t="shared" ca="1" si="10"/>
        <v>2.9380787245223527E-2</v>
      </c>
      <c r="AQ154" s="8">
        <f t="shared" si="99"/>
        <v>0.74</v>
      </c>
      <c r="AR154" s="49">
        <f t="shared" ca="1" si="117"/>
        <v>80</v>
      </c>
      <c r="AT154" s="50">
        <f t="shared" ca="1" si="11"/>
        <v>0.36476455744318037</v>
      </c>
      <c r="AU154" s="8">
        <f t="shared" si="100"/>
        <v>0.74</v>
      </c>
      <c r="AV154" s="49">
        <f t="shared" ca="1" si="118"/>
        <v>129</v>
      </c>
      <c r="AX154" s="50">
        <f t="shared" ca="1" si="12"/>
        <v>0.72610946461109249</v>
      </c>
      <c r="AY154" s="8">
        <f t="shared" si="101"/>
        <v>0.74</v>
      </c>
      <c r="AZ154" s="49">
        <f t="shared" ca="1" si="119"/>
        <v>155</v>
      </c>
      <c r="BB154" s="50">
        <f t="shared" ca="1" si="13"/>
        <v>0.68356093257853989</v>
      </c>
      <c r="BC154" s="8">
        <f t="shared" si="102"/>
        <v>0.74</v>
      </c>
      <c r="BD154" s="49">
        <f t="shared" ca="1" si="120"/>
        <v>134</v>
      </c>
      <c r="BF154" s="50">
        <f t="shared" ca="1" si="14"/>
        <v>0.27637911784486202</v>
      </c>
      <c r="BG154" s="8">
        <f t="shared" si="103"/>
        <v>0.74</v>
      </c>
      <c r="BH154" s="49">
        <f t="shared" ca="1" si="121"/>
        <v>103</v>
      </c>
      <c r="BJ154" s="50">
        <f t="shared" ca="1" si="15"/>
        <v>0.58118454057228874</v>
      </c>
      <c r="BK154" s="8">
        <f t="shared" si="104"/>
        <v>0.74</v>
      </c>
      <c r="BL154" s="49">
        <f t="shared" ca="1" si="122"/>
        <v>103</v>
      </c>
      <c r="BN154" s="50">
        <f t="shared" ca="1" si="16"/>
        <v>0.33552220102143049</v>
      </c>
      <c r="BO154" s="8">
        <f t="shared" si="105"/>
        <v>0.74</v>
      </c>
      <c r="BP154" s="49">
        <f t="shared" ca="1" si="123"/>
        <v>114</v>
      </c>
      <c r="BR154" s="50">
        <f t="shared" ca="1" si="17"/>
        <v>0.52805441359809702</v>
      </c>
      <c r="BS154" s="8">
        <f t="shared" si="106"/>
        <v>0.74</v>
      </c>
      <c r="BT154" s="49">
        <f t="shared" ca="1" si="124"/>
        <v>139</v>
      </c>
    </row>
    <row r="155" spans="1:72" x14ac:dyDescent="0.2">
      <c r="A155" s="22">
        <v>44702</v>
      </c>
      <c r="B155" s="50">
        <f t="shared" ca="1" si="0"/>
        <v>0.28159036411012961</v>
      </c>
      <c r="C155" s="8">
        <f t="shared" si="89"/>
        <v>0.74</v>
      </c>
      <c r="D155" s="49">
        <f t="shared" ca="1" si="107"/>
        <v>66</v>
      </c>
      <c r="F155" s="50">
        <f t="shared" ca="1" si="1"/>
        <v>0.67670555704764634</v>
      </c>
      <c r="G155" s="8">
        <f t="shared" si="90"/>
        <v>0.74</v>
      </c>
      <c r="H155" s="49">
        <f t="shared" ca="1" si="108"/>
        <v>179</v>
      </c>
      <c r="J155" s="50">
        <f t="shared" ca="1" si="2"/>
        <v>0.66772045123015056</v>
      </c>
      <c r="K155" s="8">
        <f t="shared" si="91"/>
        <v>0.74</v>
      </c>
      <c r="L155" s="49">
        <f t="shared" ca="1" si="109"/>
        <v>124</v>
      </c>
      <c r="N155" s="50">
        <f t="shared" ca="1" si="3"/>
        <v>0.69878906001473895</v>
      </c>
      <c r="O155" s="8">
        <f t="shared" si="92"/>
        <v>0.74</v>
      </c>
      <c r="P155" s="49">
        <f t="shared" ca="1" si="110"/>
        <v>194</v>
      </c>
      <c r="R155" s="50">
        <f t="shared" ca="1" si="4"/>
        <v>8.401670799114902E-2</v>
      </c>
      <c r="S155" s="8">
        <f t="shared" si="93"/>
        <v>0.74</v>
      </c>
      <c r="T155" s="49">
        <f t="shared" ca="1" si="111"/>
        <v>65</v>
      </c>
      <c r="V155" s="50">
        <f t="shared" ca="1" si="5"/>
        <v>0.41932319139031238</v>
      </c>
      <c r="W155" s="8">
        <f t="shared" si="94"/>
        <v>0.74</v>
      </c>
      <c r="X155" s="49">
        <f t="shared" ca="1" si="112"/>
        <v>158</v>
      </c>
      <c r="Z155" s="50">
        <f t="shared" ca="1" si="6"/>
        <v>0.13580907692311162</v>
      </c>
      <c r="AA155" s="8">
        <f t="shared" si="95"/>
        <v>0.74</v>
      </c>
      <c r="AB155" s="49">
        <f t="shared" ca="1" si="113"/>
        <v>142</v>
      </c>
      <c r="AD155" s="50">
        <f t="shared" ca="1" si="7"/>
        <v>0.87289530309799956</v>
      </c>
      <c r="AE155" s="8">
        <f t="shared" si="96"/>
        <v>0.74</v>
      </c>
      <c r="AF155" s="49">
        <f t="shared" ca="1" si="114"/>
        <v>316</v>
      </c>
      <c r="AH155" s="50">
        <f t="shared" ca="1" si="8"/>
        <v>0.10886459210604849</v>
      </c>
      <c r="AI155" s="8">
        <f t="shared" si="97"/>
        <v>0.74</v>
      </c>
      <c r="AJ155" s="49">
        <f t="shared" ca="1" si="115"/>
        <v>90</v>
      </c>
      <c r="AL155" s="50">
        <f t="shared" ca="1" si="9"/>
        <v>0.32168360849701216</v>
      </c>
      <c r="AM155" s="8">
        <f t="shared" si="98"/>
        <v>0.74</v>
      </c>
      <c r="AN155" s="49">
        <f t="shared" ca="1" si="116"/>
        <v>96</v>
      </c>
      <c r="AP155" s="50">
        <f t="shared" ca="1" si="10"/>
        <v>0.14600611431171528</v>
      </c>
      <c r="AQ155" s="8">
        <f t="shared" si="99"/>
        <v>0.74</v>
      </c>
      <c r="AR155" s="49">
        <f t="shared" ca="1" si="117"/>
        <v>116</v>
      </c>
      <c r="AT155" s="50">
        <f t="shared" ca="1" si="11"/>
        <v>0.20549808762600297</v>
      </c>
      <c r="AU155" s="8">
        <f t="shared" si="100"/>
        <v>0.74</v>
      </c>
      <c r="AV155" s="49">
        <f t="shared" ca="1" si="118"/>
        <v>111</v>
      </c>
      <c r="AX155" s="50">
        <f t="shared" ca="1" si="12"/>
        <v>0.9223149676949306</v>
      </c>
      <c r="AY155" s="8">
        <f t="shared" si="101"/>
        <v>0.74</v>
      </c>
      <c r="AZ155" s="49">
        <f t="shared" ca="1" si="119"/>
        <v>184</v>
      </c>
      <c r="BB155" s="50">
        <f t="shared" ca="1" si="13"/>
        <v>0.85857035142641169</v>
      </c>
      <c r="BC155" s="8">
        <f t="shared" si="102"/>
        <v>0.74</v>
      </c>
      <c r="BD155" s="49">
        <f t="shared" ca="1" si="120"/>
        <v>152</v>
      </c>
      <c r="BF155" s="50">
        <f t="shared" ca="1" si="14"/>
        <v>0.67498310045073717</v>
      </c>
      <c r="BG155" s="8">
        <f t="shared" si="103"/>
        <v>0.74</v>
      </c>
      <c r="BH155" s="49">
        <f t="shared" ca="1" si="121"/>
        <v>137</v>
      </c>
      <c r="BJ155" s="50">
        <f t="shared" ca="1" si="15"/>
        <v>0.51057121445044129</v>
      </c>
      <c r="BK155" s="8">
        <f t="shared" si="104"/>
        <v>0.74</v>
      </c>
      <c r="BL155" s="49">
        <f t="shared" ca="1" si="122"/>
        <v>98</v>
      </c>
      <c r="BN155" s="50">
        <f t="shared" ca="1" si="16"/>
        <v>0.10735954522023472</v>
      </c>
      <c r="BO155" s="8">
        <f t="shared" si="105"/>
        <v>0.74</v>
      </c>
      <c r="BP155" s="49">
        <f t="shared" ca="1" si="123"/>
        <v>86</v>
      </c>
      <c r="BR155" s="50">
        <f t="shared" ca="1" si="17"/>
        <v>0.96281734960066312</v>
      </c>
      <c r="BS155" s="8">
        <f t="shared" si="106"/>
        <v>0.74</v>
      </c>
      <c r="BT155" s="49">
        <f t="shared" ca="1" si="124"/>
        <v>201</v>
      </c>
    </row>
    <row r="156" spans="1:72" x14ac:dyDescent="0.2">
      <c r="A156" s="22">
        <v>44703</v>
      </c>
      <c r="B156" s="50">
        <f t="shared" ca="1" si="0"/>
        <v>0.45458525011573725</v>
      </c>
      <c r="C156" s="8">
        <f t="shared" si="89"/>
        <v>0.74</v>
      </c>
      <c r="D156" s="49">
        <f t="shared" ca="1" si="107"/>
        <v>73</v>
      </c>
      <c r="F156" s="50">
        <f t="shared" ca="1" si="1"/>
        <v>0.12818556578394114</v>
      </c>
      <c r="G156" s="8">
        <f t="shared" si="90"/>
        <v>0.74</v>
      </c>
      <c r="H156" s="49">
        <f t="shared" ca="1" si="108"/>
        <v>112</v>
      </c>
      <c r="J156" s="50">
        <f t="shared" ca="1" si="2"/>
        <v>0.26035835003541463</v>
      </c>
      <c r="K156" s="8">
        <f t="shared" si="91"/>
        <v>0.74</v>
      </c>
      <c r="L156" s="49">
        <f t="shared" ca="1" si="109"/>
        <v>92</v>
      </c>
      <c r="N156" s="50">
        <f t="shared" ca="1" si="3"/>
        <v>0.43408946309529839</v>
      </c>
      <c r="O156" s="8">
        <f t="shared" si="92"/>
        <v>0.74</v>
      </c>
      <c r="P156" s="49">
        <f t="shared" ca="1" si="110"/>
        <v>163</v>
      </c>
      <c r="R156" s="50">
        <f t="shared" ca="1" si="4"/>
        <v>0.19965807628064947</v>
      </c>
      <c r="S156" s="8">
        <f t="shared" si="93"/>
        <v>0.74</v>
      </c>
      <c r="T156" s="49">
        <f t="shared" ca="1" si="111"/>
        <v>80</v>
      </c>
      <c r="V156" s="50">
        <f t="shared" ca="1" si="5"/>
        <v>0.47401322174756011</v>
      </c>
      <c r="W156" s="8">
        <f t="shared" si="94"/>
        <v>0.74</v>
      </c>
      <c r="X156" s="49">
        <f t="shared" ca="1" si="112"/>
        <v>164</v>
      </c>
      <c r="Z156" s="50">
        <f t="shared" ca="1" si="6"/>
        <v>0.69024435089255209</v>
      </c>
      <c r="AA156" s="8">
        <f t="shared" si="95"/>
        <v>0.74</v>
      </c>
      <c r="AB156" s="49">
        <f t="shared" ca="1" si="113"/>
        <v>227</v>
      </c>
      <c r="AD156" s="50">
        <f t="shared" ca="1" si="7"/>
        <v>4.2689157195650806E-2</v>
      </c>
      <c r="AE156" s="8">
        <f t="shared" si="96"/>
        <v>0.74</v>
      </c>
      <c r="AF156" s="49">
        <f t="shared" ca="1" si="114"/>
        <v>131</v>
      </c>
      <c r="AH156" s="50">
        <f t="shared" ca="1" si="8"/>
        <v>0.5204258479108731</v>
      </c>
      <c r="AI156" s="8">
        <f t="shared" si="97"/>
        <v>0.74</v>
      </c>
      <c r="AJ156" s="49">
        <f t="shared" ca="1" si="115"/>
        <v>135</v>
      </c>
      <c r="AL156" s="50">
        <f t="shared" ca="1" si="9"/>
        <v>0.69400771782658222</v>
      </c>
      <c r="AM156" s="8">
        <f t="shared" si="98"/>
        <v>0.74</v>
      </c>
      <c r="AN156" s="49">
        <f t="shared" ca="1" si="116"/>
        <v>124</v>
      </c>
      <c r="AP156" s="50">
        <f t="shared" ca="1" si="10"/>
        <v>0.44206799123647778</v>
      </c>
      <c r="AQ156" s="8">
        <f t="shared" si="99"/>
        <v>0.74</v>
      </c>
      <c r="AR156" s="49">
        <f t="shared" ca="1" si="117"/>
        <v>155</v>
      </c>
      <c r="AT156" s="50">
        <f t="shared" ca="1" si="11"/>
        <v>0.27717672935990367</v>
      </c>
      <c r="AU156" s="8">
        <f t="shared" si="100"/>
        <v>0.74</v>
      </c>
      <c r="AV156" s="49">
        <f t="shared" ca="1" si="118"/>
        <v>120</v>
      </c>
      <c r="AX156" s="50">
        <f t="shared" ca="1" si="12"/>
        <v>0.26664273625699664</v>
      </c>
      <c r="AY156" s="8">
        <f t="shared" si="101"/>
        <v>0.74</v>
      </c>
      <c r="AZ156" s="49">
        <f t="shared" ca="1" si="119"/>
        <v>111</v>
      </c>
      <c r="BB156" s="50">
        <f t="shared" ca="1" si="13"/>
        <v>0.13424350953446174</v>
      </c>
      <c r="BC156" s="8">
        <f t="shared" si="102"/>
        <v>0.74</v>
      </c>
      <c r="BD156" s="49">
        <f t="shared" ca="1" si="120"/>
        <v>84</v>
      </c>
      <c r="BF156" s="50">
        <f t="shared" ca="1" si="14"/>
        <v>0.98724352419194283</v>
      </c>
      <c r="BG156" s="8">
        <f t="shared" si="103"/>
        <v>0.74</v>
      </c>
      <c r="BH156" s="49">
        <f t="shared" ca="1" si="121"/>
        <v>195</v>
      </c>
      <c r="BJ156" s="50">
        <f t="shared" ca="1" si="15"/>
        <v>0.12331320765594767</v>
      </c>
      <c r="BK156" s="8">
        <f t="shared" si="104"/>
        <v>0.74</v>
      </c>
      <c r="BL156" s="49">
        <f t="shared" ca="1" si="122"/>
        <v>67</v>
      </c>
      <c r="BN156" s="50">
        <f t="shared" ca="1" si="16"/>
        <v>0.76790918539539699</v>
      </c>
      <c r="BO156" s="8">
        <f t="shared" si="105"/>
        <v>0.74</v>
      </c>
      <c r="BP156" s="49">
        <f t="shared" ca="1" si="123"/>
        <v>154</v>
      </c>
      <c r="BR156" s="50">
        <f t="shared" ca="1" si="17"/>
        <v>0.32847455656858682</v>
      </c>
      <c r="BS156" s="8">
        <f t="shared" si="106"/>
        <v>0.74</v>
      </c>
      <c r="BT156" s="49">
        <f t="shared" ca="1" si="124"/>
        <v>120</v>
      </c>
    </row>
    <row r="157" spans="1:72" x14ac:dyDescent="0.2">
      <c r="A157" s="22">
        <v>44704</v>
      </c>
      <c r="B157" s="50">
        <f t="shared" ca="1" si="0"/>
        <v>0.21375643354615237</v>
      </c>
      <c r="C157" s="8">
        <f t="shared" si="89"/>
        <v>0.74</v>
      </c>
      <c r="D157" s="49">
        <f t="shared" ca="1" si="107"/>
        <v>63</v>
      </c>
      <c r="F157" s="50">
        <f t="shared" ca="1" si="1"/>
        <v>0.1793542747923732</v>
      </c>
      <c r="G157" s="8">
        <f t="shared" si="90"/>
        <v>0.74</v>
      </c>
      <c r="H157" s="49">
        <f t="shared" ca="1" si="108"/>
        <v>121</v>
      </c>
      <c r="J157" s="50">
        <f t="shared" ca="1" si="2"/>
        <v>9.3112602805131894E-2</v>
      </c>
      <c r="K157" s="8">
        <f t="shared" si="91"/>
        <v>0.74</v>
      </c>
      <c r="L157" s="49">
        <f t="shared" ca="1" si="109"/>
        <v>72</v>
      </c>
      <c r="N157" s="50">
        <f t="shared" ca="1" si="3"/>
        <v>0.24386165761950962</v>
      </c>
      <c r="O157" s="8">
        <f t="shared" si="92"/>
        <v>0.74</v>
      </c>
      <c r="P157" s="49">
        <f t="shared" ca="1" si="110"/>
        <v>139</v>
      </c>
      <c r="R157" s="50">
        <f t="shared" ca="1" si="4"/>
        <v>0.83996031757674594</v>
      </c>
      <c r="S157" s="8">
        <f t="shared" si="93"/>
        <v>0.74</v>
      </c>
      <c r="T157" s="49">
        <f t="shared" ca="1" si="111"/>
        <v>130</v>
      </c>
      <c r="V157" s="50">
        <f t="shared" ca="1" si="5"/>
        <v>0.25234623752500995</v>
      </c>
      <c r="W157" s="8">
        <f t="shared" si="94"/>
        <v>0.74</v>
      </c>
      <c r="X157" s="49">
        <f t="shared" ca="1" si="112"/>
        <v>137</v>
      </c>
      <c r="Z157" s="50">
        <f t="shared" ca="1" si="6"/>
        <v>0.71475356549017999</v>
      </c>
      <c r="AA157" s="8">
        <f t="shared" si="95"/>
        <v>0.74</v>
      </c>
      <c r="AB157" s="49">
        <f t="shared" ca="1" si="113"/>
        <v>231</v>
      </c>
      <c r="AD157" s="50">
        <f t="shared" ca="1" si="7"/>
        <v>0.86925576956019235</v>
      </c>
      <c r="AE157" s="8">
        <f t="shared" si="96"/>
        <v>0.74</v>
      </c>
      <c r="AF157" s="49">
        <f t="shared" ca="1" si="114"/>
        <v>315</v>
      </c>
      <c r="AH157" s="50">
        <f t="shared" ca="1" si="8"/>
        <v>0.3858757269468136</v>
      </c>
      <c r="AI157" s="8">
        <f t="shared" si="97"/>
        <v>0.74</v>
      </c>
      <c r="AJ157" s="49">
        <f t="shared" ca="1" si="115"/>
        <v>123</v>
      </c>
      <c r="AL157" s="50">
        <f t="shared" ca="1" si="9"/>
        <v>6.5788648890036772E-2</v>
      </c>
      <c r="AM157" s="8">
        <f t="shared" si="98"/>
        <v>0.74</v>
      </c>
      <c r="AN157" s="49">
        <f t="shared" ca="1" si="116"/>
        <v>66</v>
      </c>
      <c r="AP157" s="50">
        <f t="shared" ca="1" si="10"/>
        <v>7.7869493270870338E-2</v>
      </c>
      <c r="AQ157" s="8">
        <f t="shared" si="99"/>
        <v>0.74</v>
      </c>
      <c r="AR157" s="49">
        <f t="shared" ca="1" si="117"/>
        <v>100</v>
      </c>
      <c r="AT157" s="50">
        <f t="shared" ca="1" si="11"/>
        <v>9.771282135020587E-2</v>
      </c>
      <c r="AU157" s="8">
        <f t="shared" si="100"/>
        <v>0.74</v>
      </c>
      <c r="AV157" s="49">
        <f t="shared" ca="1" si="118"/>
        <v>93</v>
      </c>
      <c r="AX157" s="50">
        <f t="shared" ca="1" si="12"/>
        <v>0.63036974073415619</v>
      </c>
      <c r="AY157" s="8">
        <f t="shared" si="101"/>
        <v>0.74</v>
      </c>
      <c r="AZ157" s="49">
        <f t="shared" ca="1" si="119"/>
        <v>145</v>
      </c>
      <c r="BB157" s="50">
        <f t="shared" ca="1" si="13"/>
        <v>0.77426756161131505</v>
      </c>
      <c r="BC157" s="8">
        <f t="shared" si="102"/>
        <v>0.74</v>
      </c>
      <c r="BD157" s="49">
        <f t="shared" ca="1" si="120"/>
        <v>142</v>
      </c>
      <c r="BF157" s="50">
        <f t="shared" ca="1" si="14"/>
        <v>0.76599836249688114</v>
      </c>
      <c r="BG157" s="8">
        <f t="shared" si="103"/>
        <v>0.74</v>
      </c>
      <c r="BH157" s="49">
        <f t="shared" ca="1" si="121"/>
        <v>146</v>
      </c>
      <c r="BJ157" s="50">
        <f t="shared" ca="1" si="15"/>
        <v>4.9516866305819196E-2</v>
      </c>
      <c r="BK157" s="8">
        <f t="shared" si="104"/>
        <v>0.74</v>
      </c>
      <c r="BL157" s="49">
        <f t="shared" ca="1" si="122"/>
        <v>55</v>
      </c>
      <c r="BN157" s="50">
        <f t="shared" ca="1" si="16"/>
        <v>0.75328295002737178</v>
      </c>
      <c r="BO157" s="8">
        <f t="shared" si="105"/>
        <v>0.74</v>
      </c>
      <c r="BP157" s="49">
        <f t="shared" ca="1" si="123"/>
        <v>152</v>
      </c>
      <c r="BR157" s="50">
        <f t="shared" ca="1" si="17"/>
        <v>0.55880364144648176</v>
      </c>
      <c r="BS157" s="8">
        <f t="shared" si="106"/>
        <v>0.74</v>
      </c>
      <c r="BT157" s="49">
        <f t="shared" ca="1" si="124"/>
        <v>142</v>
      </c>
    </row>
    <row r="158" spans="1:72" x14ac:dyDescent="0.2">
      <c r="A158" s="22">
        <v>44705</v>
      </c>
      <c r="B158" s="50">
        <f t="shared" ca="1" si="0"/>
        <v>0.9769148961727927</v>
      </c>
      <c r="C158" s="8">
        <f t="shared" si="89"/>
        <v>0.74</v>
      </c>
      <c r="D158" s="49">
        <f t="shared" ca="1" si="107"/>
        <v>104</v>
      </c>
      <c r="F158" s="50">
        <f t="shared" ca="1" si="1"/>
        <v>0.72781524440686662</v>
      </c>
      <c r="G158" s="8">
        <f t="shared" si="90"/>
        <v>0.74</v>
      </c>
      <c r="H158" s="49">
        <f t="shared" ca="1" si="108"/>
        <v>186</v>
      </c>
      <c r="J158" s="50">
        <f t="shared" ca="1" si="2"/>
        <v>0.26090604588710975</v>
      </c>
      <c r="K158" s="8">
        <f t="shared" si="91"/>
        <v>0.74</v>
      </c>
      <c r="L158" s="49">
        <f t="shared" ca="1" si="109"/>
        <v>93</v>
      </c>
      <c r="N158" s="50">
        <f t="shared" ca="1" si="3"/>
        <v>0.85076362370192316</v>
      </c>
      <c r="O158" s="8">
        <f t="shared" si="92"/>
        <v>0.74</v>
      </c>
      <c r="P158" s="49">
        <f t="shared" ca="1" si="110"/>
        <v>217</v>
      </c>
      <c r="R158" s="50">
        <f t="shared" ca="1" si="4"/>
        <v>0.85706876257774678</v>
      </c>
      <c r="S158" s="8">
        <f t="shared" si="93"/>
        <v>0.74</v>
      </c>
      <c r="T158" s="49">
        <f t="shared" ca="1" si="111"/>
        <v>132</v>
      </c>
      <c r="V158" s="50">
        <f t="shared" ca="1" si="5"/>
        <v>0.91787965473196831</v>
      </c>
      <c r="W158" s="8">
        <f t="shared" si="94"/>
        <v>0.74</v>
      </c>
      <c r="X158" s="49">
        <f t="shared" ca="1" si="112"/>
        <v>229</v>
      </c>
      <c r="Z158" s="50">
        <f t="shared" ca="1" si="6"/>
        <v>4.9215439229793878E-3</v>
      </c>
      <c r="AA158" s="8">
        <f t="shared" si="95"/>
        <v>0.74</v>
      </c>
      <c r="AB158" s="49">
        <f t="shared" ca="1" si="113"/>
        <v>63</v>
      </c>
      <c r="AD158" s="50">
        <f t="shared" ca="1" si="7"/>
        <v>0.86473475826045154</v>
      </c>
      <c r="AE158" s="8">
        <f t="shared" si="96"/>
        <v>0.74</v>
      </c>
      <c r="AF158" s="49">
        <f t="shared" ca="1" si="114"/>
        <v>314</v>
      </c>
      <c r="AH158" s="50">
        <f t="shared" ca="1" si="8"/>
        <v>0.72308245823113859</v>
      </c>
      <c r="AI158" s="8">
        <f t="shared" si="97"/>
        <v>0.74</v>
      </c>
      <c r="AJ158" s="49">
        <f t="shared" ca="1" si="115"/>
        <v>155</v>
      </c>
      <c r="AL158" s="50">
        <f t="shared" ca="1" si="9"/>
        <v>0.51827443343618051</v>
      </c>
      <c r="AM158" s="8">
        <f t="shared" si="98"/>
        <v>0.74</v>
      </c>
      <c r="AN158" s="49">
        <f t="shared" ca="1" si="116"/>
        <v>111</v>
      </c>
      <c r="AP158" s="50">
        <f t="shared" ca="1" si="10"/>
        <v>0.85329494192917166</v>
      </c>
      <c r="AQ158" s="8">
        <f t="shared" si="99"/>
        <v>0.74</v>
      </c>
      <c r="AR158" s="49">
        <f t="shared" ca="1" si="117"/>
        <v>206</v>
      </c>
      <c r="AT158" s="50">
        <f t="shared" ca="1" si="11"/>
        <v>0.54351319723722125</v>
      </c>
      <c r="AU158" s="8">
        <f t="shared" si="100"/>
        <v>0.74</v>
      </c>
      <c r="AV158" s="49">
        <f t="shared" ca="1" si="118"/>
        <v>146</v>
      </c>
      <c r="AX158" s="50">
        <f t="shared" ca="1" si="12"/>
        <v>0.67247060487735943</v>
      </c>
      <c r="AY158" s="8">
        <f t="shared" si="101"/>
        <v>0.74</v>
      </c>
      <c r="AZ158" s="49">
        <f t="shared" ca="1" si="119"/>
        <v>149</v>
      </c>
      <c r="BB158" s="50">
        <f t="shared" ca="1" si="13"/>
        <v>0.57126902620204456</v>
      </c>
      <c r="BC158" s="8">
        <f t="shared" si="102"/>
        <v>0.74</v>
      </c>
      <c r="BD158" s="49">
        <f t="shared" ca="1" si="120"/>
        <v>124</v>
      </c>
      <c r="BF158" s="50">
        <f t="shared" ca="1" si="14"/>
        <v>0.60811057813806724</v>
      </c>
      <c r="BG158" s="8">
        <f t="shared" si="103"/>
        <v>0.74</v>
      </c>
      <c r="BH158" s="49">
        <f t="shared" ca="1" si="121"/>
        <v>131</v>
      </c>
      <c r="BJ158" s="50">
        <f t="shared" ca="1" si="15"/>
        <v>8.8633312253486585E-3</v>
      </c>
      <c r="BK158" s="8">
        <f t="shared" si="104"/>
        <v>0.74</v>
      </c>
      <c r="BL158" s="49">
        <f t="shared" ca="1" si="122"/>
        <v>36</v>
      </c>
      <c r="BN158" s="50">
        <f t="shared" ca="1" si="16"/>
        <v>0.11598126991664337</v>
      </c>
      <c r="BO158" s="8">
        <f t="shared" si="105"/>
        <v>0.74</v>
      </c>
      <c r="BP158" s="49">
        <f t="shared" ca="1" si="123"/>
        <v>88</v>
      </c>
      <c r="BR158" s="50">
        <f t="shared" ca="1" si="17"/>
        <v>0.38326583633677991</v>
      </c>
      <c r="BS158" s="8">
        <f t="shared" si="106"/>
        <v>0.74</v>
      </c>
      <c r="BT158" s="49">
        <f t="shared" ca="1" si="124"/>
        <v>126</v>
      </c>
    </row>
    <row r="159" spans="1:72" x14ac:dyDescent="0.2">
      <c r="A159" s="22">
        <v>44706</v>
      </c>
      <c r="B159" s="50">
        <f t="shared" ca="1" si="0"/>
        <v>3.7213740692038422E-2</v>
      </c>
      <c r="C159" s="8">
        <f t="shared" si="89"/>
        <v>0.74</v>
      </c>
      <c r="D159" s="49">
        <f t="shared" ca="1" si="107"/>
        <v>48</v>
      </c>
      <c r="F159" s="50">
        <f t="shared" ca="1" si="1"/>
        <v>8.2072314881037611E-2</v>
      </c>
      <c r="G159" s="8">
        <f t="shared" si="90"/>
        <v>0.74</v>
      </c>
      <c r="H159" s="49">
        <f t="shared" ca="1" si="108"/>
        <v>101</v>
      </c>
      <c r="J159" s="50">
        <f t="shared" ca="1" si="2"/>
        <v>0.17018069128009949</v>
      </c>
      <c r="K159" s="8">
        <f t="shared" si="91"/>
        <v>0.74</v>
      </c>
      <c r="L159" s="49">
        <f t="shared" ca="1" si="109"/>
        <v>83</v>
      </c>
      <c r="N159" s="50">
        <f t="shared" ca="1" si="3"/>
        <v>0.62266620278550677</v>
      </c>
      <c r="O159" s="8">
        <f t="shared" si="92"/>
        <v>0.74</v>
      </c>
      <c r="P159" s="49">
        <f t="shared" ca="1" si="110"/>
        <v>184</v>
      </c>
      <c r="R159" s="50">
        <f t="shared" ca="1" si="4"/>
        <v>0.46488567102092104</v>
      </c>
      <c r="S159" s="8">
        <f t="shared" si="93"/>
        <v>0.74</v>
      </c>
      <c r="T159" s="49">
        <f t="shared" ca="1" si="111"/>
        <v>101</v>
      </c>
      <c r="V159" s="50">
        <f t="shared" ca="1" si="5"/>
        <v>0.38048056898839455</v>
      </c>
      <c r="W159" s="8">
        <f t="shared" si="94"/>
        <v>0.74</v>
      </c>
      <c r="X159" s="49">
        <f t="shared" ca="1" si="112"/>
        <v>153</v>
      </c>
      <c r="Z159" s="50">
        <f t="shared" ca="1" si="6"/>
        <v>0.99262428892257548</v>
      </c>
      <c r="AA159" s="8">
        <f t="shared" si="95"/>
        <v>0.74</v>
      </c>
      <c r="AB159" s="49">
        <f t="shared" ca="1" si="113"/>
        <v>330</v>
      </c>
      <c r="AD159" s="50">
        <f t="shared" ca="1" si="7"/>
        <v>0.38352903559312246</v>
      </c>
      <c r="AE159" s="8">
        <f t="shared" si="96"/>
        <v>0.74</v>
      </c>
      <c r="AF159" s="49">
        <f t="shared" ca="1" si="114"/>
        <v>223</v>
      </c>
      <c r="AH159" s="50">
        <f t="shared" ca="1" si="8"/>
        <v>0.73459083044741424</v>
      </c>
      <c r="AI159" s="8">
        <f t="shared" si="97"/>
        <v>0.74</v>
      </c>
      <c r="AJ159" s="49">
        <f t="shared" ca="1" si="115"/>
        <v>156</v>
      </c>
      <c r="AL159" s="50">
        <f t="shared" ca="1" si="9"/>
        <v>0.64196888102291294</v>
      </c>
      <c r="AM159" s="8">
        <f t="shared" si="98"/>
        <v>0.74</v>
      </c>
      <c r="AN159" s="49">
        <f t="shared" ca="1" si="116"/>
        <v>120</v>
      </c>
      <c r="AP159" s="50">
        <f t="shared" ca="1" si="10"/>
        <v>0.46185034303606776</v>
      </c>
      <c r="AQ159" s="8">
        <f t="shared" si="99"/>
        <v>0.74</v>
      </c>
      <c r="AR159" s="49">
        <f t="shared" ca="1" si="117"/>
        <v>157</v>
      </c>
      <c r="AT159" s="50">
        <f t="shared" ca="1" si="11"/>
        <v>0.10885139457258663</v>
      </c>
      <c r="AU159" s="8">
        <f t="shared" si="100"/>
        <v>0.74</v>
      </c>
      <c r="AV159" s="49">
        <f t="shared" ca="1" si="118"/>
        <v>96</v>
      </c>
      <c r="AX159" s="50">
        <f t="shared" ca="1" si="12"/>
        <v>0.15254827422494299</v>
      </c>
      <c r="AY159" s="8">
        <f t="shared" si="101"/>
        <v>0.74</v>
      </c>
      <c r="AZ159" s="49">
        <f t="shared" ca="1" si="119"/>
        <v>97</v>
      </c>
      <c r="BB159" s="50">
        <f t="shared" ca="1" si="13"/>
        <v>0.43303962705694354</v>
      </c>
      <c r="BC159" s="8">
        <f t="shared" si="102"/>
        <v>0.74</v>
      </c>
      <c r="BD159" s="49">
        <f t="shared" ca="1" si="120"/>
        <v>113</v>
      </c>
      <c r="BF159" s="50">
        <f t="shared" ca="1" si="14"/>
        <v>0.5575232147290512</v>
      </c>
      <c r="BG159" s="8">
        <f t="shared" si="103"/>
        <v>0.74</v>
      </c>
      <c r="BH159" s="49">
        <f t="shared" ca="1" si="121"/>
        <v>127</v>
      </c>
      <c r="BJ159" s="50">
        <f t="shared" ca="1" si="15"/>
        <v>0.71882492299304734</v>
      </c>
      <c r="BK159" s="8">
        <f t="shared" si="104"/>
        <v>0.74</v>
      </c>
      <c r="BL159" s="49">
        <f t="shared" ca="1" si="122"/>
        <v>112</v>
      </c>
      <c r="BN159" s="50">
        <f t="shared" ca="1" si="16"/>
        <v>0.92697413494864955</v>
      </c>
      <c r="BO159" s="8">
        <f t="shared" si="105"/>
        <v>0.74</v>
      </c>
      <c r="BP159" s="49">
        <f t="shared" ca="1" si="123"/>
        <v>179</v>
      </c>
      <c r="BR159" s="50">
        <f t="shared" ca="1" si="17"/>
        <v>0.83445939319303919</v>
      </c>
      <c r="BS159" s="8">
        <f t="shared" si="106"/>
        <v>0.74</v>
      </c>
      <c r="BT159" s="49">
        <f t="shared" ca="1" si="124"/>
        <v>171</v>
      </c>
    </row>
    <row r="160" spans="1:72" x14ac:dyDescent="0.2">
      <c r="A160" s="22">
        <v>44707</v>
      </c>
      <c r="B160" s="50">
        <f t="shared" ca="1" si="0"/>
        <v>0.37011990321201116</v>
      </c>
      <c r="C160" s="8">
        <f t="shared" si="89"/>
        <v>0.74</v>
      </c>
      <c r="D160" s="49">
        <f t="shared" ca="1" si="107"/>
        <v>70</v>
      </c>
      <c r="F160" s="50">
        <f t="shared" ca="1" si="1"/>
        <v>0.23647069734725923</v>
      </c>
      <c r="G160" s="8">
        <f t="shared" si="90"/>
        <v>0.74</v>
      </c>
      <c r="H160" s="49">
        <f t="shared" ca="1" si="108"/>
        <v>129</v>
      </c>
      <c r="J160" s="50">
        <f t="shared" ca="1" si="2"/>
        <v>0.87067910666074833</v>
      </c>
      <c r="K160" s="8">
        <f t="shared" si="91"/>
        <v>0.74</v>
      </c>
      <c r="L160" s="49">
        <f t="shared" ca="1" si="109"/>
        <v>145</v>
      </c>
      <c r="N160" s="50">
        <f t="shared" ca="1" si="3"/>
        <v>0.19631578077995404</v>
      </c>
      <c r="O160" s="8">
        <f t="shared" si="92"/>
        <v>0.74</v>
      </c>
      <c r="P160" s="49">
        <f t="shared" ca="1" si="110"/>
        <v>132</v>
      </c>
      <c r="R160" s="50">
        <f t="shared" ca="1" si="4"/>
        <v>0.34058994630713224</v>
      </c>
      <c r="S160" s="8">
        <f t="shared" si="93"/>
        <v>0.74</v>
      </c>
      <c r="T160" s="49">
        <f t="shared" ca="1" si="111"/>
        <v>92</v>
      </c>
      <c r="V160" s="50">
        <f t="shared" ca="1" si="5"/>
        <v>0.5559734360910048</v>
      </c>
      <c r="W160" s="8">
        <f t="shared" si="94"/>
        <v>0.74</v>
      </c>
      <c r="X160" s="49">
        <f t="shared" ca="1" si="112"/>
        <v>173</v>
      </c>
      <c r="Z160" s="50">
        <f t="shared" ca="1" si="6"/>
        <v>0.89667428432256191</v>
      </c>
      <c r="AA160" s="8">
        <f t="shared" si="95"/>
        <v>0.74</v>
      </c>
      <c r="AB160" s="49">
        <f t="shared" ca="1" si="113"/>
        <v>268</v>
      </c>
      <c r="AD160" s="50">
        <f t="shared" ca="1" si="7"/>
        <v>0.81355727436000858</v>
      </c>
      <c r="AE160" s="8">
        <f t="shared" si="96"/>
        <v>0.74</v>
      </c>
      <c r="AF160" s="49">
        <f t="shared" ca="1" si="114"/>
        <v>300</v>
      </c>
      <c r="AH160" s="50">
        <f t="shared" ca="1" si="8"/>
        <v>6.1465537768850553E-2</v>
      </c>
      <c r="AI160" s="8">
        <f t="shared" si="97"/>
        <v>0.74</v>
      </c>
      <c r="AJ160" s="49">
        <f t="shared" ca="1" si="115"/>
        <v>79</v>
      </c>
      <c r="AL160" s="50">
        <f t="shared" ca="1" si="9"/>
        <v>0.21288713608243914</v>
      </c>
      <c r="AM160" s="8">
        <f t="shared" si="98"/>
        <v>0.74</v>
      </c>
      <c r="AN160" s="49">
        <f t="shared" ca="1" si="116"/>
        <v>86</v>
      </c>
      <c r="AP160" s="50">
        <f t="shared" ca="1" si="10"/>
        <v>0.67879886580245896</v>
      </c>
      <c r="AQ160" s="8">
        <f t="shared" si="99"/>
        <v>0.74</v>
      </c>
      <c r="AR160" s="49">
        <f t="shared" ca="1" si="117"/>
        <v>181</v>
      </c>
      <c r="AT160" s="50">
        <f t="shared" ca="1" si="11"/>
        <v>0.62038256603823372</v>
      </c>
      <c r="AU160" s="8">
        <f t="shared" si="100"/>
        <v>0.74</v>
      </c>
      <c r="AV160" s="49">
        <f t="shared" ca="1" si="118"/>
        <v>154</v>
      </c>
      <c r="AX160" s="50">
        <f t="shared" ca="1" si="12"/>
        <v>4.0365299564201984E-2</v>
      </c>
      <c r="AY160" s="8">
        <f t="shared" si="101"/>
        <v>0.74</v>
      </c>
      <c r="AZ160" s="49">
        <f t="shared" ca="1" si="119"/>
        <v>72</v>
      </c>
      <c r="BB160" s="50">
        <f t="shared" ca="1" si="13"/>
        <v>0.96797700141530663</v>
      </c>
      <c r="BC160" s="8">
        <f t="shared" si="102"/>
        <v>0.74</v>
      </c>
      <c r="BD160" s="49">
        <f t="shared" ca="1" si="120"/>
        <v>177</v>
      </c>
      <c r="BF160" s="50">
        <f t="shared" ca="1" si="14"/>
        <v>0.69635883602514237</v>
      </c>
      <c r="BG160" s="8">
        <f t="shared" si="103"/>
        <v>0.74</v>
      </c>
      <c r="BH160" s="49">
        <f t="shared" ca="1" si="121"/>
        <v>139</v>
      </c>
      <c r="BJ160" s="50">
        <f t="shared" ca="1" si="15"/>
        <v>0.59247473448977928</v>
      </c>
      <c r="BK160" s="8">
        <f t="shared" si="104"/>
        <v>0.74</v>
      </c>
      <c r="BL160" s="49">
        <f t="shared" ca="1" si="122"/>
        <v>103</v>
      </c>
      <c r="BN160" s="50">
        <f t="shared" ca="1" si="16"/>
        <v>0.11256994264046083</v>
      </c>
      <c r="BO160" s="8">
        <f t="shared" si="105"/>
        <v>0.74</v>
      </c>
      <c r="BP160" s="49">
        <f t="shared" ca="1" si="123"/>
        <v>87</v>
      </c>
      <c r="BR160" s="50">
        <f t="shared" ca="1" si="17"/>
        <v>0.15434810554976108</v>
      </c>
      <c r="BS160" s="8">
        <f t="shared" si="106"/>
        <v>0.74</v>
      </c>
      <c r="BT160" s="49">
        <f t="shared" ca="1" si="124"/>
        <v>99</v>
      </c>
    </row>
    <row r="161" spans="1:72" x14ac:dyDescent="0.2">
      <c r="A161" s="22">
        <v>44708</v>
      </c>
      <c r="B161" s="50">
        <f t="shared" ca="1" si="0"/>
        <v>0.69806951791768856</v>
      </c>
      <c r="C161" s="8">
        <f t="shared" si="89"/>
        <v>0.74</v>
      </c>
      <c r="D161" s="49">
        <f t="shared" ca="1" si="107"/>
        <v>82</v>
      </c>
      <c r="F161" s="50">
        <f t="shared" ca="1" si="1"/>
        <v>0.1413320192820382</v>
      </c>
      <c r="G161" s="8">
        <f t="shared" si="90"/>
        <v>0.74</v>
      </c>
      <c r="H161" s="49">
        <f t="shared" ca="1" si="108"/>
        <v>114</v>
      </c>
      <c r="J161" s="50">
        <f t="shared" ca="1" si="2"/>
        <v>0.52525977931853673</v>
      </c>
      <c r="K161" s="8">
        <f t="shared" si="91"/>
        <v>0.74</v>
      </c>
      <c r="L161" s="49">
        <f t="shared" ca="1" si="109"/>
        <v>113</v>
      </c>
      <c r="N161" s="50">
        <f t="shared" ca="1" si="3"/>
        <v>0.34647858734243442</v>
      </c>
      <c r="O161" s="8">
        <f t="shared" si="92"/>
        <v>0.74</v>
      </c>
      <c r="P161" s="49">
        <f t="shared" ca="1" si="110"/>
        <v>152</v>
      </c>
      <c r="R161" s="50">
        <f t="shared" ca="1" si="4"/>
        <v>0.65196070076178392</v>
      </c>
      <c r="S161" s="8">
        <f t="shared" si="93"/>
        <v>0.74</v>
      </c>
      <c r="T161" s="49">
        <f t="shared" ca="1" si="111"/>
        <v>114</v>
      </c>
      <c r="V161" s="50">
        <f t="shared" ca="1" si="5"/>
        <v>6.2241711879754136E-2</v>
      </c>
      <c r="W161" s="8">
        <f t="shared" si="94"/>
        <v>0.74</v>
      </c>
      <c r="X161" s="49">
        <f t="shared" ca="1" si="112"/>
        <v>99</v>
      </c>
      <c r="Z161" s="50">
        <f t="shared" ca="1" si="6"/>
        <v>0.90735577797514555</v>
      </c>
      <c r="AA161" s="8">
        <f t="shared" si="95"/>
        <v>0.74</v>
      </c>
      <c r="AB161" s="49">
        <f t="shared" ca="1" si="113"/>
        <v>271</v>
      </c>
      <c r="AD161" s="50">
        <f t="shared" ca="1" si="7"/>
        <v>0.55616016778284616</v>
      </c>
      <c r="AE161" s="8">
        <f t="shared" si="96"/>
        <v>0.74</v>
      </c>
      <c r="AF161" s="49">
        <f t="shared" ca="1" si="114"/>
        <v>252</v>
      </c>
      <c r="AH161" s="50">
        <f t="shared" ca="1" si="8"/>
        <v>0.56884932048564207</v>
      </c>
      <c r="AI161" s="8">
        <f t="shared" si="97"/>
        <v>0.74</v>
      </c>
      <c r="AJ161" s="49">
        <f t="shared" ca="1" si="115"/>
        <v>140</v>
      </c>
      <c r="AL161" s="50">
        <f t="shared" ca="1" si="9"/>
        <v>0.27662106244725981</v>
      </c>
      <c r="AM161" s="8">
        <f t="shared" si="98"/>
        <v>0.74</v>
      </c>
      <c r="AN161" s="49">
        <f t="shared" ca="1" si="116"/>
        <v>92</v>
      </c>
      <c r="AP161" s="50">
        <f t="shared" ca="1" si="10"/>
        <v>0.49089244433118762</v>
      </c>
      <c r="AQ161" s="8">
        <f t="shared" si="99"/>
        <v>0.74</v>
      </c>
      <c r="AR161" s="49">
        <f t="shared" ca="1" si="117"/>
        <v>160</v>
      </c>
      <c r="AT161" s="50">
        <f t="shared" ca="1" si="11"/>
        <v>0.17456500407944686</v>
      </c>
      <c r="AU161" s="8">
        <f t="shared" si="100"/>
        <v>0.74</v>
      </c>
      <c r="AV161" s="49">
        <f t="shared" ca="1" si="118"/>
        <v>107</v>
      </c>
      <c r="AX161" s="50">
        <f t="shared" ca="1" si="12"/>
        <v>0.60577906122234182</v>
      </c>
      <c r="AY161" s="8">
        <f t="shared" si="101"/>
        <v>0.74</v>
      </c>
      <c r="AZ161" s="49">
        <f t="shared" ca="1" si="119"/>
        <v>143</v>
      </c>
      <c r="BB161" s="50">
        <f t="shared" ca="1" si="13"/>
        <v>0.25785465665160001</v>
      </c>
      <c r="BC161" s="8">
        <f t="shared" si="102"/>
        <v>0.74</v>
      </c>
      <c r="BD161" s="49">
        <f t="shared" ca="1" si="120"/>
        <v>98</v>
      </c>
      <c r="BF161" s="50">
        <f t="shared" ca="1" si="14"/>
        <v>0.87286143140837702</v>
      </c>
      <c r="BG161" s="8">
        <f t="shared" si="103"/>
        <v>0.74</v>
      </c>
      <c r="BH161" s="49">
        <f t="shared" ca="1" si="121"/>
        <v>159</v>
      </c>
      <c r="BJ161" s="50">
        <f t="shared" ca="1" si="15"/>
        <v>0.68040936528725138</v>
      </c>
      <c r="BK161" s="8">
        <f t="shared" si="104"/>
        <v>0.74</v>
      </c>
      <c r="BL161" s="49">
        <f t="shared" ca="1" si="122"/>
        <v>110</v>
      </c>
      <c r="BN161" s="50">
        <f t="shared" ca="1" si="16"/>
        <v>0.45543329763365747</v>
      </c>
      <c r="BO161" s="8">
        <f t="shared" si="105"/>
        <v>0.74</v>
      </c>
      <c r="BP161" s="49">
        <f t="shared" ca="1" si="123"/>
        <v>125</v>
      </c>
      <c r="BR161" s="50">
        <f t="shared" ca="1" si="17"/>
        <v>0.86101748735652328</v>
      </c>
      <c r="BS161" s="8">
        <f t="shared" si="106"/>
        <v>0.74</v>
      </c>
      <c r="BT161" s="49">
        <f t="shared" ca="1" si="124"/>
        <v>176</v>
      </c>
    </row>
    <row r="162" spans="1:72" x14ac:dyDescent="0.2">
      <c r="A162" s="22">
        <v>44709</v>
      </c>
      <c r="B162" s="50">
        <f t="shared" ca="1" si="0"/>
        <v>0.24446783926777382</v>
      </c>
      <c r="C162" s="8">
        <f t="shared" si="89"/>
        <v>0.74</v>
      </c>
      <c r="D162" s="49">
        <f t="shared" ca="1" si="107"/>
        <v>64</v>
      </c>
      <c r="F162" s="50">
        <f t="shared" ca="1" si="1"/>
        <v>0.46268781922304358</v>
      </c>
      <c r="G162" s="8">
        <f t="shared" si="90"/>
        <v>0.74</v>
      </c>
      <c r="H162" s="49">
        <f t="shared" ca="1" si="108"/>
        <v>156</v>
      </c>
      <c r="J162" s="50">
        <f t="shared" ca="1" si="2"/>
        <v>0.15439645445783268</v>
      </c>
      <c r="K162" s="8">
        <f t="shared" si="91"/>
        <v>0.74</v>
      </c>
      <c r="L162" s="49">
        <f t="shared" ca="1" si="109"/>
        <v>81</v>
      </c>
      <c r="N162" s="50">
        <f t="shared" ca="1" si="3"/>
        <v>3.6122125487361045E-2</v>
      </c>
      <c r="O162" s="8">
        <f t="shared" si="92"/>
        <v>0.74</v>
      </c>
      <c r="P162" s="49">
        <f t="shared" ca="1" si="110"/>
        <v>89</v>
      </c>
      <c r="R162" s="50">
        <f t="shared" ca="1" si="4"/>
        <v>0.90467417405018591</v>
      </c>
      <c r="S162" s="8">
        <f t="shared" si="93"/>
        <v>0.74</v>
      </c>
      <c r="T162" s="49">
        <f t="shared" ca="1" si="111"/>
        <v>139</v>
      </c>
      <c r="V162" s="50">
        <f t="shared" ca="1" si="5"/>
        <v>0.8273750791112392</v>
      </c>
      <c r="W162" s="8">
        <f t="shared" si="94"/>
        <v>0.74</v>
      </c>
      <c r="X162" s="49">
        <f t="shared" ca="1" si="112"/>
        <v>209</v>
      </c>
      <c r="Z162" s="50">
        <f t="shared" ca="1" si="6"/>
        <v>0.34283651476959609</v>
      </c>
      <c r="AA162" s="8">
        <f t="shared" si="95"/>
        <v>0.74</v>
      </c>
      <c r="AB162" s="49">
        <f t="shared" ca="1" si="113"/>
        <v>179</v>
      </c>
      <c r="AD162" s="50">
        <f t="shared" ca="1" si="7"/>
        <v>0.1348655663200623</v>
      </c>
      <c r="AE162" s="8">
        <f t="shared" si="96"/>
        <v>0.74</v>
      </c>
      <c r="AF162" s="49">
        <f t="shared" ca="1" si="114"/>
        <v>171</v>
      </c>
      <c r="AH162" s="50">
        <f t="shared" ca="1" si="8"/>
        <v>0.31003054013988995</v>
      </c>
      <c r="AI162" s="8">
        <f t="shared" si="97"/>
        <v>0.74</v>
      </c>
      <c r="AJ162" s="49">
        <f t="shared" ca="1" si="115"/>
        <v>116</v>
      </c>
      <c r="AL162" s="50">
        <f t="shared" ca="1" si="9"/>
        <v>0.97746088633776673</v>
      </c>
      <c r="AM162" s="8">
        <f t="shared" si="98"/>
        <v>0.74</v>
      </c>
      <c r="AN162" s="49">
        <f t="shared" ca="1" si="116"/>
        <v>168</v>
      </c>
      <c r="AP162" s="50">
        <f t="shared" ca="1" si="10"/>
        <v>0.35261998788371873</v>
      </c>
      <c r="AQ162" s="8">
        <f t="shared" si="99"/>
        <v>0.74</v>
      </c>
      <c r="AR162" s="49">
        <f t="shared" ca="1" si="117"/>
        <v>145</v>
      </c>
      <c r="AT162" s="50">
        <f t="shared" ca="1" si="11"/>
        <v>0.97028891460701328</v>
      </c>
      <c r="AU162" s="8">
        <f t="shared" si="100"/>
        <v>0.74</v>
      </c>
      <c r="AV162" s="49">
        <f t="shared" ca="1" si="118"/>
        <v>214</v>
      </c>
      <c r="AX162" s="50">
        <f t="shared" ca="1" si="12"/>
        <v>0.51628549632299314</v>
      </c>
      <c r="AY162" s="8">
        <f t="shared" si="101"/>
        <v>0.74</v>
      </c>
      <c r="AZ162" s="49">
        <f t="shared" ca="1" si="119"/>
        <v>135</v>
      </c>
      <c r="BB162" s="50">
        <f t="shared" ca="1" si="13"/>
        <v>0.22025937080990621</v>
      </c>
      <c r="BC162" s="8">
        <f t="shared" si="102"/>
        <v>0.74</v>
      </c>
      <c r="BD162" s="49">
        <f t="shared" ca="1" si="120"/>
        <v>94</v>
      </c>
      <c r="BF162" s="50">
        <f t="shared" ca="1" si="14"/>
        <v>0.41976621127781955</v>
      </c>
      <c r="BG162" s="8">
        <f t="shared" si="103"/>
        <v>0.74</v>
      </c>
      <c r="BH162" s="49">
        <f t="shared" ca="1" si="121"/>
        <v>116</v>
      </c>
      <c r="BJ162" s="50">
        <f t="shared" ca="1" si="15"/>
        <v>0.906336311931772</v>
      </c>
      <c r="BK162" s="8">
        <f t="shared" si="104"/>
        <v>0.74</v>
      </c>
      <c r="BL162" s="49">
        <f t="shared" ca="1" si="122"/>
        <v>131</v>
      </c>
      <c r="BN162" s="50">
        <f t="shared" ca="1" si="16"/>
        <v>0.45570204921534108</v>
      </c>
      <c r="BO162" s="8">
        <f t="shared" si="105"/>
        <v>0.74</v>
      </c>
      <c r="BP162" s="49">
        <f t="shared" ca="1" si="123"/>
        <v>125</v>
      </c>
      <c r="BR162" s="50">
        <f t="shared" ca="1" si="17"/>
        <v>0.92156151255276508</v>
      </c>
      <c r="BS162" s="8">
        <f t="shared" si="106"/>
        <v>0.74</v>
      </c>
      <c r="BT162" s="49">
        <f t="shared" ca="1" si="124"/>
        <v>188</v>
      </c>
    </row>
    <row r="163" spans="1:72" x14ac:dyDescent="0.2">
      <c r="A163" s="22">
        <v>44710</v>
      </c>
      <c r="B163" s="50">
        <f t="shared" ca="1" si="0"/>
        <v>0.13164185492975344</v>
      </c>
      <c r="C163" s="8">
        <f t="shared" si="89"/>
        <v>0.74</v>
      </c>
      <c r="D163" s="49">
        <f t="shared" ca="1" si="107"/>
        <v>58</v>
      </c>
      <c r="F163" s="50">
        <f t="shared" ca="1" si="1"/>
        <v>0.20805827479776096</v>
      </c>
      <c r="G163" s="8">
        <f t="shared" si="90"/>
        <v>0.74</v>
      </c>
      <c r="H163" s="49">
        <f t="shared" ca="1" si="108"/>
        <v>125</v>
      </c>
      <c r="J163" s="50">
        <f t="shared" ca="1" si="2"/>
        <v>0.42622129402680109</v>
      </c>
      <c r="K163" s="8">
        <f t="shared" si="91"/>
        <v>0.74</v>
      </c>
      <c r="L163" s="49">
        <f t="shared" ca="1" si="109"/>
        <v>106</v>
      </c>
      <c r="N163" s="50">
        <f t="shared" ca="1" si="3"/>
        <v>0.63121864789089632</v>
      </c>
      <c r="O163" s="8">
        <f t="shared" si="92"/>
        <v>0.74</v>
      </c>
      <c r="P163" s="49">
        <f t="shared" ca="1" si="110"/>
        <v>185</v>
      </c>
      <c r="R163" s="50">
        <f t="shared" ca="1" si="4"/>
        <v>0.30111845835927065</v>
      </c>
      <c r="S163" s="8">
        <f t="shared" si="93"/>
        <v>0.74</v>
      </c>
      <c r="T163" s="49">
        <f t="shared" ca="1" si="111"/>
        <v>89</v>
      </c>
      <c r="V163" s="50">
        <f t="shared" ca="1" si="5"/>
        <v>0.76487642266790401</v>
      </c>
      <c r="W163" s="8">
        <f t="shared" si="94"/>
        <v>0.74</v>
      </c>
      <c r="X163" s="49">
        <f t="shared" ca="1" si="112"/>
        <v>199</v>
      </c>
      <c r="Z163" s="50">
        <f t="shared" ca="1" si="6"/>
        <v>0.85627804652561301</v>
      </c>
      <c r="AA163" s="8">
        <f t="shared" si="95"/>
        <v>0.74</v>
      </c>
      <c r="AB163" s="49">
        <f t="shared" ca="1" si="113"/>
        <v>257</v>
      </c>
      <c r="AD163" s="50">
        <f t="shared" ca="1" si="7"/>
        <v>8.7195066635439189E-2</v>
      </c>
      <c r="AE163" s="8">
        <f t="shared" si="96"/>
        <v>0.74</v>
      </c>
      <c r="AF163" s="49">
        <f t="shared" ca="1" si="114"/>
        <v>155</v>
      </c>
      <c r="AH163" s="50">
        <f t="shared" ca="1" si="8"/>
        <v>0.41177491433065228</v>
      </c>
      <c r="AI163" s="8">
        <f t="shared" si="97"/>
        <v>0.74</v>
      </c>
      <c r="AJ163" s="49">
        <f t="shared" ca="1" si="115"/>
        <v>126</v>
      </c>
      <c r="AL163" s="50">
        <f t="shared" ca="1" si="9"/>
        <v>0.20399175780841228</v>
      </c>
      <c r="AM163" s="8">
        <f t="shared" si="98"/>
        <v>0.74</v>
      </c>
      <c r="AN163" s="49">
        <f t="shared" ca="1" si="116"/>
        <v>85</v>
      </c>
      <c r="AP163" s="50">
        <f t="shared" ca="1" si="10"/>
        <v>0.33855784533747135</v>
      </c>
      <c r="AQ163" s="8">
        <f t="shared" si="99"/>
        <v>0.74</v>
      </c>
      <c r="AR163" s="49">
        <f t="shared" ca="1" si="117"/>
        <v>143</v>
      </c>
      <c r="AT163" s="50">
        <f t="shared" ca="1" si="11"/>
        <v>0.93636067235136067</v>
      </c>
      <c r="AU163" s="8">
        <f t="shared" si="100"/>
        <v>0.74</v>
      </c>
      <c r="AV163" s="49">
        <f t="shared" ca="1" si="118"/>
        <v>200</v>
      </c>
      <c r="AX163" s="50">
        <f t="shared" ca="1" si="12"/>
        <v>0.86972878033139167</v>
      </c>
      <c r="AY163" s="8">
        <f t="shared" si="101"/>
        <v>0.74</v>
      </c>
      <c r="AZ163" s="49">
        <f t="shared" ca="1" si="119"/>
        <v>174</v>
      </c>
      <c r="BB163" s="50">
        <f t="shared" ca="1" si="13"/>
        <v>0.25132687592619907</v>
      </c>
      <c r="BC163" s="8">
        <f t="shared" si="102"/>
        <v>0.74</v>
      </c>
      <c r="BD163" s="49">
        <f t="shared" ca="1" si="120"/>
        <v>97</v>
      </c>
      <c r="BF163" s="50">
        <f t="shared" ca="1" si="14"/>
        <v>0.34119964764174338</v>
      </c>
      <c r="BG163" s="8">
        <f t="shared" si="103"/>
        <v>0.74</v>
      </c>
      <c r="BH163" s="49">
        <f t="shared" ca="1" si="121"/>
        <v>109</v>
      </c>
      <c r="BJ163" s="50">
        <f t="shared" ca="1" si="15"/>
        <v>0.57661064209192658</v>
      </c>
      <c r="BK163" s="8">
        <f t="shared" si="104"/>
        <v>0.74</v>
      </c>
      <c r="BL163" s="49">
        <f t="shared" ca="1" si="122"/>
        <v>102</v>
      </c>
      <c r="BN163" s="50">
        <f t="shared" ca="1" si="16"/>
        <v>0.90390315130807153</v>
      </c>
      <c r="BO163" s="8">
        <f t="shared" si="105"/>
        <v>0.74</v>
      </c>
      <c r="BP163" s="49">
        <f t="shared" ca="1" si="123"/>
        <v>174</v>
      </c>
      <c r="BR163" s="50">
        <f t="shared" ca="1" si="17"/>
        <v>0.53085135312547926</v>
      </c>
      <c r="BS163" s="8">
        <f t="shared" si="106"/>
        <v>0.74</v>
      </c>
      <c r="BT163" s="49">
        <f t="shared" ca="1" si="124"/>
        <v>139</v>
      </c>
    </row>
    <row r="164" spans="1:72" x14ac:dyDescent="0.2">
      <c r="A164" s="22">
        <v>44711</v>
      </c>
      <c r="B164" s="50">
        <f t="shared" ca="1" si="0"/>
        <v>0.76405154452737889</v>
      </c>
      <c r="C164" s="8">
        <f t="shared" si="89"/>
        <v>0.74</v>
      </c>
      <c r="D164" s="49">
        <f t="shared" ca="1" si="107"/>
        <v>85</v>
      </c>
      <c r="F164" s="50">
        <f t="shared" ca="1" si="1"/>
        <v>0.69222386872745134</v>
      </c>
      <c r="G164" s="8">
        <f t="shared" si="90"/>
        <v>0.74</v>
      </c>
      <c r="H164" s="49">
        <f t="shared" ca="1" si="108"/>
        <v>181</v>
      </c>
      <c r="J164" s="50">
        <f t="shared" ca="1" si="2"/>
        <v>5.7444628227374395E-2</v>
      </c>
      <c r="K164" s="8">
        <f t="shared" si="91"/>
        <v>0.74</v>
      </c>
      <c r="L164" s="49">
        <f t="shared" ca="1" si="109"/>
        <v>65</v>
      </c>
      <c r="N164" s="50">
        <f t="shared" ca="1" si="3"/>
        <v>0.34503757417282033</v>
      </c>
      <c r="O164" s="8">
        <f t="shared" si="92"/>
        <v>0.74</v>
      </c>
      <c r="P164" s="49">
        <f t="shared" ca="1" si="110"/>
        <v>152</v>
      </c>
      <c r="R164" s="50">
        <f t="shared" ca="1" si="4"/>
        <v>0.98135233929943522</v>
      </c>
      <c r="S164" s="8">
        <f t="shared" si="93"/>
        <v>0.74</v>
      </c>
      <c r="T164" s="49">
        <f t="shared" ca="1" si="111"/>
        <v>160</v>
      </c>
      <c r="V164" s="50">
        <f t="shared" ca="1" si="5"/>
        <v>0.69496932682519841</v>
      </c>
      <c r="W164" s="8">
        <f t="shared" si="94"/>
        <v>0.74</v>
      </c>
      <c r="X164" s="49">
        <f t="shared" ca="1" si="112"/>
        <v>190</v>
      </c>
      <c r="Z164" s="50">
        <f t="shared" ca="1" si="6"/>
        <v>0.93680812514896195</v>
      </c>
      <c r="AA164" s="8">
        <f t="shared" si="95"/>
        <v>0.74</v>
      </c>
      <c r="AB164" s="49">
        <f t="shared" ca="1" si="113"/>
        <v>282</v>
      </c>
      <c r="AD164" s="50">
        <f t="shared" ca="1" si="7"/>
        <v>0.44742473162191332</v>
      </c>
      <c r="AE164" s="8">
        <f t="shared" si="96"/>
        <v>0.74</v>
      </c>
      <c r="AF164" s="49">
        <f t="shared" ca="1" si="114"/>
        <v>234</v>
      </c>
      <c r="AH164" s="50">
        <f t="shared" ca="1" si="8"/>
        <v>0.2869075249360783</v>
      </c>
      <c r="AI164" s="8">
        <f t="shared" si="97"/>
        <v>0.74</v>
      </c>
      <c r="AJ164" s="49">
        <f t="shared" ca="1" si="115"/>
        <v>114</v>
      </c>
      <c r="AL164" s="50">
        <f t="shared" ca="1" si="9"/>
        <v>0.51048375604424356</v>
      </c>
      <c r="AM164" s="8">
        <f t="shared" si="98"/>
        <v>0.74</v>
      </c>
      <c r="AN164" s="49">
        <f t="shared" ca="1" si="116"/>
        <v>110</v>
      </c>
      <c r="AP164" s="50">
        <f t="shared" ca="1" si="10"/>
        <v>0.48414710936845728</v>
      </c>
      <c r="AQ164" s="8">
        <f t="shared" si="99"/>
        <v>0.74</v>
      </c>
      <c r="AR164" s="49">
        <f t="shared" ca="1" si="117"/>
        <v>159</v>
      </c>
      <c r="AT164" s="50">
        <f t="shared" ca="1" si="11"/>
        <v>0.54981276598860496</v>
      </c>
      <c r="AU164" s="8">
        <f t="shared" si="100"/>
        <v>0.74</v>
      </c>
      <c r="AV164" s="49">
        <f t="shared" ca="1" si="118"/>
        <v>147</v>
      </c>
      <c r="AX164" s="50">
        <f t="shared" ca="1" si="12"/>
        <v>0.79894253002864668</v>
      </c>
      <c r="AY164" s="8">
        <f t="shared" si="101"/>
        <v>0.74</v>
      </c>
      <c r="AZ164" s="49">
        <f t="shared" ca="1" si="119"/>
        <v>163</v>
      </c>
      <c r="BB164" s="50">
        <f t="shared" ca="1" si="13"/>
        <v>0.49473905875870028</v>
      </c>
      <c r="BC164" s="8">
        <f t="shared" si="102"/>
        <v>0.74</v>
      </c>
      <c r="BD164" s="49">
        <f t="shared" ca="1" si="120"/>
        <v>118</v>
      </c>
      <c r="BF164" s="50">
        <f t="shared" ca="1" si="14"/>
        <v>0.25814167067861116</v>
      </c>
      <c r="BG164" s="8">
        <f t="shared" si="103"/>
        <v>0.74</v>
      </c>
      <c r="BH164" s="49">
        <f t="shared" ca="1" si="121"/>
        <v>101</v>
      </c>
      <c r="BJ164" s="50">
        <f t="shared" ca="1" si="15"/>
        <v>0.75195744811776788</v>
      </c>
      <c r="BK164" s="8">
        <f t="shared" si="104"/>
        <v>0.74</v>
      </c>
      <c r="BL164" s="49">
        <f t="shared" ca="1" si="122"/>
        <v>115</v>
      </c>
      <c r="BN164" s="50">
        <f t="shared" ca="1" si="16"/>
        <v>0.4742438330615143</v>
      </c>
      <c r="BO164" s="8">
        <f t="shared" si="105"/>
        <v>0.74</v>
      </c>
      <c r="BP164" s="49">
        <f t="shared" ca="1" si="123"/>
        <v>127</v>
      </c>
      <c r="BR164" s="50">
        <f t="shared" ca="1" si="17"/>
        <v>0.17168150533279458</v>
      </c>
      <c r="BS164" s="8">
        <f t="shared" si="106"/>
        <v>0.74</v>
      </c>
      <c r="BT164" s="49">
        <f t="shared" ca="1" si="124"/>
        <v>102</v>
      </c>
    </row>
    <row r="165" spans="1:72" x14ac:dyDescent="0.2">
      <c r="A165" s="22">
        <v>44712</v>
      </c>
      <c r="B165" s="50">
        <f t="shared" ca="1" si="0"/>
        <v>0.45572137995083406</v>
      </c>
      <c r="C165" s="8">
        <f t="shared" si="89"/>
        <v>0.74</v>
      </c>
      <c r="D165" s="49">
        <f t="shared" ca="1" si="107"/>
        <v>73</v>
      </c>
      <c r="F165" s="50">
        <f t="shared" ca="1" si="1"/>
        <v>0.29038741002491364</v>
      </c>
      <c r="G165" s="8">
        <f t="shared" si="90"/>
        <v>0.74</v>
      </c>
      <c r="H165" s="49">
        <f t="shared" ca="1" si="108"/>
        <v>136</v>
      </c>
      <c r="J165" s="50">
        <f t="shared" ca="1" si="2"/>
        <v>0.67459832378795814</v>
      </c>
      <c r="K165" s="8">
        <f t="shared" si="91"/>
        <v>0.74</v>
      </c>
      <c r="L165" s="49">
        <f t="shared" ca="1" si="109"/>
        <v>125</v>
      </c>
      <c r="N165" s="50">
        <f t="shared" ca="1" si="3"/>
        <v>0.4142287693216633</v>
      </c>
      <c r="O165" s="8">
        <f t="shared" si="92"/>
        <v>0.74</v>
      </c>
      <c r="P165" s="49">
        <f t="shared" ca="1" si="110"/>
        <v>160</v>
      </c>
      <c r="R165" s="50">
        <f t="shared" ca="1" si="4"/>
        <v>0.80896089372052193</v>
      </c>
      <c r="S165" s="8">
        <f t="shared" si="93"/>
        <v>0.74</v>
      </c>
      <c r="T165" s="49">
        <f t="shared" ca="1" si="111"/>
        <v>127</v>
      </c>
      <c r="V165" s="50">
        <f t="shared" ca="1" si="5"/>
        <v>0.90512535780917169</v>
      </c>
      <c r="W165" s="8">
        <f t="shared" si="94"/>
        <v>0.74</v>
      </c>
      <c r="X165" s="49">
        <f t="shared" ca="1" si="112"/>
        <v>225</v>
      </c>
      <c r="Z165" s="50">
        <f t="shared" ca="1" si="6"/>
        <v>0.31197678708086451</v>
      </c>
      <c r="AA165" s="8">
        <f t="shared" si="95"/>
        <v>0.74</v>
      </c>
      <c r="AB165" s="49">
        <f t="shared" ca="1" si="113"/>
        <v>174</v>
      </c>
      <c r="AD165" s="50">
        <f t="shared" ca="1" si="7"/>
        <v>0.52430734462154938</v>
      </c>
      <c r="AE165" s="8">
        <f t="shared" si="96"/>
        <v>0.74</v>
      </c>
      <c r="AF165" s="49">
        <f t="shared" ca="1" si="114"/>
        <v>246</v>
      </c>
      <c r="AH165" s="50">
        <f t="shared" ca="1" si="8"/>
        <v>0.32272612163395442</v>
      </c>
      <c r="AI165" s="8">
        <f t="shared" si="97"/>
        <v>0.74</v>
      </c>
      <c r="AJ165" s="49">
        <f t="shared" ca="1" si="115"/>
        <v>117</v>
      </c>
      <c r="AL165" s="50">
        <f t="shared" ca="1" si="9"/>
        <v>0.99378583244069907</v>
      </c>
      <c r="AM165" s="8">
        <f t="shared" si="98"/>
        <v>0.74</v>
      </c>
      <c r="AN165" s="49">
        <f t="shared" ca="1" si="116"/>
        <v>182</v>
      </c>
      <c r="AP165" s="50">
        <f t="shared" ca="1" si="10"/>
        <v>0.29610928908666789</v>
      </c>
      <c r="AQ165" s="8">
        <f t="shared" si="99"/>
        <v>0.74</v>
      </c>
      <c r="AR165" s="49">
        <f t="shared" ca="1" si="117"/>
        <v>138</v>
      </c>
      <c r="AT165" s="50">
        <f t="shared" ca="1" si="11"/>
        <v>0.95700314969782507</v>
      </c>
      <c r="AU165" s="8">
        <f t="shared" si="100"/>
        <v>0.74</v>
      </c>
      <c r="AV165" s="49">
        <f t="shared" ca="1" si="118"/>
        <v>207</v>
      </c>
      <c r="AX165" s="50">
        <f t="shared" ca="1" si="12"/>
        <v>0.72150167512155283</v>
      </c>
      <c r="AY165" s="8">
        <f t="shared" si="101"/>
        <v>0.74</v>
      </c>
      <c r="AZ165" s="49">
        <f t="shared" ca="1" si="119"/>
        <v>154</v>
      </c>
      <c r="BB165" s="50">
        <f t="shared" ca="1" si="13"/>
        <v>0.54316218927299875</v>
      </c>
      <c r="BC165" s="8">
        <f t="shared" si="102"/>
        <v>0.74</v>
      </c>
      <c r="BD165" s="49">
        <f t="shared" ca="1" si="120"/>
        <v>122</v>
      </c>
      <c r="BF165" s="50">
        <f t="shared" ca="1" si="14"/>
        <v>0.4650347474387968</v>
      </c>
      <c r="BG165" s="8">
        <f t="shared" si="103"/>
        <v>0.74</v>
      </c>
      <c r="BH165" s="49">
        <f t="shared" ca="1" si="121"/>
        <v>119</v>
      </c>
      <c r="BJ165" s="50">
        <f t="shared" ca="1" si="15"/>
        <v>0.31793764847442951</v>
      </c>
      <c r="BK165" s="8">
        <f t="shared" si="104"/>
        <v>0.74</v>
      </c>
      <c r="BL165" s="49">
        <f t="shared" ca="1" si="122"/>
        <v>85</v>
      </c>
      <c r="BN165" s="50">
        <f t="shared" ca="1" si="16"/>
        <v>0.17136517191855005</v>
      </c>
      <c r="BO165" s="8">
        <f t="shared" si="105"/>
        <v>0.74</v>
      </c>
      <c r="BP165" s="49">
        <f t="shared" ca="1" si="123"/>
        <v>96</v>
      </c>
      <c r="BR165" s="50">
        <f t="shared" ca="1" si="17"/>
        <v>0.36778122982628059</v>
      </c>
      <c r="BS165" s="8">
        <f t="shared" si="106"/>
        <v>0.74</v>
      </c>
      <c r="BT165" s="49">
        <f t="shared" ca="1" si="124"/>
        <v>124</v>
      </c>
    </row>
    <row r="166" spans="1:72" x14ac:dyDescent="0.2">
      <c r="A166" s="22">
        <v>44713</v>
      </c>
      <c r="B166" s="50">
        <f t="shared" ca="1" si="0"/>
        <v>0.53358036006423293</v>
      </c>
      <c r="C166" s="8">
        <f t="shared" si="89"/>
        <v>0.74</v>
      </c>
      <c r="D166" s="49">
        <f t="shared" ca="1" si="107"/>
        <v>76</v>
      </c>
      <c r="F166" s="50">
        <f t="shared" ca="1" si="1"/>
        <v>0.9208669060055914</v>
      </c>
      <c r="G166" s="8">
        <f t="shared" si="90"/>
        <v>0.74</v>
      </c>
      <c r="H166" s="49">
        <f t="shared" ca="1" si="108"/>
        <v>220</v>
      </c>
      <c r="J166" s="50">
        <f t="shared" ca="1" si="2"/>
        <v>0.3333799687323683</v>
      </c>
      <c r="K166" s="8">
        <f t="shared" si="91"/>
        <v>0.74</v>
      </c>
      <c r="L166" s="49">
        <f t="shared" ca="1" si="109"/>
        <v>99</v>
      </c>
      <c r="N166" s="50">
        <f t="shared" ca="1" si="3"/>
        <v>0.26584396510801001</v>
      </c>
      <c r="O166" s="8">
        <f t="shared" si="92"/>
        <v>0.74</v>
      </c>
      <c r="P166" s="49">
        <f t="shared" ca="1" si="110"/>
        <v>142</v>
      </c>
      <c r="R166" s="50">
        <f t="shared" ca="1" si="4"/>
        <v>0.5545313988837447</v>
      </c>
      <c r="S166" s="8">
        <f t="shared" si="93"/>
        <v>0.74</v>
      </c>
      <c r="T166" s="49">
        <f t="shared" ca="1" si="111"/>
        <v>107</v>
      </c>
      <c r="V166" s="50">
        <f t="shared" ca="1" si="5"/>
        <v>8.915336877574942E-2</v>
      </c>
      <c r="W166" s="8">
        <f t="shared" si="94"/>
        <v>0.74</v>
      </c>
      <c r="X166" s="49">
        <f t="shared" ca="1" si="112"/>
        <v>107</v>
      </c>
      <c r="Z166" s="50">
        <f t="shared" ca="1" si="6"/>
        <v>0.18437700869157914</v>
      </c>
      <c r="AA166" s="8">
        <f t="shared" si="95"/>
        <v>0.74</v>
      </c>
      <c r="AB166" s="49">
        <f t="shared" ca="1" si="113"/>
        <v>152</v>
      </c>
      <c r="AD166" s="50">
        <f t="shared" ca="1" si="7"/>
        <v>0.82640106705981264</v>
      </c>
      <c r="AE166" s="8">
        <f t="shared" si="96"/>
        <v>0.74</v>
      </c>
      <c r="AF166" s="49">
        <f t="shared" ca="1" si="114"/>
        <v>303</v>
      </c>
      <c r="AH166" s="50">
        <f t="shared" ca="1" si="8"/>
        <v>0.39680250916479576</v>
      </c>
      <c r="AI166" s="8">
        <f t="shared" si="97"/>
        <v>0.74</v>
      </c>
      <c r="AJ166" s="49">
        <f t="shared" ca="1" si="115"/>
        <v>124</v>
      </c>
      <c r="AL166" s="50">
        <f t="shared" ca="1" si="9"/>
        <v>0.17827397920378119</v>
      </c>
      <c r="AM166" s="8">
        <f t="shared" si="98"/>
        <v>0.74</v>
      </c>
      <c r="AN166" s="49">
        <f t="shared" ca="1" si="116"/>
        <v>83</v>
      </c>
      <c r="AP166" s="50">
        <f t="shared" ca="1" si="10"/>
        <v>0.95509394272519621</v>
      </c>
      <c r="AQ166" s="8">
        <f t="shared" si="99"/>
        <v>0.74</v>
      </c>
      <c r="AR166" s="49">
        <f t="shared" ca="1" si="117"/>
        <v>233</v>
      </c>
      <c r="AT166" s="50">
        <f t="shared" ca="1" si="11"/>
        <v>6.8662874450057254E-3</v>
      </c>
      <c r="AU166" s="8">
        <f t="shared" si="100"/>
        <v>0.74</v>
      </c>
      <c r="AV166" s="49">
        <f t="shared" ca="1" si="118"/>
        <v>49</v>
      </c>
      <c r="AX166" s="50">
        <f t="shared" ca="1" si="12"/>
        <v>0.87745358194398471</v>
      </c>
      <c r="AY166" s="8">
        <f t="shared" si="101"/>
        <v>0.74</v>
      </c>
      <c r="AZ166" s="49">
        <f t="shared" ca="1" si="119"/>
        <v>175</v>
      </c>
      <c r="BB166" s="50">
        <f t="shared" ca="1" si="13"/>
        <v>0.14731138411428402</v>
      </c>
      <c r="BC166" s="8">
        <f t="shared" si="102"/>
        <v>0.74</v>
      </c>
      <c r="BD166" s="49">
        <f t="shared" ca="1" si="120"/>
        <v>86</v>
      </c>
      <c r="BF166" s="50">
        <f t="shared" ca="1" si="14"/>
        <v>0.60460529573780264</v>
      </c>
      <c r="BG166" s="8">
        <f t="shared" si="103"/>
        <v>0.74</v>
      </c>
      <c r="BH166" s="49">
        <f t="shared" ca="1" si="121"/>
        <v>131</v>
      </c>
      <c r="BJ166" s="50">
        <f t="shared" ca="1" si="15"/>
        <v>0.39686648356031307</v>
      </c>
      <c r="BK166" s="8">
        <f t="shared" si="104"/>
        <v>0.74</v>
      </c>
      <c r="BL166" s="49">
        <f t="shared" ca="1" si="122"/>
        <v>91</v>
      </c>
      <c r="BN166" s="50">
        <f t="shared" ca="1" si="16"/>
        <v>0.70965690678849214</v>
      </c>
      <c r="BO166" s="8">
        <f t="shared" si="105"/>
        <v>0.74</v>
      </c>
      <c r="BP166" s="49">
        <f t="shared" ca="1" si="123"/>
        <v>148</v>
      </c>
      <c r="BR166" s="50">
        <f t="shared" ca="1" si="17"/>
        <v>0.59572898856704326</v>
      </c>
      <c r="BS166" s="8">
        <f t="shared" si="106"/>
        <v>0.74</v>
      </c>
      <c r="BT166" s="49">
        <f t="shared" ca="1" si="124"/>
        <v>145</v>
      </c>
    </row>
    <row r="167" spans="1:72" x14ac:dyDescent="0.2">
      <c r="A167" s="22">
        <v>44714</v>
      </c>
      <c r="B167" s="50">
        <f t="shared" ca="1" si="0"/>
        <v>0.2487896548525228</v>
      </c>
      <c r="C167" s="8">
        <f t="shared" si="89"/>
        <v>0.74</v>
      </c>
      <c r="D167" s="49">
        <f t="shared" ca="1" si="107"/>
        <v>64</v>
      </c>
      <c r="F167" s="50">
        <f t="shared" ca="1" si="1"/>
        <v>7.6452586984017246E-2</v>
      </c>
      <c r="G167" s="8">
        <f t="shared" si="90"/>
        <v>0.74</v>
      </c>
      <c r="H167" s="49">
        <f t="shared" ca="1" si="108"/>
        <v>99</v>
      </c>
      <c r="J167" s="50">
        <f t="shared" ca="1" si="2"/>
        <v>0.19212657230680796</v>
      </c>
      <c r="K167" s="8">
        <f t="shared" si="91"/>
        <v>0.74</v>
      </c>
      <c r="L167" s="49">
        <f t="shared" ca="1" si="109"/>
        <v>86</v>
      </c>
      <c r="N167" s="50">
        <f t="shared" ca="1" si="3"/>
        <v>0.94060606215897924</v>
      </c>
      <c r="O167" s="8">
        <f t="shared" si="92"/>
        <v>0.74</v>
      </c>
      <c r="P167" s="49">
        <f t="shared" ca="1" si="110"/>
        <v>241</v>
      </c>
      <c r="R167" s="50">
        <f t="shared" ca="1" si="4"/>
        <v>0.11972757531508516</v>
      </c>
      <c r="S167" s="8">
        <f t="shared" si="93"/>
        <v>0.74</v>
      </c>
      <c r="T167" s="49">
        <f t="shared" ca="1" si="111"/>
        <v>71</v>
      </c>
      <c r="V167" s="50">
        <f t="shared" ca="1" si="5"/>
        <v>0.53712655848598301</v>
      </c>
      <c r="W167" s="8">
        <f t="shared" si="94"/>
        <v>0.74</v>
      </c>
      <c r="X167" s="49">
        <f t="shared" ca="1" si="112"/>
        <v>171</v>
      </c>
      <c r="Z167" s="50">
        <f t="shared" ca="1" si="6"/>
        <v>0.34553589655730432</v>
      </c>
      <c r="AA167" s="8">
        <f t="shared" si="95"/>
        <v>0.74</v>
      </c>
      <c r="AB167" s="49">
        <f t="shared" ca="1" si="113"/>
        <v>179</v>
      </c>
      <c r="AD167" s="50">
        <f t="shared" ca="1" si="7"/>
        <v>0.6653524381708521</v>
      </c>
      <c r="AE167" s="8">
        <f t="shared" si="96"/>
        <v>0.74</v>
      </c>
      <c r="AF167" s="49">
        <f t="shared" ca="1" si="114"/>
        <v>270</v>
      </c>
      <c r="AH167" s="50">
        <f t="shared" ca="1" si="8"/>
        <v>6.4047487636065381E-2</v>
      </c>
      <c r="AI167" s="8">
        <f t="shared" si="97"/>
        <v>0.74</v>
      </c>
      <c r="AJ167" s="49">
        <f t="shared" ca="1" si="115"/>
        <v>80</v>
      </c>
      <c r="AL167" s="50">
        <f t="shared" ca="1" si="9"/>
        <v>0.84966489263237743</v>
      </c>
      <c r="AM167" s="8">
        <f t="shared" si="98"/>
        <v>0.74</v>
      </c>
      <c r="AN167" s="49">
        <f t="shared" ca="1" si="116"/>
        <v>139</v>
      </c>
      <c r="AP167" s="50">
        <f t="shared" ca="1" si="10"/>
        <v>6.9023062405662916E-2</v>
      </c>
      <c r="AQ167" s="8">
        <f t="shared" si="99"/>
        <v>0.74</v>
      </c>
      <c r="AR167" s="49">
        <f t="shared" ca="1" si="117"/>
        <v>97</v>
      </c>
      <c r="AT167" s="50">
        <f t="shared" ca="1" si="11"/>
        <v>0.65985903634095822</v>
      </c>
      <c r="AU167" s="8">
        <f t="shared" si="100"/>
        <v>0.74</v>
      </c>
      <c r="AV167" s="49">
        <f t="shared" ca="1" si="118"/>
        <v>158</v>
      </c>
      <c r="AX167" s="50">
        <f t="shared" ca="1" si="12"/>
        <v>0.44640273064070679</v>
      </c>
      <c r="AY167" s="8">
        <f t="shared" si="101"/>
        <v>0.74</v>
      </c>
      <c r="AZ167" s="49">
        <f t="shared" ca="1" si="119"/>
        <v>129</v>
      </c>
      <c r="BB167" s="50">
        <f t="shared" ca="1" si="13"/>
        <v>0.63725598213136425</v>
      </c>
      <c r="BC167" s="8">
        <f t="shared" si="102"/>
        <v>0.74</v>
      </c>
      <c r="BD167" s="49">
        <f t="shared" ca="1" si="120"/>
        <v>130</v>
      </c>
      <c r="BF167" s="50">
        <f t="shared" ca="1" si="14"/>
        <v>0.23559915481083293</v>
      </c>
      <c r="BG167" s="8">
        <f t="shared" si="103"/>
        <v>0.74</v>
      </c>
      <c r="BH167" s="49">
        <f t="shared" ca="1" si="121"/>
        <v>99</v>
      </c>
      <c r="BJ167" s="50">
        <f t="shared" ca="1" si="15"/>
        <v>0.29277635702903981</v>
      </c>
      <c r="BK167" s="8">
        <f t="shared" si="104"/>
        <v>0.74</v>
      </c>
      <c r="BL167" s="49">
        <f t="shared" ca="1" si="122"/>
        <v>83</v>
      </c>
      <c r="BN167" s="50">
        <f t="shared" ca="1" si="16"/>
        <v>0.1730222615968211</v>
      </c>
      <c r="BO167" s="8">
        <f t="shared" si="105"/>
        <v>0.74</v>
      </c>
      <c r="BP167" s="49">
        <f t="shared" ca="1" si="123"/>
        <v>97</v>
      </c>
      <c r="BR167" s="50">
        <f t="shared" ca="1" si="17"/>
        <v>0.56826194082431036</v>
      </c>
      <c r="BS167" s="8">
        <f t="shared" si="106"/>
        <v>0.74</v>
      </c>
      <c r="BT167" s="49">
        <f t="shared" ca="1" si="124"/>
        <v>142</v>
      </c>
    </row>
    <row r="168" spans="1:72" x14ac:dyDescent="0.2">
      <c r="A168" s="22">
        <v>44715</v>
      </c>
      <c r="B168" s="50">
        <f t="shared" ca="1" si="0"/>
        <v>0.23433219970860053</v>
      </c>
      <c r="C168" s="8">
        <f t="shared" si="89"/>
        <v>0.74</v>
      </c>
      <c r="D168" s="49">
        <f t="shared" ca="1" si="107"/>
        <v>64</v>
      </c>
      <c r="F168" s="50">
        <f t="shared" ca="1" si="1"/>
        <v>0.46354197783485696</v>
      </c>
      <c r="G168" s="8">
        <f t="shared" si="90"/>
        <v>0.74</v>
      </c>
      <c r="H168" s="49">
        <f t="shared" ca="1" si="108"/>
        <v>156</v>
      </c>
      <c r="J168" s="50">
        <f t="shared" ca="1" si="2"/>
        <v>0.20610066756031498</v>
      </c>
      <c r="K168" s="8">
        <f t="shared" si="91"/>
        <v>0.74</v>
      </c>
      <c r="L168" s="49">
        <f t="shared" ca="1" si="109"/>
        <v>87</v>
      </c>
      <c r="N168" s="50">
        <f t="shared" ca="1" si="3"/>
        <v>0.83085747624110839</v>
      </c>
      <c r="O168" s="8">
        <f t="shared" si="92"/>
        <v>0.74</v>
      </c>
      <c r="P168" s="49">
        <f t="shared" ca="1" si="110"/>
        <v>214</v>
      </c>
      <c r="R168" s="50">
        <f t="shared" ca="1" si="4"/>
        <v>0.95719425803273783</v>
      </c>
      <c r="S168" s="8">
        <f t="shared" si="93"/>
        <v>0.74</v>
      </c>
      <c r="T168" s="49">
        <f t="shared" ca="1" si="111"/>
        <v>150</v>
      </c>
      <c r="V168" s="50">
        <f t="shared" ca="1" si="5"/>
        <v>0.91167791396921705</v>
      </c>
      <c r="W168" s="8">
        <f t="shared" si="94"/>
        <v>0.74</v>
      </c>
      <c r="X168" s="49">
        <f t="shared" ca="1" si="112"/>
        <v>227</v>
      </c>
      <c r="Z168" s="50">
        <f t="shared" ca="1" si="6"/>
        <v>0.26125595380930289</v>
      </c>
      <c r="AA168" s="8">
        <f t="shared" si="95"/>
        <v>0.74</v>
      </c>
      <c r="AB168" s="49">
        <f t="shared" ca="1" si="113"/>
        <v>166</v>
      </c>
      <c r="AD168" s="50">
        <f t="shared" ca="1" si="7"/>
        <v>0.33813115900983326</v>
      </c>
      <c r="AE168" s="8">
        <f t="shared" si="96"/>
        <v>0.74</v>
      </c>
      <c r="AF168" s="49">
        <f t="shared" ca="1" si="114"/>
        <v>216</v>
      </c>
      <c r="AH168" s="50">
        <f t="shared" ca="1" si="8"/>
        <v>0.16993665767320121</v>
      </c>
      <c r="AI168" s="8">
        <f t="shared" si="97"/>
        <v>0.74</v>
      </c>
      <c r="AJ168" s="49">
        <f t="shared" ca="1" si="115"/>
        <v>100</v>
      </c>
      <c r="AL168" s="50">
        <f t="shared" ca="1" si="9"/>
        <v>0.73694382223744637</v>
      </c>
      <c r="AM168" s="8">
        <f t="shared" si="98"/>
        <v>0.74</v>
      </c>
      <c r="AN168" s="49">
        <f t="shared" ca="1" si="116"/>
        <v>128</v>
      </c>
      <c r="AP168" s="50">
        <f t="shared" ca="1" si="10"/>
        <v>0.56026197285144608</v>
      </c>
      <c r="AQ168" s="8">
        <f t="shared" si="99"/>
        <v>0.74</v>
      </c>
      <c r="AR168" s="49">
        <f t="shared" ca="1" si="117"/>
        <v>167</v>
      </c>
      <c r="AT168" s="50">
        <f t="shared" ca="1" si="11"/>
        <v>0.11199856929824958</v>
      </c>
      <c r="AU168" s="8">
        <f t="shared" si="100"/>
        <v>0.74</v>
      </c>
      <c r="AV168" s="49">
        <f t="shared" ca="1" si="118"/>
        <v>96</v>
      </c>
      <c r="AX168" s="50">
        <f t="shared" ca="1" si="12"/>
        <v>0.26472136788726364</v>
      </c>
      <c r="AY168" s="8">
        <f t="shared" si="101"/>
        <v>0.74</v>
      </c>
      <c r="AZ168" s="49">
        <f t="shared" ca="1" si="119"/>
        <v>111</v>
      </c>
      <c r="BB168" s="50">
        <f t="shared" ca="1" si="13"/>
        <v>0.29999077856388723</v>
      </c>
      <c r="BC168" s="8">
        <f t="shared" si="102"/>
        <v>0.74</v>
      </c>
      <c r="BD168" s="49">
        <f t="shared" ca="1" si="120"/>
        <v>102</v>
      </c>
      <c r="BF168" s="50">
        <f t="shared" ca="1" si="14"/>
        <v>0.60413554484745147</v>
      </c>
      <c r="BG168" s="8">
        <f t="shared" si="103"/>
        <v>0.74</v>
      </c>
      <c r="BH168" s="49">
        <f t="shared" ca="1" si="121"/>
        <v>131</v>
      </c>
      <c r="BJ168" s="50">
        <f t="shared" ca="1" si="15"/>
        <v>0.85068362100576755</v>
      </c>
      <c r="BK168" s="8">
        <f t="shared" si="104"/>
        <v>0.74</v>
      </c>
      <c r="BL168" s="49">
        <f t="shared" ca="1" si="122"/>
        <v>124</v>
      </c>
      <c r="BN168" s="50">
        <f t="shared" ca="1" si="16"/>
        <v>0.94797594724772083</v>
      </c>
      <c r="BO168" s="8">
        <f t="shared" si="105"/>
        <v>0.74</v>
      </c>
      <c r="BP168" s="49">
        <f t="shared" ca="1" si="123"/>
        <v>185</v>
      </c>
      <c r="BR168" s="50">
        <f t="shared" ca="1" si="17"/>
        <v>0.25533770167216385</v>
      </c>
      <c r="BS168" s="8">
        <f t="shared" si="106"/>
        <v>0.74</v>
      </c>
      <c r="BT168" s="49">
        <f t="shared" ca="1" si="124"/>
        <v>112</v>
      </c>
    </row>
    <row r="169" spans="1:72" x14ac:dyDescent="0.2">
      <c r="A169" s="22">
        <v>44716</v>
      </c>
      <c r="B169" s="50">
        <f t="shared" ca="1" si="0"/>
        <v>8.5636562110495973E-3</v>
      </c>
      <c r="C169" s="8">
        <f t="shared" si="89"/>
        <v>0.74</v>
      </c>
      <c r="D169" s="49">
        <f t="shared" ca="1" si="107"/>
        <v>39</v>
      </c>
      <c r="F169" s="50">
        <f t="shared" ca="1" si="1"/>
        <v>0.22350812076556392</v>
      </c>
      <c r="G169" s="8">
        <f t="shared" si="90"/>
        <v>0.74</v>
      </c>
      <c r="H169" s="49">
        <f t="shared" ca="1" si="108"/>
        <v>128</v>
      </c>
      <c r="J169" s="50">
        <f t="shared" ca="1" si="2"/>
        <v>0.7819851342269889</v>
      </c>
      <c r="K169" s="8">
        <f t="shared" si="91"/>
        <v>0.74</v>
      </c>
      <c r="L169" s="49">
        <f t="shared" ca="1" si="109"/>
        <v>135</v>
      </c>
      <c r="N169" s="50">
        <f t="shared" ca="1" si="3"/>
        <v>0.60240057441096584</v>
      </c>
      <c r="O169" s="8">
        <f t="shared" si="92"/>
        <v>0.74</v>
      </c>
      <c r="P169" s="49">
        <f t="shared" ca="1" si="110"/>
        <v>182</v>
      </c>
      <c r="R169" s="50">
        <f t="shared" ca="1" si="4"/>
        <v>0.22389037814105694</v>
      </c>
      <c r="S169" s="8">
        <f t="shared" si="93"/>
        <v>0.74</v>
      </c>
      <c r="T169" s="49">
        <f t="shared" ca="1" si="111"/>
        <v>82</v>
      </c>
      <c r="V169" s="50">
        <f t="shared" ca="1" si="5"/>
        <v>0.17640856153938544</v>
      </c>
      <c r="W169" s="8">
        <f t="shared" si="94"/>
        <v>0.74</v>
      </c>
      <c r="X169" s="49">
        <f t="shared" ca="1" si="112"/>
        <v>126</v>
      </c>
      <c r="Z169" s="50">
        <f t="shared" ca="1" si="6"/>
        <v>0.645626064576447</v>
      </c>
      <c r="AA169" s="8">
        <f t="shared" si="95"/>
        <v>0.74</v>
      </c>
      <c r="AB169" s="49">
        <f t="shared" ca="1" si="113"/>
        <v>220</v>
      </c>
      <c r="AD169" s="50">
        <f t="shared" ca="1" si="7"/>
        <v>0.78675673457080275</v>
      </c>
      <c r="AE169" s="8">
        <f t="shared" si="96"/>
        <v>0.74</v>
      </c>
      <c r="AF169" s="49">
        <f t="shared" ca="1" si="114"/>
        <v>294</v>
      </c>
      <c r="AH169" s="50">
        <f t="shared" ca="1" si="8"/>
        <v>0.57717137883963299</v>
      </c>
      <c r="AI169" s="8">
        <f t="shared" si="97"/>
        <v>0.74</v>
      </c>
      <c r="AJ169" s="49">
        <f t="shared" ca="1" si="115"/>
        <v>140</v>
      </c>
      <c r="AL169" s="50">
        <f t="shared" ca="1" si="9"/>
        <v>0.90607655088713079</v>
      </c>
      <c r="AM169" s="8">
        <f t="shared" si="98"/>
        <v>0.74</v>
      </c>
      <c r="AN169" s="49">
        <f t="shared" ca="1" si="116"/>
        <v>148</v>
      </c>
      <c r="AP169" s="50">
        <f t="shared" ca="1" si="10"/>
        <v>0.52924491042141164</v>
      </c>
      <c r="AQ169" s="8">
        <f t="shared" si="99"/>
        <v>0.74</v>
      </c>
      <c r="AR169" s="49">
        <f t="shared" ca="1" si="117"/>
        <v>164</v>
      </c>
      <c r="AT169" s="50">
        <f t="shared" ca="1" si="11"/>
        <v>0.62443247651993838</v>
      </c>
      <c r="AU169" s="8">
        <f t="shared" si="100"/>
        <v>0.74</v>
      </c>
      <c r="AV169" s="49">
        <f t="shared" ca="1" si="118"/>
        <v>154</v>
      </c>
      <c r="AX169" s="50">
        <f t="shared" ca="1" si="12"/>
        <v>0.43060177964494994</v>
      </c>
      <c r="AY169" s="8">
        <f t="shared" si="101"/>
        <v>0.74</v>
      </c>
      <c r="AZ169" s="49">
        <f t="shared" ca="1" si="119"/>
        <v>127</v>
      </c>
      <c r="BB169" s="50">
        <f t="shared" ca="1" si="13"/>
        <v>0.4192409733912118</v>
      </c>
      <c r="BC169" s="8">
        <f t="shared" si="102"/>
        <v>0.74</v>
      </c>
      <c r="BD169" s="49">
        <f t="shared" ca="1" si="120"/>
        <v>112</v>
      </c>
      <c r="BF169" s="50">
        <f t="shared" ca="1" si="14"/>
        <v>0.7781029525872164</v>
      </c>
      <c r="BG169" s="8">
        <f t="shared" si="103"/>
        <v>0.74</v>
      </c>
      <c r="BH169" s="49">
        <f t="shared" ca="1" si="121"/>
        <v>147</v>
      </c>
      <c r="BJ169" s="50">
        <f t="shared" ca="1" si="15"/>
        <v>1.3941118757601401E-2</v>
      </c>
      <c r="BK169" s="8">
        <f t="shared" si="104"/>
        <v>0.74</v>
      </c>
      <c r="BL169" s="49">
        <f t="shared" ca="1" si="122"/>
        <v>41</v>
      </c>
      <c r="BN169" s="50">
        <f t="shared" ca="1" si="16"/>
        <v>0.26872523493697964</v>
      </c>
      <c r="BO169" s="8">
        <f t="shared" si="105"/>
        <v>0.74</v>
      </c>
      <c r="BP169" s="49">
        <f t="shared" ca="1" si="123"/>
        <v>108</v>
      </c>
      <c r="BR169" s="50">
        <f t="shared" ca="1" si="17"/>
        <v>0.22895708395427905</v>
      </c>
      <c r="BS169" s="8">
        <f t="shared" si="106"/>
        <v>0.74</v>
      </c>
      <c r="BT169" s="49">
        <f t="shared" ca="1" si="124"/>
        <v>109</v>
      </c>
    </row>
    <row r="170" spans="1:72" x14ac:dyDescent="0.2">
      <c r="A170" s="22">
        <v>44717</v>
      </c>
      <c r="B170" s="50">
        <f t="shared" ca="1" si="0"/>
        <v>0.83560842582222616</v>
      </c>
      <c r="C170" s="8">
        <f t="shared" ref="C170:C201" si="125">1-(0.06 + 0.2)</f>
        <v>0.74</v>
      </c>
      <c r="D170" s="49">
        <f t="shared" ca="1" si="107"/>
        <v>89</v>
      </c>
      <c r="F170" s="50">
        <f t="shared" ca="1" si="1"/>
        <v>0.65374017870024137</v>
      </c>
      <c r="G170" s="8">
        <f t="shared" ref="G170:G201" si="126">1-(0.06 + 0.2)</f>
        <v>0.74</v>
      </c>
      <c r="H170" s="49">
        <f t="shared" ca="1" si="108"/>
        <v>177</v>
      </c>
      <c r="J170" s="50">
        <f t="shared" ca="1" si="2"/>
        <v>0.46621472391053009</v>
      </c>
      <c r="K170" s="8">
        <f t="shared" ref="K170:K201" si="127">1-(0.06 + 0.2)</f>
        <v>0.74</v>
      </c>
      <c r="L170" s="49">
        <f t="shared" ca="1" si="109"/>
        <v>109</v>
      </c>
      <c r="N170" s="50">
        <f t="shared" ca="1" si="3"/>
        <v>0.3054314323889179</v>
      </c>
      <c r="O170" s="8">
        <f t="shared" ref="O170:O201" si="128">1-(0.06 + 0.2)</f>
        <v>0.74</v>
      </c>
      <c r="P170" s="49">
        <f t="shared" ca="1" si="110"/>
        <v>147</v>
      </c>
      <c r="R170" s="50">
        <f t="shared" ca="1" si="4"/>
        <v>0.52911548982121792</v>
      </c>
      <c r="S170" s="8">
        <f t="shared" ref="S170:S201" si="129">1-(0.06 + 0.2)</f>
        <v>0.74</v>
      </c>
      <c r="T170" s="49">
        <f t="shared" ca="1" si="111"/>
        <v>105</v>
      </c>
      <c r="V170" s="50">
        <f t="shared" ca="1" si="5"/>
        <v>0.32308878093334248</v>
      </c>
      <c r="W170" s="8">
        <f t="shared" ref="W170:W201" si="130">1-(0.06 + 0.2)</f>
        <v>0.74</v>
      </c>
      <c r="X170" s="49">
        <f t="shared" ca="1" si="112"/>
        <v>147</v>
      </c>
      <c r="Z170" s="50">
        <f t="shared" ca="1" si="6"/>
        <v>0.52730247952191289</v>
      </c>
      <c r="AA170" s="8">
        <f t="shared" ref="AA170:AA201" si="131">1-(0.06 + 0.2)</f>
        <v>0.74</v>
      </c>
      <c r="AB170" s="49">
        <f t="shared" ca="1" si="113"/>
        <v>204</v>
      </c>
      <c r="AD170" s="50">
        <f t="shared" ca="1" si="7"/>
        <v>0.47671030982226992</v>
      </c>
      <c r="AE170" s="8">
        <f t="shared" ref="AE170:AE201" si="132">1-(0.06 + 0.2)</f>
        <v>0.74</v>
      </c>
      <c r="AF170" s="49">
        <f t="shared" ca="1" si="114"/>
        <v>239</v>
      </c>
      <c r="AH170" s="50">
        <f t="shared" ca="1" si="8"/>
        <v>0.98620931749228002</v>
      </c>
      <c r="AI170" s="8">
        <f t="shared" ref="AI170:AI201" si="133">1-(0.06 + 0.2)</f>
        <v>0.74</v>
      </c>
      <c r="AJ170" s="49">
        <f t="shared" ca="1" si="115"/>
        <v>212</v>
      </c>
      <c r="AL170" s="50">
        <f t="shared" ca="1" si="9"/>
        <v>0.62273460730254526</v>
      </c>
      <c r="AM170" s="8">
        <f t="shared" ref="AM170:AM201" si="134">1-(0.06 + 0.2)</f>
        <v>0.74</v>
      </c>
      <c r="AN170" s="49">
        <f t="shared" ca="1" si="116"/>
        <v>118</v>
      </c>
      <c r="AP170" s="50">
        <f t="shared" ca="1" si="10"/>
        <v>0.28469109991876906</v>
      </c>
      <c r="AQ170" s="8">
        <f t="shared" ref="AQ170:AQ201" si="135">1-(0.06 + 0.2)</f>
        <v>0.74</v>
      </c>
      <c r="AR170" s="49">
        <f t="shared" ca="1" si="117"/>
        <v>137</v>
      </c>
      <c r="AT170" s="50">
        <f t="shared" ca="1" si="11"/>
        <v>0.14728071537148124</v>
      </c>
      <c r="AU170" s="8">
        <f t="shared" ref="AU170:AU201" si="136">1-(0.06 + 0.2)</f>
        <v>0.74</v>
      </c>
      <c r="AV170" s="49">
        <f t="shared" ca="1" si="118"/>
        <v>103</v>
      </c>
      <c r="AX170" s="50">
        <f t="shared" ca="1" si="12"/>
        <v>8.0478122369484484E-2</v>
      </c>
      <c r="AY170" s="8">
        <f t="shared" ref="AY170:AY201" si="137">1-(0.06 + 0.2)</f>
        <v>0.74</v>
      </c>
      <c r="AZ170" s="49">
        <f t="shared" ca="1" si="119"/>
        <v>84</v>
      </c>
      <c r="BB170" s="50">
        <f t="shared" ca="1" si="13"/>
        <v>5.7765432814144257E-2</v>
      </c>
      <c r="BC170" s="8">
        <f t="shared" ref="BC170:BC201" si="138">1-(0.06 + 0.2)</f>
        <v>0.74</v>
      </c>
      <c r="BD170" s="49">
        <f t="shared" ca="1" si="120"/>
        <v>69</v>
      </c>
      <c r="BF170" s="50">
        <f t="shared" ca="1" si="14"/>
        <v>0.12602480366546642</v>
      </c>
      <c r="BG170" s="8">
        <f t="shared" ref="BG170:BG201" si="139">1-(0.06 + 0.2)</f>
        <v>0.74</v>
      </c>
      <c r="BH170" s="49">
        <f t="shared" ca="1" si="121"/>
        <v>85</v>
      </c>
      <c r="BJ170" s="50">
        <f t="shared" ca="1" si="15"/>
        <v>0.93172378669657607</v>
      </c>
      <c r="BK170" s="8">
        <f t="shared" ref="BK170:BK201" si="140">1-(0.06 + 0.2)</f>
        <v>0.74</v>
      </c>
      <c r="BL170" s="49">
        <f t="shared" ca="1" si="122"/>
        <v>136</v>
      </c>
      <c r="BN170" s="50">
        <f t="shared" ca="1" si="16"/>
        <v>7.1512800089045037E-2</v>
      </c>
      <c r="BO170" s="8">
        <f t="shared" ref="BO170:BO201" si="141">1-(0.06 + 0.2)</f>
        <v>0.74</v>
      </c>
      <c r="BP170" s="49">
        <f t="shared" ca="1" si="123"/>
        <v>79</v>
      </c>
      <c r="BR170" s="50">
        <f t="shared" ca="1" si="17"/>
        <v>0.44265269600011725</v>
      </c>
      <c r="BS170" s="8">
        <f t="shared" ref="BS170:BS201" si="142">1-(0.06 + 0.2)</f>
        <v>0.74</v>
      </c>
      <c r="BT170" s="49">
        <f t="shared" ca="1" si="124"/>
        <v>131</v>
      </c>
    </row>
    <row r="171" spans="1:72" x14ac:dyDescent="0.2">
      <c r="A171" s="22">
        <v>44718</v>
      </c>
      <c r="B171" s="50">
        <f t="shared" ca="1" si="0"/>
        <v>0.12079320647272118</v>
      </c>
      <c r="C171" s="8">
        <f t="shared" si="125"/>
        <v>0.74</v>
      </c>
      <c r="D171" s="49">
        <f t="shared" ca="1" si="107"/>
        <v>57</v>
      </c>
      <c r="F171" s="50">
        <f t="shared" ca="1" si="1"/>
        <v>0.14868957892250423</v>
      </c>
      <c r="G171" s="8">
        <f t="shared" si="126"/>
        <v>0.74</v>
      </c>
      <c r="H171" s="49">
        <f t="shared" ca="1" si="108"/>
        <v>116</v>
      </c>
      <c r="J171" s="50">
        <f t="shared" ca="1" si="2"/>
        <v>0.85469152943517079</v>
      </c>
      <c r="K171" s="8">
        <f t="shared" si="127"/>
        <v>0.74</v>
      </c>
      <c r="L171" s="49">
        <f t="shared" ca="1" si="109"/>
        <v>143</v>
      </c>
      <c r="N171" s="50">
        <f t="shared" ca="1" si="3"/>
        <v>0.91805940995066826</v>
      </c>
      <c r="O171" s="8">
        <f t="shared" si="128"/>
        <v>0.74</v>
      </c>
      <c r="P171" s="49">
        <f t="shared" ca="1" si="110"/>
        <v>233</v>
      </c>
      <c r="R171" s="50">
        <f t="shared" ca="1" si="4"/>
        <v>0.6323906281225562</v>
      </c>
      <c r="S171" s="8">
        <f t="shared" si="129"/>
        <v>0.74</v>
      </c>
      <c r="T171" s="49">
        <f t="shared" ca="1" si="111"/>
        <v>112</v>
      </c>
      <c r="V171" s="50">
        <f t="shared" ca="1" si="5"/>
        <v>0.28586504439796268</v>
      </c>
      <c r="W171" s="8">
        <f t="shared" si="130"/>
        <v>0.74</v>
      </c>
      <c r="X171" s="49">
        <f t="shared" ca="1" si="112"/>
        <v>142</v>
      </c>
      <c r="Z171" s="50">
        <f t="shared" ca="1" si="6"/>
        <v>0.46615726987963446</v>
      </c>
      <c r="AA171" s="8">
        <f t="shared" si="131"/>
        <v>0.74</v>
      </c>
      <c r="AB171" s="49">
        <f t="shared" ca="1" si="113"/>
        <v>196</v>
      </c>
      <c r="AD171" s="50">
        <f t="shared" ca="1" si="7"/>
        <v>1.5436900725574798E-2</v>
      </c>
      <c r="AE171" s="8">
        <f t="shared" si="132"/>
        <v>0.74</v>
      </c>
      <c r="AF171" s="49">
        <f t="shared" ca="1" si="114"/>
        <v>103</v>
      </c>
      <c r="AH171" s="50">
        <f t="shared" ca="1" si="8"/>
        <v>0.71286147365687047</v>
      </c>
      <c r="AI171" s="8">
        <f t="shared" si="133"/>
        <v>0.74</v>
      </c>
      <c r="AJ171" s="49">
        <f t="shared" ca="1" si="115"/>
        <v>154</v>
      </c>
      <c r="AL171" s="50">
        <f t="shared" ca="1" si="9"/>
        <v>0.40413726285540552</v>
      </c>
      <c r="AM171" s="8">
        <f t="shared" si="134"/>
        <v>0.74</v>
      </c>
      <c r="AN171" s="49">
        <f t="shared" ca="1" si="116"/>
        <v>102</v>
      </c>
      <c r="AP171" s="50">
        <f t="shared" ca="1" si="10"/>
        <v>0.14495550769710985</v>
      </c>
      <c r="AQ171" s="8">
        <f t="shared" si="135"/>
        <v>0.74</v>
      </c>
      <c r="AR171" s="49">
        <f t="shared" ca="1" si="117"/>
        <v>116</v>
      </c>
      <c r="AT171" s="50">
        <f t="shared" ca="1" si="11"/>
        <v>0.65080684401749722</v>
      </c>
      <c r="AU171" s="8">
        <f t="shared" si="136"/>
        <v>0.74</v>
      </c>
      <c r="AV171" s="49">
        <f t="shared" ca="1" si="118"/>
        <v>157</v>
      </c>
      <c r="AX171" s="50">
        <f t="shared" ca="1" si="12"/>
        <v>0.95416539294099478</v>
      </c>
      <c r="AY171" s="8">
        <f t="shared" si="137"/>
        <v>0.74</v>
      </c>
      <c r="AZ171" s="49">
        <f t="shared" ca="1" si="119"/>
        <v>193</v>
      </c>
      <c r="BB171" s="50">
        <f t="shared" ca="1" si="13"/>
        <v>0.48566134145249285</v>
      </c>
      <c r="BC171" s="8">
        <f t="shared" si="138"/>
        <v>0.74</v>
      </c>
      <c r="BD171" s="49">
        <f t="shared" ca="1" si="120"/>
        <v>117</v>
      </c>
      <c r="BF171" s="50">
        <f t="shared" ca="1" si="14"/>
        <v>0.78070850214355736</v>
      </c>
      <c r="BG171" s="8">
        <f t="shared" si="139"/>
        <v>0.74</v>
      </c>
      <c r="BH171" s="49">
        <f t="shared" ca="1" si="121"/>
        <v>147</v>
      </c>
      <c r="BJ171" s="50">
        <f t="shared" ca="1" si="15"/>
        <v>0.34592270764044974</v>
      </c>
      <c r="BK171" s="8">
        <f t="shared" si="140"/>
        <v>0.74</v>
      </c>
      <c r="BL171" s="49">
        <f t="shared" ca="1" si="122"/>
        <v>87</v>
      </c>
      <c r="BN171" s="50">
        <f t="shared" ca="1" si="16"/>
        <v>0.93354564223253378</v>
      </c>
      <c r="BO171" s="8">
        <f t="shared" si="141"/>
        <v>0.74</v>
      </c>
      <c r="BP171" s="49">
        <f t="shared" ca="1" si="123"/>
        <v>180</v>
      </c>
      <c r="BR171" s="50">
        <f t="shared" ca="1" si="17"/>
        <v>0.10164839102618684</v>
      </c>
      <c r="BS171" s="8">
        <f t="shared" si="142"/>
        <v>0.74</v>
      </c>
      <c r="BT171" s="49">
        <f t="shared" ca="1" si="124"/>
        <v>90</v>
      </c>
    </row>
    <row r="172" spans="1:72" x14ac:dyDescent="0.2">
      <c r="A172" s="22">
        <v>44719</v>
      </c>
      <c r="B172" s="50">
        <f t="shared" ca="1" si="0"/>
        <v>0.41392489763094265</v>
      </c>
      <c r="C172" s="8">
        <f t="shared" si="125"/>
        <v>0.74</v>
      </c>
      <c r="D172" s="49">
        <f t="shared" ca="1" si="107"/>
        <v>71</v>
      </c>
      <c r="F172" s="50">
        <f t="shared" ca="1" si="1"/>
        <v>0.96416715137709275</v>
      </c>
      <c r="G172" s="8">
        <f t="shared" si="126"/>
        <v>0.74</v>
      </c>
      <c r="H172" s="49">
        <f t="shared" ca="1" si="108"/>
        <v>236</v>
      </c>
      <c r="J172" s="50">
        <f t="shared" ca="1" si="2"/>
        <v>0.23784200819447032</v>
      </c>
      <c r="K172" s="8">
        <f t="shared" si="127"/>
        <v>0.74</v>
      </c>
      <c r="L172" s="49">
        <f t="shared" ca="1" si="109"/>
        <v>90</v>
      </c>
      <c r="N172" s="50">
        <f t="shared" ca="1" si="3"/>
        <v>0.41103764722804348</v>
      </c>
      <c r="O172" s="8">
        <f t="shared" si="128"/>
        <v>0.74</v>
      </c>
      <c r="P172" s="49">
        <f t="shared" ca="1" si="110"/>
        <v>160</v>
      </c>
      <c r="R172" s="50">
        <f t="shared" ca="1" si="4"/>
        <v>0.4524541571228009</v>
      </c>
      <c r="S172" s="8">
        <f t="shared" si="129"/>
        <v>0.74</v>
      </c>
      <c r="T172" s="49">
        <f t="shared" ca="1" si="111"/>
        <v>100</v>
      </c>
      <c r="V172" s="50">
        <f t="shared" ca="1" si="5"/>
        <v>0.67077214744542435</v>
      </c>
      <c r="W172" s="8">
        <f t="shared" si="130"/>
        <v>0.74</v>
      </c>
      <c r="X172" s="49">
        <f t="shared" ca="1" si="112"/>
        <v>187</v>
      </c>
      <c r="Z172" s="50">
        <f t="shared" ca="1" si="6"/>
        <v>0.5657827638267896</v>
      </c>
      <c r="AA172" s="8">
        <f t="shared" si="131"/>
        <v>0.74</v>
      </c>
      <c r="AB172" s="49">
        <f t="shared" ca="1" si="113"/>
        <v>209</v>
      </c>
      <c r="AD172" s="50">
        <f t="shared" ca="1" si="7"/>
        <v>0.5302103521072713</v>
      </c>
      <c r="AE172" s="8">
        <f t="shared" si="132"/>
        <v>0.74</v>
      </c>
      <c r="AF172" s="49">
        <f t="shared" ca="1" si="114"/>
        <v>247</v>
      </c>
      <c r="AH172" s="50">
        <f t="shared" ca="1" si="8"/>
        <v>0.45267758600154062</v>
      </c>
      <c r="AI172" s="8">
        <f t="shared" si="133"/>
        <v>0.74</v>
      </c>
      <c r="AJ172" s="49">
        <f t="shared" ca="1" si="115"/>
        <v>129</v>
      </c>
      <c r="AL172" s="50">
        <f t="shared" ca="1" si="9"/>
        <v>0.39883601170392124</v>
      </c>
      <c r="AM172" s="8">
        <f t="shared" si="134"/>
        <v>0.74</v>
      </c>
      <c r="AN172" s="49">
        <f t="shared" ca="1" si="116"/>
        <v>102</v>
      </c>
      <c r="AP172" s="50">
        <f t="shared" ca="1" si="10"/>
        <v>0.34620435509745962</v>
      </c>
      <c r="AQ172" s="8">
        <f t="shared" si="135"/>
        <v>0.74</v>
      </c>
      <c r="AR172" s="49">
        <f t="shared" ca="1" si="117"/>
        <v>144</v>
      </c>
      <c r="AT172" s="50">
        <f t="shared" ca="1" si="11"/>
        <v>0.28230138276353889</v>
      </c>
      <c r="AU172" s="8">
        <f t="shared" si="136"/>
        <v>0.74</v>
      </c>
      <c r="AV172" s="49">
        <f t="shared" ca="1" si="118"/>
        <v>121</v>
      </c>
      <c r="AX172" s="50">
        <f t="shared" ca="1" si="12"/>
        <v>0.48886978084879762</v>
      </c>
      <c r="AY172" s="8">
        <f t="shared" si="137"/>
        <v>0.74</v>
      </c>
      <c r="AZ172" s="49">
        <f t="shared" ca="1" si="119"/>
        <v>133</v>
      </c>
      <c r="BB172" s="50">
        <f t="shared" ca="1" si="13"/>
        <v>0.5155630644538135</v>
      </c>
      <c r="BC172" s="8">
        <f t="shared" si="138"/>
        <v>0.74</v>
      </c>
      <c r="BD172" s="49">
        <f t="shared" ca="1" si="120"/>
        <v>120</v>
      </c>
      <c r="BF172" s="50">
        <f t="shared" ca="1" si="14"/>
        <v>0.52530416024418369</v>
      </c>
      <c r="BG172" s="8">
        <f t="shared" si="139"/>
        <v>0.74</v>
      </c>
      <c r="BH172" s="49">
        <f t="shared" ca="1" si="121"/>
        <v>124</v>
      </c>
      <c r="BJ172" s="50">
        <f t="shared" ca="1" si="15"/>
        <v>0.19407014954795021</v>
      </c>
      <c r="BK172" s="8">
        <f t="shared" si="140"/>
        <v>0.74</v>
      </c>
      <c r="BL172" s="49">
        <f t="shared" ca="1" si="122"/>
        <v>75</v>
      </c>
      <c r="BN172" s="50">
        <f t="shared" ca="1" si="16"/>
        <v>0.99583817952450127</v>
      </c>
      <c r="BO172" s="8">
        <f t="shared" si="141"/>
        <v>0.74</v>
      </c>
      <c r="BP172" s="49">
        <f t="shared" ca="1" si="123"/>
        <v>219</v>
      </c>
      <c r="BR172" s="50">
        <f t="shared" ca="1" si="17"/>
        <v>0.8702866314621176</v>
      </c>
      <c r="BS172" s="8">
        <f t="shared" si="142"/>
        <v>0.74</v>
      </c>
      <c r="BT172" s="49">
        <f t="shared" ca="1" si="124"/>
        <v>177</v>
      </c>
    </row>
    <row r="173" spans="1:72" x14ac:dyDescent="0.2">
      <c r="A173" s="22">
        <v>44720</v>
      </c>
      <c r="B173" s="50">
        <f t="shared" ca="1" si="0"/>
        <v>0.52747396831108773</v>
      </c>
      <c r="C173" s="8">
        <f t="shared" si="125"/>
        <v>0.74</v>
      </c>
      <c r="D173" s="49">
        <f t="shared" ca="1" si="107"/>
        <v>76</v>
      </c>
      <c r="F173" s="50">
        <f t="shared" ca="1" si="1"/>
        <v>0.28600206173253129</v>
      </c>
      <c r="G173" s="8">
        <f t="shared" si="126"/>
        <v>0.74</v>
      </c>
      <c r="H173" s="49">
        <f t="shared" ca="1" si="108"/>
        <v>136</v>
      </c>
      <c r="J173" s="50">
        <f t="shared" ca="1" si="2"/>
        <v>0.51117958148498555</v>
      </c>
      <c r="K173" s="8">
        <f t="shared" si="127"/>
        <v>0.74</v>
      </c>
      <c r="L173" s="49">
        <f t="shared" ca="1" si="109"/>
        <v>112</v>
      </c>
      <c r="N173" s="50">
        <f t="shared" ca="1" si="3"/>
        <v>0.12930643667184472</v>
      </c>
      <c r="O173" s="8">
        <f t="shared" si="128"/>
        <v>0.74</v>
      </c>
      <c r="P173" s="49">
        <f t="shared" ca="1" si="110"/>
        <v>119</v>
      </c>
      <c r="R173" s="50">
        <f t="shared" ca="1" si="4"/>
        <v>0.57351869469456884</v>
      </c>
      <c r="S173" s="8">
        <f t="shared" si="129"/>
        <v>0.74</v>
      </c>
      <c r="T173" s="49">
        <f t="shared" ca="1" si="111"/>
        <v>108</v>
      </c>
      <c r="V173" s="50">
        <f t="shared" ca="1" si="5"/>
        <v>0.19753449529164557</v>
      </c>
      <c r="W173" s="8">
        <f t="shared" si="130"/>
        <v>0.74</v>
      </c>
      <c r="X173" s="49">
        <f t="shared" ca="1" si="112"/>
        <v>129</v>
      </c>
      <c r="Z173" s="50">
        <f t="shared" ca="1" si="6"/>
        <v>0.452777267181107</v>
      </c>
      <c r="AA173" s="8">
        <f t="shared" si="131"/>
        <v>0.74</v>
      </c>
      <c r="AB173" s="49">
        <f t="shared" ca="1" si="113"/>
        <v>194</v>
      </c>
      <c r="AD173" s="50">
        <f t="shared" ca="1" si="7"/>
        <v>2.4460911242466188E-2</v>
      </c>
      <c r="AE173" s="8">
        <f t="shared" si="132"/>
        <v>0.74</v>
      </c>
      <c r="AF173" s="49">
        <f t="shared" ca="1" si="114"/>
        <v>115</v>
      </c>
      <c r="AH173" s="50">
        <f t="shared" ca="1" si="8"/>
        <v>0.92406019844395015</v>
      </c>
      <c r="AI173" s="8">
        <f t="shared" si="133"/>
        <v>0.74</v>
      </c>
      <c r="AJ173" s="49">
        <f t="shared" ca="1" si="115"/>
        <v>184</v>
      </c>
      <c r="AL173" s="50">
        <f t="shared" ca="1" si="9"/>
        <v>0.25257751740166767</v>
      </c>
      <c r="AM173" s="8">
        <f t="shared" si="134"/>
        <v>0.74</v>
      </c>
      <c r="AN173" s="49">
        <f t="shared" ca="1" si="116"/>
        <v>90</v>
      </c>
      <c r="AP173" s="50">
        <f t="shared" ca="1" si="10"/>
        <v>0.26936993351293581</v>
      </c>
      <c r="AQ173" s="8">
        <f t="shared" si="135"/>
        <v>0.74</v>
      </c>
      <c r="AR173" s="49">
        <f t="shared" ca="1" si="117"/>
        <v>135</v>
      </c>
      <c r="AT173" s="50">
        <f t="shared" ca="1" si="11"/>
        <v>0.77095454689229748</v>
      </c>
      <c r="AU173" s="8">
        <f t="shared" si="136"/>
        <v>0.74</v>
      </c>
      <c r="AV173" s="49">
        <f t="shared" ca="1" si="118"/>
        <v>170</v>
      </c>
      <c r="AX173" s="50">
        <f t="shared" ca="1" si="12"/>
        <v>0.92375496629816856</v>
      </c>
      <c r="AY173" s="8">
        <f t="shared" si="137"/>
        <v>0.74</v>
      </c>
      <c r="AZ173" s="49">
        <f t="shared" ca="1" si="119"/>
        <v>184</v>
      </c>
      <c r="BB173" s="50">
        <f t="shared" ca="1" si="13"/>
        <v>0.444816889440668</v>
      </c>
      <c r="BC173" s="8">
        <f t="shared" si="138"/>
        <v>0.74</v>
      </c>
      <c r="BD173" s="49">
        <f t="shared" ca="1" si="120"/>
        <v>114</v>
      </c>
      <c r="BF173" s="50">
        <f t="shared" ca="1" si="14"/>
        <v>0.1085047510845415</v>
      </c>
      <c r="BG173" s="8">
        <f t="shared" si="139"/>
        <v>0.74</v>
      </c>
      <c r="BH173" s="49">
        <f t="shared" ca="1" si="121"/>
        <v>82</v>
      </c>
      <c r="BJ173" s="50">
        <f t="shared" ca="1" si="15"/>
        <v>0.60179657019874755</v>
      </c>
      <c r="BK173" s="8">
        <f t="shared" si="140"/>
        <v>0.74</v>
      </c>
      <c r="BL173" s="49">
        <f t="shared" ca="1" si="122"/>
        <v>104</v>
      </c>
      <c r="BN173" s="50">
        <f t="shared" ca="1" si="16"/>
        <v>0.15335690773347366</v>
      </c>
      <c r="BO173" s="8">
        <f t="shared" si="141"/>
        <v>0.74</v>
      </c>
      <c r="BP173" s="49">
        <f t="shared" ca="1" si="123"/>
        <v>94</v>
      </c>
      <c r="BR173" s="50">
        <f t="shared" ca="1" si="17"/>
        <v>0.73518889031356349</v>
      </c>
      <c r="BS173" s="8">
        <f t="shared" si="142"/>
        <v>0.74</v>
      </c>
      <c r="BT173" s="49">
        <f t="shared" ca="1" si="124"/>
        <v>159</v>
      </c>
    </row>
    <row r="174" spans="1:72" x14ac:dyDescent="0.2">
      <c r="A174" s="22">
        <v>44721</v>
      </c>
      <c r="B174" s="50">
        <f t="shared" ca="1" si="0"/>
        <v>2.0211468180259318E-2</v>
      </c>
      <c r="C174" s="8">
        <f t="shared" si="125"/>
        <v>0.74</v>
      </c>
      <c r="D174" s="49">
        <f t="shared" ca="1" si="107"/>
        <v>44</v>
      </c>
      <c r="F174" s="50">
        <f t="shared" ca="1" si="1"/>
        <v>3.9030253192095632E-2</v>
      </c>
      <c r="G174" s="8">
        <f t="shared" si="126"/>
        <v>0.74</v>
      </c>
      <c r="H174" s="49">
        <f t="shared" ca="1" si="108"/>
        <v>85</v>
      </c>
      <c r="J174" s="50">
        <f t="shared" ca="1" si="2"/>
        <v>0.67089103459599542</v>
      </c>
      <c r="K174" s="8">
        <f t="shared" si="127"/>
        <v>0.74</v>
      </c>
      <c r="L174" s="49">
        <f t="shared" ca="1" si="109"/>
        <v>125</v>
      </c>
      <c r="N174" s="50">
        <f t="shared" ca="1" si="3"/>
        <v>0.66402513580061417</v>
      </c>
      <c r="O174" s="8">
        <f t="shared" si="128"/>
        <v>0.74</v>
      </c>
      <c r="P174" s="49">
        <f t="shared" ca="1" si="110"/>
        <v>189</v>
      </c>
      <c r="R174" s="50">
        <f t="shared" ca="1" si="4"/>
        <v>0.69811982365872871</v>
      </c>
      <c r="S174" s="8">
        <f t="shared" si="129"/>
        <v>0.74</v>
      </c>
      <c r="T174" s="49">
        <f t="shared" ca="1" si="111"/>
        <v>117</v>
      </c>
      <c r="V174" s="50">
        <f t="shared" ca="1" si="5"/>
        <v>0.22321743308299402</v>
      </c>
      <c r="W174" s="8">
        <f t="shared" si="130"/>
        <v>0.74</v>
      </c>
      <c r="X174" s="49">
        <f t="shared" ca="1" si="112"/>
        <v>133</v>
      </c>
      <c r="Z174" s="50">
        <f t="shared" ca="1" si="6"/>
        <v>0.69068310597054883</v>
      </c>
      <c r="AA174" s="8">
        <f t="shared" si="131"/>
        <v>0.74</v>
      </c>
      <c r="AB174" s="49">
        <f t="shared" ca="1" si="113"/>
        <v>227</v>
      </c>
      <c r="AD174" s="50">
        <f t="shared" ca="1" si="7"/>
        <v>0.53543015507951897</v>
      </c>
      <c r="AE174" s="8">
        <f t="shared" si="132"/>
        <v>0.74</v>
      </c>
      <c r="AF174" s="49">
        <f t="shared" ca="1" si="114"/>
        <v>248</v>
      </c>
      <c r="AH174" s="50">
        <f t="shared" ca="1" si="8"/>
        <v>0.2315344236921868</v>
      </c>
      <c r="AI174" s="8">
        <f t="shared" si="133"/>
        <v>0.74</v>
      </c>
      <c r="AJ174" s="49">
        <f t="shared" ca="1" si="115"/>
        <v>108</v>
      </c>
      <c r="AL174" s="50">
        <f t="shared" ca="1" si="9"/>
        <v>3.8278797600513781E-2</v>
      </c>
      <c r="AM174" s="8">
        <f t="shared" si="134"/>
        <v>0.74</v>
      </c>
      <c r="AN174" s="49">
        <f t="shared" ca="1" si="116"/>
        <v>58</v>
      </c>
      <c r="AP174" s="50">
        <f t="shared" ca="1" si="10"/>
        <v>0.53603221825877245</v>
      </c>
      <c r="AQ174" s="8">
        <f t="shared" si="135"/>
        <v>0.74</v>
      </c>
      <c r="AR174" s="49">
        <f t="shared" ca="1" si="117"/>
        <v>165</v>
      </c>
      <c r="AT174" s="50">
        <f t="shared" ca="1" si="11"/>
        <v>0.28297213945266064</v>
      </c>
      <c r="AU174" s="8">
        <f t="shared" si="136"/>
        <v>0.74</v>
      </c>
      <c r="AV174" s="49">
        <f t="shared" ca="1" si="118"/>
        <v>121</v>
      </c>
      <c r="AX174" s="50">
        <f t="shared" ca="1" si="12"/>
        <v>0.41721325414390009</v>
      </c>
      <c r="AY174" s="8">
        <f t="shared" si="137"/>
        <v>0.74</v>
      </c>
      <c r="AZ174" s="49">
        <f t="shared" ca="1" si="119"/>
        <v>126</v>
      </c>
      <c r="BB174" s="50">
        <f t="shared" ca="1" si="13"/>
        <v>1.5288566642021717E-2</v>
      </c>
      <c r="BC174" s="8">
        <f t="shared" si="138"/>
        <v>0.74</v>
      </c>
      <c r="BD174" s="49">
        <f t="shared" ca="1" si="120"/>
        <v>50</v>
      </c>
      <c r="BF174" s="50">
        <f t="shared" ca="1" si="14"/>
        <v>0.16376063539643626</v>
      </c>
      <c r="BG174" s="8">
        <f t="shared" si="139"/>
        <v>0.74</v>
      </c>
      <c r="BH174" s="49">
        <f t="shared" ca="1" si="121"/>
        <v>90</v>
      </c>
      <c r="BJ174" s="50">
        <f t="shared" ca="1" si="15"/>
        <v>0.70715451956136999</v>
      </c>
      <c r="BK174" s="8">
        <f t="shared" si="140"/>
        <v>0.74</v>
      </c>
      <c r="BL174" s="49">
        <f t="shared" ca="1" si="122"/>
        <v>111</v>
      </c>
      <c r="BN174" s="50">
        <f t="shared" ca="1" si="16"/>
        <v>0.34086890100578315</v>
      </c>
      <c r="BO174" s="8">
        <f t="shared" si="141"/>
        <v>0.74</v>
      </c>
      <c r="BP174" s="49">
        <f t="shared" ca="1" si="123"/>
        <v>115</v>
      </c>
      <c r="BR174" s="50">
        <f t="shared" ca="1" si="17"/>
        <v>0.86937095434881129</v>
      </c>
      <c r="BS174" s="8">
        <f t="shared" si="142"/>
        <v>0.74</v>
      </c>
      <c r="BT174" s="49">
        <f t="shared" ca="1" si="124"/>
        <v>177</v>
      </c>
    </row>
    <row r="175" spans="1:72" x14ac:dyDescent="0.2">
      <c r="A175" s="22">
        <v>44722</v>
      </c>
      <c r="B175" s="50">
        <f t="shared" ca="1" si="0"/>
        <v>0.99665872584104021</v>
      </c>
      <c r="C175" s="8">
        <f t="shared" si="125"/>
        <v>0.74</v>
      </c>
      <c r="D175" s="49">
        <f t="shared" ca="1" si="107"/>
        <v>115</v>
      </c>
      <c r="F175" s="50">
        <f t="shared" ca="1" si="1"/>
        <v>0.73018761087017214</v>
      </c>
      <c r="G175" s="8">
        <f t="shared" si="126"/>
        <v>0.74</v>
      </c>
      <c r="H175" s="49">
        <f t="shared" ca="1" si="108"/>
        <v>186</v>
      </c>
      <c r="J175" s="50">
        <f t="shared" ca="1" si="2"/>
        <v>0.71849156995978702</v>
      </c>
      <c r="K175" s="8">
        <f t="shared" si="127"/>
        <v>0.74</v>
      </c>
      <c r="L175" s="49">
        <f t="shared" ca="1" si="109"/>
        <v>129</v>
      </c>
      <c r="N175" s="50">
        <f t="shared" ca="1" si="3"/>
        <v>0.93690475532672024</v>
      </c>
      <c r="O175" s="8">
        <f t="shared" si="128"/>
        <v>0.74</v>
      </c>
      <c r="P175" s="49">
        <f t="shared" ca="1" si="110"/>
        <v>239</v>
      </c>
      <c r="R175" s="50">
        <f t="shared" ca="1" si="4"/>
        <v>0.15721002434126685</v>
      </c>
      <c r="S175" s="8">
        <f t="shared" si="129"/>
        <v>0.74</v>
      </c>
      <c r="T175" s="49">
        <f t="shared" ca="1" si="111"/>
        <v>76</v>
      </c>
      <c r="V175" s="50">
        <f t="shared" ca="1" si="5"/>
        <v>0.12722591343453604</v>
      </c>
      <c r="W175" s="8">
        <f t="shared" si="130"/>
        <v>0.74</v>
      </c>
      <c r="X175" s="49">
        <f t="shared" ca="1" si="112"/>
        <v>116</v>
      </c>
      <c r="Z175" s="50">
        <f t="shared" ca="1" si="6"/>
        <v>0.88221810930754496</v>
      </c>
      <c r="AA175" s="8">
        <f t="shared" si="131"/>
        <v>0.74</v>
      </c>
      <c r="AB175" s="49">
        <f t="shared" ca="1" si="113"/>
        <v>263</v>
      </c>
      <c r="AD175" s="50">
        <f t="shared" ca="1" si="7"/>
        <v>0.28248186588942636</v>
      </c>
      <c r="AE175" s="8">
        <f t="shared" si="132"/>
        <v>0.74</v>
      </c>
      <c r="AF175" s="49">
        <f t="shared" ca="1" si="114"/>
        <v>205</v>
      </c>
      <c r="AH175" s="50">
        <f t="shared" ca="1" si="8"/>
        <v>0.70298384569629024</v>
      </c>
      <c r="AI175" s="8">
        <f t="shared" si="133"/>
        <v>0.74</v>
      </c>
      <c r="AJ175" s="49">
        <f t="shared" ca="1" si="115"/>
        <v>153</v>
      </c>
      <c r="AL175" s="50">
        <f t="shared" ca="1" si="9"/>
        <v>0.58339882590299719</v>
      </c>
      <c r="AM175" s="8">
        <f t="shared" si="134"/>
        <v>0.74</v>
      </c>
      <c r="AN175" s="49">
        <f t="shared" ca="1" si="116"/>
        <v>116</v>
      </c>
      <c r="AP175" s="50">
        <f t="shared" ca="1" si="10"/>
        <v>0.63959178314194565</v>
      </c>
      <c r="AQ175" s="8">
        <f t="shared" si="135"/>
        <v>0.74</v>
      </c>
      <c r="AR175" s="49">
        <f t="shared" ca="1" si="117"/>
        <v>176</v>
      </c>
      <c r="AT175" s="50">
        <f t="shared" ca="1" si="11"/>
        <v>0.73423157538811856</v>
      </c>
      <c r="AU175" s="8">
        <f t="shared" si="136"/>
        <v>0.74</v>
      </c>
      <c r="AV175" s="49">
        <f t="shared" ca="1" si="118"/>
        <v>166</v>
      </c>
      <c r="AX175" s="50">
        <f t="shared" ca="1" si="12"/>
        <v>0.38069015321153654</v>
      </c>
      <c r="AY175" s="8">
        <f t="shared" si="137"/>
        <v>0.74</v>
      </c>
      <c r="AZ175" s="49">
        <f t="shared" ca="1" si="119"/>
        <v>123</v>
      </c>
      <c r="BB175" s="50">
        <f t="shared" ca="1" si="13"/>
        <v>3.3944865843664518E-2</v>
      </c>
      <c r="BC175" s="8">
        <f t="shared" si="138"/>
        <v>0.74</v>
      </c>
      <c r="BD175" s="49">
        <f t="shared" ca="1" si="120"/>
        <v>61</v>
      </c>
      <c r="BF175" s="50">
        <f t="shared" ca="1" si="14"/>
        <v>0.28420627224574613</v>
      </c>
      <c r="BG175" s="8">
        <f t="shared" si="139"/>
        <v>0.74</v>
      </c>
      <c r="BH175" s="49">
        <f t="shared" ca="1" si="121"/>
        <v>104</v>
      </c>
      <c r="BJ175" s="50">
        <f t="shared" ca="1" si="15"/>
        <v>8.9423180646453382E-2</v>
      </c>
      <c r="BK175" s="8">
        <f t="shared" si="140"/>
        <v>0.74</v>
      </c>
      <c r="BL175" s="49">
        <f t="shared" ca="1" si="122"/>
        <v>63</v>
      </c>
      <c r="BN175" s="50">
        <f t="shared" ca="1" si="16"/>
        <v>0.11029647527513042</v>
      </c>
      <c r="BO175" s="8">
        <f t="shared" si="141"/>
        <v>0.74</v>
      </c>
      <c r="BP175" s="49">
        <f t="shared" ca="1" si="123"/>
        <v>87</v>
      </c>
      <c r="BR175" s="50">
        <f t="shared" ca="1" si="17"/>
        <v>0.10330134880320463</v>
      </c>
      <c r="BS175" s="8">
        <f t="shared" si="142"/>
        <v>0.74</v>
      </c>
      <c r="BT175" s="49">
        <f t="shared" ca="1" si="124"/>
        <v>91</v>
      </c>
    </row>
    <row r="176" spans="1:72" x14ac:dyDescent="0.2">
      <c r="A176" s="22">
        <v>44723</v>
      </c>
      <c r="B176" s="50">
        <f t="shared" ca="1" si="0"/>
        <v>0.22278285407656506</v>
      </c>
      <c r="C176" s="8">
        <f t="shared" si="125"/>
        <v>0.74</v>
      </c>
      <c r="D176" s="49">
        <f t="shared" ca="1" si="107"/>
        <v>63</v>
      </c>
      <c r="F176" s="50">
        <f t="shared" ca="1" si="1"/>
        <v>0.96856561864080071</v>
      </c>
      <c r="G176" s="8">
        <f t="shared" si="126"/>
        <v>0.74</v>
      </c>
      <c r="H176" s="49">
        <f t="shared" ca="1" si="108"/>
        <v>239</v>
      </c>
      <c r="J176" s="50">
        <f t="shared" ca="1" si="2"/>
        <v>0.24172043093475659</v>
      </c>
      <c r="K176" s="8">
        <f t="shared" si="127"/>
        <v>0.74</v>
      </c>
      <c r="L176" s="49">
        <f t="shared" ca="1" si="109"/>
        <v>91</v>
      </c>
      <c r="N176" s="50">
        <f t="shared" ca="1" si="3"/>
        <v>0.35249988034675439</v>
      </c>
      <c r="O176" s="8">
        <f t="shared" si="128"/>
        <v>0.74</v>
      </c>
      <c r="P176" s="49">
        <f t="shared" ca="1" si="110"/>
        <v>153</v>
      </c>
      <c r="R176" s="50">
        <f t="shared" ca="1" si="4"/>
        <v>8.6330897955373964E-2</v>
      </c>
      <c r="S176" s="8">
        <f t="shared" si="129"/>
        <v>0.74</v>
      </c>
      <c r="T176" s="49">
        <f t="shared" ca="1" si="111"/>
        <v>66</v>
      </c>
      <c r="V176" s="50">
        <f t="shared" ca="1" si="5"/>
        <v>0.54043086233625859</v>
      </c>
      <c r="W176" s="8">
        <f t="shared" si="130"/>
        <v>0.74</v>
      </c>
      <c r="X176" s="49">
        <f t="shared" ca="1" si="112"/>
        <v>172</v>
      </c>
      <c r="Z176" s="50">
        <f t="shared" ca="1" si="6"/>
        <v>0.24521874120877774</v>
      </c>
      <c r="AA176" s="8">
        <f t="shared" si="131"/>
        <v>0.74</v>
      </c>
      <c r="AB176" s="49">
        <f t="shared" ca="1" si="113"/>
        <v>164</v>
      </c>
      <c r="AD176" s="50">
        <f t="shared" ca="1" si="7"/>
        <v>0.81161662287555913</v>
      </c>
      <c r="AE176" s="8">
        <f t="shared" si="132"/>
        <v>0.74</v>
      </c>
      <c r="AF176" s="49">
        <f t="shared" ca="1" si="114"/>
        <v>300</v>
      </c>
      <c r="AH176" s="50">
        <f t="shared" ca="1" si="8"/>
        <v>0.31806376165364814</v>
      </c>
      <c r="AI176" s="8">
        <f t="shared" si="133"/>
        <v>0.74</v>
      </c>
      <c r="AJ176" s="49">
        <f t="shared" ca="1" si="115"/>
        <v>117</v>
      </c>
      <c r="AL176" s="50">
        <f t="shared" ca="1" si="9"/>
        <v>0.39920808690120824</v>
      </c>
      <c r="AM176" s="8">
        <f t="shared" si="134"/>
        <v>0.74</v>
      </c>
      <c r="AN176" s="49">
        <f t="shared" ca="1" si="116"/>
        <v>102</v>
      </c>
      <c r="AP176" s="50">
        <f t="shared" ca="1" si="10"/>
        <v>0.51333594624644996</v>
      </c>
      <c r="AQ176" s="8">
        <f t="shared" si="135"/>
        <v>0.74</v>
      </c>
      <c r="AR176" s="49">
        <f t="shared" ca="1" si="117"/>
        <v>162</v>
      </c>
      <c r="AT176" s="50">
        <f t="shared" ca="1" si="11"/>
        <v>0.88202978045031311</v>
      </c>
      <c r="AU176" s="8">
        <f t="shared" si="136"/>
        <v>0.74</v>
      </c>
      <c r="AV176" s="49">
        <f t="shared" ca="1" si="118"/>
        <v>187</v>
      </c>
      <c r="AX176" s="50">
        <f t="shared" ca="1" si="12"/>
        <v>0.52775181584186237</v>
      </c>
      <c r="AY176" s="8">
        <f t="shared" si="137"/>
        <v>0.74</v>
      </c>
      <c r="AZ176" s="49">
        <f t="shared" ca="1" si="119"/>
        <v>136</v>
      </c>
      <c r="BB176" s="50">
        <f t="shared" ca="1" si="13"/>
        <v>0.89079283614099425</v>
      </c>
      <c r="BC176" s="8">
        <f t="shared" si="138"/>
        <v>0.74</v>
      </c>
      <c r="BD176" s="49">
        <f t="shared" ca="1" si="120"/>
        <v>157</v>
      </c>
      <c r="BF176" s="50">
        <f t="shared" ca="1" si="14"/>
        <v>0.52745829489466778</v>
      </c>
      <c r="BG176" s="8">
        <f t="shared" si="139"/>
        <v>0.74</v>
      </c>
      <c r="BH176" s="49">
        <f t="shared" ca="1" si="121"/>
        <v>125</v>
      </c>
      <c r="BJ176" s="50">
        <f t="shared" ca="1" si="15"/>
        <v>0.5054653070297056</v>
      </c>
      <c r="BK176" s="8">
        <f t="shared" si="140"/>
        <v>0.74</v>
      </c>
      <c r="BL176" s="49">
        <f t="shared" ca="1" si="122"/>
        <v>98</v>
      </c>
      <c r="BN176" s="50">
        <f t="shared" ca="1" si="16"/>
        <v>0.96562447736126611</v>
      </c>
      <c r="BO176" s="8">
        <f t="shared" si="141"/>
        <v>0.74</v>
      </c>
      <c r="BP176" s="49">
        <f t="shared" ca="1" si="123"/>
        <v>191</v>
      </c>
      <c r="BR176" s="50">
        <f t="shared" ca="1" si="17"/>
        <v>0.28415200742114632</v>
      </c>
      <c r="BS176" s="8">
        <f t="shared" si="142"/>
        <v>0.74</v>
      </c>
      <c r="BT176" s="49">
        <f t="shared" ca="1" si="124"/>
        <v>116</v>
      </c>
    </row>
    <row r="177" spans="1:72" x14ac:dyDescent="0.2">
      <c r="A177" s="22">
        <v>44724</v>
      </c>
      <c r="B177" s="50">
        <f t="shared" ca="1" si="0"/>
        <v>0.26026445749470006</v>
      </c>
      <c r="C177" s="8">
        <f t="shared" si="125"/>
        <v>0.74</v>
      </c>
      <c r="D177" s="49">
        <f t="shared" ca="1" si="107"/>
        <v>65</v>
      </c>
      <c r="F177" s="50">
        <f t="shared" ca="1" si="1"/>
        <v>0.5252700178575046</v>
      </c>
      <c r="G177" s="8">
        <f t="shared" si="126"/>
        <v>0.74</v>
      </c>
      <c r="H177" s="49">
        <f t="shared" ca="1" si="108"/>
        <v>163</v>
      </c>
      <c r="J177" s="50">
        <f t="shared" ca="1" si="2"/>
        <v>3.9728724701344476E-2</v>
      </c>
      <c r="K177" s="8">
        <f t="shared" si="127"/>
        <v>0.74</v>
      </c>
      <c r="L177" s="49">
        <f t="shared" ca="1" si="109"/>
        <v>60</v>
      </c>
      <c r="N177" s="50">
        <f t="shared" ca="1" si="3"/>
        <v>0.33433520779425663</v>
      </c>
      <c r="O177" s="8">
        <f t="shared" si="128"/>
        <v>0.74</v>
      </c>
      <c r="P177" s="49">
        <f t="shared" ca="1" si="110"/>
        <v>151</v>
      </c>
      <c r="R177" s="50">
        <f t="shared" ca="1" si="4"/>
        <v>0.74319551637942605</v>
      </c>
      <c r="S177" s="8">
        <f t="shared" si="129"/>
        <v>0.74</v>
      </c>
      <c r="T177" s="49">
        <f t="shared" ca="1" si="111"/>
        <v>121</v>
      </c>
      <c r="V177" s="50">
        <f t="shared" ca="1" si="5"/>
        <v>0.62211550105394942</v>
      </c>
      <c r="W177" s="8">
        <f t="shared" si="130"/>
        <v>0.74</v>
      </c>
      <c r="X177" s="49">
        <f t="shared" ca="1" si="112"/>
        <v>181</v>
      </c>
      <c r="Z177" s="50">
        <f t="shared" ca="1" si="6"/>
        <v>0.71337160651530496</v>
      </c>
      <c r="AA177" s="8">
        <f t="shared" si="131"/>
        <v>0.74</v>
      </c>
      <c r="AB177" s="49">
        <f t="shared" ca="1" si="113"/>
        <v>230</v>
      </c>
      <c r="AD177" s="50">
        <f t="shared" ca="1" si="7"/>
        <v>0.76969924831872083</v>
      </c>
      <c r="AE177" s="8">
        <f t="shared" si="132"/>
        <v>0.74</v>
      </c>
      <c r="AF177" s="49">
        <f t="shared" ca="1" si="114"/>
        <v>290</v>
      </c>
      <c r="AH177" s="50">
        <f t="shared" ca="1" si="8"/>
        <v>0.52303800212771046</v>
      </c>
      <c r="AI177" s="8">
        <f t="shared" si="133"/>
        <v>0.74</v>
      </c>
      <c r="AJ177" s="49">
        <f t="shared" ca="1" si="115"/>
        <v>136</v>
      </c>
      <c r="AL177" s="50">
        <f t="shared" ca="1" si="9"/>
        <v>0.18304151063539154</v>
      </c>
      <c r="AM177" s="8">
        <f t="shared" si="134"/>
        <v>0.74</v>
      </c>
      <c r="AN177" s="49">
        <f t="shared" ca="1" si="116"/>
        <v>83</v>
      </c>
      <c r="AP177" s="50">
        <f t="shared" ca="1" si="10"/>
        <v>0.44272757258238582</v>
      </c>
      <c r="AQ177" s="8">
        <f t="shared" si="135"/>
        <v>0.74</v>
      </c>
      <c r="AR177" s="49">
        <f t="shared" ca="1" si="117"/>
        <v>155</v>
      </c>
      <c r="AT177" s="50">
        <f t="shared" ca="1" si="11"/>
        <v>0.53033182078046959</v>
      </c>
      <c r="AU177" s="8">
        <f t="shared" si="136"/>
        <v>0.74</v>
      </c>
      <c r="AV177" s="49">
        <f t="shared" ca="1" si="118"/>
        <v>145</v>
      </c>
      <c r="AX177" s="50">
        <f t="shared" ca="1" si="12"/>
        <v>0.19604260106738447</v>
      </c>
      <c r="AY177" s="8">
        <f t="shared" si="137"/>
        <v>0.74</v>
      </c>
      <c r="AZ177" s="49">
        <f t="shared" ca="1" si="119"/>
        <v>103</v>
      </c>
      <c r="BB177" s="50">
        <f t="shared" ca="1" si="13"/>
        <v>0.64492540248297536</v>
      </c>
      <c r="BC177" s="8">
        <f t="shared" si="138"/>
        <v>0.74</v>
      </c>
      <c r="BD177" s="49">
        <f t="shared" ca="1" si="120"/>
        <v>130</v>
      </c>
      <c r="BF177" s="50">
        <f t="shared" ca="1" si="14"/>
        <v>0.43406179316736826</v>
      </c>
      <c r="BG177" s="8">
        <f t="shared" si="139"/>
        <v>0.74</v>
      </c>
      <c r="BH177" s="49">
        <f t="shared" ca="1" si="121"/>
        <v>117</v>
      </c>
      <c r="BJ177" s="50">
        <f t="shared" ca="1" si="15"/>
        <v>1.9018609233977024E-2</v>
      </c>
      <c r="BK177" s="8">
        <f t="shared" si="140"/>
        <v>0.74</v>
      </c>
      <c r="BL177" s="49">
        <f t="shared" ca="1" si="122"/>
        <v>44</v>
      </c>
      <c r="BN177" s="50">
        <f t="shared" ca="1" si="16"/>
        <v>0.12676189286656825</v>
      </c>
      <c r="BO177" s="8">
        <f t="shared" si="141"/>
        <v>0.74</v>
      </c>
      <c r="BP177" s="49">
        <f t="shared" ca="1" si="123"/>
        <v>90</v>
      </c>
      <c r="BR177" s="50">
        <f t="shared" ca="1" si="17"/>
        <v>0.96646766995086153</v>
      </c>
      <c r="BS177" s="8">
        <f t="shared" si="142"/>
        <v>0.74</v>
      </c>
      <c r="BT177" s="49">
        <f t="shared" ca="1" si="124"/>
        <v>203</v>
      </c>
    </row>
    <row r="178" spans="1:72" x14ac:dyDescent="0.2">
      <c r="A178" s="22">
        <v>44725</v>
      </c>
      <c r="B178" s="50">
        <f t="shared" ca="1" si="0"/>
        <v>0.35685639792134249</v>
      </c>
      <c r="C178" s="8">
        <f t="shared" si="125"/>
        <v>0.74</v>
      </c>
      <c r="D178" s="49">
        <f t="shared" ca="1" si="107"/>
        <v>69</v>
      </c>
      <c r="F178" s="50">
        <f t="shared" ca="1" si="1"/>
        <v>0.48050460224579217</v>
      </c>
      <c r="G178" s="8">
        <f t="shared" si="126"/>
        <v>0.74</v>
      </c>
      <c r="H178" s="49">
        <f t="shared" ca="1" si="108"/>
        <v>158</v>
      </c>
      <c r="J178" s="50">
        <f t="shared" ca="1" si="2"/>
        <v>0.16560277598144379</v>
      </c>
      <c r="K178" s="8">
        <f t="shared" si="127"/>
        <v>0.74</v>
      </c>
      <c r="L178" s="49">
        <f t="shared" ca="1" si="109"/>
        <v>83</v>
      </c>
      <c r="N178" s="50">
        <f t="shared" ca="1" si="3"/>
        <v>0.29046134426707038</v>
      </c>
      <c r="O178" s="8">
        <f t="shared" si="128"/>
        <v>0.74</v>
      </c>
      <c r="P178" s="49">
        <f t="shared" ca="1" si="110"/>
        <v>145</v>
      </c>
      <c r="R178" s="50">
        <f t="shared" ca="1" si="4"/>
        <v>0.74767818985888645</v>
      </c>
      <c r="S178" s="8">
        <f t="shared" si="129"/>
        <v>0.74</v>
      </c>
      <c r="T178" s="49">
        <f t="shared" ca="1" si="111"/>
        <v>121</v>
      </c>
      <c r="V178" s="50">
        <f t="shared" ca="1" si="5"/>
        <v>0.76594852942105429</v>
      </c>
      <c r="W178" s="8">
        <f t="shared" si="130"/>
        <v>0.74</v>
      </c>
      <c r="X178" s="49">
        <f t="shared" ca="1" si="112"/>
        <v>199</v>
      </c>
      <c r="Z178" s="50">
        <f t="shared" ca="1" si="6"/>
        <v>0.3462749050160957</v>
      </c>
      <c r="AA178" s="8">
        <f t="shared" si="131"/>
        <v>0.74</v>
      </c>
      <c r="AB178" s="49">
        <f t="shared" ca="1" si="113"/>
        <v>179</v>
      </c>
      <c r="AD178" s="50">
        <f t="shared" ca="1" si="7"/>
        <v>0.42322538656590847</v>
      </c>
      <c r="AE178" s="8">
        <f t="shared" si="132"/>
        <v>0.74</v>
      </c>
      <c r="AF178" s="49">
        <f t="shared" ca="1" si="114"/>
        <v>230</v>
      </c>
      <c r="AH178" s="50">
        <f t="shared" ca="1" si="8"/>
        <v>0.72326814907787618</v>
      </c>
      <c r="AI178" s="8">
        <f t="shared" si="133"/>
        <v>0.74</v>
      </c>
      <c r="AJ178" s="49">
        <f t="shared" ca="1" si="115"/>
        <v>155</v>
      </c>
      <c r="AL178" s="50">
        <f t="shared" ca="1" si="9"/>
        <v>0.5726246629582703</v>
      </c>
      <c r="AM178" s="8">
        <f t="shared" si="134"/>
        <v>0.74</v>
      </c>
      <c r="AN178" s="49">
        <f t="shared" ca="1" si="116"/>
        <v>115</v>
      </c>
      <c r="AP178" s="50">
        <f t="shared" ca="1" si="10"/>
        <v>0.10188770888267973</v>
      </c>
      <c r="AQ178" s="8">
        <f t="shared" si="135"/>
        <v>0.74</v>
      </c>
      <c r="AR178" s="49">
        <f t="shared" ca="1" si="117"/>
        <v>107</v>
      </c>
      <c r="AT178" s="50">
        <f t="shared" ca="1" si="11"/>
        <v>0.84137566334417291</v>
      </c>
      <c r="AU178" s="8">
        <f t="shared" si="136"/>
        <v>0.74</v>
      </c>
      <c r="AV178" s="49">
        <f t="shared" ca="1" si="118"/>
        <v>180</v>
      </c>
      <c r="AX178" s="50">
        <f t="shared" ca="1" si="12"/>
        <v>0.44443369901040231</v>
      </c>
      <c r="AY178" s="8">
        <f t="shared" si="137"/>
        <v>0.74</v>
      </c>
      <c r="AZ178" s="49">
        <f t="shared" ca="1" si="119"/>
        <v>129</v>
      </c>
      <c r="BB178" s="50">
        <f t="shared" ca="1" si="13"/>
        <v>0.50338689245866486</v>
      </c>
      <c r="BC178" s="8">
        <f t="shared" si="138"/>
        <v>0.74</v>
      </c>
      <c r="BD178" s="49">
        <f t="shared" ca="1" si="120"/>
        <v>119</v>
      </c>
      <c r="BF178" s="50">
        <f t="shared" ca="1" si="14"/>
        <v>0.61774246090818818</v>
      </c>
      <c r="BG178" s="8">
        <f t="shared" si="139"/>
        <v>0.74</v>
      </c>
      <c r="BH178" s="49">
        <f t="shared" ca="1" si="121"/>
        <v>132</v>
      </c>
      <c r="BJ178" s="50">
        <f t="shared" ca="1" si="15"/>
        <v>0.31290036921440811</v>
      </c>
      <c r="BK178" s="8">
        <f t="shared" si="140"/>
        <v>0.74</v>
      </c>
      <c r="BL178" s="49">
        <f t="shared" ca="1" si="122"/>
        <v>85</v>
      </c>
      <c r="BN178" s="50">
        <f t="shared" ca="1" si="16"/>
        <v>0.66742789409113312</v>
      </c>
      <c r="BO178" s="8">
        <f t="shared" si="141"/>
        <v>0.74</v>
      </c>
      <c r="BP178" s="49">
        <f t="shared" ca="1" si="123"/>
        <v>144</v>
      </c>
      <c r="BR178" s="50">
        <f t="shared" ca="1" si="17"/>
        <v>0.25859831014691326</v>
      </c>
      <c r="BS178" s="8">
        <f t="shared" si="142"/>
        <v>0.74</v>
      </c>
      <c r="BT178" s="49">
        <f t="shared" ca="1" si="124"/>
        <v>113</v>
      </c>
    </row>
    <row r="179" spans="1:72" x14ac:dyDescent="0.2">
      <c r="A179" s="22">
        <v>44726</v>
      </c>
      <c r="B179" s="50">
        <f t="shared" ca="1" si="0"/>
        <v>0.88045717891484432</v>
      </c>
      <c r="C179" s="8">
        <f t="shared" si="125"/>
        <v>0.74</v>
      </c>
      <c r="D179" s="49">
        <f t="shared" ca="1" si="107"/>
        <v>92</v>
      </c>
      <c r="F179" s="50">
        <f t="shared" ca="1" si="1"/>
        <v>0.62537752074315667</v>
      </c>
      <c r="G179" s="8">
        <f t="shared" si="126"/>
        <v>0.74</v>
      </c>
      <c r="H179" s="49">
        <f t="shared" ca="1" si="108"/>
        <v>173</v>
      </c>
      <c r="J179" s="50">
        <f t="shared" ca="1" si="2"/>
        <v>0.87884512716704699</v>
      </c>
      <c r="K179" s="8">
        <f t="shared" si="127"/>
        <v>0.74</v>
      </c>
      <c r="L179" s="49">
        <f t="shared" ca="1" si="109"/>
        <v>146</v>
      </c>
      <c r="N179" s="50">
        <f t="shared" ca="1" si="3"/>
        <v>5.7440832581135415E-2</v>
      </c>
      <c r="O179" s="8">
        <f t="shared" si="128"/>
        <v>0.74</v>
      </c>
      <c r="P179" s="49">
        <f t="shared" ca="1" si="110"/>
        <v>99</v>
      </c>
      <c r="R179" s="50">
        <f t="shared" ca="1" si="4"/>
        <v>3.6863753136070043E-2</v>
      </c>
      <c r="S179" s="8">
        <f t="shared" si="129"/>
        <v>0.74</v>
      </c>
      <c r="T179" s="49">
        <f t="shared" ca="1" si="111"/>
        <v>54</v>
      </c>
      <c r="V179" s="50">
        <f t="shared" ca="1" si="5"/>
        <v>0.59118531070662439</v>
      </c>
      <c r="W179" s="8">
        <f t="shared" si="130"/>
        <v>0.74</v>
      </c>
      <c r="X179" s="49">
        <f t="shared" ca="1" si="112"/>
        <v>177</v>
      </c>
      <c r="Z179" s="50">
        <f t="shared" ca="1" si="6"/>
        <v>3.2757960399509956E-2</v>
      </c>
      <c r="AA179" s="8">
        <f t="shared" si="131"/>
        <v>0.74</v>
      </c>
      <c r="AB179" s="49">
        <f t="shared" ca="1" si="113"/>
        <v>102</v>
      </c>
      <c r="AD179" s="50">
        <f t="shared" ca="1" si="7"/>
        <v>5.5197016751453942E-2</v>
      </c>
      <c r="AE179" s="8">
        <f t="shared" si="132"/>
        <v>0.74</v>
      </c>
      <c r="AF179" s="49">
        <f t="shared" ca="1" si="114"/>
        <v>139</v>
      </c>
      <c r="AH179" s="50">
        <f t="shared" ca="1" si="8"/>
        <v>0.14231585890161991</v>
      </c>
      <c r="AI179" s="8">
        <f t="shared" si="133"/>
        <v>0.74</v>
      </c>
      <c r="AJ179" s="49">
        <f t="shared" ca="1" si="115"/>
        <v>96</v>
      </c>
      <c r="AL179" s="50">
        <f t="shared" ca="1" si="9"/>
        <v>0.48967481129675916</v>
      </c>
      <c r="AM179" s="8">
        <f t="shared" si="134"/>
        <v>0.74</v>
      </c>
      <c r="AN179" s="49">
        <f t="shared" ca="1" si="116"/>
        <v>109</v>
      </c>
      <c r="AP179" s="50">
        <f t="shared" ca="1" si="10"/>
        <v>0.42476457144590796</v>
      </c>
      <c r="AQ179" s="8">
        <f t="shared" si="135"/>
        <v>0.74</v>
      </c>
      <c r="AR179" s="49">
        <f t="shared" ca="1" si="117"/>
        <v>153</v>
      </c>
      <c r="AT179" s="50">
        <f t="shared" ca="1" si="11"/>
        <v>0.81315679781064321</v>
      </c>
      <c r="AU179" s="8">
        <f t="shared" si="136"/>
        <v>0.74</v>
      </c>
      <c r="AV179" s="49">
        <f t="shared" ca="1" si="118"/>
        <v>176</v>
      </c>
      <c r="AX179" s="50">
        <f t="shared" ca="1" si="12"/>
        <v>0.64419334685115404</v>
      </c>
      <c r="AY179" s="8">
        <f t="shared" si="137"/>
        <v>0.74</v>
      </c>
      <c r="AZ179" s="49">
        <f t="shared" ca="1" si="119"/>
        <v>147</v>
      </c>
      <c r="BB179" s="50">
        <f t="shared" ca="1" si="13"/>
        <v>0.91274003785745206</v>
      </c>
      <c r="BC179" s="8">
        <f t="shared" si="138"/>
        <v>0.74</v>
      </c>
      <c r="BD179" s="49">
        <f t="shared" ca="1" si="120"/>
        <v>161</v>
      </c>
      <c r="BF179" s="50">
        <f t="shared" ca="1" si="14"/>
        <v>0.80721871325524897</v>
      </c>
      <c r="BG179" s="8">
        <f t="shared" si="139"/>
        <v>0.74</v>
      </c>
      <c r="BH179" s="49">
        <f t="shared" ca="1" si="121"/>
        <v>150</v>
      </c>
      <c r="BJ179" s="50">
        <f t="shared" ca="1" si="15"/>
        <v>0.89556970567639815</v>
      </c>
      <c r="BK179" s="8">
        <f t="shared" si="140"/>
        <v>0.74</v>
      </c>
      <c r="BL179" s="49">
        <f t="shared" ca="1" si="122"/>
        <v>130</v>
      </c>
      <c r="BN179" s="50">
        <f t="shared" ca="1" si="16"/>
        <v>4.3406215173698137E-2</v>
      </c>
      <c r="BO179" s="8">
        <f t="shared" si="141"/>
        <v>0.74</v>
      </c>
      <c r="BP179" s="49">
        <f t="shared" ca="1" si="123"/>
        <v>70</v>
      </c>
      <c r="BR179" s="50">
        <f t="shared" ca="1" si="17"/>
        <v>0.39973315985668856</v>
      </c>
      <c r="BS179" s="8">
        <f t="shared" si="142"/>
        <v>0.74</v>
      </c>
      <c r="BT179" s="49">
        <f t="shared" ca="1" si="124"/>
        <v>127</v>
      </c>
    </row>
    <row r="180" spans="1:72" x14ac:dyDescent="0.2">
      <c r="A180" s="22">
        <v>44727</v>
      </c>
      <c r="B180" s="50">
        <f t="shared" ca="1" si="0"/>
        <v>0.49544298454884916</v>
      </c>
      <c r="C180" s="8">
        <f t="shared" si="125"/>
        <v>0.74</v>
      </c>
      <c r="D180" s="49">
        <f t="shared" ca="1" si="107"/>
        <v>74</v>
      </c>
      <c r="F180" s="50">
        <f t="shared" ca="1" si="1"/>
        <v>0.85388684433463813</v>
      </c>
      <c r="G180" s="8">
        <f t="shared" si="126"/>
        <v>0.74</v>
      </c>
      <c r="H180" s="49">
        <f t="shared" ca="1" si="108"/>
        <v>205</v>
      </c>
      <c r="J180" s="50">
        <f t="shared" ca="1" si="2"/>
        <v>0.19983722918967073</v>
      </c>
      <c r="K180" s="8">
        <f t="shared" si="127"/>
        <v>0.74</v>
      </c>
      <c r="L180" s="49">
        <f t="shared" ca="1" si="109"/>
        <v>87</v>
      </c>
      <c r="N180" s="50">
        <f t="shared" ca="1" si="3"/>
        <v>1.8665386302414988E-2</v>
      </c>
      <c r="O180" s="8">
        <f t="shared" si="128"/>
        <v>0.74</v>
      </c>
      <c r="P180" s="49">
        <f t="shared" ca="1" si="110"/>
        <v>76</v>
      </c>
      <c r="R180" s="50">
        <f t="shared" ca="1" si="4"/>
        <v>0.66240614529010655</v>
      </c>
      <c r="S180" s="8">
        <f t="shared" si="129"/>
        <v>0.74</v>
      </c>
      <c r="T180" s="49">
        <f t="shared" ca="1" si="111"/>
        <v>115</v>
      </c>
      <c r="V180" s="50">
        <f t="shared" ca="1" si="5"/>
        <v>0.96662957361829893</v>
      </c>
      <c r="W180" s="8">
        <f t="shared" si="130"/>
        <v>0.74</v>
      </c>
      <c r="X180" s="49">
        <f t="shared" ca="1" si="112"/>
        <v>248</v>
      </c>
      <c r="Z180" s="50">
        <f t="shared" ca="1" si="6"/>
        <v>0.96647878565431189</v>
      </c>
      <c r="AA180" s="8">
        <f t="shared" si="131"/>
        <v>0.74</v>
      </c>
      <c r="AB180" s="49">
        <f t="shared" ca="1" si="113"/>
        <v>298</v>
      </c>
      <c r="AD180" s="50">
        <f t="shared" ca="1" si="7"/>
        <v>0.97232329800664963</v>
      </c>
      <c r="AE180" s="8">
        <f t="shared" si="132"/>
        <v>0.74</v>
      </c>
      <c r="AF180" s="49">
        <f t="shared" ca="1" si="114"/>
        <v>366</v>
      </c>
      <c r="AH180" s="50">
        <f t="shared" ca="1" si="8"/>
        <v>0.15218390294658768</v>
      </c>
      <c r="AI180" s="8">
        <f t="shared" si="133"/>
        <v>0.74</v>
      </c>
      <c r="AJ180" s="49">
        <f t="shared" ca="1" si="115"/>
        <v>97</v>
      </c>
      <c r="AL180" s="50">
        <f t="shared" ca="1" si="9"/>
        <v>0.44658183025319742</v>
      </c>
      <c r="AM180" s="8">
        <f t="shared" si="134"/>
        <v>0.74</v>
      </c>
      <c r="AN180" s="49">
        <f t="shared" ca="1" si="116"/>
        <v>105</v>
      </c>
      <c r="AP180" s="50">
        <f t="shared" ca="1" si="10"/>
        <v>0.27792076502774521</v>
      </c>
      <c r="AQ180" s="8">
        <f t="shared" si="135"/>
        <v>0.74</v>
      </c>
      <c r="AR180" s="49">
        <f t="shared" ca="1" si="117"/>
        <v>136</v>
      </c>
      <c r="AT180" s="50">
        <f t="shared" ca="1" si="11"/>
        <v>4.9299166464174204E-2</v>
      </c>
      <c r="AU180" s="8">
        <f t="shared" si="136"/>
        <v>0.74</v>
      </c>
      <c r="AV180" s="49">
        <f t="shared" ca="1" si="118"/>
        <v>80</v>
      </c>
      <c r="AX180" s="50">
        <f t="shared" ca="1" si="12"/>
        <v>0.60914211878107449</v>
      </c>
      <c r="AY180" s="8">
        <f t="shared" si="137"/>
        <v>0.74</v>
      </c>
      <c r="AZ180" s="49">
        <f t="shared" ca="1" si="119"/>
        <v>143</v>
      </c>
      <c r="BB180" s="50">
        <f t="shared" ca="1" si="13"/>
        <v>0.31411054884327916</v>
      </c>
      <c r="BC180" s="8">
        <f t="shared" si="138"/>
        <v>0.74</v>
      </c>
      <c r="BD180" s="49">
        <f t="shared" ca="1" si="120"/>
        <v>103</v>
      </c>
      <c r="BF180" s="50">
        <f t="shared" ca="1" si="14"/>
        <v>0.82476234024572315</v>
      </c>
      <c r="BG180" s="8">
        <f t="shared" si="139"/>
        <v>0.74</v>
      </c>
      <c r="BH180" s="49">
        <f t="shared" ca="1" si="121"/>
        <v>153</v>
      </c>
      <c r="BJ180" s="50">
        <f t="shared" ca="1" si="15"/>
        <v>0.62708426770147174</v>
      </c>
      <c r="BK180" s="8">
        <f t="shared" si="140"/>
        <v>0.74</v>
      </c>
      <c r="BL180" s="49">
        <f t="shared" ca="1" si="122"/>
        <v>106</v>
      </c>
      <c r="BN180" s="50">
        <f t="shared" ca="1" si="16"/>
        <v>0.42351031840152165</v>
      </c>
      <c r="BO180" s="8">
        <f t="shared" si="141"/>
        <v>0.74</v>
      </c>
      <c r="BP180" s="49">
        <f t="shared" ca="1" si="123"/>
        <v>122</v>
      </c>
      <c r="BR180" s="50">
        <f t="shared" ca="1" si="17"/>
        <v>0.76504286787849662</v>
      </c>
      <c r="BS180" s="8">
        <f t="shared" si="142"/>
        <v>0.74</v>
      </c>
      <c r="BT180" s="49">
        <f t="shared" ca="1" si="124"/>
        <v>162</v>
      </c>
    </row>
    <row r="181" spans="1:72" x14ac:dyDescent="0.2">
      <c r="A181" s="22">
        <v>44728</v>
      </c>
      <c r="B181" s="50">
        <f t="shared" ca="1" si="0"/>
        <v>0.78744095207704323</v>
      </c>
      <c r="C181" s="8">
        <f t="shared" si="125"/>
        <v>0.74</v>
      </c>
      <c r="D181" s="49">
        <f t="shared" ca="1" si="107"/>
        <v>86</v>
      </c>
      <c r="F181" s="50">
        <f t="shared" ca="1" si="1"/>
        <v>0.57585749605661052</v>
      </c>
      <c r="G181" s="8">
        <f t="shared" si="126"/>
        <v>0.74</v>
      </c>
      <c r="H181" s="49">
        <f t="shared" ca="1" si="108"/>
        <v>168</v>
      </c>
      <c r="J181" s="50">
        <f t="shared" ca="1" si="2"/>
        <v>0.94716552433424994</v>
      </c>
      <c r="K181" s="8">
        <f t="shared" si="127"/>
        <v>0.74</v>
      </c>
      <c r="L181" s="49">
        <f t="shared" ca="1" si="109"/>
        <v>159</v>
      </c>
      <c r="N181" s="50">
        <f t="shared" ca="1" si="3"/>
        <v>0.95024975063138828</v>
      </c>
      <c r="O181" s="8">
        <f t="shared" si="128"/>
        <v>0.74</v>
      </c>
      <c r="P181" s="49">
        <f t="shared" ca="1" si="110"/>
        <v>245</v>
      </c>
      <c r="R181" s="50">
        <f t="shared" ca="1" si="4"/>
        <v>0.3763758947914615</v>
      </c>
      <c r="S181" s="8">
        <f t="shared" si="129"/>
        <v>0.74</v>
      </c>
      <c r="T181" s="49">
        <f t="shared" ca="1" si="111"/>
        <v>95</v>
      </c>
      <c r="V181" s="50">
        <f t="shared" ca="1" si="5"/>
        <v>0.94240178284401044</v>
      </c>
      <c r="W181" s="8">
        <f t="shared" si="130"/>
        <v>0.74</v>
      </c>
      <c r="X181" s="49">
        <f t="shared" ca="1" si="112"/>
        <v>237</v>
      </c>
      <c r="Z181" s="50">
        <f t="shared" ca="1" si="6"/>
        <v>0.12830148401971175</v>
      </c>
      <c r="AA181" s="8">
        <f t="shared" si="131"/>
        <v>0.74</v>
      </c>
      <c r="AB181" s="49">
        <f t="shared" ca="1" si="113"/>
        <v>140</v>
      </c>
      <c r="AD181" s="50">
        <f t="shared" ca="1" si="7"/>
        <v>0.91997850158806738</v>
      </c>
      <c r="AE181" s="8">
        <f t="shared" si="132"/>
        <v>0.74</v>
      </c>
      <c r="AF181" s="49">
        <f t="shared" ca="1" si="114"/>
        <v>333</v>
      </c>
      <c r="AH181" s="50">
        <f t="shared" ca="1" si="8"/>
        <v>0.8421719967541087</v>
      </c>
      <c r="AI181" s="8">
        <f t="shared" si="133"/>
        <v>0.74</v>
      </c>
      <c r="AJ181" s="49">
        <f t="shared" ca="1" si="115"/>
        <v>169</v>
      </c>
      <c r="AL181" s="50">
        <f t="shared" ca="1" si="9"/>
        <v>0.13472738245123239</v>
      </c>
      <c r="AM181" s="8">
        <f t="shared" si="134"/>
        <v>0.74</v>
      </c>
      <c r="AN181" s="49">
        <f t="shared" ca="1" si="116"/>
        <v>77</v>
      </c>
      <c r="AP181" s="50">
        <f t="shared" ca="1" si="10"/>
        <v>0.1167203590617415</v>
      </c>
      <c r="AQ181" s="8">
        <f t="shared" si="135"/>
        <v>0.74</v>
      </c>
      <c r="AR181" s="49">
        <f t="shared" ca="1" si="117"/>
        <v>110</v>
      </c>
      <c r="AT181" s="50">
        <f t="shared" ca="1" si="11"/>
        <v>0.38759866631115825</v>
      </c>
      <c r="AU181" s="8">
        <f t="shared" si="136"/>
        <v>0.74</v>
      </c>
      <c r="AV181" s="49">
        <f t="shared" ca="1" si="118"/>
        <v>132</v>
      </c>
      <c r="AX181" s="50">
        <f t="shared" ca="1" si="12"/>
        <v>0.16431454644111299</v>
      </c>
      <c r="AY181" s="8">
        <f t="shared" si="137"/>
        <v>0.74</v>
      </c>
      <c r="AZ181" s="49">
        <f t="shared" ca="1" si="119"/>
        <v>99</v>
      </c>
      <c r="BB181" s="50">
        <f t="shared" ca="1" si="13"/>
        <v>0.42946074581530969</v>
      </c>
      <c r="BC181" s="8">
        <f t="shared" si="138"/>
        <v>0.74</v>
      </c>
      <c r="BD181" s="49">
        <f t="shared" ca="1" si="120"/>
        <v>113</v>
      </c>
      <c r="BF181" s="50">
        <f t="shared" ca="1" si="14"/>
        <v>0.25279130207533484</v>
      </c>
      <c r="BG181" s="8">
        <f t="shared" si="139"/>
        <v>0.74</v>
      </c>
      <c r="BH181" s="49">
        <f t="shared" ca="1" si="121"/>
        <v>101</v>
      </c>
      <c r="BJ181" s="50">
        <f t="shared" ca="1" si="15"/>
        <v>3.5295051938821986E-2</v>
      </c>
      <c r="BK181" s="8">
        <f t="shared" si="140"/>
        <v>0.74</v>
      </c>
      <c r="BL181" s="49">
        <f t="shared" ca="1" si="122"/>
        <v>51</v>
      </c>
      <c r="BN181" s="50">
        <f t="shared" ca="1" si="16"/>
        <v>0.9071446198421238</v>
      </c>
      <c r="BO181" s="8">
        <f t="shared" si="141"/>
        <v>0.74</v>
      </c>
      <c r="BP181" s="49">
        <f t="shared" ca="1" si="123"/>
        <v>174</v>
      </c>
      <c r="BR181" s="50">
        <f t="shared" ca="1" si="17"/>
        <v>0.80580532080164868</v>
      </c>
      <c r="BS181" s="8">
        <f t="shared" si="142"/>
        <v>0.74</v>
      </c>
      <c r="BT181" s="49">
        <f t="shared" ca="1" si="124"/>
        <v>167</v>
      </c>
    </row>
    <row r="182" spans="1:72" x14ac:dyDescent="0.2">
      <c r="A182" s="22">
        <v>44729</v>
      </c>
      <c r="B182" s="50">
        <f t="shared" ca="1" si="0"/>
        <v>0.42208851994629071</v>
      </c>
      <c r="C182" s="8">
        <f t="shared" si="125"/>
        <v>0.74</v>
      </c>
      <c r="D182" s="49">
        <f t="shared" ca="1" si="107"/>
        <v>72</v>
      </c>
      <c r="F182" s="50">
        <f t="shared" ca="1" si="1"/>
        <v>0.36717508251786191</v>
      </c>
      <c r="G182" s="8">
        <f t="shared" si="126"/>
        <v>0.74</v>
      </c>
      <c r="H182" s="49">
        <f t="shared" ca="1" si="108"/>
        <v>145</v>
      </c>
      <c r="J182" s="50">
        <f t="shared" ca="1" si="2"/>
        <v>0.99665817740591189</v>
      </c>
      <c r="K182" s="8">
        <f t="shared" si="127"/>
        <v>0.74</v>
      </c>
      <c r="L182" s="49">
        <f t="shared" ca="1" si="109"/>
        <v>192</v>
      </c>
      <c r="N182" s="50">
        <f t="shared" ca="1" si="3"/>
        <v>0.14401367374754281</v>
      </c>
      <c r="O182" s="8">
        <f t="shared" si="128"/>
        <v>0.74</v>
      </c>
      <c r="P182" s="49">
        <f t="shared" ca="1" si="110"/>
        <v>122</v>
      </c>
      <c r="R182" s="50">
        <f t="shared" ca="1" si="4"/>
        <v>0.83599665134399814</v>
      </c>
      <c r="S182" s="8">
        <f t="shared" si="129"/>
        <v>0.74</v>
      </c>
      <c r="T182" s="49">
        <f t="shared" ca="1" si="111"/>
        <v>130</v>
      </c>
      <c r="V182" s="50">
        <f t="shared" ca="1" si="5"/>
        <v>0.42823358833442826</v>
      </c>
      <c r="W182" s="8">
        <f t="shared" si="130"/>
        <v>0.74</v>
      </c>
      <c r="X182" s="49">
        <f t="shared" ca="1" si="112"/>
        <v>159</v>
      </c>
      <c r="Z182" s="50">
        <f t="shared" ca="1" si="6"/>
        <v>0.91178421347954064</v>
      </c>
      <c r="AA182" s="8">
        <f t="shared" si="131"/>
        <v>0.74</v>
      </c>
      <c r="AB182" s="49">
        <f t="shared" ca="1" si="113"/>
        <v>272</v>
      </c>
      <c r="AD182" s="50">
        <f t="shared" ca="1" si="7"/>
        <v>9.2570263732392966E-2</v>
      </c>
      <c r="AE182" s="8">
        <f t="shared" si="132"/>
        <v>0.74</v>
      </c>
      <c r="AF182" s="49">
        <f t="shared" ca="1" si="114"/>
        <v>157</v>
      </c>
      <c r="AH182" s="50">
        <f t="shared" ca="1" si="8"/>
        <v>0.99057774580625413</v>
      </c>
      <c r="AI182" s="8">
        <f t="shared" si="133"/>
        <v>0.74</v>
      </c>
      <c r="AJ182" s="49">
        <f t="shared" ca="1" si="115"/>
        <v>217</v>
      </c>
      <c r="AL182" s="50">
        <f t="shared" ca="1" si="9"/>
        <v>0.38343195902290284</v>
      </c>
      <c r="AM182" s="8">
        <f t="shared" si="134"/>
        <v>0.74</v>
      </c>
      <c r="AN182" s="49">
        <f t="shared" ca="1" si="116"/>
        <v>101</v>
      </c>
      <c r="AP182" s="50">
        <f t="shared" ca="1" si="10"/>
        <v>0.50601619397026221</v>
      </c>
      <c r="AQ182" s="8">
        <f t="shared" si="135"/>
        <v>0.74</v>
      </c>
      <c r="AR182" s="49">
        <f t="shared" ca="1" si="117"/>
        <v>162</v>
      </c>
      <c r="AT182" s="50">
        <f t="shared" ca="1" si="11"/>
        <v>0.6161271489555481</v>
      </c>
      <c r="AU182" s="8">
        <f t="shared" si="136"/>
        <v>0.74</v>
      </c>
      <c r="AV182" s="49">
        <f t="shared" ca="1" si="118"/>
        <v>154</v>
      </c>
      <c r="AX182" s="50">
        <f t="shared" ca="1" si="12"/>
        <v>0.85615505226498489</v>
      </c>
      <c r="AY182" s="8">
        <f t="shared" si="137"/>
        <v>0.74</v>
      </c>
      <c r="AZ182" s="49">
        <f t="shared" ca="1" si="119"/>
        <v>171</v>
      </c>
      <c r="BB182" s="50">
        <f t="shared" ca="1" si="13"/>
        <v>0.47536811293330705</v>
      </c>
      <c r="BC182" s="8">
        <f t="shared" si="138"/>
        <v>0.74</v>
      </c>
      <c r="BD182" s="49">
        <f t="shared" ca="1" si="120"/>
        <v>117</v>
      </c>
      <c r="BF182" s="50">
        <f t="shared" ca="1" si="14"/>
        <v>0.97466450005209038</v>
      </c>
      <c r="BG182" s="8">
        <f t="shared" si="139"/>
        <v>0.74</v>
      </c>
      <c r="BH182" s="49">
        <f t="shared" ca="1" si="121"/>
        <v>186</v>
      </c>
      <c r="BJ182" s="50">
        <f t="shared" ca="1" si="15"/>
        <v>0.69182625996411029</v>
      </c>
      <c r="BK182" s="8">
        <f t="shared" si="140"/>
        <v>0.74</v>
      </c>
      <c r="BL182" s="49">
        <f t="shared" ca="1" si="122"/>
        <v>110</v>
      </c>
      <c r="BN182" s="50">
        <f t="shared" ca="1" si="16"/>
        <v>0.87654556272486794</v>
      </c>
      <c r="BO182" s="8">
        <f t="shared" si="141"/>
        <v>0.74</v>
      </c>
      <c r="BP182" s="49">
        <f t="shared" ca="1" si="123"/>
        <v>169</v>
      </c>
      <c r="BR182" s="50">
        <f t="shared" ca="1" si="17"/>
        <v>0.68346680946961225</v>
      </c>
      <c r="BS182" s="8">
        <f t="shared" si="142"/>
        <v>0.74</v>
      </c>
      <c r="BT182" s="49">
        <f t="shared" ca="1" si="124"/>
        <v>154</v>
      </c>
    </row>
    <row r="183" spans="1:72" x14ac:dyDescent="0.2">
      <c r="A183" s="22">
        <v>44730</v>
      </c>
      <c r="B183" s="50">
        <f t="shared" ca="1" si="0"/>
        <v>0.67532488506305555</v>
      </c>
      <c r="C183" s="8">
        <f t="shared" si="125"/>
        <v>0.74</v>
      </c>
      <c r="D183" s="49">
        <f t="shared" ca="1" si="107"/>
        <v>81</v>
      </c>
      <c r="F183" s="50">
        <f t="shared" ca="1" si="1"/>
        <v>0.7531961700473323</v>
      </c>
      <c r="G183" s="8">
        <f t="shared" si="126"/>
        <v>0.74</v>
      </c>
      <c r="H183" s="49">
        <f t="shared" ca="1" si="108"/>
        <v>189</v>
      </c>
      <c r="J183" s="50">
        <f t="shared" ca="1" si="2"/>
        <v>0.69568451576366197</v>
      </c>
      <c r="K183" s="8">
        <f t="shared" si="127"/>
        <v>0.74</v>
      </c>
      <c r="L183" s="49">
        <f t="shared" ca="1" si="109"/>
        <v>127</v>
      </c>
      <c r="N183" s="50">
        <f t="shared" ca="1" si="3"/>
        <v>0.63351527521453865</v>
      </c>
      <c r="O183" s="8">
        <f t="shared" si="128"/>
        <v>0.74</v>
      </c>
      <c r="P183" s="49">
        <f t="shared" ca="1" si="110"/>
        <v>186</v>
      </c>
      <c r="R183" s="50">
        <f t="shared" ca="1" si="4"/>
        <v>0.67852681907819545</v>
      </c>
      <c r="S183" s="8">
        <f t="shared" si="129"/>
        <v>0.74</v>
      </c>
      <c r="T183" s="49">
        <f t="shared" ca="1" si="111"/>
        <v>116</v>
      </c>
      <c r="V183" s="50">
        <f t="shared" ca="1" si="5"/>
        <v>0.29891678924250364</v>
      </c>
      <c r="W183" s="8">
        <f t="shared" si="130"/>
        <v>0.74</v>
      </c>
      <c r="X183" s="49">
        <f t="shared" ca="1" si="112"/>
        <v>144</v>
      </c>
      <c r="Z183" s="50">
        <f t="shared" ca="1" si="6"/>
        <v>0.77147022347415828</v>
      </c>
      <c r="AA183" s="8">
        <f t="shared" si="131"/>
        <v>0.74</v>
      </c>
      <c r="AB183" s="49">
        <f t="shared" ca="1" si="113"/>
        <v>240</v>
      </c>
      <c r="AD183" s="50">
        <f t="shared" ca="1" si="7"/>
        <v>0.15537497379709631</v>
      </c>
      <c r="AE183" s="8">
        <f t="shared" si="132"/>
        <v>0.74</v>
      </c>
      <c r="AF183" s="49">
        <f t="shared" ca="1" si="114"/>
        <v>177</v>
      </c>
      <c r="AH183" s="50">
        <f t="shared" ca="1" si="8"/>
        <v>0.28905060846202502</v>
      </c>
      <c r="AI183" s="8">
        <f t="shared" si="133"/>
        <v>0.74</v>
      </c>
      <c r="AJ183" s="49">
        <f t="shared" ca="1" si="115"/>
        <v>114</v>
      </c>
      <c r="AL183" s="50">
        <f t="shared" ca="1" si="9"/>
        <v>0.48468294261617528</v>
      </c>
      <c r="AM183" s="8">
        <f t="shared" si="134"/>
        <v>0.74</v>
      </c>
      <c r="AN183" s="49">
        <f t="shared" ca="1" si="116"/>
        <v>108</v>
      </c>
      <c r="AP183" s="50">
        <f t="shared" ca="1" si="10"/>
        <v>0.55291923136062604</v>
      </c>
      <c r="AQ183" s="8">
        <f t="shared" si="135"/>
        <v>0.74</v>
      </c>
      <c r="AR183" s="49">
        <f t="shared" ca="1" si="117"/>
        <v>167</v>
      </c>
      <c r="AT183" s="50">
        <f t="shared" ca="1" si="11"/>
        <v>0.61788544508972099</v>
      </c>
      <c r="AU183" s="8">
        <f t="shared" si="136"/>
        <v>0.74</v>
      </c>
      <c r="AV183" s="49">
        <f t="shared" ca="1" si="118"/>
        <v>154</v>
      </c>
      <c r="AX183" s="50">
        <f t="shared" ca="1" si="12"/>
        <v>0.76324720553320147</v>
      </c>
      <c r="AY183" s="8">
        <f t="shared" si="137"/>
        <v>0.74</v>
      </c>
      <c r="AZ183" s="49">
        <f t="shared" ca="1" si="119"/>
        <v>159</v>
      </c>
      <c r="BB183" s="50">
        <f t="shared" ca="1" si="13"/>
        <v>0.39002662718952053</v>
      </c>
      <c r="BC183" s="8">
        <f t="shared" si="138"/>
        <v>0.74</v>
      </c>
      <c r="BD183" s="49">
        <f t="shared" ca="1" si="120"/>
        <v>110</v>
      </c>
      <c r="BF183" s="50">
        <f t="shared" ca="1" si="14"/>
        <v>0.82486343081404701</v>
      </c>
      <c r="BG183" s="8">
        <f t="shared" si="139"/>
        <v>0.74</v>
      </c>
      <c r="BH183" s="49">
        <f t="shared" ca="1" si="121"/>
        <v>153</v>
      </c>
      <c r="BJ183" s="50">
        <f t="shared" ca="1" si="15"/>
        <v>0.93796869369649083</v>
      </c>
      <c r="BK183" s="8">
        <f t="shared" si="140"/>
        <v>0.74</v>
      </c>
      <c r="BL183" s="49">
        <f t="shared" ca="1" si="122"/>
        <v>137</v>
      </c>
      <c r="BN183" s="50">
        <f t="shared" ca="1" si="16"/>
        <v>8.3486549208585226E-2</v>
      </c>
      <c r="BO183" s="8">
        <f t="shared" si="141"/>
        <v>0.74</v>
      </c>
      <c r="BP183" s="49">
        <f t="shared" ca="1" si="123"/>
        <v>82</v>
      </c>
      <c r="BR183" s="50">
        <f t="shared" ca="1" si="17"/>
        <v>0.14275973392070862</v>
      </c>
      <c r="BS183" s="8">
        <f t="shared" si="142"/>
        <v>0.74</v>
      </c>
      <c r="BT183" s="49">
        <f t="shared" ca="1" si="124"/>
        <v>98</v>
      </c>
    </row>
    <row r="184" spans="1:72" x14ac:dyDescent="0.2">
      <c r="A184" s="22">
        <v>44731</v>
      </c>
      <c r="B184" s="50">
        <f t="shared" ca="1" si="0"/>
        <v>0.31139555642965511</v>
      </c>
      <c r="C184" s="8">
        <f t="shared" si="125"/>
        <v>0.74</v>
      </c>
      <c r="D184" s="49">
        <f t="shared" ca="1" si="107"/>
        <v>67</v>
      </c>
      <c r="F184" s="50">
        <f t="shared" ca="1" si="1"/>
        <v>8.7138179793905701E-2</v>
      </c>
      <c r="G184" s="8">
        <f t="shared" si="126"/>
        <v>0.74</v>
      </c>
      <c r="H184" s="49">
        <f t="shared" ca="1" si="108"/>
        <v>102</v>
      </c>
      <c r="J184" s="50">
        <f t="shared" ca="1" si="2"/>
        <v>4.3020324939987531E-2</v>
      </c>
      <c r="K184" s="8">
        <f t="shared" si="127"/>
        <v>0.74</v>
      </c>
      <c r="L184" s="49">
        <f t="shared" ca="1" si="109"/>
        <v>61</v>
      </c>
      <c r="N184" s="50">
        <f t="shared" ca="1" si="3"/>
        <v>0.13575569072227778</v>
      </c>
      <c r="O184" s="8">
        <f t="shared" si="128"/>
        <v>0.74</v>
      </c>
      <c r="P184" s="49">
        <f t="shared" ca="1" si="110"/>
        <v>120</v>
      </c>
      <c r="R184" s="50">
        <f t="shared" ca="1" si="4"/>
        <v>0.22562238191023543</v>
      </c>
      <c r="S184" s="8">
        <f t="shared" si="129"/>
        <v>0.74</v>
      </c>
      <c r="T184" s="49">
        <f t="shared" ca="1" si="111"/>
        <v>83</v>
      </c>
      <c r="V184" s="50">
        <f t="shared" ca="1" si="5"/>
        <v>0.4823100284563534</v>
      </c>
      <c r="W184" s="8">
        <f t="shared" si="130"/>
        <v>0.74</v>
      </c>
      <c r="X184" s="49">
        <f t="shared" ca="1" si="112"/>
        <v>165</v>
      </c>
      <c r="Z184" s="50">
        <f t="shared" ca="1" si="6"/>
        <v>0.47534524097685116</v>
      </c>
      <c r="AA184" s="8">
        <f t="shared" si="131"/>
        <v>0.74</v>
      </c>
      <c r="AB184" s="49">
        <f t="shared" ca="1" si="113"/>
        <v>197</v>
      </c>
      <c r="AD184" s="50">
        <f t="shared" ca="1" si="7"/>
        <v>0.1655724885990516</v>
      </c>
      <c r="AE184" s="8">
        <f t="shared" si="132"/>
        <v>0.74</v>
      </c>
      <c r="AF184" s="49">
        <f t="shared" ca="1" si="114"/>
        <v>180</v>
      </c>
      <c r="AH184" s="50">
        <f t="shared" ca="1" si="8"/>
        <v>6.2287393421885828E-2</v>
      </c>
      <c r="AI184" s="8">
        <f t="shared" si="133"/>
        <v>0.74</v>
      </c>
      <c r="AJ184" s="49">
        <f t="shared" ca="1" si="115"/>
        <v>79</v>
      </c>
      <c r="AL184" s="50">
        <f t="shared" ca="1" si="9"/>
        <v>3.8542285019095179E-2</v>
      </c>
      <c r="AM184" s="8">
        <f t="shared" si="134"/>
        <v>0.74</v>
      </c>
      <c r="AN184" s="49">
        <f t="shared" ca="1" si="116"/>
        <v>58</v>
      </c>
      <c r="AP184" s="50">
        <f t="shared" ca="1" si="10"/>
        <v>0.83937008876492203</v>
      </c>
      <c r="AQ184" s="8">
        <f t="shared" si="135"/>
        <v>0.74</v>
      </c>
      <c r="AR184" s="49">
        <f t="shared" ca="1" si="117"/>
        <v>203</v>
      </c>
      <c r="AT184" s="50">
        <f t="shared" ca="1" si="11"/>
        <v>0.88342013588393875</v>
      </c>
      <c r="AU184" s="8">
        <f t="shared" si="136"/>
        <v>0.74</v>
      </c>
      <c r="AV184" s="49">
        <f t="shared" ca="1" si="118"/>
        <v>187</v>
      </c>
      <c r="AX184" s="50">
        <f t="shared" ca="1" si="12"/>
        <v>0.94351167831554039</v>
      </c>
      <c r="AY184" s="8">
        <f t="shared" si="137"/>
        <v>0.74</v>
      </c>
      <c r="AZ184" s="49">
        <f t="shared" ca="1" si="119"/>
        <v>190</v>
      </c>
      <c r="BB184" s="50">
        <f t="shared" ca="1" si="13"/>
        <v>0.71731484514317123</v>
      </c>
      <c r="BC184" s="8">
        <f t="shared" si="138"/>
        <v>0.74</v>
      </c>
      <c r="BD184" s="49">
        <f t="shared" ca="1" si="120"/>
        <v>137</v>
      </c>
      <c r="BF184" s="50">
        <f t="shared" ca="1" si="14"/>
        <v>0.19370492139096696</v>
      </c>
      <c r="BG184" s="8">
        <f t="shared" si="139"/>
        <v>0.74</v>
      </c>
      <c r="BH184" s="49">
        <f t="shared" ca="1" si="121"/>
        <v>94</v>
      </c>
      <c r="BJ184" s="50">
        <f t="shared" ca="1" si="15"/>
        <v>0.15182046792119064</v>
      </c>
      <c r="BK184" s="8">
        <f t="shared" si="140"/>
        <v>0.74</v>
      </c>
      <c r="BL184" s="49">
        <f t="shared" ca="1" si="122"/>
        <v>71</v>
      </c>
      <c r="BN184" s="50">
        <f t="shared" ca="1" si="16"/>
        <v>0.56439274978468079</v>
      </c>
      <c r="BO184" s="8">
        <f t="shared" si="141"/>
        <v>0.74</v>
      </c>
      <c r="BP184" s="49">
        <f t="shared" ca="1" si="123"/>
        <v>134</v>
      </c>
      <c r="BR184" s="50">
        <f t="shared" ca="1" si="17"/>
        <v>0.90894472520891789</v>
      </c>
      <c r="BS184" s="8">
        <f t="shared" si="142"/>
        <v>0.74</v>
      </c>
      <c r="BT184" s="49">
        <f t="shared" ca="1" si="124"/>
        <v>185</v>
      </c>
    </row>
    <row r="185" spans="1:72" x14ac:dyDescent="0.2">
      <c r="A185" s="22">
        <v>44732</v>
      </c>
      <c r="B185" s="50">
        <f t="shared" ca="1" si="0"/>
        <v>0.15732473267377323</v>
      </c>
      <c r="C185" s="8">
        <f t="shared" si="125"/>
        <v>0.74</v>
      </c>
      <c r="D185" s="49">
        <f t="shared" ca="1" si="107"/>
        <v>60</v>
      </c>
      <c r="F185" s="50">
        <f t="shared" ca="1" si="1"/>
        <v>0.43395525993248263</v>
      </c>
      <c r="G185" s="8">
        <f t="shared" si="126"/>
        <v>0.74</v>
      </c>
      <c r="H185" s="49">
        <f t="shared" ca="1" si="108"/>
        <v>153</v>
      </c>
      <c r="J185" s="50">
        <f t="shared" ca="1" si="2"/>
        <v>0.67156840234308246</v>
      </c>
      <c r="K185" s="8">
        <f t="shared" si="127"/>
        <v>0.74</v>
      </c>
      <c r="L185" s="49">
        <f t="shared" ca="1" si="109"/>
        <v>125</v>
      </c>
      <c r="N185" s="50">
        <f t="shared" ca="1" si="3"/>
        <v>0.42581914133421439</v>
      </c>
      <c r="O185" s="8">
        <f t="shared" si="128"/>
        <v>0.74</v>
      </c>
      <c r="P185" s="49">
        <f t="shared" ca="1" si="110"/>
        <v>162</v>
      </c>
      <c r="R185" s="50">
        <f t="shared" ca="1" si="4"/>
        <v>0.22014789462129303</v>
      </c>
      <c r="S185" s="8">
        <f t="shared" si="129"/>
        <v>0.74</v>
      </c>
      <c r="T185" s="49">
        <f t="shared" ca="1" si="111"/>
        <v>82</v>
      </c>
      <c r="V185" s="50">
        <f t="shared" ca="1" si="5"/>
        <v>0.26735582872928498</v>
      </c>
      <c r="W185" s="8">
        <f t="shared" si="130"/>
        <v>0.74</v>
      </c>
      <c r="X185" s="49">
        <f t="shared" ca="1" si="112"/>
        <v>139</v>
      </c>
      <c r="Z185" s="50">
        <f t="shared" ca="1" si="6"/>
        <v>0.25586000337708825</v>
      </c>
      <c r="AA185" s="8">
        <f t="shared" si="131"/>
        <v>0.74</v>
      </c>
      <c r="AB185" s="49">
        <f t="shared" ca="1" si="113"/>
        <v>165</v>
      </c>
      <c r="AD185" s="50">
        <f t="shared" ca="1" si="7"/>
        <v>0.97640920188040659</v>
      </c>
      <c r="AE185" s="8">
        <f t="shared" si="132"/>
        <v>0.74</v>
      </c>
      <c r="AF185" s="49">
        <f t="shared" ca="1" si="114"/>
        <v>371</v>
      </c>
      <c r="AH185" s="50">
        <f t="shared" ca="1" si="8"/>
        <v>0.9612979177479225</v>
      </c>
      <c r="AI185" s="8">
        <f t="shared" si="133"/>
        <v>0.74</v>
      </c>
      <c r="AJ185" s="49">
        <f t="shared" ca="1" si="115"/>
        <v>196</v>
      </c>
      <c r="AL185" s="50">
        <f t="shared" ca="1" si="9"/>
        <v>5.2028441036555795E-2</v>
      </c>
      <c r="AM185" s="8">
        <f t="shared" si="134"/>
        <v>0.74</v>
      </c>
      <c r="AN185" s="49">
        <f t="shared" ca="1" si="116"/>
        <v>62</v>
      </c>
      <c r="AP185" s="50">
        <f t="shared" ca="1" si="10"/>
        <v>0.93610317818731303</v>
      </c>
      <c r="AQ185" s="8">
        <f t="shared" si="135"/>
        <v>0.74</v>
      </c>
      <c r="AR185" s="49">
        <f t="shared" ca="1" si="117"/>
        <v>226</v>
      </c>
      <c r="AT185" s="50">
        <f t="shared" ca="1" si="11"/>
        <v>7.8141103636336195E-2</v>
      </c>
      <c r="AU185" s="8">
        <f t="shared" si="136"/>
        <v>0.74</v>
      </c>
      <c r="AV185" s="49">
        <f t="shared" ca="1" si="118"/>
        <v>89</v>
      </c>
      <c r="AX185" s="50">
        <f t="shared" ca="1" si="12"/>
        <v>0.12439962657190073</v>
      </c>
      <c r="AY185" s="8">
        <f t="shared" si="137"/>
        <v>0.74</v>
      </c>
      <c r="AZ185" s="49">
        <f t="shared" ca="1" si="119"/>
        <v>93</v>
      </c>
      <c r="BB185" s="50">
        <f t="shared" ca="1" si="13"/>
        <v>2.7072000953521025E-2</v>
      </c>
      <c r="BC185" s="8">
        <f t="shared" si="138"/>
        <v>0.74</v>
      </c>
      <c r="BD185" s="49">
        <f t="shared" ca="1" si="120"/>
        <v>58</v>
      </c>
      <c r="BF185" s="50">
        <f t="shared" ca="1" si="14"/>
        <v>5.9296655034207002E-2</v>
      </c>
      <c r="BG185" s="8">
        <f t="shared" si="139"/>
        <v>0.74</v>
      </c>
      <c r="BH185" s="49">
        <f t="shared" ca="1" si="121"/>
        <v>72</v>
      </c>
      <c r="BJ185" s="50">
        <f t="shared" ca="1" si="15"/>
        <v>0.62801674892392523</v>
      </c>
      <c r="BK185" s="8">
        <f t="shared" si="140"/>
        <v>0.74</v>
      </c>
      <c r="BL185" s="49">
        <f t="shared" ca="1" si="122"/>
        <v>106</v>
      </c>
      <c r="BN185" s="50">
        <f t="shared" ca="1" si="16"/>
        <v>0.67463832669448065</v>
      </c>
      <c r="BO185" s="8">
        <f t="shared" si="141"/>
        <v>0.74</v>
      </c>
      <c r="BP185" s="49">
        <f t="shared" ca="1" si="123"/>
        <v>144</v>
      </c>
      <c r="BR185" s="50">
        <f t="shared" ca="1" si="17"/>
        <v>0.83279179723056018</v>
      </c>
      <c r="BS185" s="8">
        <f t="shared" si="142"/>
        <v>0.74</v>
      </c>
      <c r="BT185" s="49">
        <f t="shared" ca="1" si="124"/>
        <v>171</v>
      </c>
    </row>
    <row r="186" spans="1:72" x14ac:dyDescent="0.2">
      <c r="A186" s="22">
        <v>44733</v>
      </c>
      <c r="B186" s="50">
        <f t="shared" ca="1" si="0"/>
        <v>0.85767432483395467</v>
      </c>
      <c r="C186" s="8">
        <f t="shared" si="125"/>
        <v>0.74</v>
      </c>
      <c r="D186" s="49">
        <f t="shared" ca="1" si="107"/>
        <v>90</v>
      </c>
      <c r="F186" s="50">
        <f t="shared" ca="1" si="1"/>
        <v>0.18138137161805445</v>
      </c>
      <c r="G186" s="8">
        <f t="shared" si="126"/>
        <v>0.74</v>
      </c>
      <c r="H186" s="49">
        <f t="shared" ca="1" si="108"/>
        <v>121</v>
      </c>
      <c r="J186" s="50">
        <f t="shared" ca="1" si="2"/>
        <v>0.51796818345550721</v>
      </c>
      <c r="K186" s="8">
        <f t="shared" si="127"/>
        <v>0.74</v>
      </c>
      <c r="L186" s="49">
        <f t="shared" ca="1" si="109"/>
        <v>113</v>
      </c>
      <c r="N186" s="50">
        <f t="shared" ca="1" si="3"/>
        <v>0.40153754288306542</v>
      </c>
      <c r="O186" s="8">
        <f t="shared" si="128"/>
        <v>0.74</v>
      </c>
      <c r="P186" s="49">
        <f t="shared" ca="1" si="110"/>
        <v>159</v>
      </c>
      <c r="R186" s="50">
        <f t="shared" ca="1" si="4"/>
        <v>0.35406242694230239</v>
      </c>
      <c r="S186" s="8">
        <f t="shared" si="129"/>
        <v>0.74</v>
      </c>
      <c r="T186" s="49">
        <f t="shared" ca="1" si="111"/>
        <v>93</v>
      </c>
      <c r="V186" s="50">
        <f t="shared" ca="1" si="5"/>
        <v>0.10165916796295338</v>
      </c>
      <c r="W186" s="8">
        <f t="shared" si="130"/>
        <v>0.74</v>
      </c>
      <c r="X186" s="49">
        <f t="shared" ca="1" si="112"/>
        <v>111</v>
      </c>
      <c r="Z186" s="50">
        <f t="shared" ca="1" si="6"/>
        <v>0.51874943428736076</v>
      </c>
      <c r="AA186" s="8">
        <f t="shared" si="131"/>
        <v>0.74</v>
      </c>
      <c r="AB186" s="49">
        <f t="shared" ca="1" si="113"/>
        <v>203</v>
      </c>
      <c r="AD186" s="50">
        <f t="shared" ca="1" si="7"/>
        <v>0.5377924077622861</v>
      </c>
      <c r="AE186" s="8">
        <f t="shared" si="132"/>
        <v>0.74</v>
      </c>
      <c r="AF186" s="49">
        <f t="shared" ca="1" si="114"/>
        <v>249</v>
      </c>
      <c r="AH186" s="50">
        <f t="shared" ca="1" si="8"/>
        <v>0.39729708467413971</v>
      </c>
      <c r="AI186" s="8">
        <f t="shared" si="133"/>
        <v>0.74</v>
      </c>
      <c r="AJ186" s="49">
        <f t="shared" ca="1" si="115"/>
        <v>124</v>
      </c>
      <c r="AL186" s="50">
        <f t="shared" ca="1" si="9"/>
        <v>0.82223456873294753</v>
      </c>
      <c r="AM186" s="8">
        <f t="shared" si="134"/>
        <v>0.74</v>
      </c>
      <c r="AN186" s="49">
        <f t="shared" ca="1" si="116"/>
        <v>136</v>
      </c>
      <c r="AP186" s="50">
        <f t="shared" ca="1" si="10"/>
        <v>0.75269367132741172</v>
      </c>
      <c r="AQ186" s="8">
        <f t="shared" si="135"/>
        <v>0.74</v>
      </c>
      <c r="AR186" s="49">
        <f t="shared" ca="1" si="117"/>
        <v>190</v>
      </c>
      <c r="AT186" s="50">
        <f t="shared" ca="1" si="11"/>
        <v>0.4682664396441214</v>
      </c>
      <c r="AU186" s="8">
        <f t="shared" si="136"/>
        <v>0.74</v>
      </c>
      <c r="AV186" s="49">
        <f t="shared" ca="1" si="118"/>
        <v>139</v>
      </c>
      <c r="AX186" s="50">
        <f t="shared" ca="1" si="12"/>
        <v>0.59807819209928526</v>
      </c>
      <c r="AY186" s="8">
        <f t="shared" si="137"/>
        <v>0.74</v>
      </c>
      <c r="AZ186" s="49">
        <f t="shared" ca="1" si="119"/>
        <v>142</v>
      </c>
      <c r="BB186" s="50">
        <f t="shared" ca="1" si="13"/>
        <v>2.1092970990459481E-3</v>
      </c>
      <c r="BC186" s="8">
        <f t="shared" si="138"/>
        <v>0.74</v>
      </c>
      <c r="BD186" s="49">
        <f t="shared" ca="1" si="120"/>
        <v>28</v>
      </c>
      <c r="BF186" s="50">
        <f t="shared" ca="1" si="14"/>
        <v>0.56259520962551335</v>
      </c>
      <c r="BG186" s="8">
        <f t="shared" si="139"/>
        <v>0.74</v>
      </c>
      <c r="BH186" s="49">
        <f t="shared" ca="1" si="121"/>
        <v>127</v>
      </c>
      <c r="BJ186" s="50">
        <f t="shared" ca="1" si="15"/>
        <v>0.36855159132025184</v>
      </c>
      <c r="BK186" s="8">
        <f t="shared" si="140"/>
        <v>0.74</v>
      </c>
      <c r="BL186" s="49">
        <f t="shared" ca="1" si="122"/>
        <v>89</v>
      </c>
      <c r="BN186" s="50">
        <f t="shared" ca="1" si="16"/>
        <v>0.29212332596346735</v>
      </c>
      <c r="BO186" s="8">
        <f t="shared" si="141"/>
        <v>0.74</v>
      </c>
      <c r="BP186" s="49">
        <f t="shared" ca="1" si="123"/>
        <v>110</v>
      </c>
      <c r="BR186" s="50">
        <f t="shared" ca="1" si="17"/>
        <v>0.55938524048800153</v>
      </c>
      <c r="BS186" s="8">
        <f t="shared" si="142"/>
        <v>0.74</v>
      </c>
      <c r="BT186" s="49">
        <f t="shared" ca="1" si="124"/>
        <v>142</v>
      </c>
    </row>
    <row r="187" spans="1:72" x14ac:dyDescent="0.2">
      <c r="A187" s="22">
        <v>44734</v>
      </c>
      <c r="B187" s="50">
        <f t="shared" ca="1" si="0"/>
        <v>0.14015464945236333</v>
      </c>
      <c r="C187" s="8">
        <f t="shared" si="125"/>
        <v>0.74</v>
      </c>
      <c r="D187" s="49">
        <f t="shared" ref="D187:D201" ca="1" si="143">ROUNDUP(_xlfn.NORM.INV(B187,C$4*C187,C$6*C187),0)</f>
        <v>59</v>
      </c>
      <c r="F187" s="50">
        <f t="shared" ca="1" si="1"/>
        <v>0.11090209056414824</v>
      </c>
      <c r="G187" s="8">
        <f t="shared" si="126"/>
        <v>0.74</v>
      </c>
      <c r="H187" s="49">
        <f t="shared" ref="H187:H201" ca="1" si="144">ROUNDUP(_xlfn.NORM.INV(F187,G$4*G187,G$6*G187),0)</f>
        <v>108</v>
      </c>
      <c r="J187" s="50">
        <f t="shared" ca="1" si="2"/>
        <v>0.59149785874041017</v>
      </c>
      <c r="K187" s="8">
        <f t="shared" si="127"/>
        <v>0.74</v>
      </c>
      <c r="L187" s="49">
        <f t="shared" ref="L187:L201" ca="1" si="145">ROUNDUP(_xlfn.NORM.INV(J187,K$4*K187,K$6*K187),0)</f>
        <v>118</v>
      </c>
      <c r="N187" s="50">
        <f t="shared" ca="1" si="3"/>
        <v>0.68098192631041177</v>
      </c>
      <c r="O187" s="8">
        <f t="shared" si="128"/>
        <v>0.74</v>
      </c>
      <c r="P187" s="49">
        <f t="shared" ref="P187:P201" ca="1" si="146">ROUNDUP(_xlfn.NORM.INV(N187,O$4*O187,O$6*O187),0)</f>
        <v>192</v>
      </c>
      <c r="R187" s="50">
        <f t="shared" ca="1" si="4"/>
        <v>0.42036959586373412</v>
      </c>
      <c r="S187" s="8">
        <f t="shared" si="129"/>
        <v>0.74</v>
      </c>
      <c r="T187" s="49">
        <f t="shared" ref="T187:T201" ca="1" si="147">ROUNDUP(_xlfn.NORM.INV(R187,S$4*S187,S$6*S187),0)</f>
        <v>98</v>
      </c>
      <c r="V187" s="50">
        <f t="shared" ca="1" si="5"/>
        <v>0.1588678010298521</v>
      </c>
      <c r="W187" s="8">
        <f t="shared" si="130"/>
        <v>0.74</v>
      </c>
      <c r="X187" s="49">
        <f t="shared" ref="X187:X201" ca="1" si="148">ROUNDUP(_xlfn.NORM.INV(V187,W$4*W187,W$6*W187),0)</f>
        <v>123</v>
      </c>
      <c r="Z187" s="50">
        <f t="shared" ca="1" si="6"/>
        <v>0.15014520172380297</v>
      </c>
      <c r="AA187" s="8">
        <f t="shared" si="131"/>
        <v>0.74</v>
      </c>
      <c r="AB187" s="49">
        <f t="shared" ref="AB187:AB201" ca="1" si="149">ROUNDUP(_xlfn.NORM.INV(Z187,AA$4*AA187,AA$6*AA187),0)</f>
        <v>145</v>
      </c>
      <c r="AD187" s="50">
        <f t="shared" ca="1" si="7"/>
        <v>6.4420796692268967E-2</v>
      </c>
      <c r="AE187" s="8">
        <f t="shared" si="132"/>
        <v>0.74</v>
      </c>
      <c r="AF187" s="49">
        <f t="shared" ref="AF187:AF201" ca="1" si="150">ROUNDUP(_xlfn.NORM.INV(AD187,AE$4*AE187,AE$6*AE187),0)</f>
        <v>144</v>
      </c>
      <c r="AH187" s="50">
        <f t="shared" ca="1" si="8"/>
        <v>1.7892573924800925E-2</v>
      </c>
      <c r="AI187" s="8">
        <f t="shared" si="133"/>
        <v>0.74</v>
      </c>
      <c r="AJ187" s="49">
        <f t="shared" ref="AJ187:AJ201" ca="1" si="151">ROUNDUP(_xlfn.NORM.INV(AH187,AI$4*AI187,AI$6*AI187),0)</f>
        <v>59</v>
      </c>
      <c r="AL187" s="50">
        <f t="shared" ca="1" si="9"/>
        <v>1.3496825779356958E-2</v>
      </c>
      <c r="AM187" s="8">
        <f t="shared" si="134"/>
        <v>0.74</v>
      </c>
      <c r="AN187" s="49">
        <f t="shared" ref="AN187:AN201" ca="1" si="152">ROUNDUP(_xlfn.NORM.INV(AL187,AM$4*AM187,AM$6*AM187),0)</f>
        <v>45</v>
      </c>
      <c r="AP187" s="50">
        <f t="shared" ca="1" si="10"/>
        <v>0.55176320863984796</v>
      </c>
      <c r="AQ187" s="8">
        <f t="shared" si="135"/>
        <v>0.74</v>
      </c>
      <c r="AR187" s="49">
        <f t="shared" ref="AR187:AR201" ca="1" si="153">ROUNDUP(_xlfn.NORM.INV(AP187,AQ$4*AQ187,AQ$6*AQ187),0)</f>
        <v>166</v>
      </c>
      <c r="AT187" s="50">
        <f t="shared" ca="1" si="11"/>
        <v>1.4193427829154892E-2</v>
      </c>
      <c r="AU187" s="8">
        <f t="shared" si="136"/>
        <v>0.74</v>
      </c>
      <c r="AV187" s="49">
        <f t="shared" ref="AV187:AV201" ca="1" si="154">ROUNDUP(_xlfn.NORM.INV(AT187,AU$4*AU187,AU$6*AU187),0)</f>
        <v>59</v>
      </c>
      <c r="AX187" s="50">
        <f t="shared" ca="1" si="12"/>
        <v>0.44517040140896114</v>
      </c>
      <c r="AY187" s="8">
        <f t="shared" si="137"/>
        <v>0.74</v>
      </c>
      <c r="AZ187" s="49">
        <f t="shared" ref="AZ187:AZ201" ca="1" si="155">ROUNDUP(_xlfn.NORM.INV(AX187,AY$4*AY187,AY$6*AY187),0)</f>
        <v>129</v>
      </c>
      <c r="BB187" s="50">
        <f t="shared" ca="1" si="13"/>
        <v>6.1849567800010274E-2</v>
      </c>
      <c r="BC187" s="8">
        <f t="shared" si="138"/>
        <v>0.74</v>
      </c>
      <c r="BD187" s="49">
        <f t="shared" ref="BD187:BD201" ca="1" si="156">ROUNDUP(_xlfn.NORM.INV(BB187,BC$4*BC187,BC$6*BC187),0)</f>
        <v>70</v>
      </c>
      <c r="BF187" s="50">
        <f t="shared" ca="1" si="14"/>
        <v>0.87663886515812084</v>
      </c>
      <c r="BG187" s="8">
        <f t="shared" si="139"/>
        <v>0.74</v>
      </c>
      <c r="BH187" s="49">
        <f t="shared" ref="BH187:BH201" ca="1" si="157">ROUNDUP(_xlfn.NORM.INV(BF187,BG$4*BG187,BG$6*BG187),0)</f>
        <v>160</v>
      </c>
      <c r="BJ187" s="50">
        <f t="shared" ca="1" si="15"/>
        <v>0.54060785291833247</v>
      </c>
      <c r="BK187" s="8">
        <f t="shared" si="140"/>
        <v>0.74</v>
      </c>
      <c r="BL187" s="49">
        <f t="shared" ref="BL187:BL201" ca="1" si="158">ROUNDUP(_xlfn.NORM.INV(BJ187,BK$4*BK187,BK$6*BK187),0)</f>
        <v>100</v>
      </c>
      <c r="BN187" s="50">
        <f t="shared" ca="1" si="16"/>
        <v>0.94157472885893045</v>
      </c>
      <c r="BO187" s="8">
        <f t="shared" si="141"/>
        <v>0.74</v>
      </c>
      <c r="BP187" s="49">
        <f t="shared" ref="BP187:BP201" ca="1" si="159">ROUNDUP(_xlfn.NORM.INV(BN187,BO$4*BO187,BO$6*BO187),0)</f>
        <v>183</v>
      </c>
      <c r="BR187" s="50">
        <f t="shared" ca="1" si="17"/>
        <v>0.45110310166003142</v>
      </c>
      <c r="BS187" s="8">
        <f t="shared" si="142"/>
        <v>0.74</v>
      </c>
      <c r="BT187" s="49">
        <f t="shared" ref="BT187:BT201" ca="1" si="160">ROUNDUP(_xlfn.NORM.INV(BR187,BS$4*BS187,BS$6*BS187),0)</f>
        <v>132</v>
      </c>
    </row>
    <row r="188" spans="1:72" x14ac:dyDescent="0.2">
      <c r="A188" s="22">
        <v>44735</v>
      </c>
      <c r="B188" s="50">
        <f t="shared" ca="1" si="0"/>
        <v>0.69166195208031855</v>
      </c>
      <c r="C188" s="8">
        <f t="shared" si="125"/>
        <v>0.74</v>
      </c>
      <c r="D188" s="49">
        <f t="shared" ca="1" si="143"/>
        <v>82</v>
      </c>
      <c r="F188" s="50">
        <f t="shared" ca="1" si="1"/>
        <v>0.71491060573149678</v>
      </c>
      <c r="G188" s="8">
        <f t="shared" si="126"/>
        <v>0.74</v>
      </c>
      <c r="H188" s="49">
        <f t="shared" ca="1" si="144"/>
        <v>184</v>
      </c>
      <c r="J188" s="50">
        <f t="shared" ca="1" si="2"/>
        <v>0.25965960016618383</v>
      </c>
      <c r="K188" s="8">
        <f t="shared" si="127"/>
        <v>0.74</v>
      </c>
      <c r="L188" s="49">
        <f t="shared" ca="1" si="145"/>
        <v>92</v>
      </c>
      <c r="N188" s="50">
        <f t="shared" ca="1" si="3"/>
        <v>0.4602403556162239</v>
      </c>
      <c r="O188" s="8">
        <f t="shared" si="128"/>
        <v>0.74</v>
      </c>
      <c r="P188" s="49">
        <f t="shared" ca="1" si="146"/>
        <v>166</v>
      </c>
      <c r="R188" s="50">
        <f t="shared" ca="1" si="4"/>
        <v>5.569276832003256E-2</v>
      </c>
      <c r="S188" s="8">
        <f t="shared" si="129"/>
        <v>0.74</v>
      </c>
      <c r="T188" s="49">
        <f t="shared" ca="1" si="147"/>
        <v>60</v>
      </c>
      <c r="V188" s="50">
        <f t="shared" ca="1" si="5"/>
        <v>0.92162533271342761</v>
      </c>
      <c r="W188" s="8">
        <f t="shared" si="130"/>
        <v>0.74</v>
      </c>
      <c r="X188" s="49">
        <f t="shared" ca="1" si="148"/>
        <v>230</v>
      </c>
      <c r="Z188" s="50">
        <f t="shared" ca="1" si="6"/>
        <v>0.13960180239881126</v>
      </c>
      <c r="AA188" s="8">
        <f t="shared" si="131"/>
        <v>0.74</v>
      </c>
      <c r="AB188" s="49">
        <f t="shared" ca="1" si="149"/>
        <v>143</v>
      </c>
      <c r="AD188" s="50">
        <f t="shared" ca="1" si="7"/>
        <v>0.82230277195454526</v>
      </c>
      <c r="AE188" s="8">
        <f t="shared" si="132"/>
        <v>0.74</v>
      </c>
      <c r="AF188" s="49">
        <f t="shared" ca="1" si="150"/>
        <v>302</v>
      </c>
      <c r="AH188" s="50">
        <f t="shared" ca="1" si="8"/>
        <v>0.98276686958677684</v>
      </c>
      <c r="AI188" s="8">
        <f t="shared" si="133"/>
        <v>0.74</v>
      </c>
      <c r="AJ188" s="49">
        <f t="shared" ca="1" si="151"/>
        <v>209</v>
      </c>
      <c r="AL188" s="50">
        <f t="shared" ca="1" si="9"/>
        <v>0.37970158937541165</v>
      </c>
      <c r="AM188" s="8">
        <f t="shared" si="134"/>
        <v>0.74</v>
      </c>
      <c r="AN188" s="49">
        <f t="shared" ca="1" si="152"/>
        <v>100</v>
      </c>
      <c r="AP188" s="50">
        <f t="shared" ca="1" si="10"/>
        <v>0.16755128033987221</v>
      </c>
      <c r="AQ188" s="8">
        <f t="shared" si="135"/>
        <v>0.74</v>
      </c>
      <c r="AR188" s="49">
        <f t="shared" ca="1" si="153"/>
        <v>120</v>
      </c>
      <c r="AT188" s="50">
        <f t="shared" ca="1" si="11"/>
        <v>0.4401816016387311</v>
      </c>
      <c r="AU188" s="8">
        <f t="shared" si="136"/>
        <v>0.74</v>
      </c>
      <c r="AV188" s="49">
        <f t="shared" ca="1" si="154"/>
        <v>137</v>
      </c>
      <c r="AX188" s="50">
        <f t="shared" ca="1" si="12"/>
        <v>0.83598592506061509</v>
      </c>
      <c r="AY188" s="8">
        <f t="shared" si="137"/>
        <v>0.74</v>
      </c>
      <c r="AZ188" s="49">
        <f t="shared" ca="1" si="155"/>
        <v>168</v>
      </c>
      <c r="BB188" s="50">
        <f t="shared" ca="1" si="13"/>
        <v>0.71747190081363488</v>
      </c>
      <c r="BC188" s="8">
        <f t="shared" si="138"/>
        <v>0.74</v>
      </c>
      <c r="BD188" s="49">
        <f t="shared" ca="1" si="156"/>
        <v>137</v>
      </c>
      <c r="BF188" s="50">
        <f t="shared" ca="1" si="14"/>
        <v>0.81635138660509909</v>
      </c>
      <c r="BG188" s="8">
        <f t="shared" si="139"/>
        <v>0.74</v>
      </c>
      <c r="BH188" s="49">
        <f t="shared" ca="1" si="157"/>
        <v>152</v>
      </c>
      <c r="BJ188" s="50">
        <f t="shared" ca="1" si="15"/>
        <v>0.73992780826994364</v>
      </c>
      <c r="BK188" s="8">
        <f t="shared" si="140"/>
        <v>0.74</v>
      </c>
      <c r="BL188" s="49">
        <f t="shared" ca="1" si="158"/>
        <v>114</v>
      </c>
      <c r="BN188" s="50">
        <f t="shared" ca="1" si="16"/>
        <v>0.44495248908036755</v>
      </c>
      <c r="BO188" s="8">
        <f t="shared" si="141"/>
        <v>0.74</v>
      </c>
      <c r="BP188" s="49">
        <f t="shared" ca="1" si="159"/>
        <v>124</v>
      </c>
      <c r="BR188" s="50">
        <f t="shared" ca="1" si="17"/>
        <v>1.0305048068218636E-2</v>
      </c>
      <c r="BS188" s="8">
        <f t="shared" si="142"/>
        <v>0.74</v>
      </c>
      <c r="BT188" s="49">
        <f t="shared" ca="1" si="160"/>
        <v>52</v>
      </c>
    </row>
    <row r="189" spans="1:72" x14ac:dyDescent="0.2">
      <c r="A189" s="22">
        <v>44736</v>
      </c>
      <c r="B189" s="50">
        <f t="shared" ca="1" si="0"/>
        <v>0.33692186214215281</v>
      </c>
      <c r="C189" s="8">
        <f t="shared" si="125"/>
        <v>0.74</v>
      </c>
      <c r="D189" s="49">
        <f t="shared" ca="1" si="143"/>
        <v>68</v>
      </c>
      <c r="F189" s="50">
        <f t="shared" ca="1" si="1"/>
        <v>0.31477866701850232</v>
      </c>
      <c r="G189" s="8">
        <f t="shared" si="126"/>
        <v>0.74</v>
      </c>
      <c r="H189" s="49">
        <f t="shared" ca="1" si="144"/>
        <v>139</v>
      </c>
      <c r="J189" s="50">
        <f t="shared" ca="1" si="2"/>
        <v>0.96746891132393353</v>
      </c>
      <c r="K189" s="8">
        <f t="shared" si="127"/>
        <v>0.74</v>
      </c>
      <c r="L189" s="49">
        <f t="shared" ca="1" si="145"/>
        <v>166</v>
      </c>
      <c r="N189" s="50">
        <f t="shared" ca="1" si="3"/>
        <v>0.68013734983539864</v>
      </c>
      <c r="O189" s="8">
        <f t="shared" si="128"/>
        <v>0.74</v>
      </c>
      <c r="P189" s="49">
        <f t="shared" ca="1" si="146"/>
        <v>191</v>
      </c>
      <c r="R189" s="50">
        <f t="shared" ca="1" si="4"/>
        <v>0.56974734934557436</v>
      </c>
      <c r="S189" s="8">
        <f t="shared" si="129"/>
        <v>0.74</v>
      </c>
      <c r="T189" s="49">
        <f t="shared" ca="1" si="147"/>
        <v>108</v>
      </c>
      <c r="V189" s="50">
        <f t="shared" ca="1" si="5"/>
        <v>0.39740527199550069</v>
      </c>
      <c r="W189" s="8">
        <f t="shared" si="130"/>
        <v>0.74</v>
      </c>
      <c r="X189" s="49">
        <f t="shared" ca="1" si="148"/>
        <v>155</v>
      </c>
      <c r="Z189" s="50">
        <f t="shared" ca="1" si="6"/>
        <v>0.19655059199938429</v>
      </c>
      <c r="AA189" s="8">
        <f t="shared" si="131"/>
        <v>0.74</v>
      </c>
      <c r="AB189" s="49">
        <f t="shared" ca="1" si="149"/>
        <v>155</v>
      </c>
      <c r="AD189" s="50">
        <f t="shared" ca="1" si="7"/>
        <v>0.29342100608648702</v>
      </c>
      <c r="AE189" s="8">
        <f t="shared" si="132"/>
        <v>0.74</v>
      </c>
      <c r="AF189" s="49">
        <f t="shared" ca="1" si="150"/>
        <v>207</v>
      </c>
      <c r="AH189" s="50">
        <f t="shared" ca="1" si="8"/>
        <v>4.2523665857569393E-2</v>
      </c>
      <c r="AI189" s="8">
        <f t="shared" si="133"/>
        <v>0.74</v>
      </c>
      <c r="AJ189" s="49">
        <f t="shared" ca="1" si="151"/>
        <v>72</v>
      </c>
      <c r="AL189" s="50">
        <f t="shared" ca="1" si="9"/>
        <v>0.48376270621335349</v>
      </c>
      <c r="AM189" s="8">
        <f t="shared" si="134"/>
        <v>0.74</v>
      </c>
      <c r="AN189" s="49">
        <f t="shared" ca="1" si="152"/>
        <v>108</v>
      </c>
      <c r="AP189" s="50">
        <f t="shared" ca="1" si="10"/>
        <v>2.8602187370787013E-2</v>
      </c>
      <c r="AQ189" s="8">
        <f t="shared" si="135"/>
        <v>0.74</v>
      </c>
      <c r="AR189" s="49">
        <f t="shared" ca="1" si="153"/>
        <v>80</v>
      </c>
      <c r="AT189" s="50">
        <f t="shared" ca="1" si="11"/>
        <v>6.9451208433781386E-2</v>
      </c>
      <c r="AU189" s="8">
        <f t="shared" si="136"/>
        <v>0.74</v>
      </c>
      <c r="AV189" s="49">
        <f t="shared" ca="1" si="154"/>
        <v>86</v>
      </c>
      <c r="AX189" s="50">
        <f t="shared" ca="1" si="12"/>
        <v>0.14555003463146587</v>
      </c>
      <c r="AY189" s="8">
        <f t="shared" si="137"/>
        <v>0.74</v>
      </c>
      <c r="AZ189" s="49">
        <f t="shared" ca="1" si="155"/>
        <v>96</v>
      </c>
      <c r="BB189" s="50">
        <f t="shared" ca="1" si="13"/>
        <v>0.91249687185334871</v>
      </c>
      <c r="BC189" s="8">
        <f t="shared" si="138"/>
        <v>0.74</v>
      </c>
      <c r="BD189" s="49">
        <f t="shared" ca="1" si="156"/>
        <v>161</v>
      </c>
      <c r="BF189" s="50">
        <f t="shared" ca="1" si="14"/>
        <v>0.19628291018811861</v>
      </c>
      <c r="BG189" s="8">
        <f t="shared" si="139"/>
        <v>0.74</v>
      </c>
      <c r="BH189" s="49">
        <f t="shared" ca="1" si="157"/>
        <v>95</v>
      </c>
      <c r="BJ189" s="50">
        <f t="shared" ca="1" si="15"/>
        <v>5.5844635110656182E-2</v>
      </c>
      <c r="BK189" s="8">
        <f t="shared" si="140"/>
        <v>0.74</v>
      </c>
      <c r="BL189" s="49">
        <f t="shared" ca="1" si="158"/>
        <v>56</v>
      </c>
      <c r="BN189" s="50">
        <f t="shared" ca="1" si="16"/>
        <v>0.86317825894991984</v>
      </c>
      <c r="BO189" s="8">
        <f t="shared" si="141"/>
        <v>0.74</v>
      </c>
      <c r="BP189" s="49">
        <f t="shared" ca="1" si="159"/>
        <v>166</v>
      </c>
      <c r="BR189" s="50">
        <f t="shared" ca="1" si="17"/>
        <v>0.95326170798518506</v>
      </c>
      <c r="BS189" s="8">
        <f t="shared" si="142"/>
        <v>0.74</v>
      </c>
      <c r="BT189" s="49">
        <f t="shared" ca="1" si="160"/>
        <v>197</v>
      </c>
    </row>
    <row r="190" spans="1:72" x14ac:dyDescent="0.2">
      <c r="A190" s="22">
        <v>44737</v>
      </c>
      <c r="B190" s="50">
        <f t="shared" ca="1" si="0"/>
        <v>0.35558497773024555</v>
      </c>
      <c r="C190" s="8">
        <f t="shared" si="125"/>
        <v>0.74</v>
      </c>
      <c r="D190" s="49">
        <f t="shared" ca="1" si="143"/>
        <v>69</v>
      </c>
      <c r="F190" s="50">
        <f t="shared" ca="1" si="1"/>
        <v>9.4397045918339861E-2</v>
      </c>
      <c r="G190" s="8">
        <f t="shared" si="126"/>
        <v>0.74</v>
      </c>
      <c r="H190" s="49">
        <f t="shared" ca="1" si="144"/>
        <v>104</v>
      </c>
      <c r="J190" s="50">
        <f t="shared" ca="1" si="2"/>
        <v>0.44296905340135695</v>
      </c>
      <c r="K190" s="8">
        <f t="shared" si="127"/>
        <v>0.74</v>
      </c>
      <c r="L190" s="49">
        <f t="shared" ca="1" si="145"/>
        <v>107</v>
      </c>
      <c r="N190" s="50">
        <f t="shared" ca="1" si="3"/>
        <v>0.18557772476251633</v>
      </c>
      <c r="O190" s="8">
        <f t="shared" si="128"/>
        <v>0.74</v>
      </c>
      <c r="P190" s="49">
        <f t="shared" ca="1" si="146"/>
        <v>130</v>
      </c>
      <c r="R190" s="50">
        <f t="shared" ca="1" si="4"/>
        <v>0.23996060298742594</v>
      </c>
      <c r="S190" s="8">
        <f t="shared" si="129"/>
        <v>0.74</v>
      </c>
      <c r="T190" s="49">
        <f t="shared" ca="1" si="147"/>
        <v>84</v>
      </c>
      <c r="V190" s="50">
        <f t="shared" ca="1" si="5"/>
        <v>0.95310266398091725</v>
      </c>
      <c r="W190" s="8">
        <f t="shared" si="130"/>
        <v>0.74</v>
      </c>
      <c r="X190" s="49">
        <f t="shared" ca="1" si="148"/>
        <v>241</v>
      </c>
      <c r="Z190" s="50">
        <f t="shared" ca="1" si="6"/>
        <v>0.83514818685690784</v>
      </c>
      <c r="AA190" s="8">
        <f t="shared" si="131"/>
        <v>0.74</v>
      </c>
      <c r="AB190" s="49">
        <f t="shared" ca="1" si="149"/>
        <v>252</v>
      </c>
      <c r="AD190" s="50">
        <f t="shared" ca="1" si="7"/>
        <v>0.44693411636305136</v>
      </c>
      <c r="AE190" s="8">
        <f t="shared" si="132"/>
        <v>0.74</v>
      </c>
      <c r="AF190" s="49">
        <f t="shared" ca="1" si="150"/>
        <v>234</v>
      </c>
      <c r="AH190" s="50">
        <f t="shared" ca="1" si="8"/>
        <v>1.3436466607239295E-2</v>
      </c>
      <c r="AI190" s="8">
        <f t="shared" si="133"/>
        <v>0.74</v>
      </c>
      <c r="AJ190" s="49">
        <f t="shared" ca="1" si="151"/>
        <v>55</v>
      </c>
      <c r="AL190" s="50">
        <f t="shared" ca="1" si="9"/>
        <v>0.34904476046571864</v>
      </c>
      <c r="AM190" s="8">
        <f t="shared" si="134"/>
        <v>0.74</v>
      </c>
      <c r="AN190" s="49">
        <f t="shared" ca="1" si="152"/>
        <v>98</v>
      </c>
      <c r="AP190" s="50">
        <f t="shared" ca="1" si="10"/>
        <v>0.93449318753374022</v>
      </c>
      <c r="AQ190" s="8">
        <f t="shared" si="135"/>
        <v>0.74</v>
      </c>
      <c r="AR190" s="49">
        <f t="shared" ca="1" si="153"/>
        <v>225</v>
      </c>
      <c r="AT190" s="50">
        <f t="shared" ca="1" si="11"/>
        <v>0.31417138227353725</v>
      </c>
      <c r="AU190" s="8">
        <f t="shared" si="136"/>
        <v>0.74</v>
      </c>
      <c r="AV190" s="49">
        <f t="shared" ca="1" si="154"/>
        <v>124</v>
      </c>
      <c r="AX190" s="50">
        <f t="shared" ca="1" si="12"/>
        <v>0.12945193886605</v>
      </c>
      <c r="AY190" s="8">
        <f t="shared" si="137"/>
        <v>0.74</v>
      </c>
      <c r="AZ190" s="49">
        <f t="shared" ca="1" si="155"/>
        <v>94</v>
      </c>
      <c r="BB190" s="50">
        <f t="shared" ca="1" si="13"/>
        <v>0.20338986919462687</v>
      </c>
      <c r="BC190" s="8">
        <f t="shared" si="138"/>
        <v>0.74</v>
      </c>
      <c r="BD190" s="49">
        <f t="shared" ca="1" si="156"/>
        <v>92</v>
      </c>
      <c r="BF190" s="50">
        <f t="shared" ca="1" si="14"/>
        <v>0.62613977969944989</v>
      </c>
      <c r="BG190" s="8">
        <f t="shared" si="139"/>
        <v>0.74</v>
      </c>
      <c r="BH190" s="49">
        <f t="shared" ca="1" si="157"/>
        <v>133</v>
      </c>
      <c r="BJ190" s="50">
        <f t="shared" ca="1" si="15"/>
        <v>0.57027706641959497</v>
      </c>
      <c r="BK190" s="8">
        <f t="shared" si="140"/>
        <v>0.74</v>
      </c>
      <c r="BL190" s="49">
        <f t="shared" ca="1" si="158"/>
        <v>102</v>
      </c>
      <c r="BN190" s="50">
        <f t="shared" ca="1" si="16"/>
        <v>5.529805578628344E-2</v>
      </c>
      <c r="BO190" s="8">
        <f t="shared" si="141"/>
        <v>0.74</v>
      </c>
      <c r="BP190" s="49">
        <f t="shared" ca="1" si="159"/>
        <v>74</v>
      </c>
      <c r="BR190" s="50">
        <f t="shared" ca="1" si="17"/>
        <v>0.69532977242020388</v>
      </c>
      <c r="BS190" s="8">
        <f t="shared" si="142"/>
        <v>0.74</v>
      </c>
      <c r="BT190" s="49">
        <f t="shared" ca="1" si="160"/>
        <v>155</v>
      </c>
    </row>
    <row r="191" spans="1:72" x14ac:dyDescent="0.2">
      <c r="A191" s="22">
        <v>44738</v>
      </c>
      <c r="B191" s="50">
        <f t="shared" ca="1" si="0"/>
        <v>0.34164021612556417</v>
      </c>
      <c r="C191" s="8">
        <f t="shared" si="125"/>
        <v>0.74</v>
      </c>
      <c r="D191" s="49">
        <f t="shared" ca="1" si="143"/>
        <v>68</v>
      </c>
      <c r="F191" s="50">
        <f t="shared" ca="1" si="1"/>
        <v>0.10851129942828119</v>
      </c>
      <c r="G191" s="8">
        <f t="shared" si="126"/>
        <v>0.74</v>
      </c>
      <c r="H191" s="49">
        <f t="shared" ca="1" si="144"/>
        <v>107</v>
      </c>
      <c r="J191" s="50">
        <f t="shared" ca="1" si="2"/>
        <v>0.70222307241681814</v>
      </c>
      <c r="K191" s="8">
        <f t="shared" si="127"/>
        <v>0.74</v>
      </c>
      <c r="L191" s="49">
        <f t="shared" ca="1" si="145"/>
        <v>127</v>
      </c>
      <c r="N191" s="50">
        <f t="shared" ca="1" si="3"/>
        <v>0.88551541347082507</v>
      </c>
      <c r="O191" s="8">
        <f t="shared" si="128"/>
        <v>0.74</v>
      </c>
      <c r="P191" s="49">
        <f t="shared" ca="1" si="146"/>
        <v>225</v>
      </c>
      <c r="R191" s="50">
        <f t="shared" ca="1" si="4"/>
        <v>0.4657936502405946</v>
      </c>
      <c r="S191" s="8">
        <f t="shared" si="129"/>
        <v>0.74</v>
      </c>
      <c r="T191" s="49">
        <f t="shared" ca="1" si="147"/>
        <v>101</v>
      </c>
      <c r="V191" s="50">
        <f t="shared" ca="1" si="5"/>
        <v>0.84774137662374704</v>
      </c>
      <c r="W191" s="8">
        <f t="shared" si="130"/>
        <v>0.74</v>
      </c>
      <c r="X191" s="49">
        <f t="shared" ca="1" si="148"/>
        <v>213</v>
      </c>
      <c r="Z191" s="50">
        <f t="shared" ca="1" si="6"/>
        <v>0.21124917676780075</v>
      </c>
      <c r="AA191" s="8">
        <f t="shared" si="131"/>
        <v>0.74</v>
      </c>
      <c r="AB191" s="49">
        <f t="shared" ca="1" si="149"/>
        <v>158</v>
      </c>
      <c r="AD191" s="50">
        <f t="shared" ca="1" si="7"/>
        <v>0.9014353614173588</v>
      </c>
      <c r="AE191" s="8">
        <f t="shared" si="132"/>
        <v>0.74</v>
      </c>
      <c r="AF191" s="49">
        <f t="shared" ca="1" si="150"/>
        <v>326</v>
      </c>
      <c r="AH191" s="50">
        <f t="shared" ca="1" si="8"/>
        <v>0.68539897680646023</v>
      </c>
      <c r="AI191" s="8">
        <f t="shared" si="133"/>
        <v>0.74</v>
      </c>
      <c r="AJ191" s="49">
        <f t="shared" ca="1" si="151"/>
        <v>151</v>
      </c>
      <c r="AL191" s="50">
        <f t="shared" ca="1" si="9"/>
        <v>0.29277686449973839</v>
      </c>
      <c r="AM191" s="8">
        <f t="shared" si="134"/>
        <v>0.74</v>
      </c>
      <c r="AN191" s="49">
        <f t="shared" ca="1" si="152"/>
        <v>94</v>
      </c>
      <c r="AP191" s="50">
        <f t="shared" ca="1" si="10"/>
        <v>0.72330132161353511</v>
      </c>
      <c r="AQ191" s="8">
        <f t="shared" si="135"/>
        <v>0.74</v>
      </c>
      <c r="AR191" s="49">
        <f t="shared" ca="1" si="153"/>
        <v>186</v>
      </c>
      <c r="AT191" s="50">
        <f t="shared" ca="1" si="11"/>
        <v>0.75178759547759377</v>
      </c>
      <c r="AU191" s="8">
        <f t="shared" si="136"/>
        <v>0.74</v>
      </c>
      <c r="AV191" s="49">
        <f t="shared" ca="1" si="154"/>
        <v>168</v>
      </c>
      <c r="AX191" s="50">
        <f t="shared" ca="1" si="12"/>
        <v>0.30036429969904332</v>
      </c>
      <c r="AY191" s="8">
        <f t="shared" si="137"/>
        <v>0.74</v>
      </c>
      <c r="AZ191" s="49">
        <f t="shared" ca="1" si="155"/>
        <v>115</v>
      </c>
      <c r="BB191" s="50">
        <f t="shared" ca="1" si="13"/>
        <v>0.30491190326832363</v>
      </c>
      <c r="BC191" s="8">
        <f t="shared" si="138"/>
        <v>0.74</v>
      </c>
      <c r="BD191" s="49">
        <f t="shared" ca="1" si="156"/>
        <v>103</v>
      </c>
      <c r="BF191" s="50">
        <f t="shared" ca="1" si="14"/>
        <v>0.77456716507014467</v>
      </c>
      <c r="BG191" s="8">
        <f t="shared" si="139"/>
        <v>0.74</v>
      </c>
      <c r="BH191" s="49">
        <f t="shared" ca="1" si="157"/>
        <v>147</v>
      </c>
      <c r="BJ191" s="50">
        <f t="shared" ca="1" si="15"/>
        <v>0.96101947477271699</v>
      </c>
      <c r="BK191" s="8">
        <f t="shared" si="140"/>
        <v>0.74</v>
      </c>
      <c r="BL191" s="49">
        <f t="shared" ca="1" si="158"/>
        <v>143</v>
      </c>
      <c r="BN191" s="50">
        <f t="shared" ca="1" si="16"/>
        <v>0.27249585583919778</v>
      </c>
      <c r="BO191" s="8">
        <f t="shared" si="141"/>
        <v>0.74</v>
      </c>
      <c r="BP191" s="49">
        <f t="shared" ca="1" si="159"/>
        <v>108</v>
      </c>
      <c r="BR191" s="50">
        <f t="shared" ca="1" si="17"/>
        <v>0.58430806522182355</v>
      </c>
      <c r="BS191" s="8">
        <f t="shared" si="142"/>
        <v>0.74</v>
      </c>
      <c r="BT191" s="49">
        <f t="shared" ca="1" si="160"/>
        <v>144</v>
      </c>
    </row>
    <row r="192" spans="1:72" x14ac:dyDescent="0.2">
      <c r="A192" s="22">
        <v>44739</v>
      </c>
      <c r="B192" s="50">
        <f t="shared" ca="1" si="0"/>
        <v>0.44216733499819061</v>
      </c>
      <c r="C192" s="8">
        <f t="shared" si="125"/>
        <v>0.74</v>
      </c>
      <c r="D192" s="49">
        <f t="shared" ca="1" si="143"/>
        <v>72</v>
      </c>
      <c r="F192" s="50">
        <f t="shared" ca="1" si="1"/>
        <v>0.30696377967007293</v>
      </c>
      <c r="G192" s="8">
        <f t="shared" si="126"/>
        <v>0.74</v>
      </c>
      <c r="H192" s="49">
        <f t="shared" ca="1" si="144"/>
        <v>138</v>
      </c>
      <c r="J192" s="50">
        <f t="shared" ca="1" si="2"/>
        <v>0.50914751871859665</v>
      </c>
      <c r="K192" s="8">
        <f t="shared" si="127"/>
        <v>0.74</v>
      </c>
      <c r="L192" s="49">
        <f t="shared" ca="1" si="145"/>
        <v>112</v>
      </c>
      <c r="N192" s="50">
        <f t="shared" ca="1" si="3"/>
        <v>0.37513359857204009</v>
      </c>
      <c r="O192" s="8">
        <f t="shared" si="128"/>
        <v>0.74</v>
      </c>
      <c r="P192" s="49">
        <f t="shared" ca="1" si="146"/>
        <v>156</v>
      </c>
      <c r="R192" s="50">
        <f t="shared" ca="1" si="4"/>
        <v>0.11506453614661261</v>
      </c>
      <c r="S192" s="8">
        <f t="shared" si="129"/>
        <v>0.74</v>
      </c>
      <c r="T192" s="49">
        <f t="shared" ca="1" si="147"/>
        <v>70</v>
      </c>
      <c r="V192" s="50">
        <f t="shared" ca="1" si="5"/>
        <v>0.66014503409535585</v>
      </c>
      <c r="W192" s="8">
        <f t="shared" si="130"/>
        <v>0.74</v>
      </c>
      <c r="X192" s="49">
        <f t="shared" ca="1" si="148"/>
        <v>185</v>
      </c>
      <c r="Z192" s="50">
        <f t="shared" ca="1" si="6"/>
        <v>0.98837041379568713</v>
      </c>
      <c r="AA192" s="8">
        <f t="shared" si="131"/>
        <v>0.74</v>
      </c>
      <c r="AB192" s="49">
        <f t="shared" ca="1" si="149"/>
        <v>321</v>
      </c>
      <c r="AD192" s="50">
        <f t="shared" ca="1" si="7"/>
        <v>0.24268929277865781</v>
      </c>
      <c r="AE192" s="8">
        <f t="shared" si="132"/>
        <v>0.74</v>
      </c>
      <c r="AF192" s="49">
        <f t="shared" ca="1" si="150"/>
        <v>197</v>
      </c>
      <c r="AH192" s="50">
        <f t="shared" ca="1" si="8"/>
        <v>0.45253726554349571</v>
      </c>
      <c r="AI192" s="8">
        <f t="shared" si="133"/>
        <v>0.74</v>
      </c>
      <c r="AJ192" s="49">
        <f t="shared" ca="1" si="151"/>
        <v>129</v>
      </c>
      <c r="AL192" s="50">
        <f t="shared" ca="1" si="9"/>
        <v>0.1325740970622824</v>
      </c>
      <c r="AM192" s="8">
        <f t="shared" si="134"/>
        <v>0.74</v>
      </c>
      <c r="AN192" s="49">
        <f t="shared" ca="1" si="152"/>
        <v>77</v>
      </c>
      <c r="AP192" s="50">
        <f t="shared" ca="1" si="10"/>
        <v>0.57535409425634632</v>
      </c>
      <c r="AQ192" s="8">
        <f t="shared" si="135"/>
        <v>0.74</v>
      </c>
      <c r="AR192" s="49">
        <f t="shared" ca="1" si="153"/>
        <v>169</v>
      </c>
      <c r="AT192" s="50">
        <f t="shared" ca="1" si="11"/>
        <v>0.89354276825430734</v>
      </c>
      <c r="AU192" s="8">
        <f t="shared" si="136"/>
        <v>0.74</v>
      </c>
      <c r="AV192" s="49">
        <f t="shared" ca="1" si="154"/>
        <v>189</v>
      </c>
      <c r="AX192" s="50">
        <f t="shared" ca="1" si="12"/>
        <v>0.3641113945632779</v>
      </c>
      <c r="AY192" s="8">
        <f t="shared" si="137"/>
        <v>0.74</v>
      </c>
      <c r="AZ192" s="49">
        <f t="shared" ca="1" si="155"/>
        <v>121</v>
      </c>
      <c r="BB192" s="50">
        <f t="shared" ca="1" si="13"/>
        <v>0.86086370516808675</v>
      </c>
      <c r="BC192" s="8">
        <f t="shared" si="138"/>
        <v>0.74</v>
      </c>
      <c r="BD192" s="49">
        <f t="shared" ca="1" si="156"/>
        <v>153</v>
      </c>
      <c r="BF192" s="50">
        <f t="shared" ca="1" si="14"/>
        <v>3.9226603154953188E-2</v>
      </c>
      <c r="BG192" s="8">
        <f t="shared" si="139"/>
        <v>0.74</v>
      </c>
      <c r="BH192" s="49">
        <f t="shared" ca="1" si="157"/>
        <v>65</v>
      </c>
      <c r="BJ192" s="50">
        <f t="shared" ca="1" si="15"/>
        <v>0.83959609707171634</v>
      </c>
      <c r="BK192" s="8">
        <f t="shared" si="140"/>
        <v>0.74</v>
      </c>
      <c r="BL192" s="49">
        <f t="shared" ca="1" si="158"/>
        <v>123</v>
      </c>
      <c r="BN192" s="50">
        <f t="shared" ca="1" si="16"/>
        <v>0.59013661298831988</v>
      </c>
      <c r="BO192" s="8">
        <f t="shared" si="141"/>
        <v>0.74</v>
      </c>
      <c r="BP192" s="49">
        <f t="shared" ca="1" si="159"/>
        <v>137</v>
      </c>
      <c r="BR192" s="50">
        <f t="shared" ca="1" si="17"/>
        <v>0.59262535813405259</v>
      </c>
      <c r="BS192" s="8">
        <f t="shared" si="142"/>
        <v>0.74</v>
      </c>
      <c r="BT192" s="49">
        <f t="shared" ca="1" si="160"/>
        <v>145</v>
      </c>
    </row>
    <row r="193" spans="1:72" x14ac:dyDescent="0.2">
      <c r="A193" s="22">
        <v>44740</v>
      </c>
      <c r="B193" s="50">
        <f t="shared" ca="1" si="0"/>
        <v>0.66886296464039763</v>
      </c>
      <c r="C193" s="8">
        <f t="shared" si="125"/>
        <v>0.74</v>
      </c>
      <c r="D193" s="49">
        <f t="shared" ca="1" si="143"/>
        <v>81</v>
      </c>
      <c r="F193" s="50">
        <f t="shared" ca="1" si="1"/>
        <v>0.27748060554222687</v>
      </c>
      <c r="G193" s="8">
        <f t="shared" si="126"/>
        <v>0.74</v>
      </c>
      <c r="H193" s="49">
        <f t="shared" ca="1" si="144"/>
        <v>135</v>
      </c>
      <c r="J193" s="50">
        <f t="shared" ca="1" si="2"/>
        <v>0.92271458978458532</v>
      </c>
      <c r="K193" s="8">
        <f t="shared" si="127"/>
        <v>0.74</v>
      </c>
      <c r="L193" s="49">
        <f t="shared" ca="1" si="145"/>
        <v>154</v>
      </c>
      <c r="N193" s="50">
        <f t="shared" ca="1" si="3"/>
        <v>0.60144321923649513</v>
      </c>
      <c r="O193" s="8">
        <f t="shared" si="128"/>
        <v>0.74</v>
      </c>
      <c r="P193" s="49">
        <f t="shared" ca="1" si="146"/>
        <v>182</v>
      </c>
      <c r="R193" s="50">
        <f t="shared" ca="1" si="4"/>
        <v>0.58100237760283036</v>
      </c>
      <c r="S193" s="8">
        <f t="shared" si="129"/>
        <v>0.74</v>
      </c>
      <c r="T193" s="49">
        <f t="shared" ca="1" si="147"/>
        <v>109</v>
      </c>
      <c r="V193" s="50">
        <f t="shared" ca="1" si="5"/>
        <v>0.56876383067788205</v>
      </c>
      <c r="W193" s="8">
        <f t="shared" si="130"/>
        <v>0.74</v>
      </c>
      <c r="X193" s="49">
        <f t="shared" ca="1" si="148"/>
        <v>175</v>
      </c>
      <c r="Z193" s="50">
        <f t="shared" ca="1" si="6"/>
        <v>0.20403228968106624</v>
      </c>
      <c r="AA193" s="8">
        <f t="shared" si="131"/>
        <v>0.74</v>
      </c>
      <c r="AB193" s="49">
        <f t="shared" ca="1" si="149"/>
        <v>156</v>
      </c>
      <c r="AD193" s="50">
        <f t="shared" ca="1" si="7"/>
        <v>0.58175477579560664</v>
      </c>
      <c r="AE193" s="8">
        <f t="shared" si="132"/>
        <v>0.74</v>
      </c>
      <c r="AF193" s="49">
        <f t="shared" ca="1" si="150"/>
        <v>256</v>
      </c>
      <c r="AH193" s="50">
        <f t="shared" ca="1" si="8"/>
        <v>0.81260798950783897</v>
      </c>
      <c r="AI193" s="8">
        <f t="shared" si="133"/>
        <v>0.74</v>
      </c>
      <c r="AJ193" s="49">
        <f t="shared" ca="1" si="151"/>
        <v>165</v>
      </c>
      <c r="AL193" s="50">
        <f t="shared" ca="1" si="9"/>
        <v>0.94709859704676025</v>
      </c>
      <c r="AM193" s="8">
        <f t="shared" si="134"/>
        <v>0.74</v>
      </c>
      <c r="AN193" s="49">
        <f t="shared" ca="1" si="152"/>
        <v>156</v>
      </c>
      <c r="AP193" s="50">
        <f t="shared" ca="1" si="10"/>
        <v>0.20316158048029564</v>
      </c>
      <c r="AQ193" s="8">
        <f t="shared" si="135"/>
        <v>0.74</v>
      </c>
      <c r="AR193" s="49">
        <f t="shared" ca="1" si="153"/>
        <v>125</v>
      </c>
      <c r="AT193" s="50">
        <f t="shared" ca="1" si="11"/>
        <v>0.98070892745874094</v>
      </c>
      <c r="AU193" s="8">
        <f t="shared" si="136"/>
        <v>0.74</v>
      </c>
      <c r="AV193" s="49">
        <f t="shared" ca="1" si="154"/>
        <v>221</v>
      </c>
      <c r="AX193" s="50">
        <f t="shared" ca="1" si="12"/>
        <v>2.578457361019193E-2</v>
      </c>
      <c r="AY193" s="8">
        <f t="shared" si="137"/>
        <v>0.74</v>
      </c>
      <c r="AZ193" s="49">
        <f t="shared" ca="1" si="155"/>
        <v>64</v>
      </c>
      <c r="BB193" s="50">
        <f t="shared" ca="1" si="13"/>
        <v>0.35655341832501608</v>
      </c>
      <c r="BC193" s="8">
        <f t="shared" si="138"/>
        <v>0.74</v>
      </c>
      <c r="BD193" s="49">
        <f t="shared" ca="1" si="156"/>
        <v>107</v>
      </c>
      <c r="BF193" s="50">
        <f t="shared" ca="1" si="14"/>
        <v>0.95234406933322047</v>
      </c>
      <c r="BG193" s="8">
        <f t="shared" si="139"/>
        <v>0.74</v>
      </c>
      <c r="BH193" s="49">
        <f t="shared" ca="1" si="157"/>
        <v>176</v>
      </c>
      <c r="BJ193" s="50">
        <f t="shared" ca="1" si="15"/>
        <v>0.8905231156461858</v>
      </c>
      <c r="BK193" s="8">
        <f t="shared" si="140"/>
        <v>0.74</v>
      </c>
      <c r="BL193" s="49">
        <f t="shared" ca="1" si="158"/>
        <v>129</v>
      </c>
      <c r="BN193" s="50">
        <f t="shared" ca="1" si="16"/>
        <v>0.85260469350323298</v>
      </c>
      <c r="BO193" s="8">
        <f t="shared" si="141"/>
        <v>0.74</v>
      </c>
      <c r="BP193" s="49">
        <f t="shared" ca="1" si="159"/>
        <v>165</v>
      </c>
      <c r="BR193" s="50">
        <f t="shared" ca="1" si="17"/>
        <v>4.9140698645200986E-2</v>
      </c>
      <c r="BS193" s="8">
        <f t="shared" si="142"/>
        <v>0.74</v>
      </c>
      <c r="BT193" s="49">
        <f t="shared" ca="1" si="160"/>
        <v>76</v>
      </c>
    </row>
    <row r="194" spans="1:72" x14ac:dyDescent="0.2">
      <c r="A194" s="22">
        <v>44741</v>
      </c>
      <c r="B194" s="50">
        <f t="shared" ca="1" si="0"/>
        <v>2.0673701825248858E-2</v>
      </c>
      <c r="C194" s="8">
        <f t="shared" si="125"/>
        <v>0.74</v>
      </c>
      <c r="D194" s="49">
        <f t="shared" ca="1" si="143"/>
        <v>44</v>
      </c>
      <c r="F194" s="50">
        <f t="shared" ca="1" si="1"/>
        <v>0.79393554327736082</v>
      </c>
      <c r="G194" s="8">
        <f t="shared" si="126"/>
        <v>0.74</v>
      </c>
      <c r="H194" s="49">
        <f t="shared" ca="1" si="144"/>
        <v>195</v>
      </c>
      <c r="J194" s="50">
        <f t="shared" ca="1" si="2"/>
        <v>0.15240888055092949</v>
      </c>
      <c r="K194" s="8">
        <f t="shared" si="127"/>
        <v>0.74</v>
      </c>
      <c r="L194" s="49">
        <f t="shared" ca="1" si="145"/>
        <v>81</v>
      </c>
      <c r="N194" s="50">
        <f t="shared" ca="1" si="3"/>
        <v>0.13063034685277886</v>
      </c>
      <c r="O194" s="8">
        <f t="shared" si="128"/>
        <v>0.74</v>
      </c>
      <c r="P194" s="49">
        <f t="shared" ca="1" si="146"/>
        <v>119</v>
      </c>
      <c r="R194" s="50">
        <f t="shared" ca="1" si="4"/>
        <v>0.30665503412906003</v>
      </c>
      <c r="S194" s="8">
        <f t="shared" si="129"/>
        <v>0.74</v>
      </c>
      <c r="T194" s="49">
        <f t="shared" ca="1" si="147"/>
        <v>89</v>
      </c>
      <c r="V194" s="50">
        <f t="shared" ca="1" si="5"/>
        <v>0.83450937314949758</v>
      </c>
      <c r="W194" s="8">
        <f t="shared" si="130"/>
        <v>0.74</v>
      </c>
      <c r="X194" s="49">
        <f t="shared" ca="1" si="148"/>
        <v>210</v>
      </c>
      <c r="Z194" s="50">
        <f t="shared" ca="1" si="6"/>
        <v>3.9128234286385566E-2</v>
      </c>
      <c r="AA194" s="8">
        <f t="shared" si="131"/>
        <v>0.74</v>
      </c>
      <c r="AB194" s="49">
        <f t="shared" ca="1" si="149"/>
        <v>106</v>
      </c>
      <c r="AD194" s="50">
        <f t="shared" ca="1" si="7"/>
        <v>0.37247346838690976</v>
      </c>
      <c r="AE194" s="8">
        <f t="shared" si="132"/>
        <v>0.74</v>
      </c>
      <c r="AF194" s="49">
        <f t="shared" ca="1" si="150"/>
        <v>221</v>
      </c>
      <c r="AH194" s="50">
        <f t="shared" ca="1" si="8"/>
        <v>0.64013613964615845</v>
      </c>
      <c r="AI194" s="8">
        <f t="shared" si="133"/>
        <v>0.74</v>
      </c>
      <c r="AJ194" s="49">
        <f t="shared" ca="1" si="151"/>
        <v>146</v>
      </c>
      <c r="AL194" s="50">
        <f t="shared" ca="1" si="9"/>
        <v>0.87524627011021805</v>
      </c>
      <c r="AM194" s="8">
        <f t="shared" si="134"/>
        <v>0.74</v>
      </c>
      <c r="AN194" s="49">
        <f t="shared" ca="1" si="152"/>
        <v>143</v>
      </c>
      <c r="AP194" s="50">
        <f t="shared" ca="1" si="10"/>
        <v>0.46637665298106734</v>
      </c>
      <c r="AQ194" s="8">
        <f t="shared" si="135"/>
        <v>0.74</v>
      </c>
      <c r="AR194" s="49">
        <f t="shared" ca="1" si="153"/>
        <v>157</v>
      </c>
      <c r="AT194" s="50">
        <f t="shared" ca="1" si="11"/>
        <v>0.97045436291221909</v>
      </c>
      <c r="AU194" s="8">
        <f t="shared" si="136"/>
        <v>0.74</v>
      </c>
      <c r="AV194" s="49">
        <f t="shared" ca="1" si="154"/>
        <v>214</v>
      </c>
      <c r="AX194" s="50">
        <f t="shared" ca="1" si="12"/>
        <v>0.72895856570725603</v>
      </c>
      <c r="AY194" s="8">
        <f t="shared" si="137"/>
        <v>0.74</v>
      </c>
      <c r="AZ194" s="49">
        <f t="shared" ca="1" si="155"/>
        <v>155</v>
      </c>
      <c r="BB194" s="50">
        <f t="shared" ca="1" si="13"/>
        <v>0.5495031663151978</v>
      </c>
      <c r="BC194" s="8">
        <f t="shared" si="138"/>
        <v>0.74</v>
      </c>
      <c r="BD194" s="49">
        <f t="shared" ca="1" si="156"/>
        <v>123</v>
      </c>
      <c r="BF194" s="50">
        <f t="shared" ca="1" si="14"/>
        <v>0.45864415018253435</v>
      </c>
      <c r="BG194" s="8">
        <f t="shared" si="139"/>
        <v>0.74</v>
      </c>
      <c r="BH194" s="49">
        <f t="shared" ca="1" si="157"/>
        <v>119</v>
      </c>
      <c r="BJ194" s="50">
        <f t="shared" ca="1" si="15"/>
        <v>0.53962333663434869</v>
      </c>
      <c r="BK194" s="8">
        <f t="shared" si="140"/>
        <v>0.74</v>
      </c>
      <c r="BL194" s="49">
        <f t="shared" ca="1" si="158"/>
        <v>100</v>
      </c>
      <c r="BN194" s="50">
        <f t="shared" ca="1" si="16"/>
        <v>0.7195243318342035</v>
      </c>
      <c r="BO194" s="8">
        <f t="shared" si="141"/>
        <v>0.74</v>
      </c>
      <c r="BP194" s="49">
        <f t="shared" ca="1" si="159"/>
        <v>149</v>
      </c>
      <c r="BR194" s="50">
        <f t="shared" ca="1" si="17"/>
        <v>0.53962720591023983</v>
      </c>
      <c r="BS194" s="8">
        <f t="shared" si="142"/>
        <v>0.74</v>
      </c>
      <c r="BT194" s="49">
        <f t="shared" ca="1" si="160"/>
        <v>140</v>
      </c>
    </row>
    <row r="195" spans="1:72" x14ac:dyDescent="0.2">
      <c r="A195" s="22">
        <v>44742</v>
      </c>
      <c r="B195" s="50">
        <f t="shared" ca="1" si="0"/>
        <v>0.1484624036883142</v>
      </c>
      <c r="C195" s="8">
        <f t="shared" si="125"/>
        <v>0.74</v>
      </c>
      <c r="D195" s="49">
        <f t="shared" ca="1" si="143"/>
        <v>59</v>
      </c>
      <c r="F195" s="50">
        <f t="shared" ca="1" si="1"/>
        <v>0.21912699589190698</v>
      </c>
      <c r="G195" s="8">
        <f t="shared" si="126"/>
        <v>0.74</v>
      </c>
      <c r="H195" s="49">
        <f t="shared" ca="1" si="144"/>
        <v>127</v>
      </c>
      <c r="J195" s="50">
        <f t="shared" ca="1" si="2"/>
        <v>0.61975219345221089</v>
      </c>
      <c r="K195" s="8">
        <f t="shared" si="127"/>
        <v>0.74</v>
      </c>
      <c r="L195" s="49">
        <f t="shared" ca="1" si="145"/>
        <v>121</v>
      </c>
      <c r="N195" s="50">
        <f t="shared" ca="1" si="3"/>
        <v>0.47037740471189582</v>
      </c>
      <c r="O195" s="8">
        <f t="shared" si="128"/>
        <v>0.74</v>
      </c>
      <c r="P195" s="49">
        <f t="shared" ca="1" si="146"/>
        <v>167</v>
      </c>
      <c r="R195" s="50">
        <f t="shared" ca="1" si="4"/>
        <v>0.74374965775686652</v>
      </c>
      <c r="S195" s="8">
        <f t="shared" si="129"/>
        <v>0.74</v>
      </c>
      <c r="T195" s="49">
        <f t="shared" ca="1" si="147"/>
        <v>121</v>
      </c>
      <c r="V195" s="50">
        <f t="shared" ca="1" si="5"/>
        <v>0.83852644386974851</v>
      </c>
      <c r="W195" s="8">
        <f t="shared" si="130"/>
        <v>0.74</v>
      </c>
      <c r="X195" s="49">
        <f t="shared" ca="1" si="148"/>
        <v>211</v>
      </c>
      <c r="Z195" s="50">
        <f t="shared" ca="1" si="6"/>
        <v>0.92921578866359367</v>
      </c>
      <c r="AA195" s="8">
        <f t="shared" si="131"/>
        <v>0.74</v>
      </c>
      <c r="AB195" s="49">
        <f t="shared" ca="1" si="149"/>
        <v>279</v>
      </c>
      <c r="AD195" s="50">
        <f t="shared" ca="1" si="7"/>
        <v>0.37221788425127234</v>
      </c>
      <c r="AE195" s="8">
        <f t="shared" si="132"/>
        <v>0.74</v>
      </c>
      <c r="AF195" s="49">
        <f t="shared" ca="1" si="150"/>
        <v>221</v>
      </c>
      <c r="AH195" s="50">
        <f t="shared" ca="1" si="8"/>
        <v>0.86590418396625601</v>
      </c>
      <c r="AI195" s="8">
        <f t="shared" si="133"/>
        <v>0.74</v>
      </c>
      <c r="AJ195" s="49">
        <f t="shared" ca="1" si="151"/>
        <v>173</v>
      </c>
      <c r="AL195" s="50">
        <f t="shared" ca="1" si="9"/>
        <v>0.49604053286308047</v>
      </c>
      <c r="AM195" s="8">
        <f t="shared" si="134"/>
        <v>0.74</v>
      </c>
      <c r="AN195" s="49">
        <f t="shared" ca="1" si="152"/>
        <v>109</v>
      </c>
      <c r="AP195" s="50">
        <f t="shared" ca="1" si="10"/>
        <v>0.62712929871460821</v>
      </c>
      <c r="AQ195" s="8">
        <f t="shared" si="135"/>
        <v>0.74</v>
      </c>
      <c r="AR195" s="49">
        <f t="shared" ca="1" si="153"/>
        <v>175</v>
      </c>
      <c r="AT195" s="50">
        <f t="shared" ca="1" si="11"/>
        <v>0.98338085530671704</v>
      </c>
      <c r="AU195" s="8">
        <f t="shared" si="136"/>
        <v>0.74</v>
      </c>
      <c r="AV195" s="49">
        <f t="shared" ca="1" si="154"/>
        <v>223</v>
      </c>
      <c r="AX195" s="50">
        <f t="shared" ca="1" si="12"/>
        <v>0.83847337968209923</v>
      </c>
      <c r="AY195" s="8">
        <f t="shared" si="137"/>
        <v>0.74</v>
      </c>
      <c r="AZ195" s="49">
        <f t="shared" ca="1" si="155"/>
        <v>169</v>
      </c>
      <c r="BB195" s="50">
        <f t="shared" ca="1" si="13"/>
        <v>0.78754563552863543</v>
      </c>
      <c r="BC195" s="8">
        <f t="shared" si="138"/>
        <v>0.74</v>
      </c>
      <c r="BD195" s="49">
        <f t="shared" ca="1" si="156"/>
        <v>144</v>
      </c>
      <c r="BF195" s="50">
        <f t="shared" ca="1" si="14"/>
        <v>0.17031958220092802</v>
      </c>
      <c r="BG195" s="8">
        <f t="shared" si="139"/>
        <v>0.74</v>
      </c>
      <c r="BH195" s="49">
        <f t="shared" ca="1" si="157"/>
        <v>91</v>
      </c>
      <c r="BJ195" s="50">
        <f t="shared" ca="1" si="15"/>
        <v>6.089999882687025E-2</v>
      </c>
      <c r="BK195" s="8">
        <f t="shared" si="140"/>
        <v>0.74</v>
      </c>
      <c r="BL195" s="49">
        <f t="shared" ca="1" si="158"/>
        <v>57</v>
      </c>
      <c r="BN195" s="50">
        <f t="shared" ca="1" si="16"/>
        <v>0.22591723056889446</v>
      </c>
      <c r="BO195" s="8">
        <f t="shared" si="141"/>
        <v>0.74</v>
      </c>
      <c r="BP195" s="49">
        <f t="shared" ca="1" si="159"/>
        <v>103</v>
      </c>
      <c r="BR195" s="50">
        <f t="shared" ca="1" si="17"/>
        <v>4.623985572295819E-3</v>
      </c>
      <c r="BS195" s="8">
        <f t="shared" si="142"/>
        <v>0.74</v>
      </c>
      <c r="BT195" s="49">
        <f t="shared" ca="1" si="160"/>
        <v>42</v>
      </c>
    </row>
    <row r="196" spans="1:72" x14ac:dyDescent="0.2">
      <c r="A196" s="22">
        <v>44743</v>
      </c>
      <c r="B196" s="50">
        <f t="shared" ca="1" si="0"/>
        <v>0.25480836597250467</v>
      </c>
      <c r="C196" s="8">
        <f t="shared" si="125"/>
        <v>0.74</v>
      </c>
      <c r="D196" s="49">
        <f t="shared" ca="1" si="143"/>
        <v>65</v>
      </c>
      <c r="F196" s="50">
        <f t="shared" ca="1" si="1"/>
        <v>0.55060951113187129</v>
      </c>
      <c r="G196" s="8">
        <f t="shared" si="126"/>
        <v>0.74</v>
      </c>
      <c r="H196" s="49">
        <f t="shared" ca="1" si="144"/>
        <v>165</v>
      </c>
      <c r="J196" s="50">
        <f t="shared" ca="1" si="2"/>
        <v>0.42103588460462149</v>
      </c>
      <c r="K196" s="8">
        <f t="shared" si="127"/>
        <v>0.74</v>
      </c>
      <c r="L196" s="49">
        <f t="shared" ca="1" si="145"/>
        <v>106</v>
      </c>
      <c r="N196" s="50">
        <f t="shared" ca="1" si="3"/>
        <v>0.34882913552116823</v>
      </c>
      <c r="O196" s="8">
        <f t="shared" si="128"/>
        <v>0.74</v>
      </c>
      <c r="P196" s="49">
        <f t="shared" ca="1" si="146"/>
        <v>153</v>
      </c>
      <c r="R196" s="50">
        <f t="shared" ca="1" si="4"/>
        <v>0.17182428609172884</v>
      </c>
      <c r="S196" s="8">
        <f t="shared" si="129"/>
        <v>0.74</v>
      </c>
      <c r="T196" s="49">
        <f t="shared" ca="1" si="147"/>
        <v>77</v>
      </c>
      <c r="V196" s="50">
        <f t="shared" ca="1" si="5"/>
        <v>0.89336579432049923</v>
      </c>
      <c r="W196" s="8">
        <f t="shared" si="130"/>
        <v>0.74</v>
      </c>
      <c r="X196" s="49">
        <f t="shared" ca="1" si="148"/>
        <v>222</v>
      </c>
      <c r="Z196" s="50">
        <f t="shared" ca="1" si="6"/>
        <v>0.73548677738100843</v>
      </c>
      <c r="AA196" s="8">
        <f t="shared" si="131"/>
        <v>0.74</v>
      </c>
      <c r="AB196" s="49">
        <f t="shared" ca="1" si="149"/>
        <v>234</v>
      </c>
      <c r="AD196" s="50">
        <f t="shared" ca="1" si="7"/>
        <v>0.4231636718149786</v>
      </c>
      <c r="AE196" s="8">
        <f t="shared" si="132"/>
        <v>0.74</v>
      </c>
      <c r="AF196" s="49">
        <f t="shared" ca="1" si="150"/>
        <v>230</v>
      </c>
      <c r="AH196" s="50">
        <f t="shared" ca="1" si="8"/>
        <v>0.54062369680801947</v>
      </c>
      <c r="AI196" s="8">
        <f t="shared" si="133"/>
        <v>0.74</v>
      </c>
      <c r="AJ196" s="49">
        <f t="shared" ca="1" si="151"/>
        <v>137</v>
      </c>
      <c r="AL196" s="50">
        <f t="shared" ca="1" si="9"/>
        <v>0.42715642586198899</v>
      </c>
      <c r="AM196" s="8">
        <f t="shared" si="134"/>
        <v>0.74</v>
      </c>
      <c r="AN196" s="49">
        <f t="shared" ca="1" si="152"/>
        <v>104</v>
      </c>
      <c r="AP196" s="50">
        <f t="shared" ca="1" si="10"/>
        <v>0.42342310219665302</v>
      </c>
      <c r="AQ196" s="8">
        <f t="shared" si="135"/>
        <v>0.74</v>
      </c>
      <c r="AR196" s="49">
        <f t="shared" ca="1" si="153"/>
        <v>153</v>
      </c>
      <c r="AT196" s="50">
        <f t="shared" ca="1" si="11"/>
        <v>0.7632642744226581</v>
      </c>
      <c r="AU196" s="8">
        <f t="shared" si="136"/>
        <v>0.74</v>
      </c>
      <c r="AV196" s="49">
        <f t="shared" ca="1" si="154"/>
        <v>169</v>
      </c>
      <c r="AX196" s="50">
        <f t="shared" ca="1" si="12"/>
        <v>0.21397025226564903</v>
      </c>
      <c r="AY196" s="8">
        <f t="shared" si="137"/>
        <v>0.74</v>
      </c>
      <c r="AZ196" s="49">
        <f t="shared" ca="1" si="155"/>
        <v>105</v>
      </c>
      <c r="BB196" s="50">
        <f t="shared" ca="1" si="13"/>
        <v>0.78976182905452152</v>
      </c>
      <c r="BC196" s="8">
        <f t="shared" si="138"/>
        <v>0.74</v>
      </c>
      <c r="BD196" s="49">
        <f t="shared" ca="1" si="156"/>
        <v>144</v>
      </c>
      <c r="BF196" s="50">
        <f t="shared" ca="1" si="14"/>
        <v>0.20584720036706516</v>
      </c>
      <c r="BG196" s="8">
        <f t="shared" si="139"/>
        <v>0.74</v>
      </c>
      <c r="BH196" s="49">
        <f t="shared" ca="1" si="157"/>
        <v>96</v>
      </c>
      <c r="BJ196" s="50">
        <f t="shared" ca="1" si="15"/>
        <v>0.98005442546008081</v>
      </c>
      <c r="BK196" s="8">
        <f t="shared" si="140"/>
        <v>0.74</v>
      </c>
      <c r="BL196" s="49">
        <f t="shared" ca="1" si="158"/>
        <v>151</v>
      </c>
      <c r="BN196" s="50">
        <f t="shared" ca="1" si="16"/>
        <v>0.74246172290352797</v>
      </c>
      <c r="BO196" s="8">
        <f t="shared" si="141"/>
        <v>0.74</v>
      </c>
      <c r="BP196" s="49">
        <f t="shared" ca="1" si="159"/>
        <v>151</v>
      </c>
      <c r="BR196" s="50">
        <f t="shared" ca="1" si="17"/>
        <v>0.90276614511318209</v>
      </c>
      <c r="BS196" s="8">
        <f t="shared" si="142"/>
        <v>0.74</v>
      </c>
      <c r="BT196" s="49">
        <f t="shared" ca="1" si="160"/>
        <v>183</v>
      </c>
    </row>
    <row r="197" spans="1:72" x14ac:dyDescent="0.2">
      <c r="A197" s="22">
        <v>44744</v>
      </c>
      <c r="B197" s="50">
        <f t="shared" ca="1" si="0"/>
        <v>0.91409124640707584</v>
      </c>
      <c r="C197" s="8">
        <f t="shared" si="125"/>
        <v>0.74</v>
      </c>
      <c r="D197" s="49">
        <f t="shared" ca="1" si="143"/>
        <v>95</v>
      </c>
      <c r="F197" s="50">
        <f t="shared" ca="1" si="1"/>
        <v>0.86697994243152632</v>
      </c>
      <c r="G197" s="8">
        <f t="shared" si="126"/>
        <v>0.74</v>
      </c>
      <c r="H197" s="49">
        <f t="shared" ca="1" si="144"/>
        <v>207</v>
      </c>
      <c r="J197" s="50">
        <f t="shared" ca="1" si="2"/>
        <v>0.58201189278532195</v>
      </c>
      <c r="K197" s="8">
        <f t="shared" si="127"/>
        <v>0.74</v>
      </c>
      <c r="L197" s="49">
        <f t="shared" ca="1" si="145"/>
        <v>118</v>
      </c>
      <c r="N197" s="50">
        <f t="shared" ca="1" si="3"/>
        <v>0.80727253233972929</v>
      </c>
      <c r="O197" s="8">
        <f t="shared" si="128"/>
        <v>0.74</v>
      </c>
      <c r="P197" s="49">
        <f t="shared" ca="1" si="146"/>
        <v>209</v>
      </c>
      <c r="R197" s="50">
        <f t="shared" ca="1" si="4"/>
        <v>0.42238367096703777</v>
      </c>
      <c r="S197" s="8">
        <f t="shared" si="129"/>
        <v>0.74</v>
      </c>
      <c r="T197" s="49">
        <f t="shared" ca="1" si="147"/>
        <v>98</v>
      </c>
      <c r="V197" s="50">
        <f t="shared" ca="1" si="5"/>
        <v>0.81884136751894687</v>
      </c>
      <c r="W197" s="8">
        <f t="shared" si="130"/>
        <v>0.74</v>
      </c>
      <c r="X197" s="49">
        <f t="shared" ca="1" si="148"/>
        <v>207</v>
      </c>
      <c r="Z197" s="50">
        <f t="shared" ca="1" si="6"/>
        <v>5.7580588232905239E-2</v>
      </c>
      <c r="AA197" s="8">
        <f t="shared" si="131"/>
        <v>0.74</v>
      </c>
      <c r="AB197" s="49">
        <f t="shared" ca="1" si="149"/>
        <v>116</v>
      </c>
      <c r="AD197" s="50">
        <f t="shared" ca="1" si="7"/>
        <v>0.60733102541356621</v>
      </c>
      <c r="AE197" s="8">
        <f t="shared" si="132"/>
        <v>0.74</v>
      </c>
      <c r="AF197" s="49">
        <f t="shared" ca="1" si="150"/>
        <v>260</v>
      </c>
      <c r="AH197" s="50">
        <f t="shared" ca="1" si="8"/>
        <v>0.45641104138077393</v>
      </c>
      <c r="AI197" s="8">
        <f t="shared" si="133"/>
        <v>0.74</v>
      </c>
      <c r="AJ197" s="49">
        <f t="shared" ca="1" si="151"/>
        <v>130</v>
      </c>
      <c r="AL197" s="50">
        <f t="shared" ca="1" si="9"/>
        <v>0.84721515440362061</v>
      </c>
      <c r="AM197" s="8">
        <f t="shared" si="134"/>
        <v>0.74</v>
      </c>
      <c r="AN197" s="49">
        <f t="shared" ca="1" si="152"/>
        <v>139</v>
      </c>
      <c r="AP197" s="50">
        <f t="shared" ca="1" si="10"/>
        <v>0.37440245977899633</v>
      </c>
      <c r="AQ197" s="8">
        <f t="shared" si="135"/>
        <v>0.74</v>
      </c>
      <c r="AR197" s="49">
        <f t="shared" ca="1" si="153"/>
        <v>147</v>
      </c>
      <c r="AT197" s="50">
        <f t="shared" ca="1" si="11"/>
        <v>0.54888639583670884</v>
      </c>
      <c r="AU197" s="8">
        <f t="shared" si="136"/>
        <v>0.74</v>
      </c>
      <c r="AV197" s="49">
        <f t="shared" ca="1" si="154"/>
        <v>147</v>
      </c>
      <c r="AX197" s="50">
        <f t="shared" ca="1" si="12"/>
        <v>0.6556831754112471</v>
      </c>
      <c r="AY197" s="8">
        <f t="shared" si="137"/>
        <v>0.74</v>
      </c>
      <c r="AZ197" s="49">
        <f t="shared" ca="1" si="155"/>
        <v>148</v>
      </c>
      <c r="BB197" s="50">
        <f t="shared" ca="1" si="13"/>
        <v>0.59448274738608586</v>
      </c>
      <c r="BC197" s="8">
        <f t="shared" si="138"/>
        <v>0.74</v>
      </c>
      <c r="BD197" s="49">
        <f t="shared" ca="1" si="156"/>
        <v>126</v>
      </c>
      <c r="BF197" s="50">
        <f t="shared" ca="1" si="14"/>
        <v>0.49365569598828707</v>
      </c>
      <c r="BG197" s="8">
        <f t="shared" si="139"/>
        <v>0.74</v>
      </c>
      <c r="BH197" s="49">
        <f t="shared" ca="1" si="157"/>
        <v>122</v>
      </c>
      <c r="BJ197" s="50">
        <f t="shared" ca="1" si="15"/>
        <v>0.97311871614990897</v>
      </c>
      <c r="BK197" s="8">
        <f t="shared" si="140"/>
        <v>0.74</v>
      </c>
      <c r="BL197" s="49">
        <f t="shared" ca="1" si="158"/>
        <v>147</v>
      </c>
      <c r="BN197" s="50">
        <f t="shared" ca="1" si="16"/>
        <v>0.89079809540679478</v>
      </c>
      <c r="BO197" s="8">
        <f t="shared" si="141"/>
        <v>0.74</v>
      </c>
      <c r="BP197" s="49">
        <f t="shared" ca="1" si="159"/>
        <v>171</v>
      </c>
      <c r="BR197" s="50">
        <f t="shared" ca="1" si="17"/>
        <v>0.87682802374120805</v>
      </c>
      <c r="BS197" s="8">
        <f t="shared" si="142"/>
        <v>0.74</v>
      </c>
      <c r="BT197" s="49">
        <f t="shared" ca="1" si="160"/>
        <v>178</v>
      </c>
    </row>
    <row r="198" spans="1:72" x14ac:dyDescent="0.2">
      <c r="A198" s="22">
        <v>44745</v>
      </c>
      <c r="B198" s="50">
        <f t="shared" ca="1" si="0"/>
        <v>0.44312990321014123</v>
      </c>
      <c r="C198" s="8">
        <f t="shared" si="125"/>
        <v>0.74</v>
      </c>
      <c r="D198" s="49">
        <f t="shared" ca="1" si="143"/>
        <v>72</v>
      </c>
      <c r="F198" s="50">
        <f t="shared" ca="1" si="1"/>
        <v>0.1827822242946876</v>
      </c>
      <c r="G198" s="8">
        <f t="shared" si="126"/>
        <v>0.74</v>
      </c>
      <c r="H198" s="49">
        <f t="shared" ca="1" si="144"/>
        <v>121</v>
      </c>
      <c r="J198" s="50">
        <f t="shared" ca="1" si="2"/>
        <v>0.47669478515238906</v>
      </c>
      <c r="K198" s="8">
        <f t="shared" si="127"/>
        <v>0.74</v>
      </c>
      <c r="L198" s="49">
        <f t="shared" ca="1" si="145"/>
        <v>110</v>
      </c>
      <c r="N198" s="50">
        <f t="shared" ca="1" si="3"/>
        <v>6.7592800950279086E-2</v>
      </c>
      <c r="O198" s="8">
        <f t="shared" si="128"/>
        <v>0.74</v>
      </c>
      <c r="P198" s="49">
        <f t="shared" ca="1" si="146"/>
        <v>103</v>
      </c>
      <c r="R198" s="50">
        <f t="shared" ca="1" si="4"/>
        <v>0.94016644054418974</v>
      </c>
      <c r="S198" s="8">
        <f t="shared" si="129"/>
        <v>0.74</v>
      </c>
      <c r="T198" s="49">
        <f t="shared" ca="1" si="147"/>
        <v>146</v>
      </c>
      <c r="V198" s="50">
        <f t="shared" ca="1" si="5"/>
        <v>0.79361448506545818</v>
      </c>
      <c r="W198" s="8">
        <f t="shared" si="130"/>
        <v>0.74</v>
      </c>
      <c r="X198" s="49">
        <f t="shared" ca="1" si="148"/>
        <v>203</v>
      </c>
      <c r="Z198" s="50">
        <f t="shared" ca="1" si="6"/>
        <v>0.64698442961408131</v>
      </c>
      <c r="AA198" s="8">
        <f t="shared" si="131"/>
        <v>0.74</v>
      </c>
      <c r="AB198" s="49">
        <f t="shared" ca="1" si="149"/>
        <v>220</v>
      </c>
      <c r="AD198" s="50">
        <f t="shared" ca="1" si="7"/>
        <v>0.2765731339885138</v>
      </c>
      <c r="AE198" s="8">
        <f t="shared" si="132"/>
        <v>0.74</v>
      </c>
      <c r="AF198" s="49">
        <f t="shared" ca="1" si="150"/>
        <v>204</v>
      </c>
      <c r="AH198" s="50">
        <f t="shared" ca="1" si="8"/>
        <v>0.37947804405853258</v>
      </c>
      <c r="AI198" s="8">
        <f t="shared" si="133"/>
        <v>0.74</v>
      </c>
      <c r="AJ198" s="49">
        <f t="shared" ca="1" si="151"/>
        <v>123</v>
      </c>
      <c r="AL198" s="50">
        <f t="shared" ca="1" si="9"/>
        <v>0.49743713926310085</v>
      </c>
      <c r="AM198" s="8">
        <f t="shared" si="134"/>
        <v>0.74</v>
      </c>
      <c r="AN198" s="49">
        <f t="shared" ca="1" si="152"/>
        <v>109</v>
      </c>
      <c r="AP198" s="50">
        <f t="shared" ca="1" si="10"/>
        <v>0.92955359903137302</v>
      </c>
      <c r="AQ198" s="8">
        <f t="shared" si="135"/>
        <v>0.74</v>
      </c>
      <c r="AR198" s="49">
        <f t="shared" ca="1" si="153"/>
        <v>224</v>
      </c>
      <c r="AT198" s="50">
        <f t="shared" ca="1" si="11"/>
        <v>0.83210778155756249</v>
      </c>
      <c r="AU198" s="8">
        <f t="shared" si="136"/>
        <v>0.74</v>
      </c>
      <c r="AV198" s="49">
        <f t="shared" ca="1" si="154"/>
        <v>179</v>
      </c>
      <c r="AX198" s="50">
        <f t="shared" ca="1" si="12"/>
        <v>0.88549912950105858</v>
      </c>
      <c r="AY198" s="8">
        <f t="shared" si="137"/>
        <v>0.74</v>
      </c>
      <c r="AZ198" s="49">
        <f t="shared" ca="1" si="155"/>
        <v>176</v>
      </c>
      <c r="BB198" s="50">
        <f t="shared" ca="1" si="13"/>
        <v>0.37246062376218014</v>
      </c>
      <c r="BC198" s="8">
        <f t="shared" si="138"/>
        <v>0.74</v>
      </c>
      <c r="BD198" s="49">
        <f t="shared" ca="1" si="156"/>
        <v>108</v>
      </c>
      <c r="BF198" s="50">
        <f t="shared" ca="1" si="14"/>
        <v>0.55712806879311094</v>
      </c>
      <c r="BG198" s="8">
        <f t="shared" si="139"/>
        <v>0.74</v>
      </c>
      <c r="BH198" s="49">
        <f t="shared" ca="1" si="157"/>
        <v>127</v>
      </c>
      <c r="BJ198" s="50">
        <f t="shared" ca="1" si="15"/>
        <v>0.80779948735441687</v>
      </c>
      <c r="BK198" s="8">
        <f t="shared" si="140"/>
        <v>0.74</v>
      </c>
      <c r="BL198" s="49">
        <f t="shared" ca="1" si="158"/>
        <v>120</v>
      </c>
      <c r="BN198" s="50">
        <f t="shared" ca="1" si="16"/>
        <v>7.3892700844617298E-2</v>
      </c>
      <c r="BO198" s="8">
        <f t="shared" si="141"/>
        <v>0.74</v>
      </c>
      <c r="BP198" s="49">
        <f t="shared" ca="1" si="159"/>
        <v>79</v>
      </c>
      <c r="BR198" s="50">
        <f t="shared" ca="1" si="17"/>
        <v>0.47612840437131021</v>
      </c>
      <c r="BS198" s="8">
        <f t="shared" si="142"/>
        <v>0.74</v>
      </c>
      <c r="BT198" s="49">
        <f t="shared" ca="1" si="160"/>
        <v>134</v>
      </c>
    </row>
    <row r="199" spans="1:72" x14ac:dyDescent="0.2">
      <c r="A199" s="22">
        <v>44746</v>
      </c>
      <c r="B199" s="50">
        <f t="shared" ca="1" si="0"/>
        <v>0.63050914418059589</v>
      </c>
      <c r="C199" s="8">
        <f t="shared" si="125"/>
        <v>0.74</v>
      </c>
      <c r="D199" s="49">
        <f t="shared" ca="1" si="143"/>
        <v>79</v>
      </c>
      <c r="F199" s="50">
        <f t="shared" ca="1" si="1"/>
        <v>0.45619154517041971</v>
      </c>
      <c r="G199" s="8">
        <f t="shared" si="126"/>
        <v>0.74</v>
      </c>
      <c r="H199" s="49">
        <f t="shared" ca="1" si="144"/>
        <v>155</v>
      </c>
      <c r="J199" s="50">
        <f t="shared" ca="1" si="2"/>
        <v>0.51025091967980896</v>
      </c>
      <c r="K199" s="8">
        <f t="shared" si="127"/>
        <v>0.74</v>
      </c>
      <c r="L199" s="49">
        <f t="shared" ca="1" si="145"/>
        <v>112</v>
      </c>
      <c r="N199" s="50">
        <f t="shared" ca="1" si="3"/>
        <v>0.53080212041927377</v>
      </c>
      <c r="O199" s="8">
        <f t="shared" si="128"/>
        <v>0.74</v>
      </c>
      <c r="P199" s="49">
        <f t="shared" ca="1" si="146"/>
        <v>174</v>
      </c>
      <c r="R199" s="50">
        <f t="shared" ca="1" si="4"/>
        <v>0.80381271823125511</v>
      </c>
      <c r="S199" s="8">
        <f t="shared" si="129"/>
        <v>0.74</v>
      </c>
      <c r="T199" s="49">
        <f t="shared" ca="1" si="147"/>
        <v>127</v>
      </c>
      <c r="V199" s="50">
        <f t="shared" ca="1" si="5"/>
        <v>0.98163147099548098</v>
      </c>
      <c r="W199" s="8">
        <f t="shared" si="130"/>
        <v>0.74</v>
      </c>
      <c r="X199" s="49">
        <f t="shared" ca="1" si="148"/>
        <v>260</v>
      </c>
      <c r="Z199" s="50">
        <f t="shared" ca="1" si="6"/>
        <v>0.56186674138777892</v>
      </c>
      <c r="AA199" s="8">
        <f t="shared" si="131"/>
        <v>0.74</v>
      </c>
      <c r="AB199" s="49">
        <f t="shared" ca="1" si="149"/>
        <v>209</v>
      </c>
      <c r="AD199" s="50">
        <f t="shared" ca="1" si="7"/>
        <v>6.2020121506146664E-3</v>
      </c>
      <c r="AE199" s="8">
        <f t="shared" si="132"/>
        <v>0.74</v>
      </c>
      <c r="AF199" s="49">
        <f t="shared" ca="1" si="150"/>
        <v>81</v>
      </c>
      <c r="AH199" s="50">
        <f t="shared" ca="1" si="8"/>
        <v>0.2396538757650003</v>
      </c>
      <c r="AI199" s="8">
        <f t="shared" si="133"/>
        <v>0.74</v>
      </c>
      <c r="AJ199" s="49">
        <f t="shared" ca="1" si="151"/>
        <v>108</v>
      </c>
      <c r="AL199" s="50">
        <f t="shared" ca="1" si="9"/>
        <v>0.49966263903068886</v>
      </c>
      <c r="AM199" s="8">
        <f t="shared" si="134"/>
        <v>0.74</v>
      </c>
      <c r="AN199" s="49">
        <f t="shared" ca="1" si="152"/>
        <v>109</v>
      </c>
      <c r="AP199" s="50">
        <f t="shared" ca="1" si="10"/>
        <v>3.5715850005614724E-2</v>
      </c>
      <c r="AQ199" s="8">
        <f t="shared" si="135"/>
        <v>0.74</v>
      </c>
      <c r="AR199" s="49">
        <f t="shared" ca="1" si="153"/>
        <v>84</v>
      </c>
      <c r="AT199" s="50">
        <f t="shared" ca="1" si="11"/>
        <v>0.70465481616677217</v>
      </c>
      <c r="AU199" s="8">
        <f t="shared" si="136"/>
        <v>0.74</v>
      </c>
      <c r="AV199" s="49">
        <f t="shared" ca="1" si="154"/>
        <v>163</v>
      </c>
      <c r="AX199" s="50">
        <f t="shared" ca="1" si="12"/>
        <v>0.21686205356389432</v>
      </c>
      <c r="AY199" s="8">
        <f t="shared" si="137"/>
        <v>0.74</v>
      </c>
      <c r="AZ199" s="49">
        <f t="shared" ca="1" si="155"/>
        <v>106</v>
      </c>
      <c r="BB199" s="50">
        <f t="shared" ca="1" si="13"/>
        <v>3.8785624629083082E-2</v>
      </c>
      <c r="BC199" s="8">
        <f t="shared" si="138"/>
        <v>0.74</v>
      </c>
      <c r="BD199" s="49">
        <f t="shared" ca="1" si="156"/>
        <v>63</v>
      </c>
      <c r="BF199" s="50">
        <f t="shared" ca="1" si="14"/>
        <v>0.94474808172332791</v>
      </c>
      <c r="BG199" s="8">
        <f t="shared" si="139"/>
        <v>0.74</v>
      </c>
      <c r="BH199" s="49">
        <f t="shared" ca="1" si="157"/>
        <v>174</v>
      </c>
      <c r="BJ199" s="50">
        <f t="shared" ca="1" si="15"/>
        <v>0.96055806028794499</v>
      </c>
      <c r="BK199" s="8">
        <f t="shared" si="140"/>
        <v>0.74</v>
      </c>
      <c r="BL199" s="49">
        <f t="shared" ca="1" si="158"/>
        <v>143</v>
      </c>
      <c r="BN199" s="50">
        <f t="shared" ca="1" si="16"/>
        <v>0.41995861609287588</v>
      </c>
      <c r="BO199" s="8">
        <f t="shared" si="141"/>
        <v>0.74</v>
      </c>
      <c r="BP199" s="49">
        <f t="shared" ca="1" si="159"/>
        <v>122</v>
      </c>
      <c r="BR199" s="50">
        <f t="shared" ca="1" si="17"/>
        <v>0.46029190335390291</v>
      </c>
      <c r="BS199" s="8">
        <f t="shared" si="142"/>
        <v>0.74</v>
      </c>
      <c r="BT199" s="49">
        <f t="shared" ca="1" si="160"/>
        <v>133</v>
      </c>
    </row>
    <row r="200" spans="1:72" x14ac:dyDescent="0.2">
      <c r="A200" s="22">
        <v>44747</v>
      </c>
      <c r="B200" s="50">
        <f t="shared" ca="1" si="0"/>
        <v>0.56281747973610063</v>
      </c>
      <c r="C200" s="8">
        <f t="shared" si="125"/>
        <v>0.74</v>
      </c>
      <c r="D200" s="49">
        <f t="shared" ca="1" si="143"/>
        <v>77</v>
      </c>
      <c r="F200" s="50">
        <f t="shared" ca="1" si="1"/>
        <v>0.2002737254821213</v>
      </c>
      <c r="G200" s="8">
        <f t="shared" si="126"/>
        <v>0.74</v>
      </c>
      <c r="H200" s="49">
        <f t="shared" ca="1" si="144"/>
        <v>124</v>
      </c>
      <c r="J200" s="50">
        <f t="shared" ca="1" si="2"/>
        <v>0.63015135774343634</v>
      </c>
      <c r="K200" s="8">
        <f t="shared" si="127"/>
        <v>0.74</v>
      </c>
      <c r="L200" s="49">
        <f t="shared" ca="1" si="145"/>
        <v>121</v>
      </c>
      <c r="N200" s="50">
        <f t="shared" ca="1" si="3"/>
        <v>0.88621444264112159</v>
      </c>
      <c r="O200" s="8">
        <f t="shared" si="128"/>
        <v>0.74</v>
      </c>
      <c r="P200" s="49">
        <f t="shared" ca="1" si="146"/>
        <v>225</v>
      </c>
      <c r="R200" s="50">
        <f t="shared" ca="1" si="4"/>
        <v>0.20477944987375984</v>
      </c>
      <c r="S200" s="8">
        <f t="shared" si="129"/>
        <v>0.74</v>
      </c>
      <c r="T200" s="49">
        <f t="shared" ca="1" si="147"/>
        <v>81</v>
      </c>
      <c r="V200" s="50">
        <f t="shared" ca="1" si="5"/>
        <v>6.3916040091084092E-2</v>
      </c>
      <c r="W200" s="8">
        <f t="shared" si="130"/>
        <v>0.74</v>
      </c>
      <c r="X200" s="49">
        <f t="shared" ca="1" si="148"/>
        <v>99</v>
      </c>
      <c r="Z200" s="50">
        <f t="shared" ca="1" si="6"/>
        <v>0.5622877362919062</v>
      </c>
      <c r="AA200" s="8">
        <f t="shared" si="131"/>
        <v>0.74</v>
      </c>
      <c r="AB200" s="49">
        <f t="shared" ca="1" si="149"/>
        <v>209</v>
      </c>
      <c r="AD200" s="50">
        <f t="shared" ca="1" si="7"/>
        <v>0.15088128391673516</v>
      </c>
      <c r="AE200" s="8">
        <f t="shared" si="132"/>
        <v>0.74</v>
      </c>
      <c r="AF200" s="49">
        <f t="shared" ca="1" si="150"/>
        <v>176</v>
      </c>
      <c r="AH200" s="50">
        <f t="shared" ca="1" si="8"/>
        <v>0.10550375877967488</v>
      </c>
      <c r="AI200" s="8">
        <f t="shared" si="133"/>
        <v>0.74</v>
      </c>
      <c r="AJ200" s="49">
        <f t="shared" ca="1" si="151"/>
        <v>89</v>
      </c>
      <c r="AL200" s="50">
        <f t="shared" ca="1" si="9"/>
        <v>0.33240918773119554</v>
      </c>
      <c r="AM200" s="8">
        <f t="shared" si="134"/>
        <v>0.74</v>
      </c>
      <c r="AN200" s="49">
        <f t="shared" ca="1" si="152"/>
        <v>97</v>
      </c>
      <c r="AP200" s="50">
        <f t="shared" ca="1" si="10"/>
        <v>0.94739675275001967</v>
      </c>
      <c r="AQ200" s="8">
        <f t="shared" si="135"/>
        <v>0.74</v>
      </c>
      <c r="AR200" s="49">
        <f t="shared" ca="1" si="153"/>
        <v>230</v>
      </c>
      <c r="AT200" s="50">
        <f t="shared" ca="1" si="11"/>
        <v>0.27372812327984775</v>
      </c>
      <c r="AU200" s="8">
        <f t="shared" si="136"/>
        <v>0.74</v>
      </c>
      <c r="AV200" s="49">
        <f t="shared" ca="1" si="154"/>
        <v>120</v>
      </c>
      <c r="AX200" s="50">
        <f t="shared" ca="1" si="12"/>
        <v>0.29339651235873077</v>
      </c>
      <c r="AY200" s="8">
        <f t="shared" si="137"/>
        <v>0.74</v>
      </c>
      <c r="AZ200" s="49">
        <f t="shared" ca="1" si="155"/>
        <v>114</v>
      </c>
      <c r="BB200" s="50">
        <f t="shared" ca="1" si="13"/>
        <v>0.95527191601346495</v>
      </c>
      <c r="BC200" s="8">
        <f t="shared" si="138"/>
        <v>0.74</v>
      </c>
      <c r="BD200" s="49">
        <f t="shared" ca="1" si="156"/>
        <v>172</v>
      </c>
      <c r="BF200" s="50">
        <f t="shared" ca="1" si="14"/>
        <v>0.99346766774955753</v>
      </c>
      <c r="BG200" s="8">
        <f t="shared" si="139"/>
        <v>0.74</v>
      </c>
      <c r="BH200" s="49">
        <f t="shared" ca="1" si="157"/>
        <v>203</v>
      </c>
      <c r="BJ200" s="50">
        <f t="shared" ca="1" si="15"/>
        <v>5.2977599565610101E-2</v>
      </c>
      <c r="BK200" s="8">
        <f t="shared" si="140"/>
        <v>0.74</v>
      </c>
      <c r="BL200" s="49">
        <f t="shared" ca="1" si="158"/>
        <v>56</v>
      </c>
      <c r="BN200" s="50">
        <f t="shared" ca="1" si="16"/>
        <v>0.48129337875523182</v>
      </c>
      <c r="BO200" s="8">
        <f t="shared" si="141"/>
        <v>0.74</v>
      </c>
      <c r="BP200" s="49">
        <f t="shared" ca="1" si="159"/>
        <v>127</v>
      </c>
      <c r="BR200" s="50">
        <f t="shared" ca="1" si="17"/>
        <v>0.62400899706298163</v>
      </c>
      <c r="BS200" s="8">
        <f t="shared" si="142"/>
        <v>0.74</v>
      </c>
      <c r="BT200" s="49">
        <f t="shared" ca="1" si="160"/>
        <v>148</v>
      </c>
    </row>
    <row r="201" spans="1:72" x14ac:dyDescent="0.2">
      <c r="A201" s="22">
        <v>44748</v>
      </c>
      <c r="B201" s="50">
        <f t="shared" ca="1" si="0"/>
        <v>0.72541226521069413</v>
      </c>
      <c r="C201" s="8">
        <f t="shared" si="125"/>
        <v>0.74</v>
      </c>
      <c r="D201" s="49">
        <f t="shared" ca="1" si="143"/>
        <v>83</v>
      </c>
      <c r="F201" s="50">
        <f t="shared" ca="1" si="1"/>
        <v>0.59625982994413063</v>
      </c>
      <c r="G201" s="8">
        <f t="shared" si="126"/>
        <v>0.74</v>
      </c>
      <c r="H201" s="49">
        <f t="shared" ca="1" si="144"/>
        <v>170</v>
      </c>
      <c r="J201" s="50">
        <f t="shared" ca="1" si="2"/>
        <v>7.1847401488670748E-2</v>
      </c>
      <c r="K201" s="8">
        <f t="shared" si="127"/>
        <v>0.74</v>
      </c>
      <c r="L201" s="49">
        <f t="shared" ca="1" si="145"/>
        <v>68</v>
      </c>
      <c r="N201" s="50">
        <f t="shared" ca="1" si="3"/>
        <v>0.16519171731798998</v>
      </c>
      <c r="O201" s="8">
        <f t="shared" si="128"/>
        <v>0.74</v>
      </c>
      <c r="P201" s="49">
        <f t="shared" ca="1" si="146"/>
        <v>126</v>
      </c>
      <c r="R201" s="50">
        <f t="shared" ca="1" si="4"/>
        <v>4.6571254502212001E-2</v>
      </c>
      <c r="S201" s="8">
        <f t="shared" si="129"/>
        <v>0.74</v>
      </c>
      <c r="T201" s="49">
        <f t="shared" ca="1" si="147"/>
        <v>57</v>
      </c>
      <c r="V201" s="50">
        <f t="shared" ca="1" si="5"/>
        <v>2.4801471436037947E-2</v>
      </c>
      <c r="W201" s="8">
        <f t="shared" si="130"/>
        <v>0.74</v>
      </c>
      <c r="X201" s="49">
        <f t="shared" ca="1" si="148"/>
        <v>80</v>
      </c>
      <c r="Z201" s="50">
        <f t="shared" ca="1" si="6"/>
        <v>0.79506616383032058</v>
      </c>
      <c r="AA201" s="8">
        <f t="shared" si="131"/>
        <v>0.74</v>
      </c>
      <c r="AB201" s="49">
        <f t="shared" ca="1" si="149"/>
        <v>244</v>
      </c>
      <c r="AD201" s="50">
        <f t="shared" ca="1" si="7"/>
        <v>0.59363866593292358</v>
      </c>
      <c r="AE201" s="8">
        <f t="shared" si="132"/>
        <v>0.74</v>
      </c>
      <c r="AF201" s="49">
        <f t="shared" ca="1" si="150"/>
        <v>258</v>
      </c>
      <c r="AH201" s="50">
        <f t="shared" ca="1" si="8"/>
        <v>0.2528660814573338</v>
      </c>
      <c r="AI201" s="8">
        <f t="shared" si="133"/>
        <v>0.74</v>
      </c>
      <c r="AJ201" s="49">
        <f t="shared" ca="1" si="151"/>
        <v>110</v>
      </c>
      <c r="AL201" s="50">
        <f t="shared" ca="1" si="9"/>
        <v>0.92559800886212829</v>
      </c>
      <c r="AM201" s="8">
        <f t="shared" si="134"/>
        <v>0.74</v>
      </c>
      <c r="AN201" s="49">
        <f t="shared" ca="1" si="152"/>
        <v>151</v>
      </c>
      <c r="AP201" s="50">
        <f t="shared" ca="1" si="10"/>
        <v>0.94537204718055845</v>
      </c>
      <c r="AQ201" s="8">
        <f t="shared" si="135"/>
        <v>0.74</v>
      </c>
      <c r="AR201" s="49">
        <f t="shared" ca="1" si="153"/>
        <v>229</v>
      </c>
      <c r="AT201" s="50">
        <f t="shared" ca="1" si="11"/>
        <v>0.54291528515897836</v>
      </c>
      <c r="AU201" s="8">
        <f t="shared" si="136"/>
        <v>0.74</v>
      </c>
      <c r="AV201" s="49">
        <f t="shared" ca="1" si="154"/>
        <v>146</v>
      </c>
      <c r="AX201" s="50">
        <f t="shared" ca="1" si="12"/>
        <v>0.4591746278808736</v>
      </c>
      <c r="AY201" s="8">
        <f t="shared" si="137"/>
        <v>0.74</v>
      </c>
      <c r="AZ201" s="49">
        <f t="shared" ca="1" si="155"/>
        <v>130</v>
      </c>
      <c r="BB201" s="50">
        <f t="shared" ca="1" si="13"/>
        <v>0.59228565015881751</v>
      </c>
      <c r="BC201" s="8">
        <f t="shared" si="138"/>
        <v>0.74</v>
      </c>
      <c r="BD201" s="49">
        <f t="shared" ca="1" si="156"/>
        <v>126</v>
      </c>
      <c r="BF201" s="50">
        <f t="shared" ca="1" si="14"/>
        <v>0.69380081897592027</v>
      </c>
      <c r="BG201" s="8">
        <f t="shared" si="139"/>
        <v>0.74</v>
      </c>
      <c r="BH201" s="49">
        <f t="shared" ca="1" si="157"/>
        <v>139</v>
      </c>
      <c r="BJ201" s="50">
        <f t="shared" ca="1" si="15"/>
        <v>0.48865404578940652</v>
      </c>
      <c r="BK201" s="8">
        <f t="shared" si="140"/>
        <v>0.74</v>
      </c>
      <c r="BL201" s="49">
        <f t="shared" ca="1" si="158"/>
        <v>97</v>
      </c>
      <c r="BN201" s="50">
        <f t="shared" ca="1" si="16"/>
        <v>0.69495831906721939</v>
      </c>
      <c r="BO201" s="8">
        <f t="shared" si="141"/>
        <v>0.74</v>
      </c>
      <c r="BP201" s="49">
        <f t="shared" ca="1" si="159"/>
        <v>146</v>
      </c>
      <c r="BR201" s="50">
        <f t="shared" ca="1" si="17"/>
        <v>2.2119370184774167E-2</v>
      </c>
      <c r="BS201" s="8">
        <f t="shared" si="142"/>
        <v>0.74</v>
      </c>
      <c r="BT201" s="49">
        <f t="shared" ca="1" si="160"/>
        <v>63</v>
      </c>
    </row>
    <row r="202" spans="1:72" x14ac:dyDescent="0.2">
      <c r="A202" s="22">
        <v>44749</v>
      </c>
      <c r="B202" s="50">
        <f t="shared" ca="1" si="0"/>
        <v>0.30852681399961612</v>
      </c>
      <c r="C202" s="8">
        <v>1</v>
      </c>
      <c r="D202" s="49">
        <v>0</v>
      </c>
      <c r="F202" s="50">
        <f t="shared" ca="1" si="1"/>
        <v>0.23849884387248566</v>
      </c>
      <c r="G202" s="8">
        <v>1</v>
      </c>
      <c r="H202" s="49">
        <v>0</v>
      </c>
      <c r="J202" s="50">
        <f t="shared" ca="1" si="2"/>
        <v>0.90101150904470151</v>
      </c>
      <c r="K202" s="8">
        <v>1</v>
      </c>
      <c r="L202" s="49">
        <v>0</v>
      </c>
      <c r="N202" s="50">
        <f t="shared" ca="1" si="3"/>
        <v>0.6865352479863619</v>
      </c>
      <c r="O202" s="8">
        <v>1</v>
      </c>
      <c r="P202" s="49">
        <v>0</v>
      </c>
      <c r="R202" s="50">
        <f t="shared" ca="1" si="4"/>
        <v>0.90720277556607498</v>
      </c>
      <c r="S202" s="8">
        <v>1</v>
      </c>
      <c r="T202" s="49">
        <v>0</v>
      </c>
      <c r="V202" s="50">
        <f t="shared" ca="1" si="5"/>
        <v>7.0431379163817587E-2</v>
      </c>
      <c r="W202" s="8">
        <v>1</v>
      </c>
      <c r="X202" s="49">
        <v>0</v>
      </c>
      <c r="Z202" s="50">
        <f t="shared" ca="1" si="6"/>
        <v>0.10693212588518131</v>
      </c>
      <c r="AA202" s="8">
        <v>1</v>
      </c>
      <c r="AB202" s="49">
        <v>0</v>
      </c>
      <c r="AD202" s="50">
        <f t="shared" ca="1" si="7"/>
        <v>0.46873968472024818</v>
      </c>
      <c r="AE202" s="8">
        <v>1</v>
      </c>
      <c r="AF202" s="49">
        <v>0</v>
      </c>
      <c r="AH202" s="50">
        <f t="shared" ca="1" si="8"/>
        <v>1.6539574859333994E-2</v>
      </c>
      <c r="AI202" s="8">
        <v>1</v>
      </c>
      <c r="AJ202" s="49">
        <v>0</v>
      </c>
      <c r="AL202" s="50">
        <f t="shared" ca="1" si="9"/>
        <v>0.18004920427472348</v>
      </c>
      <c r="AM202" s="8">
        <v>1</v>
      </c>
      <c r="AN202" s="49">
        <v>0</v>
      </c>
      <c r="AP202" s="50">
        <f t="shared" ca="1" si="10"/>
        <v>0.78226573292364776</v>
      </c>
      <c r="AQ202" s="8">
        <v>1</v>
      </c>
      <c r="AR202" s="49">
        <v>0</v>
      </c>
      <c r="AT202" s="50">
        <f t="shared" ca="1" si="11"/>
        <v>0.47646662022366815</v>
      </c>
      <c r="AU202" s="8">
        <v>1</v>
      </c>
      <c r="AV202" s="49">
        <v>0</v>
      </c>
      <c r="AX202" s="50">
        <f t="shared" ca="1" si="12"/>
        <v>0.25395547765820803</v>
      </c>
      <c r="AY202" s="8">
        <v>1</v>
      </c>
      <c r="AZ202" s="49">
        <v>0</v>
      </c>
      <c r="BB202" s="50">
        <f t="shared" ca="1" si="13"/>
        <v>0.48605517015686173</v>
      </c>
      <c r="BC202" s="8">
        <v>1</v>
      </c>
      <c r="BD202" s="49">
        <v>0</v>
      </c>
      <c r="BF202" s="50">
        <f t="shared" ca="1" si="14"/>
        <v>0.91473792638590024</v>
      </c>
      <c r="BG202" s="8">
        <v>1</v>
      </c>
      <c r="BH202" s="49">
        <v>0</v>
      </c>
      <c r="BJ202" s="50">
        <f t="shared" ca="1" si="15"/>
        <v>0.71656105068396991</v>
      </c>
      <c r="BK202" s="8">
        <v>1</v>
      </c>
      <c r="BL202" s="49">
        <v>0</v>
      </c>
      <c r="BN202" s="50">
        <f t="shared" ca="1" si="16"/>
        <v>0.85630436664828646</v>
      </c>
      <c r="BO202" s="8">
        <v>1</v>
      </c>
      <c r="BP202" s="49">
        <v>0</v>
      </c>
      <c r="BR202" s="50">
        <f t="shared" ca="1" si="17"/>
        <v>0.33291030864774163</v>
      </c>
      <c r="BS202" s="8">
        <v>1</v>
      </c>
      <c r="BT202" s="49">
        <v>0</v>
      </c>
    </row>
    <row r="203" spans="1:72" x14ac:dyDescent="0.2">
      <c r="A203" s="22">
        <v>44750</v>
      </c>
      <c r="B203" s="50">
        <f t="shared" ca="1" si="0"/>
        <v>0.8697370469351613</v>
      </c>
      <c r="C203" s="8">
        <v>1</v>
      </c>
      <c r="D203" s="49">
        <v>0</v>
      </c>
      <c r="F203" s="50">
        <f t="shared" ca="1" si="1"/>
        <v>7.6093139963572809E-2</v>
      </c>
      <c r="G203" s="8">
        <v>1</v>
      </c>
      <c r="H203" s="49">
        <v>0</v>
      </c>
      <c r="J203" s="50">
        <f t="shared" ca="1" si="2"/>
        <v>0.21585121490485981</v>
      </c>
      <c r="K203" s="8">
        <v>1</v>
      </c>
      <c r="L203" s="49">
        <v>0</v>
      </c>
      <c r="N203" s="50">
        <f t="shared" ca="1" si="3"/>
        <v>0.95811287095549413</v>
      </c>
      <c r="O203" s="8">
        <v>1</v>
      </c>
      <c r="P203" s="49">
        <v>0</v>
      </c>
      <c r="R203" s="50">
        <f t="shared" ca="1" si="4"/>
        <v>0.52149755373982909</v>
      </c>
      <c r="S203" s="8">
        <v>1</v>
      </c>
      <c r="T203" s="49">
        <v>0</v>
      </c>
      <c r="V203" s="50">
        <f t="shared" ca="1" si="5"/>
        <v>0.91624201652437776</v>
      </c>
      <c r="W203" s="8">
        <v>1</v>
      </c>
      <c r="X203" s="49">
        <v>0</v>
      </c>
      <c r="Z203" s="50">
        <f t="shared" ca="1" si="6"/>
        <v>0.21228586765776136</v>
      </c>
      <c r="AA203" s="8">
        <v>1</v>
      </c>
      <c r="AB203" s="49">
        <v>0</v>
      </c>
      <c r="AD203" s="50">
        <f t="shared" ca="1" si="7"/>
        <v>0.33459981925510984</v>
      </c>
      <c r="AE203" s="8">
        <v>1</v>
      </c>
      <c r="AF203" s="49">
        <v>0</v>
      </c>
      <c r="AH203" s="50">
        <f t="shared" ca="1" si="8"/>
        <v>0.59319827394654334</v>
      </c>
      <c r="AI203" s="8">
        <v>1</v>
      </c>
      <c r="AJ203" s="49">
        <v>0</v>
      </c>
      <c r="AL203" s="50">
        <f t="shared" ca="1" si="9"/>
        <v>0.31822928522526439</v>
      </c>
      <c r="AM203" s="8">
        <v>1</v>
      </c>
      <c r="AN203" s="49">
        <v>0</v>
      </c>
      <c r="AP203" s="50">
        <f t="shared" ca="1" si="10"/>
        <v>0.48552101829517635</v>
      </c>
      <c r="AQ203" s="8">
        <v>1</v>
      </c>
      <c r="AR203" s="49">
        <v>0</v>
      </c>
      <c r="AT203" s="50">
        <f t="shared" ca="1" si="11"/>
        <v>0.63960093422774922</v>
      </c>
      <c r="AU203" s="8">
        <v>1</v>
      </c>
      <c r="AV203" s="49">
        <v>0</v>
      </c>
      <c r="AX203" s="50">
        <f t="shared" ca="1" si="12"/>
        <v>0.24110387795193822</v>
      </c>
      <c r="AY203" s="8">
        <v>1</v>
      </c>
      <c r="AZ203" s="49">
        <v>0</v>
      </c>
      <c r="BB203" s="50">
        <f t="shared" ca="1" si="13"/>
        <v>0.40845537956547495</v>
      </c>
      <c r="BC203" s="8">
        <v>1</v>
      </c>
      <c r="BD203" s="49">
        <v>0</v>
      </c>
      <c r="BF203" s="50">
        <f t="shared" ca="1" si="14"/>
        <v>0.15295627050686289</v>
      </c>
      <c r="BG203" s="8">
        <v>1</v>
      </c>
      <c r="BH203" s="49">
        <v>0</v>
      </c>
      <c r="BJ203" s="50">
        <f t="shared" ca="1" si="15"/>
        <v>0.12644469929444302</v>
      </c>
      <c r="BK203" s="8">
        <v>1</v>
      </c>
      <c r="BL203" s="49">
        <v>0</v>
      </c>
      <c r="BN203" s="50">
        <f t="shared" ca="1" si="16"/>
        <v>0.14353083144619638</v>
      </c>
      <c r="BO203" s="8">
        <v>1</v>
      </c>
      <c r="BP203" s="49">
        <v>0</v>
      </c>
      <c r="BR203" s="50">
        <f t="shared" ca="1" si="17"/>
        <v>4.3717793157720175E-2</v>
      </c>
      <c r="BS203" s="8">
        <v>1</v>
      </c>
      <c r="BT203" s="49">
        <v>0</v>
      </c>
    </row>
    <row r="204" spans="1:72" x14ac:dyDescent="0.2">
      <c r="A204" s="22">
        <v>44751</v>
      </c>
      <c r="B204" s="50">
        <f t="shared" ca="1" si="0"/>
        <v>0.17754145707082336</v>
      </c>
      <c r="C204" s="8">
        <v>1</v>
      </c>
      <c r="D204" s="49">
        <v>0</v>
      </c>
      <c r="F204" s="50">
        <f t="shared" ca="1" si="1"/>
        <v>0.89200776558298378</v>
      </c>
      <c r="G204" s="8">
        <v>1</v>
      </c>
      <c r="H204" s="49">
        <v>0</v>
      </c>
      <c r="J204" s="50">
        <f t="shared" ca="1" si="2"/>
        <v>0.22381017605507469</v>
      </c>
      <c r="K204" s="8">
        <v>1</v>
      </c>
      <c r="L204" s="49">
        <v>0</v>
      </c>
      <c r="N204" s="50">
        <f t="shared" ca="1" si="3"/>
        <v>0.50214264292644717</v>
      </c>
      <c r="O204" s="8">
        <v>1</v>
      </c>
      <c r="P204" s="49">
        <v>0</v>
      </c>
      <c r="R204" s="50">
        <f t="shared" ca="1" si="4"/>
        <v>0.15177343644134544</v>
      </c>
      <c r="S204" s="8">
        <v>1</v>
      </c>
      <c r="T204" s="49">
        <v>0</v>
      </c>
      <c r="V204" s="50">
        <f t="shared" ca="1" si="5"/>
        <v>0.59907137457451998</v>
      </c>
      <c r="W204" s="8">
        <v>1</v>
      </c>
      <c r="X204" s="49">
        <v>0</v>
      </c>
      <c r="Z204" s="50">
        <f t="shared" ca="1" si="6"/>
        <v>0.61542586793121201</v>
      </c>
      <c r="AA204" s="8">
        <v>1</v>
      </c>
      <c r="AB204" s="49">
        <v>0</v>
      </c>
      <c r="AD204" s="50">
        <f t="shared" ca="1" si="7"/>
        <v>0.20852834015266142</v>
      </c>
      <c r="AE204" s="8">
        <v>1</v>
      </c>
      <c r="AF204" s="49">
        <v>0</v>
      </c>
      <c r="AH204" s="50">
        <f t="shared" ca="1" si="8"/>
        <v>0.88810278676863397</v>
      </c>
      <c r="AI204" s="8">
        <v>1</v>
      </c>
      <c r="AJ204" s="49">
        <v>0</v>
      </c>
      <c r="AL204" s="50">
        <f t="shared" ca="1" si="9"/>
        <v>0.15982939437892785</v>
      </c>
      <c r="AM204" s="8">
        <v>1</v>
      </c>
      <c r="AN204" s="49">
        <v>0</v>
      </c>
      <c r="AP204" s="50">
        <f t="shared" ca="1" si="10"/>
        <v>0.84134723062064998</v>
      </c>
      <c r="AQ204" s="8">
        <v>1</v>
      </c>
      <c r="AR204" s="49">
        <v>0</v>
      </c>
      <c r="AT204" s="50">
        <f t="shared" ca="1" si="11"/>
        <v>0.83868302793005267</v>
      </c>
      <c r="AU204" s="8">
        <v>1</v>
      </c>
      <c r="AV204" s="49">
        <v>0</v>
      </c>
      <c r="AX204" s="50">
        <f t="shared" ca="1" si="12"/>
        <v>0.90391782848464741</v>
      </c>
      <c r="AY204" s="8">
        <v>1</v>
      </c>
      <c r="AZ204" s="49">
        <v>0</v>
      </c>
      <c r="BB204" s="50">
        <f t="shared" ca="1" si="13"/>
        <v>0.88039368586982902</v>
      </c>
      <c r="BC204" s="8">
        <v>1</v>
      </c>
      <c r="BD204" s="49">
        <v>0</v>
      </c>
      <c r="BF204" s="50">
        <f t="shared" ca="1" si="14"/>
        <v>0.56365180681575489</v>
      </c>
      <c r="BG204" s="8">
        <v>1</v>
      </c>
      <c r="BH204" s="49">
        <v>0</v>
      </c>
      <c r="BJ204" s="50">
        <f t="shared" ca="1" si="15"/>
        <v>0.51658717325561909</v>
      </c>
      <c r="BK204" s="8">
        <v>1</v>
      </c>
      <c r="BL204" s="49">
        <v>0</v>
      </c>
      <c r="BN204" s="50">
        <f t="shared" ca="1" si="16"/>
        <v>0.3591448400345304</v>
      </c>
      <c r="BO204" s="8">
        <v>1</v>
      </c>
      <c r="BP204" s="49">
        <v>0</v>
      </c>
      <c r="BR204" s="50">
        <f t="shared" ca="1" si="17"/>
        <v>0.98169623607835965</v>
      </c>
      <c r="BS204" s="8">
        <v>1</v>
      </c>
      <c r="BT204" s="49">
        <v>0</v>
      </c>
    </row>
    <row r="205" spans="1:72" x14ac:dyDescent="0.2">
      <c r="A205" s="22">
        <v>44752</v>
      </c>
      <c r="B205" s="50">
        <f t="shared" ca="1" si="0"/>
        <v>0.31221990714386216</v>
      </c>
      <c r="C205" s="8">
        <v>1</v>
      </c>
      <c r="D205" s="49">
        <v>0</v>
      </c>
      <c r="F205" s="50">
        <f t="shared" ca="1" si="1"/>
        <v>0.49759047452651894</v>
      </c>
      <c r="G205" s="8">
        <v>1</v>
      </c>
      <c r="H205" s="49">
        <v>0</v>
      </c>
      <c r="J205" s="50">
        <f t="shared" ca="1" si="2"/>
        <v>0.47822204482943242</v>
      </c>
      <c r="K205" s="8">
        <v>1</v>
      </c>
      <c r="L205" s="49">
        <v>0</v>
      </c>
      <c r="N205" s="50">
        <f t="shared" ca="1" si="3"/>
        <v>3.8426012317034242E-2</v>
      </c>
      <c r="O205" s="8">
        <v>1</v>
      </c>
      <c r="P205" s="49">
        <v>0</v>
      </c>
      <c r="R205" s="50">
        <f t="shared" ca="1" si="4"/>
        <v>0.8081304150166021</v>
      </c>
      <c r="S205" s="8">
        <v>1</v>
      </c>
      <c r="T205" s="49">
        <v>0</v>
      </c>
      <c r="V205" s="50">
        <f t="shared" ca="1" si="5"/>
        <v>0.16320157315045558</v>
      </c>
      <c r="W205" s="8">
        <v>1</v>
      </c>
      <c r="X205" s="49">
        <v>0</v>
      </c>
      <c r="Z205" s="50">
        <f t="shared" ca="1" si="6"/>
        <v>0.97422876253925672</v>
      </c>
      <c r="AA205" s="8">
        <v>1</v>
      </c>
      <c r="AB205" s="49">
        <v>0</v>
      </c>
      <c r="AD205" s="50">
        <f t="shared" ca="1" si="7"/>
        <v>0.11713302029052097</v>
      </c>
      <c r="AE205" s="8">
        <v>1</v>
      </c>
      <c r="AF205" s="49">
        <v>0</v>
      </c>
      <c r="AH205" s="50">
        <f t="shared" ca="1" si="8"/>
        <v>0.2760595167832518</v>
      </c>
      <c r="AI205" s="8">
        <v>1</v>
      </c>
      <c r="AJ205" s="49">
        <v>0</v>
      </c>
      <c r="AL205" s="50">
        <f t="shared" ca="1" si="9"/>
        <v>0.19066977685765774</v>
      </c>
      <c r="AM205" s="8">
        <v>1</v>
      </c>
      <c r="AN205" s="49">
        <v>0</v>
      </c>
      <c r="AP205" s="50">
        <f t="shared" ca="1" si="10"/>
        <v>0.65808990709877235</v>
      </c>
      <c r="AQ205" s="8">
        <v>1</v>
      </c>
      <c r="AR205" s="49">
        <v>0</v>
      </c>
      <c r="AT205" s="50">
        <f t="shared" ca="1" si="11"/>
        <v>0.79736307391474759</v>
      </c>
      <c r="AU205" s="8">
        <v>1</v>
      </c>
      <c r="AV205" s="49">
        <v>0</v>
      </c>
      <c r="AX205" s="50">
        <f t="shared" ca="1" si="12"/>
        <v>7.3492878962128416E-2</v>
      </c>
      <c r="AY205" s="8">
        <v>1</v>
      </c>
      <c r="AZ205" s="49">
        <v>0</v>
      </c>
      <c r="BB205" s="50">
        <f t="shared" ca="1" si="13"/>
        <v>0.63867926418383669</v>
      </c>
      <c r="BC205" s="8">
        <v>1</v>
      </c>
      <c r="BD205" s="49">
        <v>0</v>
      </c>
      <c r="BF205" s="50">
        <f t="shared" ca="1" si="14"/>
        <v>0.1818544064943074</v>
      </c>
      <c r="BG205" s="8">
        <v>1</v>
      </c>
      <c r="BH205" s="49">
        <v>0</v>
      </c>
      <c r="BJ205" s="50">
        <f t="shared" ca="1" si="15"/>
        <v>8.3876654192150624E-2</v>
      </c>
      <c r="BK205" s="8">
        <v>1</v>
      </c>
      <c r="BL205" s="49">
        <v>0</v>
      </c>
      <c r="BN205" s="50">
        <f t="shared" ca="1" si="16"/>
        <v>0.54385522603050618</v>
      </c>
      <c r="BO205" s="8">
        <v>1</v>
      </c>
      <c r="BP205" s="49">
        <v>0</v>
      </c>
      <c r="BR205" s="50">
        <f t="shared" ca="1" si="17"/>
        <v>0.50147398036642776</v>
      </c>
      <c r="BS205" s="8">
        <v>1</v>
      </c>
      <c r="BT205" s="49">
        <v>0</v>
      </c>
    </row>
    <row r="206" spans="1:72" x14ac:dyDescent="0.2">
      <c r="A206" s="22">
        <v>44753</v>
      </c>
      <c r="B206" s="50">
        <f t="shared" ca="1" si="0"/>
        <v>0.34835712425928766</v>
      </c>
      <c r="C206" s="8">
        <v>1</v>
      </c>
      <c r="D206" s="49">
        <v>0</v>
      </c>
      <c r="F206" s="50">
        <f t="shared" ca="1" si="1"/>
        <v>0.25241108068401907</v>
      </c>
      <c r="G206" s="8">
        <v>1</v>
      </c>
      <c r="H206" s="49">
        <v>0</v>
      </c>
      <c r="J206" s="50">
        <f t="shared" ca="1" si="2"/>
        <v>0.90308734561203718</v>
      </c>
      <c r="K206" s="8">
        <v>1</v>
      </c>
      <c r="L206" s="49">
        <v>0</v>
      </c>
      <c r="N206" s="50">
        <f t="shared" ca="1" si="3"/>
        <v>0.92459002967612114</v>
      </c>
      <c r="O206" s="8">
        <v>1</v>
      </c>
      <c r="P206" s="49">
        <v>0</v>
      </c>
      <c r="R206" s="50">
        <f t="shared" ca="1" si="4"/>
        <v>0.42756205778121747</v>
      </c>
      <c r="S206" s="8">
        <v>1</v>
      </c>
      <c r="T206" s="49">
        <v>0</v>
      </c>
      <c r="V206" s="50">
        <f t="shared" ca="1" si="5"/>
        <v>0.95544513557216004</v>
      </c>
      <c r="W206" s="8">
        <v>1</v>
      </c>
      <c r="X206" s="49">
        <v>0</v>
      </c>
      <c r="Z206" s="50">
        <f t="shared" ca="1" si="6"/>
        <v>0.69602625583145528</v>
      </c>
      <c r="AA206" s="8">
        <v>1</v>
      </c>
      <c r="AB206" s="49">
        <v>0</v>
      </c>
      <c r="AD206" s="50">
        <f t="shared" ca="1" si="7"/>
        <v>0.30071537543888893</v>
      </c>
      <c r="AE206" s="8">
        <v>1</v>
      </c>
      <c r="AF206" s="49">
        <v>0</v>
      </c>
      <c r="AH206" s="50">
        <f t="shared" ca="1" si="8"/>
        <v>0.24659374223150188</v>
      </c>
      <c r="AI206" s="8">
        <v>1</v>
      </c>
      <c r="AJ206" s="49">
        <v>0</v>
      </c>
      <c r="AL206" s="50">
        <f t="shared" ca="1" si="9"/>
        <v>0.8947588926572545</v>
      </c>
      <c r="AM206" s="8">
        <v>1</v>
      </c>
      <c r="AN206" s="49">
        <v>0</v>
      </c>
      <c r="AP206" s="50">
        <f t="shared" ca="1" si="10"/>
        <v>0.62057712775086971</v>
      </c>
      <c r="AQ206" s="8">
        <v>1</v>
      </c>
      <c r="AR206" s="49">
        <v>0</v>
      </c>
      <c r="AT206" s="50">
        <f t="shared" ca="1" si="11"/>
        <v>0.47473686889339128</v>
      </c>
      <c r="AU206" s="8">
        <v>1</v>
      </c>
      <c r="AV206" s="49">
        <v>0</v>
      </c>
      <c r="AX206" s="50">
        <f t="shared" ca="1" si="12"/>
        <v>0.69171139869240705</v>
      </c>
      <c r="AY206" s="8">
        <v>1</v>
      </c>
      <c r="AZ206" s="49">
        <v>0</v>
      </c>
      <c r="BB206" s="50">
        <f t="shared" ca="1" si="13"/>
        <v>0.3753113803057162</v>
      </c>
      <c r="BC206" s="8">
        <v>1</v>
      </c>
      <c r="BD206" s="49">
        <v>0</v>
      </c>
      <c r="BF206" s="50">
        <f t="shared" ca="1" si="14"/>
        <v>0.5414999885051005</v>
      </c>
      <c r="BG206" s="8">
        <v>1</v>
      </c>
      <c r="BH206" s="49">
        <v>0</v>
      </c>
      <c r="BJ206" s="50">
        <f t="shared" ca="1" si="15"/>
        <v>0.58877214206688611</v>
      </c>
      <c r="BK206" s="8">
        <v>1</v>
      </c>
      <c r="BL206" s="49">
        <v>0</v>
      </c>
      <c r="BN206" s="50">
        <f t="shared" ca="1" si="16"/>
        <v>0.21034965405958261</v>
      </c>
      <c r="BO206" s="8">
        <v>1</v>
      </c>
      <c r="BP206" s="49">
        <v>0</v>
      </c>
      <c r="BR206" s="50">
        <f t="shared" ca="1" si="17"/>
        <v>0.11106493299809184</v>
      </c>
      <c r="BS206" s="8">
        <v>1</v>
      </c>
      <c r="BT206" s="49">
        <v>0</v>
      </c>
    </row>
    <row r="207" spans="1:72" x14ac:dyDescent="0.2">
      <c r="A207" s="22">
        <v>44754</v>
      </c>
      <c r="B207" s="50">
        <f t="shared" ca="1" si="0"/>
        <v>0.69524827766603026</v>
      </c>
      <c r="C207" s="8">
        <v>1</v>
      </c>
      <c r="D207" s="49">
        <v>0</v>
      </c>
      <c r="F207" s="50">
        <f t="shared" ca="1" si="1"/>
        <v>0.16655974954279851</v>
      </c>
      <c r="G207" s="8">
        <v>1</v>
      </c>
      <c r="H207" s="49">
        <v>0</v>
      </c>
      <c r="J207" s="50">
        <f t="shared" ca="1" si="2"/>
        <v>0.41571656717261174</v>
      </c>
      <c r="K207" s="8">
        <v>1</v>
      </c>
      <c r="L207" s="49">
        <v>0</v>
      </c>
      <c r="N207" s="50">
        <f t="shared" ca="1" si="3"/>
        <v>9.9874585256738979E-2</v>
      </c>
      <c r="O207" s="8">
        <v>1</v>
      </c>
      <c r="P207" s="49">
        <v>0</v>
      </c>
      <c r="R207" s="50">
        <f t="shared" ca="1" si="4"/>
        <v>0.46050746438175116</v>
      </c>
      <c r="S207" s="8">
        <v>1</v>
      </c>
      <c r="T207" s="49">
        <v>0</v>
      </c>
      <c r="V207" s="50">
        <f t="shared" ca="1" si="5"/>
        <v>0.92362038069240504</v>
      </c>
      <c r="W207" s="8">
        <v>1</v>
      </c>
      <c r="X207" s="49">
        <v>0</v>
      </c>
      <c r="Z207" s="50">
        <f t="shared" ca="1" si="6"/>
        <v>0.12517256841945257</v>
      </c>
      <c r="AA207" s="8">
        <v>1</v>
      </c>
      <c r="AB207" s="49">
        <v>0</v>
      </c>
      <c r="AD207" s="50">
        <f t="shared" ca="1" si="7"/>
        <v>0.14182958863550188</v>
      </c>
      <c r="AE207" s="8">
        <v>1</v>
      </c>
      <c r="AF207" s="49">
        <v>0</v>
      </c>
      <c r="AH207" s="50">
        <f t="shared" ca="1" si="8"/>
        <v>0.97856586251572952</v>
      </c>
      <c r="AI207" s="8">
        <v>1</v>
      </c>
      <c r="AJ207" s="49">
        <v>0</v>
      </c>
      <c r="AL207" s="50">
        <f t="shared" ca="1" si="9"/>
        <v>0.32393990523347549</v>
      </c>
      <c r="AM207" s="8">
        <v>1</v>
      </c>
      <c r="AN207" s="49">
        <v>0</v>
      </c>
      <c r="AP207" s="50">
        <f t="shared" ca="1" si="10"/>
        <v>0.78494410217353583</v>
      </c>
      <c r="AQ207" s="8">
        <v>1</v>
      </c>
      <c r="AR207" s="49">
        <v>0</v>
      </c>
      <c r="AT207" s="50">
        <f t="shared" ca="1" si="11"/>
        <v>0.96261414404866597</v>
      </c>
      <c r="AU207" s="8">
        <v>1</v>
      </c>
      <c r="AV207" s="49">
        <v>0</v>
      </c>
      <c r="AX207" s="50">
        <f t="shared" ca="1" si="12"/>
        <v>0.83114418358726438</v>
      </c>
      <c r="AY207" s="8">
        <v>1</v>
      </c>
      <c r="AZ207" s="49">
        <v>0</v>
      </c>
      <c r="BB207" s="50">
        <f t="shared" ca="1" si="13"/>
        <v>0.84655727532225677</v>
      </c>
      <c r="BC207" s="8">
        <v>1</v>
      </c>
      <c r="BD207" s="49">
        <v>0</v>
      </c>
      <c r="BF207" s="50">
        <f t="shared" ca="1" si="14"/>
        <v>0.59125061889434871</v>
      </c>
      <c r="BG207" s="8">
        <v>1</v>
      </c>
      <c r="BH207" s="49">
        <v>0</v>
      </c>
      <c r="BJ207" s="50">
        <f t="shared" ca="1" si="15"/>
        <v>0.73562213683582711</v>
      </c>
      <c r="BK207" s="8">
        <v>1</v>
      </c>
      <c r="BL207" s="49">
        <v>0</v>
      </c>
      <c r="BN207" s="50">
        <f t="shared" ca="1" si="16"/>
        <v>0.48070535174462381</v>
      </c>
      <c r="BO207" s="8">
        <v>1</v>
      </c>
      <c r="BP207" s="49">
        <v>0</v>
      </c>
      <c r="BR207" s="50">
        <f t="shared" ca="1" si="17"/>
        <v>0.55811584347206089</v>
      </c>
      <c r="BS207" s="8">
        <v>1</v>
      </c>
      <c r="BT207" s="49">
        <v>0</v>
      </c>
    </row>
    <row r="208" spans="1:72" x14ac:dyDescent="0.2">
      <c r="A208" s="22">
        <v>44755</v>
      </c>
      <c r="B208" s="50">
        <f t="shared" ca="1" si="0"/>
        <v>0.30233493943745071</v>
      </c>
      <c r="C208" s="8">
        <v>1</v>
      </c>
      <c r="D208" s="49">
        <v>0</v>
      </c>
      <c r="F208" s="50">
        <f t="shared" ca="1" si="1"/>
        <v>0.41962540250653912</v>
      </c>
      <c r="G208" s="8">
        <v>1</v>
      </c>
      <c r="H208" s="49">
        <v>0</v>
      </c>
      <c r="J208" s="50">
        <f t="shared" ca="1" si="2"/>
        <v>0.25398213902301248</v>
      </c>
      <c r="K208" s="8">
        <v>1</v>
      </c>
      <c r="L208" s="49">
        <v>0</v>
      </c>
      <c r="N208" s="50">
        <f t="shared" ca="1" si="3"/>
        <v>3.0215551091712367E-2</v>
      </c>
      <c r="O208" s="8">
        <v>1</v>
      </c>
      <c r="P208" s="49">
        <v>0</v>
      </c>
      <c r="R208" s="50">
        <f t="shared" ca="1" si="4"/>
        <v>9.5390401723476792E-2</v>
      </c>
      <c r="S208" s="8">
        <v>1</v>
      </c>
      <c r="T208" s="49">
        <v>0</v>
      </c>
      <c r="V208" s="50">
        <f t="shared" ca="1" si="5"/>
        <v>0.64981738517951793</v>
      </c>
      <c r="W208" s="8">
        <v>1</v>
      </c>
      <c r="X208" s="49">
        <v>0</v>
      </c>
      <c r="Z208" s="50">
        <f t="shared" ca="1" si="6"/>
        <v>0.52758386463006013</v>
      </c>
      <c r="AA208" s="8">
        <v>1</v>
      </c>
      <c r="AB208" s="49">
        <v>0</v>
      </c>
      <c r="AD208" s="50">
        <f t="shared" ca="1" si="7"/>
        <v>8.3247545929050482E-3</v>
      </c>
      <c r="AE208" s="8">
        <v>1</v>
      </c>
      <c r="AF208" s="49">
        <v>0</v>
      </c>
      <c r="AH208" s="50">
        <f t="shared" ca="1" si="8"/>
        <v>0.4312647086464273</v>
      </c>
      <c r="AI208" s="8">
        <v>1</v>
      </c>
      <c r="AJ208" s="49">
        <v>0</v>
      </c>
      <c r="AL208" s="50">
        <f t="shared" ca="1" si="9"/>
        <v>0.33945360230249744</v>
      </c>
      <c r="AM208" s="8">
        <v>1</v>
      </c>
      <c r="AN208" s="49">
        <v>0</v>
      </c>
      <c r="AP208" s="50">
        <f t="shared" ca="1" si="10"/>
        <v>0.23637834376861</v>
      </c>
      <c r="AQ208" s="8">
        <v>1</v>
      </c>
      <c r="AR208" s="49">
        <v>0</v>
      </c>
      <c r="AT208" s="50">
        <f t="shared" ca="1" si="11"/>
        <v>0.2482657774668009</v>
      </c>
      <c r="AU208" s="8">
        <v>1</v>
      </c>
      <c r="AV208" s="49">
        <v>0</v>
      </c>
      <c r="AX208" s="50">
        <f t="shared" ca="1" si="12"/>
        <v>0.18896881072443072</v>
      </c>
      <c r="AY208" s="8">
        <v>1</v>
      </c>
      <c r="AZ208" s="49">
        <v>0</v>
      </c>
      <c r="BB208" s="50">
        <f t="shared" ca="1" si="13"/>
        <v>0.50093827965694815</v>
      </c>
      <c r="BC208" s="8">
        <v>1</v>
      </c>
      <c r="BD208" s="49">
        <v>0</v>
      </c>
      <c r="BF208" s="50">
        <f t="shared" ca="1" si="14"/>
        <v>0.34687268174594132</v>
      </c>
      <c r="BG208" s="8">
        <v>1</v>
      </c>
      <c r="BH208" s="49">
        <v>0</v>
      </c>
      <c r="BJ208" s="50">
        <f t="shared" ca="1" si="15"/>
        <v>0.93237754806247597</v>
      </c>
      <c r="BK208" s="8">
        <v>1</v>
      </c>
      <c r="BL208" s="49">
        <v>0</v>
      </c>
      <c r="BN208" s="50">
        <f t="shared" ca="1" si="16"/>
        <v>0.68410093043872122</v>
      </c>
      <c r="BO208" s="8">
        <v>1</v>
      </c>
      <c r="BP208" s="49">
        <v>0</v>
      </c>
      <c r="BR208" s="50">
        <f t="shared" ca="1" si="17"/>
        <v>0.66983434234062467</v>
      </c>
      <c r="BS208" s="8">
        <v>1</v>
      </c>
      <c r="BT208" s="49">
        <v>0</v>
      </c>
    </row>
    <row r="209" spans="1:72" x14ac:dyDescent="0.2">
      <c r="A209" s="22">
        <v>44756</v>
      </c>
      <c r="B209" s="50">
        <f t="shared" ca="1" si="0"/>
        <v>0.39747945923615524</v>
      </c>
      <c r="C209" s="8">
        <v>1</v>
      </c>
      <c r="D209" s="49">
        <v>0</v>
      </c>
      <c r="F209" s="50">
        <f t="shared" ca="1" si="1"/>
        <v>0.92055734006884848</v>
      </c>
      <c r="G209" s="8">
        <v>1</v>
      </c>
      <c r="H209" s="49">
        <v>0</v>
      </c>
      <c r="J209" s="50">
        <f t="shared" ca="1" si="2"/>
        <v>8.312884542690957E-2</v>
      </c>
      <c r="K209" s="8">
        <v>1</v>
      </c>
      <c r="L209" s="49">
        <v>0</v>
      </c>
      <c r="N209" s="50">
        <f t="shared" ca="1" si="3"/>
        <v>0.78318095546281297</v>
      </c>
      <c r="O209" s="8">
        <v>1</v>
      </c>
      <c r="P209" s="49">
        <v>0</v>
      </c>
      <c r="R209" s="50">
        <f t="shared" ca="1" si="4"/>
        <v>0.78662221105049346</v>
      </c>
      <c r="S209" s="8">
        <v>1</v>
      </c>
      <c r="T209" s="49">
        <v>0</v>
      </c>
      <c r="V209" s="50">
        <f t="shared" ca="1" si="5"/>
        <v>2.1346506210543348E-2</v>
      </c>
      <c r="W209" s="8">
        <v>1</v>
      </c>
      <c r="X209" s="49">
        <v>0</v>
      </c>
      <c r="Z209" s="50">
        <f t="shared" ca="1" si="6"/>
        <v>0.29412726385723054</v>
      </c>
      <c r="AA209" s="8">
        <v>1</v>
      </c>
      <c r="AB209" s="49">
        <v>0</v>
      </c>
      <c r="AD209" s="50">
        <f t="shared" ca="1" si="7"/>
        <v>8.4513552399689829E-3</v>
      </c>
      <c r="AE209" s="8">
        <v>1</v>
      </c>
      <c r="AF209" s="49">
        <v>0</v>
      </c>
      <c r="AH209" s="50">
        <f t="shared" ca="1" si="8"/>
        <v>0.17024114819640457</v>
      </c>
      <c r="AI209" s="8">
        <v>1</v>
      </c>
      <c r="AJ209" s="49">
        <v>0</v>
      </c>
      <c r="AL209" s="50">
        <f t="shared" ca="1" si="9"/>
        <v>0.56171312969724352</v>
      </c>
      <c r="AM209" s="8">
        <v>1</v>
      </c>
      <c r="AN209" s="49">
        <v>0</v>
      </c>
      <c r="AP209" s="50">
        <f t="shared" ca="1" si="10"/>
        <v>0.42862444585453019</v>
      </c>
      <c r="AQ209" s="8">
        <v>1</v>
      </c>
      <c r="AR209" s="49">
        <v>0</v>
      </c>
      <c r="AT209" s="50">
        <f t="shared" ca="1" si="11"/>
        <v>0.43868875454688061</v>
      </c>
      <c r="AU209" s="8">
        <v>1</v>
      </c>
      <c r="AV209" s="49">
        <v>0</v>
      </c>
      <c r="AX209" s="50">
        <f t="shared" ca="1" si="12"/>
        <v>0.22484058005721497</v>
      </c>
      <c r="AY209" s="8">
        <v>1</v>
      </c>
      <c r="AZ209" s="49">
        <v>0</v>
      </c>
      <c r="BB209" s="50">
        <f t="shared" ca="1" si="13"/>
        <v>0.89171028710295408</v>
      </c>
      <c r="BC209" s="8">
        <v>1</v>
      </c>
      <c r="BD209" s="49">
        <v>0</v>
      </c>
      <c r="BF209" s="50">
        <f t="shared" ca="1" si="14"/>
        <v>0.63510868238526086</v>
      </c>
      <c r="BG209" s="8">
        <v>1</v>
      </c>
      <c r="BH209" s="49">
        <v>0</v>
      </c>
      <c r="BJ209" s="50">
        <f t="shared" ca="1" si="15"/>
        <v>0.83847589363544706</v>
      </c>
      <c r="BK209" s="8">
        <v>1</v>
      </c>
      <c r="BL209" s="49">
        <v>0</v>
      </c>
      <c r="BN209" s="50">
        <f t="shared" ca="1" si="16"/>
        <v>0.79802712966744604</v>
      </c>
      <c r="BO209" s="8">
        <v>1</v>
      </c>
      <c r="BP209" s="49">
        <v>0</v>
      </c>
      <c r="BR209" s="50">
        <f t="shared" ca="1" si="17"/>
        <v>0.57487723699662741</v>
      </c>
      <c r="BS209" s="8">
        <v>1</v>
      </c>
      <c r="BT209" s="49">
        <v>0</v>
      </c>
    </row>
    <row r="210" spans="1:72" x14ac:dyDescent="0.2">
      <c r="A210" s="22">
        <v>44757</v>
      </c>
      <c r="B210" s="50">
        <f t="shared" ca="1" si="0"/>
        <v>0.39160499837134943</v>
      </c>
      <c r="C210" s="8">
        <v>1</v>
      </c>
      <c r="D210" s="49">
        <v>0</v>
      </c>
      <c r="F210" s="50">
        <f t="shared" ca="1" si="1"/>
        <v>3.2852808569431291E-2</v>
      </c>
      <c r="G210" s="8">
        <v>1</v>
      </c>
      <c r="H210" s="49">
        <v>0</v>
      </c>
      <c r="J210" s="50">
        <f t="shared" ca="1" si="2"/>
        <v>0.59082256632433983</v>
      </c>
      <c r="K210" s="8">
        <v>1</v>
      </c>
      <c r="L210" s="49">
        <v>0</v>
      </c>
      <c r="N210" s="50">
        <f t="shared" ca="1" si="3"/>
        <v>0.29524363766313144</v>
      </c>
      <c r="O210" s="8">
        <v>1</v>
      </c>
      <c r="P210" s="49">
        <v>0</v>
      </c>
      <c r="R210" s="50">
        <f t="shared" ca="1" si="4"/>
        <v>0.32389051593119933</v>
      </c>
      <c r="S210" s="8">
        <v>1</v>
      </c>
      <c r="T210" s="49">
        <v>0</v>
      </c>
      <c r="V210" s="50">
        <f t="shared" ca="1" si="5"/>
        <v>0.74501564141129295</v>
      </c>
      <c r="W210" s="8">
        <v>1</v>
      </c>
      <c r="X210" s="49">
        <v>0</v>
      </c>
      <c r="Z210" s="50">
        <f t="shared" ca="1" si="6"/>
        <v>0.55680219735523673</v>
      </c>
      <c r="AA210" s="8">
        <v>1</v>
      </c>
      <c r="AB210" s="49">
        <v>0</v>
      </c>
      <c r="AD210" s="50">
        <f t="shared" ca="1" si="7"/>
        <v>9.8970985241295217E-2</v>
      </c>
      <c r="AE210" s="8">
        <v>1</v>
      </c>
      <c r="AF210" s="49">
        <v>0</v>
      </c>
      <c r="AH210" s="50">
        <f t="shared" ca="1" si="8"/>
        <v>0.19748506686730449</v>
      </c>
      <c r="AI210" s="8">
        <v>1</v>
      </c>
      <c r="AJ210" s="49">
        <v>0</v>
      </c>
      <c r="AL210" s="50">
        <f t="shared" ca="1" si="9"/>
        <v>7.5555676859196508E-2</v>
      </c>
      <c r="AM210" s="8">
        <v>1</v>
      </c>
      <c r="AN210" s="49">
        <v>0</v>
      </c>
      <c r="AP210" s="50">
        <f t="shared" ca="1" si="10"/>
        <v>0.96794611401379682</v>
      </c>
      <c r="AQ210" s="8">
        <v>1</v>
      </c>
      <c r="AR210" s="49">
        <v>0</v>
      </c>
      <c r="AT210" s="50">
        <f t="shared" ca="1" si="11"/>
        <v>0.55477119967880695</v>
      </c>
      <c r="AU210" s="8">
        <v>1</v>
      </c>
      <c r="AV210" s="49">
        <v>0</v>
      </c>
      <c r="AX210" s="50">
        <f t="shared" ca="1" si="12"/>
        <v>0.31570626987878514</v>
      </c>
      <c r="AY210" s="8">
        <v>1</v>
      </c>
      <c r="AZ210" s="49">
        <v>0</v>
      </c>
      <c r="BB210" s="50">
        <f t="shared" ca="1" si="13"/>
        <v>0.74140606258497088</v>
      </c>
      <c r="BC210" s="8">
        <v>1</v>
      </c>
      <c r="BD210" s="49">
        <v>0</v>
      </c>
      <c r="BF210" s="50">
        <f t="shared" ca="1" si="14"/>
        <v>0.15693550952176161</v>
      </c>
      <c r="BG210" s="8">
        <v>1</v>
      </c>
      <c r="BH210" s="49">
        <v>0</v>
      </c>
      <c r="BJ210" s="50">
        <f t="shared" ca="1" si="15"/>
        <v>0.43589295417186402</v>
      </c>
      <c r="BK210" s="8">
        <v>1</v>
      </c>
      <c r="BL210" s="49">
        <v>0</v>
      </c>
      <c r="BN210" s="50">
        <f t="shared" ca="1" si="16"/>
        <v>0.24166050484602786</v>
      </c>
      <c r="BO210" s="8">
        <v>1</v>
      </c>
      <c r="BP210" s="49">
        <v>0</v>
      </c>
      <c r="BR210" s="50">
        <f t="shared" ca="1" si="17"/>
        <v>0.78967293846633579</v>
      </c>
      <c r="BS210" s="8">
        <v>1</v>
      </c>
      <c r="BT210" s="49">
        <v>0</v>
      </c>
    </row>
    <row r="211" spans="1:72" x14ac:dyDescent="0.2">
      <c r="A211" s="22">
        <v>44758</v>
      </c>
      <c r="B211" s="50">
        <f t="shared" ca="1" si="0"/>
        <v>0.72657277540077336</v>
      </c>
      <c r="C211" s="8">
        <v>1</v>
      </c>
      <c r="D211" s="49">
        <v>0</v>
      </c>
      <c r="F211" s="50">
        <f t="shared" ca="1" si="1"/>
        <v>0.97049131550689371</v>
      </c>
      <c r="G211" s="8">
        <v>1</v>
      </c>
      <c r="H211" s="49">
        <v>0</v>
      </c>
      <c r="J211" s="50">
        <f t="shared" ca="1" si="2"/>
        <v>5.817196710158512E-2</v>
      </c>
      <c r="K211" s="8">
        <v>1</v>
      </c>
      <c r="L211" s="49">
        <v>0</v>
      </c>
      <c r="N211" s="50">
        <f t="shared" ca="1" si="3"/>
        <v>0.59978510132067531</v>
      </c>
      <c r="O211" s="8">
        <v>1</v>
      </c>
      <c r="P211" s="49">
        <v>0</v>
      </c>
      <c r="R211" s="50">
        <f t="shared" ca="1" si="4"/>
        <v>0.98734885720523324</v>
      </c>
      <c r="S211" s="8">
        <v>1</v>
      </c>
      <c r="T211" s="49">
        <v>0</v>
      </c>
      <c r="V211" s="50">
        <f t="shared" ca="1" si="5"/>
        <v>0.11532246959092385</v>
      </c>
      <c r="W211" s="8">
        <v>1</v>
      </c>
      <c r="X211" s="49">
        <v>0</v>
      </c>
      <c r="Z211" s="50">
        <f t="shared" ca="1" si="6"/>
        <v>0.13518184481043638</v>
      </c>
      <c r="AA211" s="8">
        <v>1</v>
      </c>
      <c r="AB211" s="49">
        <v>0</v>
      </c>
      <c r="AD211" s="50">
        <f t="shared" ca="1" si="7"/>
        <v>4.3768447527026133E-4</v>
      </c>
      <c r="AE211" s="8">
        <v>1</v>
      </c>
      <c r="AF211" s="49">
        <v>0</v>
      </c>
      <c r="AH211" s="50">
        <f t="shared" ca="1" si="8"/>
        <v>1.5232199603962937E-2</v>
      </c>
      <c r="AI211" s="8">
        <v>1</v>
      </c>
      <c r="AJ211" s="49">
        <v>0</v>
      </c>
      <c r="AL211" s="50">
        <f t="shared" ca="1" si="9"/>
        <v>0.30371475989033359</v>
      </c>
      <c r="AM211" s="8">
        <v>1</v>
      </c>
      <c r="AN211" s="49">
        <v>0</v>
      </c>
      <c r="AP211" s="50">
        <f t="shared" ca="1" si="10"/>
        <v>0.38722329910696562</v>
      </c>
      <c r="AQ211" s="8">
        <v>1</v>
      </c>
      <c r="AR211" s="49">
        <v>0</v>
      </c>
      <c r="AT211" s="50">
        <f t="shared" ca="1" si="11"/>
        <v>0.64599642534295243</v>
      </c>
      <c r="AU211" s="8">
        <v>1</v>
      </c>
      <c r="AV211" s="49">
        <v>0</v>
      </c>
      <c r="AX211" s="50">
        <f t="shared" ca="1" si="12"/>
        <v>0.52520765520841317</v>
      </c>
      <c r="AY211" s="8">
        <v>1</v>
      </c>
      <c r="AZ211" s="49">
        <v>0</v>
      </c>
      <c r="BB211" s="50">
        <f t="shared" ca="1" si="13"/>
        <v>0.6872557017333818</v>
      </c>
      <c r="BC211" s="8">
        <v>1</v>
      </c>
      <c r="BD211" s="49">
        <v>0</v>
      </c>
      <c r="BF211" s="50">
        <f t="shared" ca="1" si="14"/>
        <v>0.91693136876311032</v>
      </c>
      <c r="BG211" s="8">
        <v>1</v>
      </c>
      <c r="BH211" s="49">
        <v>0</v>
      </c>
      <c r="BJ211" s="50">
        <f t="shared" ca="1" si="15"/>
        <v>0.44974559735630504</v>
      </c>
      <c r="BK211" s="8">
        <v>1</v>
      </c>
      <c r="BL211" s="49">
        <v>0</v>
      </c>
      <c r="BN211" s="50">
        <f t="shared" ca="1" si="16"/>
        <v>0.44422240640638277</v>
      </c>
      <c r="BO211" s="8">
        <v>1</v>
      </c>
      <c r="BP211" s="49">
        <v>0</v>
      </c>
      <c r="BR211" s="50">
        <f t="shared" ca="1" si="17"/>
        <v>0.38062021968869075</v>
      </c>
      <c r="BS211" s="8">
        <v>1</v>
      </c>
      <c r="BT211" s="49">
        <v>0</v>
      </c>
    </row>
    <row r="212" spans="1:72" x14ac:dyDescent="0.2">
      <c r="A212" s="22">
        <v>44759</v>
      </c>
      <c r="B212" s="50">
        <f t="shared" ca="1" si="0"/>
        <v>0.57865987792520213</v>
      </c>
      <c r="C212" s="8">
        <v>1</v>
      </c>
      <c r="D212" s="49">
        <v>0</v>
      </c>
      <c r="F212" s="50">
        <f t="shared" ca="1" si="1"/>
        <v>0.31146907355794651</v>
      </c>
      <c r="G212" s="8">
        <v>1</v>
      </c>
      <c r="H212" s="49">
        <v>0</v>
      </c>
      <c r="J212" s="50">
        <f t="shared" ca="1" si="2"/>
        <v>0.56533216487983284</v>
      </c>
      <c r="K212" s="8">
        <v>1</v>
      </c>
      <c r="L212" s="49">
        <v>0</v>
      </c>
      <c r="N212" s="50">
        <f t="shared" ca="1" si="3"/>
        <v>9.5380178668980964E-2</v>
      </c>
      <c r="O212" s="8">
        <v>1</v>
      </c>
      <c r="P212" s="49">
        <v>0</v>
      </c>
      <c r="R212" s="50">
        <f t="shared" ca="1" si="4"/>
        <v>0.53730211745990331</v>
      </c>
      <c r="S212" s="8">
        <v>1</v>
      </c>
      <c r="T212" s="49">
        <v>0</v>
      </c>
      <c r="V212" s="50">
        <f t="shared" ca="1" si="5"/>
        <v>0.79210364028988267</v>
      </c>
      <c r="W212" s="8">
        <v>1</v>
      </c>
      <c r="X212" s="49">
        <v>0</v>
      </c>
      <c r="Z212" s="50">
        <f t="shared" ca="1" si="6"/>
        <v>0.61812712198750386</v>
      </c>
      <c r="AA212" s="8">
        <v>1</v>
      </c>
      <c r="AB212" s="49">
        <v>0</v>
      </c>
      <c r="AD212" s="50">
        <f t="shared" ca="1" si="7"/>
        <v>0.19031146164233537</v>
      </c>
      <c r="AE212" s="8">
        <v>1</v>
      </c>
      <c r="AF212" s="49">
        <v>0</v>
      </c>
      <c r="AH212" s="50">
        <f t="shared" ca="1" si="8"/>
        <v>0.44347723420929785</v>
      </c>
      <c r="AI212" s="8">
        <v>1</v>
      </c>
      <c r="AJ212" s="49">
        <v>0</v>
      </c>
      <c r="AL212" s="50">
        <f t="shared" ca="1" si="9"/>
        <v>0.69957231386762431</v>
      </c>
      <c r="AM212" s="8">
        <v>1</v>
      </c>
      <c r="AN212" s="49">
        <v>0</v>
      </c>
      <c r="AP212" s="50">
        <f t="shared" ca="1" si="10"/>
        <v>0.63400937812681613</v>
      </c>
      <c r="AQ212" s="8">
        <v>1</v>
      </c>
      <c r="AR212" s="49">
        <v>0</v>
      </c>
      <c r="AT212" s="50">
        <f t="shared" ca="1" si="11"/>
        <v>0.72559150609537637</v>
      </c>
      <c r="AU212" s="8">
        <v>1</v>
      </c>
      <c r="AV212" s="49">
        <v>0</v>
      </c>
      <c r="AX212" s="50">
        <f t="shared" ca="1" si="12"/>
        <v>0.65198160474453093</v>
      </c>
      <c r="AY212" s="8">
        <v>1</v>
      </c>
      <c r="AZ212" s="49">
        <v>0</v>
      </c>
      <c r="BB212" s="50">
        <f t="shared" ca="1" si="13"/>
        <v>0.13924148286992022</v>
      </c>
      <c r="BC212" s="8">
        <v>1</v>
      </c>
      <c r="BD212" s="49">
        <v>0</v>
      </c>
      <c r="BF212" s="50">
        <f t="shared" ca="1" si="14"/>
        <v>3.4689140492249027E-2</v>
      </c>
      <c r="BG212" s="8">
        <v>1</v>
      </c>
      <c r="BH212" s="49">
        <v>0</v>
      </c>
      <c r="BJ212" s="50">
        <f t="shared" ca="1" si="15"/>
        <v>0.44396053228831966</v>
      </c>
      <c r="BK212" s="8">
        <v>1</v>
      </c>
      <c r="BL212" s="49">
        <v>0</v>
      </c>
      <c r="BN212" s="50">
        <f t="shared" ca="1" si="16"/>
        <v>5.0886581648653562E-2</v>
      </c>
      <c r="BO212" s="8">
        <v>1</v>
      </c>
      <c r="BP212" s="49">
        <v>0</v>
      </c>
      <c r="BR212" s="50">
        <f t="shared" ca="1" si="17"/>
        <v>0.12867928327024891</v>
      </c>
      <c r="BS212" s="8">
        <v>1</v>
      </c>
      <c r="BT212" s="49">
        <v>0</v>
      </c>
    </row>
    <row r="213" spans="1:72" x14ac:dyDescent="0.2">
      <c r="A213" s="22">
        <v>44760</v>
      </c>
      <c r="B213" s="50">
        <f t="shared" ca="1" si="0"/>
        <v>0.51078147609705482</v>
      </c>
      <c r="C213" s="8">
        <v>1</v>
      </c>
      <c r="D213" s="49">
        <v>0</v>
      </c>
      <c r="F213" s="50">
        <f t="shared" ca="1" si="1"/>
        <v>0.51040777059581055</v>
      </c>
      <c r="G213" s="8">
        <v>1</v>
      </c>
      <c r="H213" s="49">
        <v>0</v>
      </c>
      <c r="J213" s="50">
        <f t="shared" ca="1" si="2"/>
        <v>0.92250848451546863</v>
      </c>
      <c r="K213" s="8">
        <v>1</v>
      </c>
      <c r="L213" s="49">
        <v>0</v>
      </c>
      <c r="N213" s="50">
        <f t="shared" ca="1" si="3"/>
        <v>3.1746771142110775E-2</v>
      </c>
      <c r="O213" s="8">
        <v>1</v>
      </c>
      <c r="P213" s="49">
        <v>0</v>
      </c>
      <c r="R213" s="50">
        <f t="shared" ca="1" si="4"/>
        <v>8.8619357399175369E-2</v>
      </c>
      <c r="S213" s="8">
        <v>1</v>
      </c>
      <c r="T213" s="49">
        <v>0</v>
      </c>
      <c r="V213" s="50">
        <f t="shared" ca="1" si="5"/>
        <v>0.68385261915140361</v>
      </c>
      <c r="W213" s="8">
        <v>1</v>
      </c>
      <c r="X213" s="49">
        <v>0</v>
      </c>
      <c r="Z213" s="50">
        <f t="shared" ca="1" si="6"/>
        <v>0.24097080794010617</v>
      </c>
      <c r="AA213" s="8">
        <v>1</v>
      </c>
      <c r="AB213" s="49">
        <v>0</v>
      </c>
      <c r="AD213" s="50">
        <f t="shared" ca="1" si="7"/>
        <v>0.81907310767917119</v>
      </c>
      <c r="AE213" s="8">
        <v>1</v>
      </c>
      <c r="AF213" s="49">
        <v>0</v>
      </c>
      <c r="AH213" s="50">
        <f t="shared" ca="1" si="8"/>
        <v>0.48366470730069189</v>
      </c>
      <c r="AI213" s="8">
        <v>1</v>
      </c>
      <c r="AJ213" s="49">
        <v>0</v>
      </c>
      <c r="AL213" s="50">
        <f t="shared" ca="1" si="9"/>
        <v>0.52102209609112882</v>
      </c>
      <c r="AM213" s="8">
        <v>1</v>
      </c>
      <c r="AN213" s="49">
        <v>0</v>
      </c>
      <c r="AP213" s="50">
        <f t="shared" ca="1" si="10"/>
        <v>0.13481856953837656</v>
      </c>
      <c r="AQ213" s="8">
        <v>1</v>
      </c>
      <c r="AR213" s="49">
        <v>0</v>
      </c>
      <c r="AT213" s="50">
        <f t="shared" ca="1" si="11"/>
        <v>0.30846465896932374</v>
      </c>
      <c r="AU213" s="8">
        <v>1</v>
      </c>
      <c r="AV213" s="49">
        <v>0</v>
      </c>
      <c r="AX213" s="50">
        <f t="shared" ca="1" si="12"/>
        <v>0.38915953151471183</v>
      </c>
      <c r="AY213" s="8">
        <v>1</v>
      </c>
      <c r="AZ213" s="49">
        <v>0</v>
      </c>
      <c r="BB213" s="50">
        <f t="shared" ca="1" si="13"/>
        <v>0.88110605972019906</v>
      </c>
      <c r="BC213" s="8">
        <v>1</v>
      </c>
      <c r="BD213" s="49">
        <v>0</v>
      </c>
      <c r="BF213" s="50">
        <f t="shared" ca="1" si="14"/>
        <v>0.27980624150267808</v>
      </c>
      <c r="BG213" s="8">
        <v>1</v>
      </c>
      <c r="BH213" s="49">
        <v>0</v>
      </c>
      <c r="BJ213" s="50">
        <f t="shared" ca="1" si="15"/>
        <v>0.57000678729765331</v>
      </c>
      <c r="BK213" s="8">
        <v>1</v>
      </c>
      <c r="BL213" s="49">
        <v>0</v>
      </c>
      <c r="BN213" s="50">
        <f t="shared" ca="1" si="16"/>
        <v>0.48118912586402884</v>
      </c>
      <c r="BO213" s="8">
        <v>1</v>
      </c>
      <c r="BP213" s="49">
        <v>0</v>
      </c>
      <c r="BR213" s="50">
        <f t="shared" ca="1" si="17"/>
        <v>1.9442904963721475E-2</v>
      </c>
      <c r="BS213" s="8">
        <v>1</v>
      </c>
      <c r="BT213" s="49">
        <v>0</v>
      </c>
    </row>
    <row r="214" spans="1:72" x14ac:dyDescent="0.2">
      <c r="A214" s="22">
        <v>44761</v>
      </c>
      <c r="B214" s="50">
        <f t="shared" ca="1" si="0"/>
        <v>0.3594085679079313</v>
      </c>
      <c r="C214" s="8">
        <v>1</v>
      </c>
      <c r="D214" s="49">
        <v>0</v>
      </c>
      <c r="F214" s="50">
        <f t="shared" ca="1" si="1"/>
        <v>0.38575182843294886</v>
      </c>
      <c r="G214" s="8">
        <v>1</v>
      </c>
      <c r="H214" s="49">
        <v>0</v>
      </c>
      <c r="J214" s="50">
        <f t="shared" ca="1" si="2"/>
        <v>0.21347621267195938</v>
      </c>
      <c r="K214" s="8">
        <v>1</v>
      </c>
      <c r="L214" s="49">
        <v>0</v>
      </c>
      <c r="N214" s="50">
        <f t="shared" ca="1" si="3"/>
        <v>0.88133812869123873</v>
      </c>
      <c r="O214" s="8">
        <v>1</v>
      </c>
      <c r="P214" s="49">
        <v>0</v>
      </c>
      <c r="R214" s="50">
        <f t="shared" ca="1" si="4"/>
        <v>0.96517158311309614</v>
      </c>
      <c r="S214" s="8">
        <v>1</v>
      </c>
      <c r="T214" s="49">
        <v>0</v>
      </c>
      <c r="V214" s="50">
        <f t="shared" ca="1" si="5"/>
        <v>0.41913101456577539</v>
      </c>
      <c r="W214" s="8">
        <v>1</v>
      </c>
      <c r="X214" s="49">
        <v>0</v>
      </c>
      <c r="Z214" s="50">
        <f t="shared" ca="1" si="6"/>
        <v>0.1940030533738536</v>
      </c>
      <c r="AA214" s="8">
        <v>1</v>
      </c>
      <c r="AB214" s="49">
        <v>0</v>
      </c>
      <c r="AD214" s="50">
        <f t="shared" ca="1" si="7"/>
        <v>0.60772350405079478</v>
      </c>
      <c r="AE214" s="8">
        <v>1</v>
      </c>
      <c r="AF214" s="49">
        <v>0</v>
      </c>
      <c r="AH214" s="50">
        <f t="shared" ca="1" si="8"/>
        <v>0.47465155994470432</v>
      </c>
      <c r="AI214" s="8">
        <v>1</v>
      </c>
      <c r="AJ214" s="49">
        <v>0</v>
      </c>
      <c r="AL214" s="50">
        <f t="shared" ca="1" si="9"/>
        <v>0.67351207854803397</v>
      </c>
      <c r="AM214" s="8">
        <v>1</v>
      </c>
      <c r="AN214" s="49">
        <v>0</v>
      </c>
      <c r="AP214" s="50">
        <f t="shared" ca="1" si="10"/>
        <v>0.12585663112120227</v>
      </c>
      <c r="AQ214" s="8">
        <v>1</v>
      </c>
      <c r="AR214" s="49">
        <v>0</v>
      </c>
      <c r="AT214" s="50">
        <f t="shared" ca="1" si="11"/>
        <v>0.1194324601204938</v>
      </c>
      <c r="AU214" s="8">
        <v>1</v>
      </c>
      <c r="AV214" s="49">
        <v>0</v>
      </c>
      <c r="AX214" s="50">
        <f t="shared" ca="1" si="12"/>
        <v>0.97114095348843243</v>
      </c>
      <c r="AY214" s="8">
        <v>1</v>
      </c>
      <c r="AZ214" s="49">
        <v>0</v>
      </c>
      <c r="BB214" s="50">
        <f t="shared" ca="1" si="13"/>
        <v>0.43375852088673117</v>
      </c>
      <c r="BC214" s="8">
        <v>1</v>
      </c>
      <c r="BD214" s="49">
        <v>0</v>
      </c>
      <c r="BF214" s="50">
        <f t="shared" ca="1" si="14"/>
        <v>0.95724100484192121</v>
      </c>
      <c r="BG214" s="8">
        <v>1</v>
      </c>
      <c r="BH214" s="49">
        <v>0</v>
      </c>
      <c r="BJ214" s="50">
        <f t="shared" ca="1" si="15"/>
        <v>0.93509453956930288</v>
      </c>
      <c r="BK214" s="8">
        <v>1</v>
      </c>
      <c r="BL214" s="49">
        <v>0</v>
      </c>
      <c r="BN214" s="50">
        <f t="shared" ca="1" si="16"/>
        <v>0.88172159827107954</v>
      </c>
      <c r="BO214" s="8">
        <v>1</v>
      </c>
      <c r="BP214" s="49">
        <v>0</v>
      </c>
      <c r="BR214" s="50">
        <f t="shared" ca="1" si="17"/>
        <v>0.78556097006336889</v>
      </c>
      <c r="BS214" s="8">
        <v>1</v>
      </c>
      <c r="BT214" s="49">
        <v>0</v>
      </c>
    </row>
    <row r="215" spans="1:72" x14ac:dyDescent="0.2">
      <c r="A215" s="22">
        <v>44762</v>
      </c>
      <c r="B215" s="50">
        <f t="shared" ca="1" si="0"/>
        <v>0.977888723597933</v>
      </c>
      <c r="C215" s="8">
        <v>1</v>
      </c>
      <c r="D215" s="49">
        <v>0</v>
      </c>
      <c r="F215" s="50">
        <f t="shared" ca="1" si="1"/>
        <v>0.99704259409111817</v>
      </c>
      <c r="G215" s="8">
        <v>1</v>
      </c>
      <c r="H215" s="49">
        <v>0</v>
      </c>
      <c r="J215" s="50">
        <f t="shared" ca="1" si="2"/>
        <v>0.92073393312412066</v>
      </c>
      <c r="K215" s="8">
        <v>1</v>
      </c>
      <c r="L215" s="49">
        <v>0</v>
      </c>
      <c r="N215" s="50">
        <f t="shared" ca="1" si="3"/>
        <v>0.14421765095183559</v>
      </c>
      <c r="O215" s="8">
        <v>1</v>
      </c>
      <c r="P215" s="49">
        <v>0</v>
      </c>
      <c r="R215" s="50">
        <f t="shared" ca="1" si="4"/>
        <v>0.45428404093125663</v>
      </c>
      <c r="S215" s="8">
        <v>1</v>
      </c>
      <c r="T215" s="49">
        <v>0</v>
      </c>
      <c r="V215" s="50">
        <f t="shared" ca="1" si="5"/>
        <v>0.777608096996663</v>
      </c>
      <c r="W215" s="8">
        <v>1</v>
      </c>
      <c r="X215" s="49">
        <v>0</v>
      </c>
      <c r="Z215" s="50">
        <f t="shared" ca="1" si="6"/>
        <v>0.63799978365837307</v>
      </c>
      <c r="AA215" s="8">
        <v>1</v>
      </c>
      <c r="AB215" s="49">
        <v>0</v>
      </c>
      <c r="AD215" s="50">
        <f t="shared" ca="1" si="7"/>
        <v>0.43304037140268203</v>
      </c>
      <c r="AE215" s="8">
        <v>1</v>
      </c>
      <c r="AF215" s="49">
        <v>0</v>
      </c>
      <c r="AH215" s="50">
        <f t="shared" ca="1" si="8"/>
        <v>0.9646487445229055</v>
      </c>
      <c r="AI215" s="8">
        <v>1</v>
      </c>
      <c r="AJ215" s="49">
        <v>0</v>
      </c>
      <c r="AL215" s="50">
        <f t="shared" ca="1" si="9"/>
        <v>0.99847477631985759</v>
      </c>
      <c r="AM215" s="8">
        <v>1</v>
      </c>
      <c r="AN215" s="49">
        <v>0</v>
      </c>
      <c r="AP215" s="50">
        <f t="shared" ca="1" si="10"/>
        <v>0.94074000774078093</v>
      </c>
      <c r="AQ215" s="8">
        <v>1</v>
      </c>
      <c r="AR215" s="49">
        <v>0</v>
      </c>
      <c r="AT215" s="50">
        <f t="shared" ca="1" si="11"/>
        <v>0.88240217705116641</v>
      </c>
      <c r="AU215" s="8">
        <v>1</v>
      </c>
      <c r="AV215" s="49">
        <v>0</v>
      </c>
      <c r="AX215" s="50">
        <f t="shared" ca="1" si="12"/>
        <v>0.17009008070035347</v>
      </c>
      <c r="AY215" s="8">
        <v>1</v>
      </c>
      <c r="AZ215" s="49">
        <v>0</v>
      </c>
      <c r="BB215" s="50">
        <f t="shared" ca="1" si="13"/>
        <v>1.6516750982726314E-2</v>
      </c>
      <c r="BC215" s="8">
        <v>1</v>
      </c>
      <c r="BD215" s="49">
        <v>0</v>
      </c>
      <c r="BF215" s="50">
        <f t="shared" ca="1" si="14"/>
        <v>6.8485632107307071E-2</v>
      </c>
      <c r="BG215" s="8">
        <v>1</v>
      </c>
      <c r="BH215" s="49">
        <v>0</v>
      </c>
      <c r="BJ215" s="50">
        <f t="shared" ca="1" si="15"/>
        <v>0.3900095540752524</v>
      </c>
      <c r="BK215" s="8">
        <v>1</v>
      </c>
      <c r="BL215" s="49">
        <v>0</v>
      </c>
      <c r="BN215" s="50">
        <f t="shared" ca="1" si="16"/>
        <v>0.76457494933250658</v>
      </c>
      <c r="BO215" s="8">
        <v>1</v>
      </c>
      <c r="BP215" s="49">
        <v>0</v>
      </c>
      <c r="BR215" s="50">
        <f t="shared" ca="1" si="17"/>
        <v>0.67803577844580465</v>
      </c>
      <c r="BS215" s="8">
        <v>1</v>
      </c>
      <c r="BT215" s="49">
        <v>0</v>
      </c>
    </row>
    <row r="216" spans="1:72" x14ac:dyDescent="0.2">
      <c r="A216" s="22">
        <v>44763</v>
      </c>
      <c r="B216" s="50">
        <f t="shared" ca="1" si="0"/>
        <v>0.90714559449622678</v>
      </c>
      <c r="C216" s="8">
        <v>1</v>
      </c>
      <c r="D216" s="49">
        <v>0</v>
      </c>
      <c r="F216" s="50">
        <f t="shared" ca="1" si="1"/>
        <v>0.32947438065111856</v>
      </c>
      <c r="G216" s="8">
        <v>1</v>
      </c>
      <c r="H216" s="49">
        <v>0</v>
      </c>
      <c r="J216" s="50">
        <f t="shared" ca="1" si="2"/>
        <v>7.667513493596434E-2</v>
      </c>
      <c r="K216" s="8">
        <v>1</v>
      </c>
      <c r="L216" s="49">
        <v>0</v>
      </c>
      <c r="N216" s="50">
        <f t="shared" ca="1" si="3"/>
        <v>0.25551948839628225</v>
      </c>
      <c r="O216" s="8">
        <v>1</v>
      </c>
      <c r="P216" s="49">
        <v>0</v>
      </c>
      <c r="R216" s="50">
        <f t="shared" ca="1" si="4"/>
        <v>0.64063414862506629</v>
      </c>
      <c r="S216" s="8">
        <v>1</v>
      </c>
      <c r="T216" s="49">
        <v>0</v>
      </c>
      <c r="V216" s="50">
        <f t="shared" ca="1" si="5"/>
        <v>0.78158702350524301</v>
      </c>
      <c r="W216" s="8">
        <v>1</v>
      </c>
      <c r="X216" s="49">
        <v>0</v>
      </c>
      <c r="Z216" s="50">
        <f t="shared" ca="1" si="6"/>
        <v>0.71804752687004636</v>
      </c>
      <c r="AA216" s="8">
        <v>1</v>
      </c>
      <c r="AB216" s="49">
        <v>0</v>
      </c>
      <c r="AD216" s="50">
        <f t="shared" ca="1" si="7"/>
        <v>0.31916832508972492</v>
      </c>
      <c r="AE216" s="8">
        <v>1</v>
      </c>
      <c r="AF216" s="49">
        <v>0</v>
      </c>
      <c r="AH216" s="50">
        <f t="shared" ca="1" si="8"/>
        <v>0.26297218429385627</v>
      </c>
      <c r="AI216" s="8">
        <v>1</v>
      </c>
      <c r="AJ216" s="49">
        <v>0</v>
      </c>
      <c r="AL216" s="50">
        <f t="shared" ca="1" si="9"/>
        <v>0.97941457221737827</v>
      </c>
      <c r="AM216" s="8">
        <v>1</v>
      </c>
      <c r="AN216" s="49">
        <v>0</v>
      </c>
      <c r="AP216" s="50">
        <f t="shared" ca="1" si="10"/>
        <v>0.41818289622061844</v>
      </c>
      <c r="AQ216" s="8">
        <v>1</v>
      </c>
      <c r="AR216" s="49">
        <v>0</v>
      </c>
      <c r="AT216" s="50">
        <f t="shared" ca="1" si="11"/>
        <v>1.4271338718009119E-2</v>
      </c>
      <c r="AU216" s="8">
        <v>1</v>
      </c>
      <c r="AV216" s="49">
        <v>0</v>
      </c>
      <c r="AX216" s="50">
        <f t="shared" ca="1" si="12"/>
        <v>0.75178956828089205</v>
      </c>
      <c r="AY216" s="8">
        <v>1</v>
      </c>
      <c r="AZ216" s="49">
        <v>0</v>
      </c>
      <c r="BB216" s="50">
        <f t="shared" ca="1" si="13"/>
        <v>0.45453238660895634</v>
      </c>
      <c r="BC216" s="8">
        <v>1</v>
      </c>
      <c r="BD216" s="49">
        <v>0</v>
      </c>
      <c r="BF216" s="50">
        <f t="shared" ca="1" si="14"/>
        <v>0.93566824509865432</v>
      </c>
      <c r="BG216" s="8">
        <v>1</v>
      </c>
      <c r="BH216" s="49">
        <v>0</v>
      </c>
      <c r="BJ216" s="50">
        <f t="shared" ca="1" si="15"/>
        <v>0.42543351675568164</v>
      </c>
      <c r="BK216" s="8">
        <v>1</v>
      </c>
      <c r="BL216" s="49">
        <v>0</v>
      </c>
      <c r="BN216" s="50">
        <f t="shared" ca="1" si="16"/>
        <v>9.1569362467173177E-2</v>
      </c>
      <c r="BO216" s="8">
        <v>1</v>
      </c>
      <c r="BP216" s="49">
        <v>0</v>
      </c>
      <c r="BR216" s="50">
        <f t="shared" ca="1" si="17"/>
        <v>0.66551450895279474</v>
      </c>
      <c r="BS216" s="8">
        <v>1</v>
      </c>
      <c r="BT216" s="49">
        <v>0</v>
      </c>
    </row>
    <row r="217" spans="1:72" x14ac:dyDescent="0.2">
      <c r="A217" s="22">
        <v>44764</v>
      </c>
      <c r="B217" s="50">
        <f t="shared" ca="1" si="0"/>
        <v>0.60883881205833057</v>
      </c>
      <c r="C217" s="8">
        <v>1</v>
      </c>
      <c r="D217" s="49">
        <v>0</v>
      </c>
      <c r="F217" s="50">
        <f t="shared" ca="1" si="1"/>
        <v>0.74463306891401548</v>
      </c>
      <c r="G217" s="8">
        <v>1</v>
      </c>
      <c r="H217" s="49">
        <v>0</v>
      </c>
      <c r="J217" s="50">
        <f t="shared" ca="1" si="2"/>
        <v>0.7897792235051585</v>
      </c>
      <c r="K217" s="8">
        <v>1</v>
      </c>
      <c r="L217" s="49">
        <v>0</v>
      </c>
      <c r="N217" s="50">
        <f t="shared" ca="1" si="3"/>
        <v>0.93557652613896236</v>
      </c>
      <c r="O217" s="8">
        <v>1</v>
      </c>
      <c r="P217" s="49">
        <v>0</v>
      </c>
      <c r="R217" s="50">
        <f t="shared" ca="1" si="4"/>
        <v>0.21964451293546505</v>
      </c>
      <c r="S217" s="8">
        <v>1</v>
      </c>
      <c r="T217" s="49">
        <v>0</v>
      </c>
      <c r="V217" s="50">
        <f t="shared" ca="1" si="5"/>
        <v>0.73939903567917697</v>
      </c>
      <c r="W217" s="8">
        <v>1</v>
      </c>
      <c r="X217" s="49">
        <v>0</v>
      </c>
      <c r="Z217" s="50">
        <f t="shared" ca="1" si="6"/>
        <v>0.47257613061238779</v>
      </c>
      <c r="AA217" s="8">
        <v>1</v>
      </c>
      <c r="AB217" s="49">
        <v>0</v>
      </c>
      <c r="AD217" s="50">
        <f t="shared" ca="1" si="7"/>
        <v>0.78805650844207009</v>
      </c>
      <c r="AE217" s="8">
        <v>1</v>
      </c>
      <c r="AF217" s="49">
        <v>0</v>
      </c>
      <c r="AH217" s="50">
        <f t="shared" ca="1" si="8"/>
        <v>0.78943590404736352</v>
      </c>
      <c r="AI217" s="8">
        <v>1</v>
      </c>
      <c r="AJ217" s="49">
        <v>0</v>
      </c>
      <c r="AL217" s="50">
        <f t="shared" ca="1" si="9"/>
        <v>0.2176211845815067</v>
      </c>
      <c r="AM217" s="8">
        <v>1</v>
      </c>
      <c r="AN217" s="49">
        <v>0</v>
      </c>
      <c r="AP217" s="50">
        <f t="shared" ca="1" si="10"/>
        <v>0.60624767189665396</v>
      </c>
      <c r="AQ217" s="8">
        <v>1</v>
      </c>
      <c r="AR217" s="49">
        <v>0</v>
      </c>
      <c r="AT217" s="50">
        <f t="shared" ca="1" si="11"/>
        <v>0.1657350170962798</v>
      </c>
      <c r="AU217" s="8">
        <v>1</v>
      </c>
      <c r="AV217" s="49">
        <v>0</v>
      </c>
      <c r="AX217" s="50">
        <f t="shared" ca="1" si="12"/>
        <v>0.79498911515238169</v>
      </c>
      <c r="AY217" s="8">
        <v>1</v>
      </c>
      <c r="AZ217" s="49">
        <v>0</v>
      </c>
      <c r="BB217" s="50">
        <f t="shared" ca="1" si="13"/>
        <v>0.63762544323454995</v>
      </c>
      <c r="BC217" s="8">
        <v>1</v>
      </c>
      <c r="BD217" s="49">
        <v>0</v>
      </c>
      <c r="BF217" s="50">
        <f t="shared" ca="1" si="14"/>
        <v>0.69522423019610391</v>
      </c>
      <c r="BG217" s="8">
        <v>1</v>
      </c>
      <c r="BH217" s="49">
        <v>0</v>
      </c>
      <c r="BJ217" s="50">
        <f t="shared" ca="1" si="15"/>
        <v>0.85120794665730981</v>
      </c>
      <c r="BK217" s="8">
        <v>1</v>
      </c>
      <c r="BL217" s="49">
        <v>0</v>
      </c>
      <c r="BN217" s="50">
        <f t="shared" ca="1" si="16"/>
        <v>0.71805537656694185</v>
      </c>
      <c r="BO217" s="8">
        <v>1</v>
      </c>
      <c r="BP217" s="49">
        <v>0</v>
      </c>
      <c r="BR217" s="50">
        <f t="shared" ca="1" si="17"/>
        <v>0.33662938086011207</v>
      </c>
      <c r="BS217" s="8">
        <v>1</v>
      </c>
      <c r="BT217" s="49">
        <v>0</v>
      </c>
    </row>
    <row r="218" spans="1:72" x14ac:dyDescent="0.2">
      <c r="A218" s="22">
        <v>44765</v>
      </c>
      <c r="B218" s="50">
        <f t="shared" ca="1" si="0"/>
        <v>0.36420810879710463</v>
      </c>
      <c r="C218" s="8">
        <v>1</v>
      </c>
      <c r="D218" s="49">
        <v>0</v>
      </c>
      <c r="F218" s="50">
        <f t="shared" ca="1" si="1"/>
        <v>0.87115422170619172</v>
      </c>
      <c r="G218" s="8">
        <v>1</v>
      </c>
      <c r="H218" s="49">
        <v>0</v>
      </c>
      <c r="J218" s="50">
        <f t="shared" ca="1" si="2"/>
        <v>0.79483042754907862</v>
      </c>
      <c r="K218" s="8">
        <v>1</v>
      </c>
      <c r="L218" s="49">
        <v>0</v>
      </c>
      <c r="N218" s="50">
        <f t="shared" ca="1" si="3"/>
        <v>0.94696706610018988</v>
      </c>
      <c r="O218" s="8">
        <v>1</v>
      </c>
      <c r="P218" s="49">
        <v>0</v>
      </c>
      <c r="R218" s="50">
        <f t="shared" ca="1" si="4"/>
        <v>0.44936936913721559</v>
      </c>
      <c r="S218" s="8">
        <v>1</v>
      </c>
      <c r="T218" s="49">
        <v>0</v>
      </c>
      <c r="V218" s="50">
        <f t="shared" ca="1" si="5"/>
        <v>0.17786196157831757</v>
      </c>
      <c r="W218" s="8">
        <v>1</v>
      </c>
      <c r="X218" s="49">
        <v>0</v>
      </c>
      <c r="Z218" s="50">
        <f t="shared" ca="1" si="6"/>
        <v>0.55064155749416155</v>
      </c>
      <c r="AA218" s="8">
        <v>1</v>
      </c>
      <c r="AB218" s="49">
        <v>0</v>
      </c>
      <c r="AD218" s="50">
        <f t="shared" ca="1" si="7"/>
        <v>0.57959462553415397</v>
      </c>
      <c r="AE218" s="8">
        <v>1</v>
      </c>
      <c r="AF218" s="49">
        <v>0</v>
      </c>
      <c r="AH218" s="50">
        <f t="shared" ca="1" si="8"/>
        <v>0.40260985267680183</v>
      </c>
      <c r="AI218" s="8">
        <v>1</v>
      </c>
      <c r="AJ218" s="49">
        <v>0</v>
      </c>
      <c r="AL218" s="50">
        <f t="shared" ca="1" si="9"/>
        <v>0.36957161965191887</v>
      </c>
      <c r="AM218" s="8">
        <v>1</v>
      </c>
      <c r="AN218" s="49">
        <v>0</v>
      </c>
      <c r="AP218" s="50">
        <f t="shared" ca="1" si="10"/>
        <v>0.54024398906353255</v>
      </c>
      <c r="AQ218" s="8">
        <v>1</v>
      </c>
      <c r="AR218" s="49">
        <v>0</v>
      </c>
      <c r="AT218" s="50">
        <f t="shared" ca="1" si="11"/>
        <v>0.35712031140961809</v>
      </c>
      <c r="AU218" s="8">
        <v>1</v>
      </c>
      <c r="AV218" s="49">
        <v>0</v>
      </c>
      <c r="AX218" s="50">
        <f t="shared" ca="1" si="12"/>
        <v>0.9915606570020965</v>
      </c>
      <c r="AY218" s="8">
        <v>1</v>
      </c>
      <c r="AZ218" s="49">
        <v>0</v>
      </c>
      <c r="BB218" s="50">
        <f t="shared" ca="1" si="13"/>
        <v>0.48543176860702708</v>
      </c>
      <c r="BC218" s="8">
        <v>1</v>
      </c>
      <c r="BD218" s="49">
        <v>0</v>
      </c>
      <c r="BF218" s="50">
        <f t="shared" ca="1" si="14"/>
        <v>0.96737213110120779</v>
      </c>
      <c r="BG218" s="8">
        <v>1</v>
      </c>
      <c r="BH218" s="49">
        <v>0</v>
      </c>
      <c r="BJ218" s="50">
        <f t="shared" ca="1" si="15"/>
        <v>0.84940758521441628</v>
      </c>
      <c r="BK218" s="8">
        <v>1</v>
      </c>
      <c r="BL218" s="49">
        <v>0</v>
      </c>
      <c r="BN218" s="50">
        <f t="shared" ca="1" si="16"/>
        <v>0.95362733115683596</v>
      </c>
      <c r="BO218" s="8">
        <v>1</v>
      </c>
      <c r="BP218" s="49">
        <v>0</v>
      </c>
      <c r="BR218" s="50">
        <f t="shared" ca="1" si="17"/>
        <v>0.45651754587170223</v>
      </c>
      <c r="BS218" s="8">
        <v>1</v>
      </c>
      <c r="BT218" s="49">
        <v>0</v>
      </c>
    </row>
    <row r="219" spans="1:72" x14ac:dyDescent="0.2">
      <c r="A219" s="22">
        <v>44766</v>
      </c>
      <c r="B219" s="50">
        <f t="shared" ca="1" si="0"/>
        <v>0.32049258663235081</v>
      </c>
      <c r="C219" s="8">
        <v>1</v>
      </c>
      <c r="D219" s="49">
        <v>0</v>
      </c>
      <c r="F219" s="50">
        <f t="shared" ca="1" si="1"/>
        <v>0.82254379085479756</v>
      </c>
      <c r="G219" s="8">
        <v>1</v>
      </c>
      <c r="H219" s="49">
        <v>0</v>
      </c>
      <c r="J219" s="50">
        <f t="shared" ca="1" si="2"/>
        <v>0.98220393653310833</v>
      </c>
      <c r="K219" s="8">
        <v>1</v>
      </c>
      <c r="L219" s="49">
        <v>0</v>
      </c>
      <c r="N219" s="50">
        <f t="shared" ca="1" si="3"/>
        <v>0.11203655513752386</v>
      </c>
      <c r="O219" s="8">
        <v>1</v>
      </c>
      <c r="P219" s="49">
        <v>0</v>
      </c>
      <c r="R219" s="50">
        <f t="shared" ca="1" si="4"/>
        <v>0.93354552305631044</v>
      </c>
      <c r="S219" s="8">
        <v>1</v>
      </c>
      <c r="T219" s="49">
        <v>0</v>
      </c>
      <c r="V219" s="50">
        <f t="shared" ca="1" si="5"/>
        <v>0.69394512235415762</v>
      </c>
      <c r="W219" s="8">
        <v>1</v>
      </c>
      <c r="X219" s="49">
        <v>0</v>
      </c>
      <c r="Z219" s="50">
        <f t="shared" ca="1" si="6"/>
        <v>0.98244581091512206</v>
      </c>
      <c r="AA219" s="8">
        <v>1</v>
      </c>
      <c r="AB219" s="49">
        <v>0</v>
      </c>
      <c r="AD219" s="50">
        <f t="shared" ca="1" si="7"/>
        <v>0.22802912418313726</v>
      </c>
      <c r="AE219" s="8">
        <v>1</v>
      </c>
      <c r="AF219" s="49">
        <v>0</v>
      </c>
      <c r="AH219" s="50">
        <f t="shared" ca="1" si="8"/>
        <v>0.33926430495090532</v>
      </c>
      <c r="AI219" s="8">
        <v>1</v>
      </c>
      <c r="AJ219" s="49">
        <v>0</v>
      </c>
      <c r="AL219" s="50">
        <f t="shared" ca="1" si="9"/>
        <v>9.2946362800278681E-2</v>
      </c>
      <c r="AM219" s="8">
        <v>1</v>
      </c>
      <c r="AN219" s="49">
        <v>0</v>
      </c>
      <c r="AP219" s="50">
        <f t="shared" ca="1" si="10"/>
        <v>4.5262288049974675E-2</v>
      </c>
      <c r="AQ219" s="8">
        <v>1</v>
      </c>
      <c r="AR219" s="49">
        <v>0</v>
      </c>
      <c r="AT219" s="50">
        <f t="shared" ca="1" si="11"/>
        <v>0.38992695164568403</v>
      </c>
      <c r="AU219" s="8">
        <v>1</v>
      </c>
      <c r="AV219" s="49">
        <v>0</v>
      </c>
      <c r="AX219" s="50">
        <f t="shared" ca="1" si="12"/>
        <v>0.6449202480417231</v>
      </c>
      <c r="AY219" s="8">
        <v>1</v>
      </c>
      <c r="AZ219" s="49">
        <v>0</v>
      </c>
      <c r="BB219" s="50">
        <f t="shared" ca="1" si="13"/>
        <v>0.46838046090989749</v>
      </c>
      <c r="BC219" s="8">
        <v>1</v>
      </c>
      <c r="BD219" s="49">
        <v>0</v>
      </c>
      <c r="BF219" s="50">
        <f t="shared" ca="1" si="14"/>
        <v>0.586607205569598</v>
      </c>
      <c r="BG219" s="8">
        <v>1</v>
      </c>
      <c r="BH219" s="49">
        <v>0</v>
      </c>
      <c r="BJ219" s="50">
        <f t="shared" ca="1" si="15"/>
        <v>0.60747314097018845</v>
      </c>
      <c r="BK219" s="8">
        <v>1</v>
      </c>
      <c r="BL219" s="49">
        <v>0</v>
      </c>
      <c r="BN219" s="50">
        <f t="shared" ca="1" si="16"/>
        <v>2.0883891259731779E-2</v>
      </c>
      <c r="BO219" s="8">
        <v>1</v>
      </c>
      <c r="BP219" s="49">
        <v>0</v>
      </c>
      <c r="BR219" s="50">
        <f t="shared" ca="1" si="17"/>
        <v>0.78878009057842735</v>
      </c>
      <c r="BS219" s="8">
        <v>1</v>
      </c>
      <c r="BT219" s="49">
        <v>0</v>
      </c>
    </row>
    <row r="220" spans="1:72" x14ac:dyDescent="0.2">
      <c r="A220" s="22">
        <v>44767</v>
      </c>
      <c r="B220" s="50">
        <f t="shared" ca="1" si="0"/>
        <v>0.65654053157692494</v>
      </c>
      <c r="C220" s="8">
        <v>1</v>
      </c>
      <c r="D220" s="49">
        <v>0</v>
      </c>
      <c r="F220" s="50">
        <f t="shared" ca="1" si="1"/>
        <v>0.51766807822823147</v>
      </c>
      <c r="G220" s="8">
        <v>1</v>
      </c>
      <c r="H220" s="49">
        <v>0</v>
      </c>
      <c r="J220" s="50">
        <f t="shared" ca="1" si="2"/>
        <v>0.95959052406618717</v>
      </c>
      <c r="K220" s="8">
        <v>1</v>
      </c>
      <c r="L220" s="49">
        <v>0</v>
      </c>
      <c r="N220" s="50">
        <f t="shared" ca="1" si="3"/>
        <v>0.40229566637994463</v>
      </c>
      <c r="O220" s="8">
        <v>1</v>
      </c>
      <c r="P220" s="49">
        <v>0</v>
      </c>
      <c r="R220" s="50">
        <f t="shared" ca="1" si="4"/>
        <v>0.13064123500092373</v>
      </c>
      <c r="S220" s="8">
        <v>1</v>
      </c>
      <c r="T220" s="49">
        <v>0</v>
      </c>
      <c r="V220" s="50">
        <f t="shared" ca="1" si="5"/>
        <v>0.16579215681644655</v>
      </c>
      <c r="W220" s="8">
        <v>1</v>
      </c>
      <c r="X220" s="49">
        <v>0</v>
      </c>
      <c r="Z220" s="50">
        <f t="shared" ca="1" si="6"/>
        <v>0.91855100883776131</v>
      </c>
      <c r="AA220" s="8">
        <v>1</v>
      </c>
      <c r="AB220" s="49">
        <v>0</v>
      </c>
      <c r="AD220" s="50">
        <f t="shared" ca="1" si="7"/>
        <v>0.44632484901599467</v>
      </c>
      <c r="AE220" s="8">
        <v>1</v>
      </c>
      <c r="AF220" s="49">
        <v>0</v>
      </c>
      <c r="AH220" s="50">
        <f t="shared" ca="1" si="8"/>
        <v>0.33551657935977752</v>
      </c>
      <c r="AI220" s="8">
        <v>1</v>
      </c>
      <c r="AJ220" s="49">
        <v>0</v>
      </c>
      <c r="AL220" s="50">
        <f t="shared" ca="1" si="9"/>
        <v>0.31898215867043023</v>
      </c>
      <c r="AM220" s="8">
        <v>1</v>
      </c>
      <c r="AN220" s="49">
        <v>0</v>
      </c>
      <c r="AP220" s="50">
        <f t="shared" ca="1" si="10"/>
        <v>0.34834736621085072</v>
      </c>
      <c r="AQ220" s="8">
        <v>1</v>
      </c>
      <c r="AR220" s="49">
        <v>0</v>
      </c>
      <c r="AT220" s="50">
        <f t="shared" ca="1" si="11"/>
        <v>0.6833581838845707</v>
      </c>
      <c r="AU220" s="8">
        <v>1</v>
      </c>
      <c r="AV220" s="49">
        <v>0</v>
      </c>
      <c r="AX220" s="50">
        <f t="shared" ca="1" si="12"/>
        <v>0.18964755876079742</v>
      </c>
      <c r="AY220" s="8">
        <v>1</v>
      </c>
      <c r="AZ220" s="49">
        <v>0</v>
      </c>
      <c r="BB220" s="50">
        <f t="shared" ca="1" si="13"/>
        <v>0.18571299002417008</v>
      </c>
      <c r="BC220" s="8">
        <v>1</v>
      </c>
      <c r="BD220" s="49">
        <v>0</v>
      </c>
      <c r="BF220" s="50">
        <f t="shared" ca="1" si="14"/>
        <v>0.38474441827485928</v>
      </c>
      <c r="BG220" s="8">
        <v>1</v>
      </c>
      <c r="BH220" s="49">
        <v>0</v>
      </c>
      <c r="BJ220" s="50">
        <f t="shared" ca="1" si="15"/>
        <v>0.68657995071664502</v>
      </c>
      <c r="BK220" s="8">
        <v>1</v>
      </c>
      <c r="BL220" s="49">
        <v>0</v>
      </c>
      <c r="BN220" s="50">
        <f t="shared" ca="1" si="16"/>
        <v>0.5220688374702831</v>
      </c>
      <c r="BO220" s="8">
        <v>1</v>
      </c>
      <c r="BP220" s="49">
        <v>0</v>
      </c>
      <c r="BR220" s="50">
        <f t="shared" ca="1" si="17"/>
        <v>0.13604735909069554</v>
      </c>
      <c r="BS220" s="8">
        <v>1</v>
      </c>
      <c r="BT220" s="49">
        <v>0</v>
      </c>
    </row>
    <row r="221" spans="1:72" x14ac:dyDescent="0.2">
      <c r="A221" s="22">
        <v>44768</v>
      </c>
      <c r="B221" s="50">
        <f t="shared" ca="1" si="0"/>
        <v>0.43238039408880125</v>
      </c>
      <c r="C221" s="8">
        <v>1</v>
      </c>
      <c r="D221" s="49">
        <v>0</v>
      </c>
      <c r="F221" s="50">
        <f t="shared" ca="1" si="1"/>
        <v>0.61563595717026087</v>
      </c>
      <c r="G221" s="8">
        <v>1</v>
      </c>
      <c r="H221" s="49">
        <v>0</v>
      </c>
      <c r="J221" s="50">
        <f t="shared" ca="1" si="2"/>
        <v>0.78554263169590366</v>
      </c>
      <c r="K221" s="8">
        <v>1</v>
      </c>
      <c r="L221" s="49">
        <v>0</v>
      </c>
      <c r="N221" s="50">
        <f t="shared" ca="1" si="3"/>
        <v>0.33613417354125985</v>
      </c>
      <c r="O221" s="8">
        <v>1</v>
      </c>
      <c r="P221" s="49">
        <v>0</v>
      </c>
      <c r="R221" s="50">
        <f t="shared" ca="1" si="4"/>
        <v>0.68798262536190447</v>
      </c>
      <c r="S221" s="8">
        <v>1</v>
      </c>
      <c r="T221" s="49">
        <v>0</v>
      </c>
      <c r="V221" s="50">
        <f t="shared" ca="1" si="5"/>
        <v>8.1269245237612031E-2</v>
      </c>
      <c r="W221" s="8">
        <v>1</v>
      </c>
      <c r="X221" s="49">
        <v>0</v>
      </c>
      <c r="Z221" s="50">
        <f t="shared" ca="1" si="6"/>
        <v>4.9442638007237583E-2</v>
      </c>
      <c r="AA221" s="8">
        <v>1</v>
      </c>
      <c r="AB221" s="49">
        <v>0</v>
      </c>
      <c r="AD221" s="50">
        <f t="shared" ca="1" si="7"/>
        <v>0.23926846818545444</v>
      </c>
      <c r="AE221" s="8">
        <v>1</v>
      </c>
      <c r="AF221" s="49">
        <v>0</v>
      </c>
      <c r="AH221" s="50">
        <f t="shared" ca="1" si="8"/>
        <v>0.45895394886907004</v>
      </c>
      <c r="AI221" s="8">
        <v>1</v>
      </c>
      <c r="AJ221" s="49">
        <v>0</v>
      </c>
      <c r="AL221" s="50">
        <f t="shared" ca="1" si="9"/>
        <v>0.23553646871328804</v>
      </c>
      <c r="AM221" s="8">
        <v>1</v>
      </c>
      <c r="AN221" s="49">
        <v>0</v>
      </c>
      <c r="AP221" s="50">
        <f t="shared" ca="1" si="10"/>
        <v>0.76383736763125487</v>
      </c>
      <c r="AQ221" s="8">
        <v>1</v>
      </c>
      <c r="AR221" s="49">
        <v>0</v>
      </c>
      <c r="AT221" s="50">
        <f t="shared" ca="1" si="11"/>
        <v>0.70540812878877068</v>
      </c>
      <c r="AU221" s="8">
        <v>1</v>
      </c>
      <c r="AV221" s="49">
        <v>0</v>
      </c>
      <c r="AX221" s="50">
        <f t="shared" ca="1" si="12"/>
        <v>9.2456913795024964E-2</v>
      </c>
      <c r="AY221" s="8">
        <v>1</v>
      </c>
      <c r="AZ221" s="49">
        <v>0</v>
      </c>
      <c r="BB221" s="50">
        <f t="shared" ca="1" si="13"/>
        <v>0.72497408031890731</v>
      </c>
      <c r="BC221" s="8">
        <v>1</v>
      </c>
      <c r="BD221" s="49">
        <v>0</v>
      </c>
      <c r="BF221" s="50">
        <f t="shared" ca="1" si="14"/>
        <v>0.35088121380874926</v>
      </c>
      <c r="BG221" s="8">
        <v>1</v>
      </c>
      <c r="BH221" s="49">
        <v>0</v>
      </c>
      <c r="BJ221" s="50">
        <f t="shared" ca="1" si="15"/>
        <v>0.47304910914900411</v>
      </c>
      <c r="BK221" s="8">
        <v>1</v>
      </c>
      <c r="BL221" s="49">
        <v>0</v>
      </c>
      <c r="BN221" s="50">
        <f t="shared" ca="1" si="16"/>
        <v>0.24268770778454074</v>
      </c>
      <c r="BO221" s="8">
        <v>1</v>
      </c>
      <c r="BP221" s="49">
        <v>0</v>
      </c>
      <c r="BR221" s="50">
        <f t="shared" ca="1" si="17"/>
        <v>0.41459036383616044</v>
      </c>
      <c r="BS221" s="8">
        <v>1</v>
      </c>
      <c r="BT221" s="49">
        <v>0</v>
      </c>
    </row>
    <row r="222" spans="1:72" x14ac:dyDescent="0.2">
      <c r="A222" s="22">
        <v>44769</v>
      </c>
      <c r="B222" s="50">
        <f t="shared" ca="1" si="0"/>
        <v>0.81771555195091361</v>
      </c>
      <c r="C222" s="8">
        <v>1</v>
      </c>
      <c r="D222" s="49">
        <v>0</v>
      </c>
      <c r="F222" s="50">
        <f t="shared" ca="1" si="1"/>
        <v>0.3768072259162899</v>
      </c>
      <c r="G222" s="8">
        <v>1</v>
      </c>
      <c r="H222" s="49">
        <v>0</v>
      </c>
      <c r="J222" s="50">
        <f t="shared" ca="1" si="2"/>
        <v>0.26155353555429706</v>
      </c>
      <c r="K222" s="8">
        <v>1</v>
      </c>
      <c r="L222" s="49">
        <v>0</v>
      </c>
      <c r="N222" s="50">
        <f t="shared" ca="1" si="3"/>
        <v>0.78224304569156256</v>
      </c>
      <c r="O222" s="8">
        <v>1</v>
      </c>
      <c r="P222" s="49">
        <v>0</v>
      </c>
      <c r="R222" s="50">
        <f t="shared" ca="1" si="4"/>
        <v>0.44809669640942595</v>
      </c>
      <c r="S222" s="8">
        <v>1</v>
      </c>
      <c r="T222" s="49">
        <v>0</v>
      </c>
      <c r="V222" s="50">
        <f t="shared" ca="1" si="5"/>
        <v>0.43330607557900458</v>
      </c>
      <c r="W222" s="8">
        <v>1</v>
      </c>
      <c r="X222" s="49">
        <v>0</v>
      </c>
      <c r="Z222" s="50">
        <f t="shared" ca="1" si="6"/>
        <v>0.32036248543965096</v>
      </c>
      <c r="AA222" s="8">
        <v>1</v>
      </c>
      <c r="AB222" s="49">
        <v>0</v>
      </c>
      <c r="AD222" s="50">
        <f t="shared" ca="1" si="7"/>
        <v>0.71629207512709536</v>
      </c>
      <c r="AE222" s="8">
        <v>1</v>
      </c>
      <c r="AF222" s="49">
        <v>0</v>
      </c>
      <c r="AH222" s="50">
        <f t="shared" ca="1" si="8"/>
        <v>0.53876056000249228</v>
      </c>
      <c r="AI222" s="8">
        <v>1</v>
      </c>
      <c r="AJ222" s="49">
        <v>0</v>
      </c>
      <c r="AL222" s="50">
        <f t="shared" ca="1" si="9"/>
        <v>0.6659092097202931</v>
      </c>
      <c r="AM222" s="8">
        <v>1</v>
      </c>
      <c r="AN222" s="49">
        <v>0</v>
      </c>
      <c r="AP222" s="50">
        <f t="shared" ca="1" si="10"/>
        <v>0.51890457682321056</v>
      </c>
      <c r="AQ222" s="8">
        <v>1</v>
      </c>
      <c r="AR222" s="49">
        <v>0</v>
      </c>
      <c r="AT222" s="50">
        <f t="shared" ca="1" si="11"/>
        <v>2.6754364504534389E-2</v>
      </c>
      <c r="AU222" s="8">
        <v>1</v>
      </c>
      <c r="AV222" s="49">
        <v>0</v>
      </c>
      <c r="AX222" s="50">
        <f t="shared" ca="1" si="12"/>
        <v>7.8065761538497314E-2</v>
      </c>
      <c r="AY222" s="8">
        <v>1</v>
      </c>
      <c r="AZ222" s="49">
        <v>0</v>
      </c>
      <c r="BB222" s="50">
        <f t="shared" ca="1" si="13"/>
        <v>0.56344615338357984</v>
      </c>
      <c r="BC222" s="8">
        <v>1</v>
      </c>
      <c r="BD222" s="49">
        <v>0</v>
      </c>
      <c r="BF222" s="50">
        <f t="shared" ca="1" si="14"/>
        <v>0.96485312426297443</v>
      </c>
      <c r="BG222" s="8">
        <v>1</v>
      </c>
      <c r="BH222" s="49">
        <v>0</v>
      </c>
      <c r="BJ222" s="50">
        <f t="shared" ca="1" si="15"/>
        <v>0.82764015746762809</v>
      </c>
      <c r="BK222" s="8">
        <v>1</v>
      </c>
      <c r="BL222" s="49">
        <v>0</v>
      </c>
      <c r="BN222" s="50">
        <f t="shared" ca="1" si="16"/>
        <v>0.679284488208173</v>
      </c>
      <c r="BO222" s="8">
        <v>1</v>
      </c>
      <c r="BP222" s="49">
        <v>0</v>
      </c>
      <c r="BR222" s="50">
        <f t="shared" ca="1" si="17"/>
        <v>0.89454635916345426</v>
      </c>
      <c r="BS222" s="8">
        <v>1</v>
      </c>
      <c r="BT222" s="49">
        <v>0</v>
      </c>
    </row>
    <row r="223" spans="1:72" x14ac:dyDescent="0.2">
      <c r="A223" s="22">
        <v>44770</v>
      </c>
      <c r="B223" s="50">
        <f t="shared" ca="1" si="0"/>
        <v>0.73865561301735772</v>
      </c>
      <c r="C223" s="8">
        <v>1</v>
      </c>
      <c r="D223" s="49">
        <v>0</v>
      </c>
      <c r="F223" s="50">
        <f t="shared" ca="1" si="1"/>
        <v>2.3871604336823671E-3</v>
      </c>
      <c r="G223" s="8">
        <v>1</v>
      </c>
      <c r="H223" s="49">
        <v>0</v>
      </c>
      <c r="J223" s="50">
        <f t="shared" ca="1" si="2"/>
        <v>0.68012653062617434</v>
      </c>
      <c r="K223" s="8">
        <v>1</v>
      </c>
      <c r="L223" s="49">
        <v>0</v>
      </c>
      <c r="N223" s="50">
        <f t="shared" ca="1" si="3"/>
        <v>2.8314018945495567E-3</v>
      </c>
      <c r="O223" s="8">
        <v>1</v>
      </c>
      <c r="P223" s="49">
        <v>0</v>
      </c>
      <c r="R223" s="50">
        <f t="shared" ca="1" si="4"/>
        <v>7.288769225610503E-2</v>
      </c>
      <c r="S223" s="8">
        <v>1</v>
      </c>
      <c r="T223" s="49">
        <v>0</v>
      </c>
      <c r="V223" s="50">
        <f t="shared" ca="1" si="5"/>
        <v>0.71040868663372259</v>
      </c>
      <c r="W223" s="8">
        <v>1</v>
      </c>
      <c r="X223" s="49">
        <v>0</v>
      </c>
      <c r="Z223" s="50">
        <f t="shared" ca="1" si="6"/>
        <v>0.85512446310717227</v>
      </c>
      <c r="AA223" s="8">
        <v>1</v>
      </c>
      <c r="AB223" s="49">
        <v>0</v>
      </c>
      <c r="AD223" s="50">
        <f t="shared" ca="1" si="7"/>
        <v>0.15025168577469517</v>
      </c>
      <c r="AE223" s="8">
        <v>1</v>
      </c>
      <c r="AF223" s="49">
        <v>0</v>
      </c>
      <c r="AH223" s="50">
        <f t="shared" ca="1" si="8"/>
        <v>4.3488446955564974E-2</v>
      </c>
      <c r="AI223" s="8">
        <v>1</v>
      </c>
      <c r="AJ223" s="49">
        <v>0</v>
      </c>
      <c r="AL223" s="50">
        <f t="shared" ca="1" si="9"/>
        <v>0.52957810436742614</v>
      </c>
      <c r="AM223" s="8">
        <v>1</v>
      </c>
      <c r="AN223" s="49">
        <v>0</v>
      </c>
      <c r="AP223" s="50">
        <f t="shared" ca="1" si="10"/>
        <v>0.28249832762192384</v>
      </c>
      <c r="AQ223" s="8">
        <v>1</v>
      </c>
      <c r="AR223" s="49">
        <v>0</v>
      </c>
      <c r="AT223" s="50">
        <f t="shared" ca="1" si="11"/>
        <v>0.20984732479536572</v>
      </c>
      <c r="AU223" s="8">
        <v>1</v>
      </c>
      <c r="AV223" s="49">
        <v>0</v>
      </c>
      <c r="AX223" s="50">
        <f t="shared" ca="1" si="12"/>
        <v>0.63768430029514334</v>
      </c>
      <c r="AY223" s="8">
        <v>1</v>
      </c>
      <c r="AZ223" s="49">
        <v>0</v>
      </c>
      <c r="BB223" s="50">
        <f t="shared" ca="1" si="13"/>
        <v>6.8835684180928003E-2</v>
      </c>
      <c r="BC223" s="8">
        <v>1</v>
      </c>
      <c r="BD223" s="49">
        <v>0</v>
      </c>
      <c r="BF223" s="50">
        <f t="shared" ca="1" si="14"/>
        <v>0.86115214766464698</v>
      </c>
      <c r="BG223" s="8">
        <v>1</v>
      </c>
      <c r="BH223" s="49">
        <v>0</v>
      </c>
      <c r="BJ223" s="50">
        <f t="shared" ca="1" si="15"/>
        <v>2.3026937493360711E-2</v>
      </c>
      <c r="BK223" s="8">
        <v>1</v>
      </c>
      <c r="BL223" s="49">
        <v>0</v>
      </c>
      <c r="BN223" s="50">
        <f t="shared" ca="1" si="16"/>
        <v>0.47557791403080263</v>
      </c>
      <c r="BO223" s="8">
        <v>1</v>
      </c>
      <c r="BP223" s="49">
        <v>0</v>
      </c>
      <c r="BR223" s="50">
        <f t="shared" ca="1" si="17"/>
        <v>0.19692043606311416</v>
      </c>
      <c r="BS223" s="8">
        <v>1</v>
      </c>
      <c r="BT223" s="49">
        <v>0</v>
      </c>
    </row>
    <row r="224" spans="1:72" x14ac:dyDescent="0.2">
      <c r="A224" s="22">
        <v>44771</v>
      </c>
      <c r="B224" s="50">
        <f t="shared" ca="1" si="0"/>
        <v>0.25513056132407863</v>
      </c>
      <c r="C224" s="8">
        <v>1</v>
      </c>
      <c r="D224" s="49">
        <v>0</v>
      </c>
      <c r="F224" s="50">
        <f t="shared" ca="1" si="1"/>
        <v>0.16883748117715824</v>
      </c>
      <c r="G224" s="8">
        <v>1</v>
      </c>
      <c r="H224" s="49">
        <v>0</v>
      </c>
      <c r="J224" s="50">
        <f t="shared" ca="1" si="2"/>
        <v>0.87462961936002837</v>
      </c>
      <c r="K224" s="8">
        <v>1</v>
      </c>
      <c r="L224" s="49">
        <v>0</v>
      </c>
      <c r="N224" s="50">
        <f t="shared" ca="1" si="3"/>
        <v>0.4213348810811357</v>
      </c>
      <c r="O224" s="8">
        <v>1</v>
      </c>
      <c r="P224" s="49">
        <v>0</v>
      </c>
      <c r="R224" s="50">
        <f t="shared" ca="1" si="4"/>
        <v>0.83557541536880819</v>
      </c>
      <c r="S224" s="8">
        <v>1</v>
      </c>
      <c r="T224" s="49">
        <v>0</v>
      </c>
      <c r="V224" s="50">
        <f t="shared" ca="1" si="5"/>
        <v>4.3464461438218138E-2</v>
      </c>
      <c r="W224" s="8">
        <v>1</v>
      </c>
      <c r="X224" s="49">
        <v>0</v>
      </c>
      <c r="Z224" s="50">
        <f t="shared" ca="1" si="6"/>
        <v>0.54658988664437125</v>
      </c>
      <c r="AA224" s="8">
        <v>1</v>
      </c>
      <c r="AB224" s="49">
        <v>0</v>
      </c>
      <c r="AD224" s="50">
        <f t="shared" ca="1" si="7"/>
        <v>0.28482474521551382</v>
      </c>
      <c r="AE224" s="8">
        <v>1</v>
      </c>
      <c r="AF224" s="49">
        <v>0</v>
      </c>
      <c r="AH224" s="50">
        <f t="shared" ca="1" si="8"/>
        <v>0.87504484987006992</v>
      </c>
      <c r="AI224" s="8">
        <v>1</v>
      </c>
      <c r="AJ224" s="49">
        <v>0</v>
      </c>
      <c r="AL224" s="50">
        <f t="shared" ca="1" si="9"/>
        <v>0.9183929345170857</v>
      </c>
      <c r="AM224" s="8">
        <v>1</v>
      </c>
      <c r="AN224" s="49">
        <v>0</v>
      </c>
      <c r="AP224" s="50">
        <f t="shared" ca="1" si="10"/>
        <v>0.56564961793218793</v>
      </c>
      <c r="AQ224" s="8">
        <v>1</v>
      </c>
      <c r="AR224" s="49">
        <v>0</v>
      </c>
      <c r="AT224" s="50">
        <f t="shared" ca="1" si="11"/>
        <v>0.8605735657164254</v>
      </c>
      <c r="AU224" s="8">
        <v>1</v>
      </c>
      <c r="AV224" s="49">
        <v>0</v>
      </c>
      <c r="AX224" s="50">
        <f t="shared" ca="1" si="12"/>
        <v>0.4239318351181034</v>
      </c>
      <c r="AY224" s="8">
        <v>1</v>
      </c>
      <c r="AZ224" s="49">
        <v>0</v>
      </c>
      <c r="BB224" s="50">
        <f t="shared" ca="1" si="13"/>
        <v>0.51827767150203108</v>
      </c>
      <c r="BC224" s="8">
        <v>1</v>
      </c>
      <c r="BD224" s="49">
        <v>0</v>
      </c>
      <c r="BF224" s="50">
        <f t="shared" ca="1" si="14"/>
        <v>0.56582758118818188</v>
      </c>
      <c r="BG224" s="8">
        <v>1</v>
      </c>
      <c r="BH224" s="49">
        <v>0</v>
      </c>
      <c r="BJ224" s="50">
        <f t="shared" ca="1" si="15"/>
        <v>0.44950181741381467</v>
      </c>
      <c r="BK224" s="8">
        <v>1</v>
      </c>
      <c r="BL224" s="49">
        <v>0</v>
      </c>
      <c r="BN224" s="50">
        <f t="shared" ca="1" si="16"/>
        <v>0.38551683630386313</v>
      </c>
      <c r="BO224" s="8">
        <v>1</v>
      </c>
      <c r="BP224" s="49">
        <v>0</v>
      </c>
      <c r="BR224" s="50">
        <f t="shared" ca="1" si="17"/>
        <v>0.45280648454326344</v>
      </c>
      <c r="BS224" s="8">
        <v>1</v>
      </c>
      <c r="BT224" s="49">
        <v>0</v>
      </c>
    </row>
    <row r="225" spans="1:72" x14ac:dyDescent="0.2">
      <c r="A225" s="22">
        <v>44772</v>
      </c>
      <c r="B225" s="50">
        <f t="shared" ca="1" si="0"/>
        <v>0.69466425940451448</v>
      </c>
      <c r="C225" s="8">
        <v>1</v>
      </c>
      <c r="D225" s="49">
        <v>0</v>
      </c>
      <c r="F225" s="50">
        <f t="shared" ca="1" si="1"/>
        <v>0.87685967404908094</v>
      </c>
      <c r="G225" s="8">
        <v>1</v>
      </c>
      <c r="H225" s="49">
        <v>0</v>
      </c>
      <c r="J225" s="50">
        <f t="shared" ca="1" si="2"/>
        <v>0.70321171811500194</v>
      </c>
      <c r="K225" s="8">
        <v>1</v>
      </c>
      <c r="L225" s="49">
        <v>0</v>
      </c>
      <c r="N225" s="50">
        <f t="shared" ca="1" si="3"/>
        <v>9.0279010643612767E-2</v>
      </c>
      <c r="O225" s="8">
        <v>1</v>
      </c>
      <c r="P225" s="49">
        <v>0</v>
      </c>
      <c r="R225" s="50">
        <f t="shared" ca="1" si="4"/>
        <v>0.7943735072266972</v>
      </c>
      <c r="S225" s="8">
        <v>1</v>
      </c>
      <c r="T225" s="49">
        <v>0</v>
      </c>
      <c r="V225" s="50">
        <f t="shared" ca="1" si="5"/>
        <v>0.5914143149974197</v>
      </c>
      <c r="W225" s="8">
        <v>1</v>
      </c>
      <c r="X225" s="49">
        <v>0</v>
      </c>
      <c r="Z225" s="50">
        <f t="shared" ca="1" si="6"/>
        <v>0.38664997621013153</v>
      </c>
      <c r="AA225" s="8">
        <v>1</v>
      </c>
      <c r="AB225" s="49">
        <v>0</v>
      </c>
      <c r="AD225" s="50">
        <f t="shared" ca="1" si="7"/>
        <v>0.29836951113232724</v>
      </c>
      <c r="AE225" s="8">
        <v>1</v>
      </c>
      <c r="AF225" s="49">
        <v>0</v>
      </c>
      <c r="AH225" s="50">
        <f t="shared" ca="1" si="8"/>
        <v>0.88133340962011486</v>
      </c>
      <c r="AI225" s="8">
        <v>1</v>
      </c>
      <c r="AJ225" s="49">
        <v>0</v>
      </c>
      <c r="AL225" s="50">
        <f t="shared" ca="1" si="9"/>
        <v>0.37221584913720829</v>
      </c>
      <c r="AM225" s="8">
        <v>1</v>
      </c>
      <c r="AN225" s="49">
        <v>0</v>
      </c>
      <c r="AP225" s="50">
        <f t="shared" ca="1" si="10"/>
        <v>0.64628331818873741</v>
      </c>
      <c r="AQ225" s="8">
        <v>1</v>
      </c>
      <c r="AR225" s="49">
        <v>0</v>
      </c>
      <c r="AT225" s="50">
        <f t="shared" ca="1" si="11"/>
        <v>0.9537441203647482</v>
      </c>
      <c r="AU225" s="8">
        <v>1</v>
      </c>
      <c r="AV225" s="49">
        <v>0</v>
      </c>
      <c r="AX225" s="50">
        <f t="shared" ca="1" si="12"/>
        <v>0.2797143553498348</v>
      </c>
      <c r="AY225" s="8">
        <v>1</v>
      </c>
      <c r="AZ225" s="49">
        <v>0</v>
      </c>
      <c r="BB225" s="50">
        <f t="shared" ca="1" si="13"/>
        <v>0.56646208780646523</v>
      </c>
      <c r="BC225" s="8">
        <v>1</v>
      </c>
      <c r="BD225" s="49">
        <v>0</v>
      </c>
      <c r="BF225" s="50">
        <f t="shared" ca="1" si="14"/>
        <v>0.11995699837042162</v>
      </c>
      <c r="BG225" s="8">
        <v>1</v>
      </c>
      <c r="BH225" s="49">
        <v>0</v>
      </c>
      <c r="BJ225" s="50">
        <f t="shared" ca="1" si="15"/>
        <v>0.2422973759113829</v>
      </c>
      <c r="BK225" s="8">
        <v>1</v>
      </c>
      <c r="BL225" s="49">
        <v>0</v>
      </c>
      <c r="BN225" s="50">
        <f t="shared" ca="1" si="16"/>
        <v>9.2037779045033408E-2</v>
      </c>
      <c r="BO225" s="8">
        <v>1</v>
      </c>
      <c r="BP225" s="49">
        <v>0</v>
      </c>
      <c r="BR225" s="50">
        <f t="shared" ca="1" si="17"/>
        <v>0.42703600690322863</v>
      </c>
      <c r="BS225" s="8">
        <v>1</v>
      </c>
      <c r="BT225" s="49">
        <v>0</v>
      </c>
    </row>
    <row r="226" spans="1:72" x14ac:dyDescent="0.2">
      <c r="A226" s="22">
        <v>44773</v>
      </c>
      <c r="B226" s="50">
        <f t="shared" ca="1" si="0"/>
        <v>0.56943322838236077</v>
      </c>
      <c r="C226" s="8">
        <v>1</v>
      </c>
      <c r="D226" s="49">
        <v>0</v>
      </c>
      <c r="F226" s="50">
        <f t="shared" ca="1" si="1"/>
        <v>7.7783731624103014E-2</v>
      </c>
      <c r="G226" s="8">
        <v>1</v>
      </c>
      <c r="H226" s="49">
        <v>0</v>
      </c>
      <c r="J226" s="50">
        <f t="shared" ca="1" si="2"/>
        <v>0.1333377070748758</v>
      </c>
      <c r="K226" s="8">
        <v>1</v>
      </c>
      <c r="L226" s="49">
        <v>0</v>
      </c>
      <c r="N226" s="50">
        <f t="shared" ca="1" si="3"/>
        <v>0.75963663419778849</v>
      </c>
      <c r="O226" s="8">
        <v>1</v>
      </c>
      <c r="P226" s="49">
        <v>0</v>
      </c>
      <c r="R226" s="50">
        <f t="shared" ca="1" si="4"/>
        <v>8.7480740692339798E-2</v>
      </c>
      <c r="S226" s="8">
        <v>1</v>
      </c>
      <c r="T226" s="49">
        <v>0</v>
      </c>
      <c r="V226" s="50">
        <f t="shared" ca="1" si="5"/>
        <v>0.13708940455372898</v>
      </c>
      <c r="W226" s="8">
        <v>1</v>
      </c>
      <c r="X226" s="49">
        <v>0</v>
      </c>
      <c r="Z226" s="50">
        <f t="shared" ca="1" si="6"/>
        <v>0.3977065680577464</v>
      </c>
      <c r="AA226" s="8">
        <v>1</v>
      </c>
      <c r="AB226" s="49">
        <v>0</v>
      </c>
      <c r="AD226" s="50">
        <f t="shared" ca="1" si="7"/>
        <v>0.13446703171144436</v>
      </c>
      <c r="AE226" s="8">
        <v>1</v>
      </c>
      <c r="AF226" s="49">
        <v>0</v>
      </c>
      <c r="AH226" s="50">
        <f t="shared" ca="1" si="8"/>
        <v>0.13326106248906711</v>
      </c>
      <c r="AI226" s="8">
        <v>1</v>
      </c>
      <c r="AJ226" s="49">
        <v>0</v>
      </c>
      <c r="AL226" s="50">
        <f t="shared" ca="1" si="9"/>
        <v>0.36115450860711718</v>
      </c>
      <c r="AM226" s="8">
        <v>1</v>
      </c>
      <c r="AN226" s="49">
        <v>0</v>
      </c>
      <c r="AP226" s="50">
        <f t="shared" ca="1" si="10"/>
        <v>0.82179351494510766</v>
      </c>
      <c r="AQ226" s="8">
        <v>1</v>
      </c>
      <c r="AR226" s="49">
        <v>0</v>
      </c>
      <c r="AT226" s="50">
        <f t="shared" ca="1" si="11"/>
        <v>0.45572561761016595</v>
      </c>
      <c r="AU226" s="8">
        <v>1</v>
      </c>
      <c r="AV226" s="49">
        <v>0</v>
      </c>
      <c r="AX226" s="50">
        <f t="shared" ca="1" si="12"/>
        <v>0.16662243519460196</v>
      </c>
      <c r="AY226" s="8">
        <v>1</v>
      </c>
      <c r="AZ226" s="49">
        <v>0</v>
      </c>
      <c r="BB226" s="50">
        <f t="shared" ca="1" si="13"/>
        <v>0.41414565529228442</v>
      </c>
      <c r="BC226" s="8">
        <v>1</v>
      </c>
      <c r="BD226" s="49">
        <v>0</v>
      </c>
      <c r="BF226" s="50">
        <f t="shared" ca="1" si="14"/>
        <v>0.40495652708223107</v>
      </c>
      <c r="BG226" s="8">
        <v>1</v>
      </c>
      <c r="BH226" s="49">
        <v>0</v>
      </c>
      <c r="BJ226" s="50">
        <f t="shared" ca="1" si="15"/>
        <v>0.96788450751419408</v>
      </c>
      <c r="BK226" s="8">
        <v>1</v>
      </c>
      <c r="BL226" s="49">
        <v>0</v>
      </c>
      <c r="BN226" s="50">
        <f t="shared" ca="1" si="16"/>
        <v>0.3014846055885706</v>
      </c>
      <c r="BO226" s="8">
        <v>1</v>
      </c>
      <c r="BP226" s="49">
        <v>0</v>
      </c>
      <c r="BR226" s="50">
        <f t="shared" ca="1" si="17"/>
        <v>0.36801135288033271</v>
      </c>
      <c r="BS226" s="8">
        <v>1</v>
      </c>
      <c r="BT226" s="49">
        <v>0</v>
      </c>
    </row>
    <row r="227" spans="1:72" x14ac:dyDescent="0.2">
      <c r="A227" s="22">
        <v>44774</v>
      </c>
      <c r="B227" s="50">
        <f t="shared" ca="1" si="0"/>
        <v>0.34378813680881004</v>
      </c>
      <c r="C227" s="8">
        <v>1</v>
      </c>
      <c r="D227" s="49">
        <v>0</v>
      </c>
      <c r="F227" s="50">
        <f t="shared" ca="1" si="1"/>
        <v>0.46141573983870632</v>
      </c>
      <c r="G227" s="8">
        <v>1</v>
      </c>
      <c r="H227" s="49">
        <v>0</v>
      </c>
      <c r="J227" s="50">
        <f t="shared" ca="1" si="2"/>
        <v>0.28951135612740919</v>
      </c>
      <c r="K227" s="8">
        <v>1</v>
      </c>
      <c r="L227" s="49">
        <v>0</v>
      </c>
      <c r="N227" s="50">
        <f t="shared" ca="1" si="3"/>
        <v>0.71431984282264727</v>
      </c>
      <c r="O227" s="8">
        <v>1</v>
      </c>
      <c r="P227" s="49">
        <v>0</v>
      </c>
      <c r="R227" s="50">
        <f t="shared" ca="1" si="4"/>
        <v>7.3810788051378196E-2</v>
      </c>
      <c r="S227" s="8">
        <v>1</v>
      </c>
      <c r="T227" s="49">
        <v>0</v>
      </c>
      <c r="V227" s="50">
        <f t="shared" ca="1" si="5"/>
        <v>0.19190094236550825</v>
      </c>
      <c r="W227" s="8">
        <v>1</v>
      </c>
      <c r="X227" s="49">
        <v>0</v>
      </c>
      <c r="Z227" s="50">
        <f t="shared" ca="1" si="6"/>
        <v>0.59951320036271916</v>
      </c>
      <c r="AA227" s="8">
        <v>1</v>
      </c>
      <c r="AB227" s="49">
        <v>0</v>
      </c>
      <c r="AD227" s="50">
        <f t="shared" ca="1" si="7"/>
        <v>0.43311037386180407</v>
      </c>
      <c r="AE227" s="8">
        <v>1</v>
      </c>
      <c r="AF227" s="49">
        <v>0</v>
      </c>
      <c r="AH227" s="50">
        <f t="shared" ca="1" si="8"/>
        <v>0.17340743379255963</v>
      </c>
      <c r="AI227" s="8">
        <v>1</v>
      </c>
      <c r="AJ227" s="49">
        <v>0</v>
      </c>
      <c r="AL227" s="50">
        <f t="shared" ca="1" si="9"/>
        <v>0.16451906673545902</v>
      </c>
      <c r="AM227" s="8">
        <v>1</v>
      </c>
      <c r="AN227" s="49">
        <v>0</v>
      </c>
      <c r="AP227" s="50">
        <f t="shared" ca="1" si="10"/>
        <v>0.42029155390440631</v>
      </c>
      <c r="AQ227" s="8">
        <v>1</v>
      </c>
      <c r="AR227" s="49">
        <v>0</v>
      </c>
      <c r="AT227" s="50">
        <f t="shared" ca="1" si="11"/>
        <v>0.86155530938763569</v>
      </c>
      <c r="AU227" s="8">
        <v>1</v>
      </c>
      <c r="AV227" s="49">
        <v>0</v>
      </c>
      <c r="AX227" s="50">
        <f t="shared" ca="1" si="12"/>
        <v>0.41536990670867535</v>
      </c>
      <c r="AY227" s="8">
        <v>1</v>
      </c>
      <c r="AZ227" s="49">
        <v>0</v>
      </c>
      <c r="BB227" s="50">
        <f t="shared" ca="1" si="13"/>
        <v>0.23409499398945455</v>
      </c>
      <c r="BC227" s="8">
        <v>1</v>
      </c>
      <c r="BD227" s="49">
        <v>0</v>
      </c>
      <c r="BF227" s="50">
        <f t="shared" ca="1" si="14"/>
        <v>0.38287213117949137</v>
      </c>
      <c r="BG227" s="8">
        <v>1</v>
      </c>
      <c r="BH227" s="49">
        <v>0</v>
      </c>
      <c r="BJ227" s="50">
        <f t="shared" ca="1" si="15"/>
        <v>0.44014812023904526</v>
      </c>
      <c r="BK227" s="8">
        <v>1</v>
      </c>
      <c r="BL227" s="49">
        <v>0</v>
      </c>
      <c r="BN227" s="50">
        <f t="shared" ca="1" si="16"/>
        <v>0.24762165858082164</v>
      </c>
      <c r="BO227" s="8">
        <v>1</v>
      </c>
      <c r="BP227" s="49">
        <v>0</v>
      </c>
      <c r="BR227" s="50">
        <f t="shared" ca="1" si="17"/>
        <v>0.26999459494533673</v>
      </c>
      <c r="BS227" s="8">
        <v>1</v>
      </c>
      <c r="BT227" s="49">
        <v>0</v>
      </c>
    </row>
    <row r="228" spans="1:72" x14ac:dyDescent="0.2">
      <c r="A228" s="22">
        <v>44775</v>
      </c>
      <c r="B228" s="50">
        <f t="shared" ca="1" si="0"/>
        <v>0.32163552610451829</v>
      </c>
      <c r="C228" s="8">
        <v>1</v>
      </c>
      <c r="D228" s="49">
        <v>0</v>
      </c>
      <c r="F228" s="50">
        <f t="shared" ca="1" si="1"/>
        <v>0.3933182582084761</v>
      </c>
      <c r="G228" s="8">
        <v>1</v>
      </c>
      <c r="H228" s="49">
        <v>0</v>
      </c>
      <c r="J228" s="50">
        <f t="shared" ca="1" si="2"/>
        <v>0.24102688222204982</v>
      </c>
      <c r="K228" s="8">
        <v>1</v>
      </c>
      <c r="L228" s="49">
        <v>0</v>
      </c>
      <c r="N228" s="50">
        <f t="shared" ca="1" si="3"/>
        <v>0.28373915337280775</v>
      </c>
      <c r="O228" s="8">
        <v>1</v>
      </c>
      <c r="P228" s="49">
        <v>0</v>
      </c>
      <c r="R228" s="50">
        <f t="shared" ca="1" si="4"/>
        <v>0.16770362868106303</v>
      </c>
      <c r="S228" s="8">
        <v>1</v>
      </c>
      <c r="T228" s="49">
        <v>0</v>
      </c>
      <c r="V228" s="50">
        <f t="shared" ca="1" si="5"/>
        <v>0.17073247838644634</v>
      </c>
      <c r="W228" s="8">
        <v>1</v>
      </c>
      <c r="X228" s="49">
        <v>0</v>
      </c>
      <c r="Z228" s="50">
        <f t="shared" ca="1" si="6"/>
        <v>0.20562597961446849</v>
      </c>
      <c r="AA228" s="8">
        <v>1</v>
      </c>
      <c r="AB228" s="49">
        <v>0</v>
      </c>
      <c r="AD228" s="50">
        <f t="shared" ca="1" si="7"/>
        <v>0.76387329454587316</v>
      </c>
      <c r="AE228" s="8">
        <v>1</v>
      </c>
      <c r="AF228" s="49">
        <v>0</v>
      </c>
      <c r="AH228" s="50">
        <f t="shared" ca="1" si="8"/>
        <v>0.79611277139015468</v>
      </c>
      <c r="AI228" s="8">
        <v>1</v>
      </c>
      <c r="AJ228" s="49">
        <v>0</v>
      </c>
      <c r="AL228" s="50">
        <f t="shared" ca="1" si="9"/>
        <v>0.24181071301477675</v>
      </c>
      <c r="AM228" s="8">
        <v>1</v>
      </c>
      <c r="AN228" s="49">
        <v>0</v>
      </c>
      <c r="AP228" s="50">
        <f t="shared" ca="1" si="10"/>
        <v>0.45682707299252401</v>
      </c>
      <c r="AQ228" s="8">
        <v>1</v>
      </c>
      <c r="AR228" s="49">
        <v>0</v>
      </c>
      <c r="AT228" s="50">
        <f t="shared" ca="1" si="11"/>
        <v>0.40590868402360081</v>
      </c>
      <c r="AU228" s="8">
        <v>1</v>
      </c>
      <c r="AV228" s="49">
        <v>0</v>
      </c>
      <c r="AX228" s="50">
        <f t="shared" ca="1" si="12"/>
        <v>0.56502678040644405</v>
      </c>
      <c r="AY228" s="8">
        <v>1</v>
      </c>
      <c r="AZ228" s="49">
        <v>0</v>
      </c>
      <c r="BB228" s="50">
        <f t="shared" ca="1" si="13"/>
        <v>2.4864389001785558E-2</v>
      </c>
      <c r="BC228" s="8">
        <v>1</v>
      </c>
      <c r="BD228" s="49">
        <v>0</v>
      </c>
      <c r="BF228" s="50">
        <f t="shared" ca="1" si="14"/>
        <v>0.86387218034290592</v>
      </c>
      <c r="BG228" s="8">
        <v>1</v>
      </c>
      <c r="BH228" s="49">
        <v>0</v>
      </c>
      <c r="BJ228" s="50">
        <f t="shared" ca="1" si="15"/>
        <v>0.98236606587520403</v>
      </c>
      <c r="BK228" s="8">
        <v>1</v>
      </c>
      <c r="BL228" s="49">
        <v>0</v>
      </c>
      <c r="BN228" s="50">
        <f t="shared" ca="1" si="16"/>
        <v>0.79420754519205194</v>
      </c>
      <c r="BO228" s="8">
        <v>1</v>
      </c>
      <c r="BP228" s="49">
        <v>0</v>
      </c>
      <c r="BR228" s="50">
        <f t="shared" ca="1" si="17"/>
        <v>0.32972289139634803</v>
      </c>
      <c r="BS228" s="8">
        <v>1</v>
      </c>
      <c r="BT228" s="49">
        <v>0</v>
      </c>
    </row>
    <row r="229" spans="1:72" x14ac:dyDescent="0.2">
      <c r="A229" s="22">
        <v>44776</v>
      </c>
      <c r="B229" s="50">
        <f t="shared" ca="1" si="0"/>
        <v>0.83606462204225385</v>
      </c>
      <c r="C229" s="8">
        <v>1</v>
      </c>
      <c r="D229" s="49">
        <v>0</v>
      </c>
      <c r="F229" s="50">
        <f t="shared" ca="1" si="1"/>
        <v>0.84344585789851401</v>
      </c>
      <c r="G229" s="8">
        <v>1</v>
      </c>
      <c r="H229" s="49">
        <v>0</v>
      </c>
      <c r="J229" s="50">
        <f t="shared" ca="1" si="2"/>
        <v>0.69424419292316697</v>
      </c>
      <c r="K229" s="8">
        <v>1</v>
      </c>
      <c r="L229" s="49">
        <v>0</v>
      </c>
      <c r="N229" s="50">
        <f t="shared" ca="1" si="3"/>
        <v>0.85635529579865755</v>
      </c>
      <c r="O229" s="8">
        <v>1</v>
      </c>
      <c r="P229" s="49">
        <v>0</v>
      </c>
      <c r="R229" s="50">
        <f t="shared" ca="1" si="4"/>
        <v>0.96026960942988138</v>
      </c>
      <c r="S229" s="8">
        <v>1</v>
      </c>
      <c r="T229" s="49">
        <v>0</v>
      </c>
      <c r="V229" s="50">
        <f t="shared" ca="1" si="5"/>
        <v>9.0575372437504131E-2</v>
      </c>
      <c r="W229" s="8">
        <v>1</v>
      </c>
      <c r="X229" s="49">
        <v>0</v>
      </c>
      <c r="Z229" s="50">
        <f t="shared" ca="1" si="6"/>
        <v>0.93937442798556481</v>
      </c>
      <c r="AA229" s="8">
        <v>1</v>
      </c>
      <c r="AB229" s="49">
        <v>0</v>
      </c>
      <c r="AD229" s="50">
        <f t="shared" ca="1" si="7"/>
        <v>0.97180941479320415</v>
      </c>
      <c r="AE229" s="8">
        <v>1</v>
      </c>
      <c r="AF229" s="49">
        <v>0</v>
      </c>
      <c r="AH229" s="50">
        <f t="shared" ca="1" si="8"/>
        <v>0.84887819415797749</v>
      </c>
      <c r="AI229" s="8">
        <v>1</v>
      </c>
      <c r="AJ229" s="49">
        <v>0</v>
      </c>
      <c r="AL229" s="50">
        <f t="shared" ca="1" si="9"/>
        <v>0.74760288538756403</v>
      </c>
      <c r="AM229" s="8">
        <v>1</v>
      </c>
      <c r="AN229" s="49">
        <v>0</v>
      </c>
      <c r="AP229" s="50">
        <f t="shared" ca="1" si="10"/>
        <v>0.83121334938893832</v>
      </c>
      <c r="AQ229" s="8">
        <v>1</v>
      </c>
      <c r="AR229" s="49">
        <v>0</v>
      </c>
      <c r="AT229" s="50">
        <f t="shared" ca="1" si="11"/>
        <v>0.64011034375007181</v>
      </c>
      <c r="AU229" s="8">
        <v>1</v>
      </c>
      <c r="AV229" s="49">
        <v>0</v>
      </c>
      <c r="AX229" s="50">
        <f t="shared" ca="1" si="12"/>
        <v>0.22705191563438598</v>
      </c>
      <c r="AY229" s="8">
        <v>1</v>
      </c>
      <c r="AZ229" s="49">
        <v>0</v>
      </c>
      <c r="BB229" s="50">
        <f t="shared" ca="1" si="13"/>
        <v>0.19684981213539055</v>
      </c>
      <c r="BC229" s="8">
        <v>1</v>
      </c>
      <c r="BD229" s="49">
        <v>0</v>
      </c>
      <c r="BF229" s="50">
        <f t="shared" ca="1" si="14"/>
        <v>9.1391323697455618E-2</v>
      </c>
      <c r="BG229" s="8">
        <v>1</v>
      </c>
      <c r="BH229" s="49">
        <v>0</v>
      </c>
      <c r="BJ229" s="50">
        <f t="shared" ca="1" si="15"/>
        <v>0.88742091162434644</v>
      </c>
      <c r="BK229" s="8">
        <v>1</v>
      </c>
      <c r="BL229" s="49">
        <v>0</v>
      </c>
      <c r="BN229" s="50">
        <f t="shared" ca="1" si="16"/>
        <v>0.46233696274087255</v>
      </c>
      <c r="BO229" s="8">
        <v>1</v>
      </c>
      <c r="BP229" s="49">
        <v>0</v>
      </c>
      <c r="BR229" s="50">
        <f t="shared" ca="1" si="17"/>
        <v>0.88638668088333306</v>
      </c>
      <c r="BS229" s="8">
        <v>1</v>
      </c>
      <c r="BT229" s="49">
        <v>0</v>
      </c>
    </row>
    <row r="230" spans="1:72" x14ac:dyDescent="0.2">
      <c r="A230" s="22">
        <v>44777</v>
      </c>
      <c r="B230" s="50">
        <f t="shared" ca="1" si="0"/>
        <v>0.20766694845282152</v>
      </c>
      <c r="C230" s="8">
        <v>1</v>
      </c>
      <c r="D230" s="49">
        <v>0</v>
      </c>
      <c r="F230" s="50">
        <f t="shared" ca="1" si="1"/>
        <v>0.87993190133985788</v>
      </c>
      <c r="G230" s="8">
        <v>1</v>
      </c>
      <c r="H230" s="49">
        <v>0</v>
      </c>
      <c r="J230" s="50">
        <f t="shared" ca="1" si="2"/>
        <v>0.91629347254438842</v>
      </c>
      <c r="K230" s="8">
        <v>1</v>
      </c>
      <c r="L230" s="49">
        <v>0</v>
      </c>
      <c r="N230" s="50">
        <f t="shared" ca="1" si="3"/>
        <v>0.2404346371660433</v>
      </c>
      <c r="O230" s="8">
        <v>1</v>
      </c>
      <c r="P230" s="49">
        <v>0</v>
      </c>
      <c r="R230" s="50">
        <f t="shared" ca="1" si="4"/>
        <v>0.32468611033606176</v>
      </c>
      <c r="S230" s="8">
        <v>1</v>
      </c>
      <c r="T230" s="49">
        <v>0</v>
      </c>
      <c r="V230" s="50">
        <f t="shared" ca="1" si="5"/>
        <v>0.56760821072690959</v>
      </c>
      <c r="W230" s="8">
        <v>1</v>
      </c>
      <c r="X230" s="49">
        <v>0</v>
      </c>
      <c r="Z230" s="50">
        <f t="shared" ca="1" si="6"/>
        <v>0.2538957300048249</v>
      </c>
      <c r="AA230" s="8">
        <v>1</v>
      </c>
      <c r="AB230" s="49">
        <v>0</v>
      </c>
      <c r="AD230" s="50">
        <f t="shared" ca="1" si="7"/>
        <v>1.0585359947469564E-2</v>
      </c>
      <c r="AE230" s="8">
        <v>1</v>
      </c>
      <c r="AF230" s="49">
        <v>0</v>
      </c>
      <c r="AH230" s="50">
        <f t="shared" ca="1" si="8"/>
        <v>0.23500939869150239</v>
      </c>
      <c r="AI230" s="8">
        <v>1</v>
      </c>
      <c r="AJ230" s="49">
        <v>0</v>
      </c>
      <c r="AL230" s="50">
        <f t="shared" ca="1" si="9"/>
        <v>0.66433030695660311</v>
      </c>
      <c r="AM230" s="8">
        <v>1</v>
      </c>
      <c r="AN230" s="49">
        <v>0</v>
      </c>
      <c r="AP230" s="50">
        <f t="shared" ca="1" si="10"/>
        <v>0.69785269793642069</v>
      </c>
      <c r="AQ230" s="8">
        <v>1</v>
      </c>
      <c r="AR230" s="49">
        <v>0</v>
      </c>
      <c r="AT230" s="50">
        <f t="shared" ca="1" si="11"/>
        <v>7.9225211628588199E-2</v>
      </c>
      <c r="AU230" s="8">
        <v>1</v>
      </c>
      <c r="AV230" s="49">
        <v>0</v>
      </c>
      <c r="AX230" s="50">
        <f t="shared" ca="1" si="12"/>
        <v>0.98362754252741058</v>
      </c>
      <c r="AY230" s="8">
        <v>1</v>
      </c>
      <c r="AZ230" s="49">
        <v>0</v>
      </c>
      <c r="BB230" s="50">
        <f t="shared" ca="1" si="13"/>
        <v>0.59111965072763595</v>
      </c>
      <c r="BC230" s="8">
        <v>1</v>
      </c>
      <c r="BD230" s="49">
        <v>0</v>
      </c>
      <c r="BF230" s="50">
        <f t="shared" ca="1" si="14"/>
        <v>0.10052008596047945</v>
      </c>
      <c r="BG230" s="8">
        <v>1</v>
      </c>
      <c r="BH230" s="49">
        <v>0</v>
      </c>
      <c r="BJ230" s="50">
        <f t="shared" ca="1" si="15"/>
        <v>0.30346362169942209</v>
      </c>
      <c r="BK230" s="8">
        <v>1</v>
      </c>
      <c r="BL230" s="49">
        <v>0</v>
      </c>
      <c r="BN230" s="50">
        <f t="shared" ca="1" si="16"/>
        <v>0.72175101735049851</v>
      </c>
      <c r="BO230" s="8">
        <v>1</v>
      </c>
      <c r="BP230" s="49">
        <v>0</v>
      </c>
      <c r="BR230" s="50">
        <f t="shared" ca="1" si="17"/>
        <v>0.86327154438087783</v>
      </c>
      <c r="BS230" s="8">
        <v>1</v>
      </c>
      <c r="BT230" s="49">
        <v>0</v>
      </c>
    </row>
    <row r="231" spans="1:72" x14ac:dyDescent="0.2">
      <c r="A231" s="22">
        <v>44778</v>
      </c>
      <c r="B231" s="50">
        <f t="shared" ca="1" si="0"/>
        <v>0.95880017605634971</v>
      </c>
      <c r="C231" s="8">
        <v>1</v>
      </c>
      <c r="D231" s="49">
        <v>0</v>
      </c>
      <c r="F231" s="50">
        <f t="shared" ca="1" si="1"/>
        <v>0.25167864560393316</v>
      </c>
      <c r="G231" s="8">
        <v>1</v>
      </c>
      <c r="H231" s="49">
        <v>0</v>
      </c>
      <c r="J231" s="50">
        <f t="shared" ca="1" si="2"/>
        <v>0.46957245423821747</v>
      </c>
      <c r="K231" s="8">
        <v>1</v>
      </c>
      <c r="L231" s="49">
        <v>0</v>
      </c>
      <c r="N231" s="50">
        <f t="shared" ca="1" si="3"/>
        <v>0.9516747920412022</v>
      </c>
      <c r="O231" s="8">
        <v>1</v>
      </c>
      <c r="P231" s="49">
        <v>0</v>
      </c>
      <c r="R231" s="50">
        <f t="shared" ca="1" si="4"/>
        <v>0.3181205863344958</v>
      </c>
      <c r="S231" s="8">
        <v>1</v>
      </c>
      <c r="T231" s="49">
        <v>0</v>
      </c>
      <c r="V231" s="50">
        <f t="shared" ca="1" si="5"/>
        <v>0.86633515920985082</v>
      </c>
      <c r="W231" s="8">
        <v>1</v>
      </c>
      <c r="X231" s="49">
        <v>0</v>
      </c>
      <c r="Z231" s="50">
        <f t="shared" ca="1" si="6"/>
        <v>4.6499452296243304E-2</v>
      </c>
      <c r="AA231" s="8">
        <v>1</v>
      </c>
      <c r="AB231" s="49">
        <v>0</v>
      </c>
      <c r="AD231" s="50">
        <f t="shared" ca="1" si="7"/>
        <v>0.88197374120531624</v>
      </c>
      <c r="AE231" s="8">
        <v>1</v>
      </c>
      <c r="AF231" s="49">
        <v>0</v>
      </c>
      <c r="AH231" s="50">
        <f t="shared" ca="1" si="8"/>
        <v>0.83377696792148159</v>
      </c>
      <c r="AI231" s="8">
        <v>1</v>
      </c>
      <c r="AJ231" s="49">
        <v>0</v>
      </c>
      <c r="AL231" s="50">
        <f t="shared" ca="1" si="9"/>
        <v>0.59005471435676848</v>
      </c>
      <c r="AM231" s="8">
        <v>1</v>
      </c>
      <c r="AN231" s="49">
        <v>0</v>
      </c>
      <c r="AP231" s="50">
        <f t="shared" ca="1" si="10"/>
        <v>0.13716978326718576</v>
      </c>
      <c r="AQ231" s="8">
        <v>1</v>
      </c>
      <c r="AR231" s="49">
        <v>0</v>
      </c>
      <c r="AT231" s="50">
        <f t="shared" ca="1" si="11"/>
        <v>0.55553349463920587</v>
      </c>
      <c r="AU231" s="8">
        <v>1</v>
      </c>
      <c r="AV231" s="49">
        <v>0</v>
      </c>
      <c r="AX231" s="50">
        <f t="shared" ca="1" si="12"/>
        <v>0.22879093475976708</v>
      </c>
      <c r="AY231" s="8">
        <v>1</v>
      </c>
      <c r="AZ231" s="49">
        <v>0</v>
      </c>
      <c r="BB231" s="50">
        <f t="shared" ca="1" si="13"/>
        <v>0.98312440375495214</v>
      </c>
      <c r="BC231" s="8">
        <v>1</v>
      </c>
      <c r="BD231" s="49">
        <v>0</v>
      </c>
      <c r="BF231" s="50">
        <f t="shared" ca="1" si="14"/>
        <v>0.13276695225518198</v>
      </c>
      <c r="BG231" s="8">
        <v>1</v>
      </c>
      <c r="BH231" s="49">
        <v>0</v>
      </c>
      <c r="BJ231" s="50">
        <f t="shared" ca="1" si="15"/>
        <v>0.76334905926165741</v>
      </c>
      <c r="BK231" s="8">
        <v>1</v>
      </c>
      <c r="BL231" s="49">
        <v>0</v>
      </c>
      <c r="BN231" s="50">
        <f t="shared" ca="1" si="16"/>
        <v>0.91414909588693483</v>
      </c>
      <c r="BO231" s="8">
        <v>1</v>
      </c>
      <c r="BP231" s="49">
        <v>0</v>
      </c>
      <c r="BR231" s="50">
        <f t="shared" ca="1" si="17"/>
        <v>0.7625617253523953</v>
      </c>
      <c r="BS231" s="8">
        <v>1</v>
      </c>
      <c r="BT231" s="49">
        <v>0</v>
      </c>
    </row>
    <row r="232" spans="1:72" x14ac:dyDescent="0.2">
      <c r="A232" s="22">
        <v>44779</v>
      </c>
      <c r="B232" s="50">
        <f t="shared" ca="1" si="0"/>
        <v>0.41649979180629548</v>
      </c>
      <c r="C232" s="8">
        <v>1</v>
      </c>
      <c r="D232" s="49">
        <v>0</v>
      </c>
      <c r="F232" s="50">
        <f t="shared" ca="1" si="1"/>
        <v>0.93122362165464556</v>
      </c>
      <c r="G232" s="8">
        <v>1</v>
      </c>
      <c r="H232" s="49">
        <v>0</v>
      </c>
      <c r="J232" s="50">
        <f t="shared" ca="1" si="2"/>
        <v>0.19343879891205729</v>
      </c>
      <c r="K232" s="8">
        <v>1</v>
      </c>
      <c r="L232" s="49">
        <v>0</v>
      </c>
      <c r="N232" s="50">
        <f t="shared" ca="1" si="3"/>
        <v>0.2939563223577133</v>
      </c>
      <c r="O232" s="8">
        <v>1</v>
      </c>
      <c r="P232" s="49">
        <v>0</v>
      </c>
      <c r="R232" s="50">
        <f t="shared" ca="1" si="4"/>
        <v>0.81312306083054742</v>
      </c>
      <c r="S232" s="8">
        <v>1</v>
      </c>
      <c r="T232" s="49">
        <v>0</v>
      </c>
      <c r="V232" s="50">
        <f t="shared" ca="1" si="5"/>
        <v>6.1014529891934233E-2</v>
      </c>
      <c r="W232" s="8">
        <v>1</v>
      </c>
      <c r="X232" s="49">
        <v>0</v>
      </c>
      <c r="Z232" s="50">
        <f t="shared" ca="1" si="6"/>
        <v>0.47716626541991214</v>
      </c>
      <c r="AA232" s="8">
        <v>1</v>
      </c>
      <c r="AB232" s="49">
        <v>0</v>
      </c>
      <c r="AD232" s="50">
        <f t="shared" ca="1" si="7"/>
        <v>0.20179777686587175</v>
      </c>
      <c r="AE232" s="8">
        <v>1</v>
      </c>
      <c r="AF232" s="49">
        <v>0</v>
      </c>
      <c r="AH232" s="50">
        <f t="shared" ca="1" si="8"/>
        <v>0.92178310479776537</v>
      </c>
      <c r="AI232" s="8">
        <v>1</v>
      </c>
      <c r="AJ232" s="49">
        <v>0</v>
      </c>
      <c r="AL232" s="50">
        <f t="shared" ca="1" si="9"/>
        <v>0.90480103428370839</v>
      </c>
      <c r="AM232" s="8">
        <v>1</v>
      </c>
      <c r="AN232" s="49">
        <v>0</v>
      </c>
      <c r="AP232" s="50">
        <f t="shared" ca="1" si="10"/>
        <v>0.66586410226380954</v>
      </c>
      <c r="AQ232" s="8">
        <v>1</v>
      </c>
      <c r="AR232" s="49">
        <v>0</v>
      </c>
      <c r="AT232" s="50">
        <f t="shared" ca="1" si="11"/>
        <v>0.3436595701066566</v>
      </c>
      <c r="AU232" s="8">
        <v>1</v>
      </c>
      <c r="AV232" s="49">
        <v>0</v>
      </c>
      <c r="AX232" s="50">
        <f t="shared" ca="1" si="12"/>
        <v>0.51977285295379994</v>
      </c>
      <c r="AY232" s="8">
        <v>1</v>
      </c>
      <c r="AZ232" s="49">
        <v>0</v>
      </c>
      <c r="BB232" s="50">
        <f t="shared" ca="1" si="13"/>
        <v>0.95286097459868124</v>
      </c>
      <c r="BC232" s="8">
        <v>1</v>
      </c>
      <c r="BD232" s="49">
        <v>0</v>
      </c>
      <c r="BF232" s="50">
        <f t="shared" ca="1" si="14"/>
        <v>0.47527027506052422</v>
      </c>
      <c r="BG232" s="8">
        <v>1</v>
      </c>
      <c r="BH232" s="49">
        <v>0</v>
      </c>
      <c r="BJ232" s="50">
        <f t="shared" ca="1" si="15"/>
        <v>0.25164318891943682</v>
      </c>
      <c r="BK232" s="8">
        <v>1</v>
      </c>
      <c r="BL232" s="49">
        <v>0</v>
      </c>
      <c r="BN232" s="50">
        <f t="shared" ca="1" si="16"/>
        <v>0.98618514553978165</v>
      </c>
      <c r="BO232" s="8">
        <v>1</v>
      </c>
      <c r="BP232" s="49">
        <v>0</v>
      </c>
      <c r="BR232" s="50">
        <f t="shared" ca="1" si="17"/>
        <v>0.47549956655454328</v>
      </c>
      <c r="BS232" s="8">
        <v>1</v>
      </c>
      <c r="BT232" s="49">
        <v>0</v>
      </c>
    </row>
    <row r="233" spans="1:72" x14ac:dyDescent="0.2">
      <c r="A233" s="22">
        <v>44780</v>
      </c>
      <c r="B233" s="50">
        <f t="shared" ca="1" si="0"/>
        <v>0.11026624356760673</v>
      </c>
      <c r="C233" s="8">
        <v>1</v>
      </c>
      <c r="D233" s="49">
        <v>0</v>
      </c>
      <c r="F233" s="50">
        <f t="shared" ca="1" si="1"/>
        <v>0.3997468822243796</v>
      </c>
      <c r="G233" s="8">
        <v>1</v>
      </c>
      <c r="H233" s="49">
        <v>0</v>
      </c>
      <c r="J233" s="50">
        <f t="shared" ca="1" si="2"/>
        <v>0.23549837715144428</v>
      </c>
      <c r="K233" s="8">
        <v>1</v>
      </c>
      <c r="L233" s="49">
        <v>0</v>
      </c>
      <c r="N233" s="50">
        <f t="shared" ca="1" si="3"/>
        <v>0.72968166999022288</v>
      </c>
      <c r="O233" s="8">
        <v>1</v>
      </c>
      <c r="P233" s="49">
        <v>0</v>
      </c>
      <c r="R233" s="50">
        <f t="shared" ca="1" si="4"/>
        <v>0.82771519061688537</v>
      </c>
      <c r="S233" s="8">
        <v>1</v>
      </c>
      <c r="T233" s="49">
        <v>0</v>
      </c>
      <c r="V233" s="50">
        <f t="shared" ca="1" si="5"/>
        <v>8.1071136453929604E-2</v>
      </c>
      <c r="W233" s="8">
        <v>1</v>
      </c>
      <c r="X233" s="49">
        <v>0</v>
      </c>
      <c r="Z233" s="50">
        <f t="shared" ca="1" si="6"/>
        <v>0.81238198524908378</v>
      </c>
      <c r="AA233" s="8">
        <v>1</v>
      </c>
      <c r="AB233" s="49">
        <v>0</v>
      </c>
      <c r="AD233" s="50">
        <f t="shared" ca="1" si="7"/>
        <v>0.84469503006620872</v>
      </c>
      <c r="AE233" s="8">
        <v>1</v>
      </c>
      <c r="AF233" s="49">
        <v>0</v>
      </c>
      <c r="AH233" s="50">
        <f t="shared" ca="1" si="8"/>
        <v>0.94737776327347012</v>
      </c>
      <c r="AI233" s="8">
        <v>1</v>
      </c>
      <c r="AJ233" s="49">
        <v>0</v>
      </c>
      <c r="AL233" s="50">
        <f t="shared" ca="1" si="9"/>
        <v>0.28274180407521643</v>
      </c>
      <c r="AM233" s="8">
        <v>1</v>
      </c>
      <c r="AN233" s="49">
        <v>0</v>
      </c>
      <c r="AP233" s="50">
        <f t="shared" ca="1" si="10"/>
        <v>0.18543035751967274</v>
      </c>
      <c r="AQ233" s="8">
        <v>1</v>
      </c>
      <c r="AR233" s="49">
        <v>0</v>
      </c>
      <c r="AT233" s="50">
        <f t="shared" ca="1" si="11"/>
        <v>0.83510621915348371</v>
      </c>
      <c r="AU233" s="8">
        <v>1</v>
      </c>
      <c r="AV233" s="49">
        <v>0</v>
      </c>
      <c r="AX233" s="50">
        <f t="shared" ca="1" si="12"/>
        <v>0.44537448514017608</v>
      </c>
      <c r="AY233" s="8">
        <v>1</v>
      </c>
      <c r="AZ233" s="49">
        <v>0</v>
      </c>
      <c r="BB233" s="50">
        <f t="shared" ca="1" si="13"/>
        <v>0.44072185670576192</v>
      </c>
      <c r="BC233" s="8">
        <v>1</v>
      </c>
      <c r="BD233" s="49">
        <v>0</v>
      </c>
      <c r="BF233" s="50">
        <f t="shared" ca="1" si="14"/>
        <v>0.30403340591237416</v>
      </c>
      <c r="BG233" s="8">
        <v>1</v>
      </c>
      <c r="BH233" s="49">
        <v>0</v>
      </c>
      <c r="BJ233" s="50">
        <f t="shared" ca="1" si="15"/>
        <v>0.46004045300769147</v>
      </c>
      <c r="BK233" s="8">
        <v>1</v>
      </c>
      <c r="BL233" s="49">
        <v>0</v>
      </c>
      <c r="BN233" s="50">
        <f t="shared" ca="1" si="16"/>
        <v>0.82091062489576683</v>
      </c>
      <c r="BO233" s="8">
        <v>1</v>
      </c>
      <c r="BP233" s="49">
        <v>0</v>
      </c>
      <c r="BR233" s="50">
        <f t="shared" ca="1" si="17"/>
        <v>5.5705987936635282E-2</v>
      </c>
      <c r="BS233" s="8">
        <v>1</v>
      </c>
      <c r="BT233" s="49">
        <v>0</v>
      </c>
    </row>
    <row r="234" spans="1:72" x14ac:dyDescent="0.2">
      <c r="A234" s="22">
        <v>44781</v>
      </c>
      <c r="B234" s="50">
        <f t="shared" ca="1" si="0"/>
        <v>0.83760665748192897</v>
      </c>
      <c r="C234" s="8">
        <v>1</v>
      </c>
      <c r="D234" s="49">
        <v>0</v>
      </c>
      <c r="F234" s="50">
        <f t="shared" ca="1" si="1"/>
        <v>0.96459559585371124</v>
      </c>
      <c r="G234" s="8">
        <v>1</v>
      </c>
      <c r="H234" s="49">
        <v>0</v>
      </c>
      <c r="J234" s="50">
        <f t="shared" ca="1" si="2"/>
        <v>0.88126691917713673</v>
      </c>
      <c r="K234" s="8">
        <v>1</v>
      </c>
      <c r="L234" s="49">
        <v>0</v>
      </c>
      <c r="N234" s="50">
        <f t="shared" ca="1" si="3"/>
        <v>0.66234333888389552</v>
      </c>
      <c r="O234" s="8">
        <v>1</v>
      </c>
      <c r="P234" s="49">
        <v>0</v>
      </c>
      <c r="R234" s="50">
        <f t="shared" ca="1" si="4"/>
        <v>0.52668153193100509</v>
      </c>
      <c r="S234" s="8">
        <v>1</v>
      </c>
      <c r="T234" s="49">
        <v>0</v>
      </c>
      <c r="V234" s="50">
        <f t="shared" ca="1" si="5"/>
        <v>0.20548655274875016</v>
      </c>
      <c r="W234" s="8">
        <v>1</v>
      </c>
      <c r="X234" s="49">
        <v>0</v>
      </c>
      <c r="Z234" s="50">
        <f t="shared" ca="1" si="6"/>
        <v>0.67932175994992661</v>
      </c>
      <c r="AA234" s="8">
        <v>1</v>
      </c>
      <c r="AB234" s="49">
        <v>0</v>
      </c>
      <c r="AD234" s="50">
        <f t="shared" ca="1" si="7"/>
        <v>1.0941289794560771E-2</v>
      </c>
      <c r="AE234" s="8">
        <v>1</v>
      </c>
      <c r="AF234" s="49">
        <v>0</v>
      </c>
      <c r="AH234" s="50">
        <f t="shared" ca="1" si="8"/>
        <v>0.32119987447633125</v>
      </c>
      <c r="AI234" s="8">
        <v>1</v>
      </c>
      <c r="AJ234" s="49">
        <v>0</v>
      </c>
      <c r="AL234" s="50">
        <f t="shared" ca="1" si="9"/>
        <v>0.51511774081628703</v>
      </c>
      <c r="AM234" s="8">
        <v>1</v>
      </c>
      <c r="AN234" s="49">
        <v>0</v>
      </c>
      <c r="AP234" s="50">
        <f t="shared" ca="1" si="10"/>
        <v>0.70937834689384549</v>
      </c>
      <c r="AQ234" s="8">
        <v>1</v>
      </c>
      <c r="AR234" s="49">
        <v>0</v>
      </c>
      <c r="AT234" s="50">
        <f t="shared" ca="1" si="11"/>
        <v>0.1997982046646497</v>
      </c>
      <c r="AU234" s="8">
        <v>1</v>
      </c>
      <c r="AV234" s="49">
        <v>0</v>
      </c>
      <c r="AX234" s="50">
        <f t="shared" ca="1" si="12"/>
        <v>0.30252976522063135</v>
      </c>
      <c r="AY234" s="8">
        <v>1</v>
      </c>
      <c r="AZ234" s="49">
        <v>0</v>
      </c>
      <c r="BB234" s="50">
        <f t="shared" ca="1" si="13"/>
        <v>0.20146379211211385</v>
      </c>
      <c r="BC234" s="8">
        <v>1</v>
      </c>
      <c r="BD234" s="49">
        <v>0</v>
      </c>
      <c r="BF234" s="50">
        <f t="shared" ca="1" si="14"/>
        <v>0.53668296728623477</v>
      </c>
      <c r="BG234" s="8">
        <v>1</v>
      </c>
      <c r="BH234" s="49">
        <v>0</v>
      </c>
      <c r="BJ234" s="50">
        <f t="shared" ca="1" si="15"/>
        <v>0.15302639147338204</v>
      </c>
      <c r="BK234" s="8">
        <v>1</v>
      </c>
      <c r="BL234" s="49">
        <v>0</v>
      </c>
      <c r="BN234" s="50">
        <f t="shared" ca="1" si="16"/>
        <v>0.43841311933978444</v>
      </c>
      <c r="BO234" s="8">
        <v>1</v>
      </c>
      <c r="BP234" s="49">
        <v>0</v>
      </c>
      <c r="BR234" s="50">
        <f t="shared" ca="1" si="17"/>
        <v>0.96530425426008648</v>
      </c>
      <c r="BS234" s="8">
        <v>1</v>
      </c>
      <c r="BT234" s="49">
        <v>0</v>
      </c>
    </row>
    <row r="235" spans="1:72" x14ac:dyDescent="0.2">
      <c r="A235" s="22">
        <v>44782</v>
      </c>
      <c r="B235" s="50">
        <f t="shared" ca="1" si="0"/>
        <v>0.71636861708942901</v>
      </c>
      <c r="C235" s="8">
        <v>1</v>
      </c>
      <c r="D235" s="49">
        <v>0</v>
      </c>
      <c r="F235" s="50">
        <f t="shared" ca="1" si="1"/>
        <v>0.27924718632902668</v>
      </c>
      <c r="G235" s="8">
        <v>1</v>
      </c>
      <c r="H235" s="49">
        <v>0</v>
      </c>
      <c r="J235" s="50">
        <f t="shared" ca="1" si="2"/>
        <v>0.82565270945423597</v>
      </c>
      <c r="K235" s="8">
        <v>1</v>
      </c>
      <c r="L235" s="49">
        <v>0</v>
      </c>
      <c r="N235" s="50">
        <f t="shared" ca="1" si="3"/>
        <v>0.28310313018435573</v>
      </c>
      <c r="O235" s="8">
        <v>1</v>
      </c>
      <c r="P235" s="49">
        <v>0</v>
      </c>
      <c r="R235" s="50">
        <f t="shared" ca="1" si="4"/>
        <v>0.24607056527342774</v>
      </c>
      <c r="S235" s="8">
        <v>1</v>
      </c>
      <c r="T235" s="49">
        <v>0</v>
      </c>
      <c r="V235" s="50">
        <f t="shared" ca="1" si="5"/>
        <v>0.21756123480326084</v>
      </c>
      <c r="W235" s="8">
        <v>1</v>
      </c>
      <c r="X235" s="49">
        <v>0</v>
      </c>
      <c r="Z235" s="50">
        <f t="shared" ca="1" si="6"/>
        <v>0.56206952543233735</v>
      </c>
      <c r="AA235" s="8">
        <v>1</v>
      </c>
      <c r="AB235" s="49">
        <v>0</v>
      </c>
      <c r="AD235" s="50">
        <f t="shared" ca="1" si="7"/>
        <v>0.37140277337237138</v>
      </c>
      <c r="AE235" s="8">
        <v>1</v>
      </c>
      <c r="AF235" s="49">
        <v>0</v>
      </c>
      <c r="AH235" s="50">
        <f t="shared" ca="1" si="8"/>
        <v>0.46179780017350414</v>
      </c>
      <c r="AI235" s="8">
        <v>1</v>
      </c>
      <c r="AJ235" s="49">
        <v>0</v>
      </c>
      <c r="AL235" s="50">
        <f t="shared" ca="1" si="9"/>
        <v>3.334803590418467E-2</v>
      </c>
      <c r="AM235" s="8">
        <v>1</v>
      </c>
      <c r="AN235" s="49">
        <v>0</v>
      </c>
      <c r="AP235" s="50">
        <f t="shared" ca="1" si="10"/>
        <v>0.98977346136755417</v>
      </c>
      <c r="AQ235" s="8">
        <v>1</v>
      </c>
      <c r="AR235" s="49">
        <v>0</v>
      </c>
      <c r="AT235" s="50">
        <f t="shared" ca="1" si="11"/>
        <v>0.76172713270650205</v>
      </c>
      <c r="AU235" s="8">
        <v>1</v>
      </c>
      <c r="AV235" s="49">
        <v>0</v>
      </c>
      <c r="AX235" s="50">
        <f t="shared" ca="1" si="12"/>
        <v>0.24935332046595982</v>
      </c>
      <c r="AY235" s="8">
        <v>1</v>
      </c>
      <c r="AZ235" s="49">
        <v>0</v>
      </c>
      <c r="BB235" s="50">
        <f t="shared" ca="1" si="13"/>
        <v>0.8745190384983107</v>
      </c>
      <c r="BC235" s="8">
        <v>1</v>
      </c>
      <c r="BD235" s="49">
        <v>0</v>
      </c>
      <c r="BF235" s="50">
        <f t="shared" ca="1" si="14"/>
        <v>0.9336418924088794</v>
      </c>
      <c r="BG235" s="8">
        <v>1</v>
      </c>
      <c r="BH235" s="49">
        <v>0</v>
      </c>
      <c r="BJ235" s="50">
        <f t="shared" ca="1" si="15"/>
        <v>0.88853354905238835</v>
      </c>
      <c r="BK235" s="8">
        <v>1</v>
      </c>
      <c r="BL235" s="49">
        <v>0</v>
      </c>
      <c r="BN235" s="50">
        <f t="shared" ca="1" si="16"/>
        <v>0.50334312647063684</v>
      </c>
      <c r="BO235" s="8">
        <v>1</v>
      </c>
      <c r="BP235" s="49">
        <v>0</v>
      </c>
      <c r="BR235" s="50">
        <f t="shared" ca="1" si="17"/>
        <v>0.42958287029510334</v>
      </c>
      <c r="BS235" s="8">
        <v>1</v>
      </c>
      <c r="BT235" s="49">
        <v>0</v>
      </c>
    </row>
    <row r="236" spans="1:72" x14ac:dyDescent="0.2">
      <c r="A236" s="22">
        <v>44783</v>
      </c>
      <c r="B236" s="50">
        <f t="shared" ca="1" si="0"/>
        <v>0.900125385890989</v>
      </c>
      <c r="C236" s="8">
        <v>1</v>
      </c>
      <c r="D236" s="49">
        <v>0</v>
      </c>
      <c r="F236" s="50">
        <f t="shared" ca="1" si="1"/>
        <v>9.9119954210821204E-2</v>
      </c>
      <c r="G236" s="8">
        <v>1</v>
      </c>
      <c r="H236" s="49">
        <v>0</v>
      </c>
      <c r="J236" s="50">
        <f t="shared" ca="1" si="2"/>
        <v>0.20259179464264188</v>
      </c>
      <c r="K236" s="8">
        <v>1</v>
      </c>
      <c r="L236" s="49">
        <v>0</v>
      </c>
      <c r="N236" s="50">
        <f t="shared" ca="1" si="3"/>
        <v>0.64818878754577813</v>
      </c>
      <c r="O236" s="8">
        <v>1</v>
      </c>
      <c r="P236" s="49">
        <v>0</v>
      </c>
      <c r="R236" s="50">
        <f t="shared" ca="1" si="4"/>
        <v>1.1567250468874635E-2</v>
      </c>
      <c r="S236" s="8">
        <v>1</v>
      </c>
      <c r="T236" s="49">
        <v>0</v>
      </c>
      <c r="V236" s="50">
        <f t="shared" ca="1" si="5"/>
        <v>0.14900093558649308</v>
      </c>
      <c r="W236" s="8">
        <v>1</v>
      </c>
      <c r="X236" s="49">
        <v>0</v>
      </c>
      <c r="Z236" s="50">
        <f t="shared" ca="1" si="6"/>
        <v>0.59143203405642453</v>
      </c>
      <c r="AA236" s="8">
        <v>1</v>
      </c>
      <c r="AB236" s="49">
        <v>0</v>
      </c>
      <c r="AD236" s="50">
        <f t="shared" ca="1" si="7"/>
        <v>0.12306430750606157</v>
      </c>
      <c r="AE236" s="8">
        <v>1</v>
      </c>
      <c r="AF236" s="49">
        <v>0</v>
      </c>
      <c r="AH236" s="50">
        <f t="shared" ca="1" si="8"/>
        <v>0.69329274157176635</v>
      </c>
      <c r="AI236" s="8">
        <v>1</v>
      </c>
      <c r="AJ236" s="49">
        <v>0</v>
      </c>
      <c r="AL236" s="50">
        <f t="shared" ca="1" si="9"/>
        <v>0.39626019750845154</v>
      </c>
      <c r="AM236" s="8">
        <v>1</v>
      </c>
      <c r="AN236" s="49">
        <v>0</v>
      </c>
      <c r="AP236" s="50">
        <f t="shared" ca="1" si="10"/>
        <v>0.39298468289169686</v>
      </c>
      <c r="AQ236" s="8">
        <v>1</v>
      </c>
      <c r="AR236" s="49">
        <v>0</v>
      </c>
      <c r="AT236" s="50">
        <f t="shared" ca="1" si="11"/>
        <v>0.8916969922623339</v>
      </c>
      <c r="AU236" s="8">
        <v>1</v>
      </c>
      <c r="AV236" s="49">
        <v>0</v>
      </c>
      <c r="AX236" s="50">
        <f t="shared" ca="1" si="12"/>
        <v>0.68224128500113779</v>
      </c>
      <c r="AY236" s="8">
        <v>1</v>
      </c>
      <c r="AZ236" s="49">
        <v>0</v>
      </c>
      <c r="BB236" s="50">
        <f t="shared" ca="1" si="13"/>
        <v>0.94405745728472734</v>
      </c>
      <c r="BC236" s="8">
        <v>1</v>
      </c>
      <c r="BD236" s="49">
        <v>0</v>
      </c>
      <c r="BF236" s="50">
        <f t="shared" ca="1" si="14"/>
        <v>0.69078300507901602</v>
      </c>
      <c r="BG236" s="8">
        <v>1</v>
      </c>
      <c r="BH236" s="49">
        <v>0</v>
      </c>
      <c r="BJ236" s="50">
        <f t="shared" ca="1" si="15"/>
        <v>0.36950137523821991</v>
      </c>
      <c r="BK236" s="8">
        <v>1</v>
      </c>
      <c r="BL236" s="49">
        <v>0</v>
      </c>
      <c r="BN236" s="50">
        <f t="shared" ca="1" si="16"/>
        <v>0.38217131419335237</v>
      </c>
      <c r="BO236" s="8">
        <v>1</v>
      </c>
      <c r="BP236" s="49">
        <v>0</v>
      </c>
      <c r="BR236" s="50">
        <f t="shared" ca="1" si="17"/>
        <v>8.139029398579134E-3</v>
      </c>
      <c r="BS236" s="8">
        <v>1</v>
      </c>
      <c r="BT236" s="49">
        <v>0</v>
      </c>
    </row>
    <row r="237" spans="1:72" x14ac:dyDescent="0.2">
      <c r="A237" s="22">
        <v>44784</v>
      </c>
      <c r="B237" s="50">
        <f t="shared" ca="1" si="0"/>
        <v>5.3931385488880768E-2</v>
      </c>
      <c r="C237" s="8">
        <v>1</v>
      </c>
      <c r="D237" s="49">
        <v>0</v>
      </c>
      <c r="F237" s="50">
        <f t="shared" ca="1" si="1"/>
        <v>5.8830312143940744E-2</v>
      </c>
      <c r="G237" s="8">
        <v>1</v>
      </c>
      <c r="H237" s="49">
        <v>0</v>
      </c>
      <c r="J237" s="50">
        <f t="shared" ca="1" si="2"/>
        <v>0.11313120545834809</v>
      </c>
      <c r="K237" s="8">
        <v>1</v>
      </c>
      <c r="L237" s="49">
        <v>0</v>
      </c>
      <c r="N237" s="50">
        <f t="shared" ca="1" si="3"/>
        <v>0.21530411932952531</v>
      </c>
      <c r="O237" s="8">
        <v>1</v>
      </c>
      <c r="P237" s="49">
        <v>0</v>
      </c>
      <c r="R237" s="50">
        <f t="shared" ca="1" si="4"/>
        <v>0.34634840684305446</v>
      </c>
      <c r="S237" s="8">
        <v>1</v>
      </c>
      <c r="T237" s="49">
        <v>0</v>
      </c>
      <c r="V237" s="50">
        <f t="shared" ca="1" si="5"/>
        <v>0.41208765161046668</v>
      </c>
      <c r="W237" s="8">
        <v>1</v>
      </c>
      <c r="X237" s="49">
        <v>0</v>
      </c>
      <c r="Z237" s="50">
        <f t="shared" ca="1" si="6"/>
        <v>0.62433998047915884</v>
      </c>
      <c r="AA237" s="8">
        <v>1</v>
      </c>
      <c r="AB237" s="49">
        <v>0</v>
      </c>
      <c r="AD237" s="50">
        <f t="shared" ca="1" si="7"/>
        <v>0.96222473034389833</v>
      </c>
      <c r="AE237" s="8">
        <v>1</v>
      </c>
      <c r="AF237" s="49">
        <v>0</v>
      </c>
      <c r="AH237" s="50">
        <f t="shared" ca="1" si="8"/>
        <v>0.10794046498823839</v>
      </c>
      <c r="AI237" s="8">
        <v>1</v>
      </c>
      <c r="AJ237" s="49">
        <v>0</v>
      </c>
      <c r="AL237" s="50">
        <f t="shared" ca="1" si="9"/>
        <v>8.079151842228216E-2</v>
      </c>
      <c r="AM237" s="8">
        <v>1</v>
      </c>
      <c r="AN237" s="49">
        <v>0</v>
      </c>
      <c r="AP237" s="50">
        <f t="shared" ca="1" si="10"/>
        <v>0.37862619306293355</v>
      </c>
      <c r="AQ237" s="8">
        <v>1</v>
      </c>
      <c r="AR237" s="49">
        <v>0</v>
      </c>
      <c r="AT237" s="50">
        <f t="shared" ca="1" si="11"/>
        <v>0.49614364758902363</v>
      </c>
      <c r="AU237" s="8">
        <v>1</v>
      </c>
      <c r="AV237" s="49">
        <v>0</v>
      </c>
      <c r="AX237" s="50">
        <f t="shared" ca="1" si="12"/>
        <v>0.20212023839931548</v>
      </c>
      <c r="AY237" s="8">
        <v>1</v>
      </c>
      <c r="AZ237" s="49">
        <v>0</v>
      </c>
      <c r="BB237" s="50">
        <f t="shared" ca="1" si="13"/>
        <v>4.9589494434948089E-2</v>
      </c>
      <c r="BC237" s="8">
        <v>1</v>
      </c>
      <c r="BD237" s="49">
        <v>0</v>
      </c>
      <c r="BF237" s="50">
        <f t="shared" ca="1" si="14"/>
        <v>0.33906314321762832</v>
      </c>
      <c r="BG237" s="8">
        <v>1</v>
      </c>
      <c r="BH237" s="49">
        <v>0</v>
      </c>
      <c r="BJ237" s="50">
        <f t="shared" ca="1" si="15"/>
        <v>0.98244464951021071</v>
      </c>
      <c r="BK237" s="8">
        <v>1</v>
      </c>
      <c r="BL237" s="49">
        <v>0</v>
      </c>
      <c r="BN237" s="50">
        <f t="shared" ca="1" si="16"/>
        <v>0.48704593734162316</v>
      </c>
      <c r="BO237" s="8">
        <v>1</v>
      </c>
      <c r="BP237" s="49">
        <v>0</v>
      </c>
      <c r="BR237" s="50">
        <f t="shared" ca="1" si="17"/>
        <v>0.15035631286452245</v>
      </c>
      <c r="BS237" s="8">
        <v>1</v>
      </c>
      <c r="BT237" s="49">
        <v>0</v>
      </c>
    </row>
    <row r="238" spans="1:72" x14ac:dyDescent="0.2">
      <c r="A238" s="22">
        <v>44785</v>
      </c>
      <c r="B238" s="50">
        <f t="shared" ca="1" si="0"/>
        <v>0.71051174948806184</v>
      </c>
      <c r="C238" s="8">
        <v>1</v>
      </c>
      <c r="D238" s="49">
        <v>0</v>
      </c>
      <c r="F238" s="50">
        <f t="shared" ca="1" si="1"/>
        <v>0.36495627225682581</v>
      </c>
      <c r="G238" s="8">
        <v>1</v>
      </c>
      <c r="H238" s="49">
        <v>0</v>
      </c>
      <c r="J238" s="50">
        <f t="shared" ca="1" si="2"/>
        <v>0.59280847392983216</v>
      </c>
      <c r="K238" s="8">
        <v>1</v>
      </c>
      <c r="L238" s="49">
        <v>0</v>
      </c>
      <c r="N238" s="50">
        <f t="shared" ca="1" si="3"/>
        <v>0.41250062353811545</v>
      </c>
      <c r="O238" s="8">
        <v>1</v>
      </c>
      <c r="P238" s="49">
        <v>0</v>
      </c>
      <c r="R238" s="50">
        <f t="shared" ca="1" si="4"/>
        <v>0.72995227999624612</v>
      </c>
      <c r="S238" s="8">
        <v>1</v>
      </c>
      <c r="T238" s="49">
        <v>0</v>
      </c>
      <c r="V238" s="50">
        <f t="shared" ca="1" si="5"/>
        <v>0.47232211840961946</v>
      </c>
      <c r="W238" s="8">
        <v>1</v>
      </c>
      <c r="X238" s="49">
        <v>0</v>
      </c>
      <c r="Z238" s="50">
        <f t="shared" ca="1" si="6"/>
        <v>0.42113974723863423</v>
      </c>
      <c r="AA238" s="8">
        <v>1</v>
      </c>
      <c r="AB238" s="49">
        <v>0</v>
      </c>
      <c r="AD238" s="50">
        <f t="shared" ca="1" si="7"/>
        <v>0.63695096465762624</v>
      </c>
      <c r="AE238" s="8">
        <v>1</v>
      </c>
      <c r="AF238" s="49">
        <v>0</v>
      </c>
      <c r="AH238" s="50">
        <f t="shared" ca="1" si="8"/>
        <v>0.13655366820163395</v>
      </c>
      <c r="AI238" s="8">
        <v>1</v>
      </c>
      <c r="AJ238" s="49">
        <v>0</v>
      </c>
      <c r="AL238" s="50">
        <f t="shared" ca="1" si="9"/>
        <v>0.17815496337019665</v>
      </c>
      <c r="AM238" s="8">
        <v>1</v>
      </c>
      <c r="AN238" s="49">
        <v>0</v>
      </c>
      <c r="AP238" s="50">
        <f t="shared" ca="1" si="10"/>
        <v>0.66297872842953276</v>
      </c>
      <c r="AQ238" s="8">
        <v>1</v>
      </c>
      <c r="AR238" s="49">
        <v>0</v>
      </c>
      <c r="AT238" s="50">
        <f t="shared" ca="1" si="11"/>
        <v>0.93767768128559825</v>
      </c>
      <c r="AU238" s="8">
        <v>1</v>
      </c>
      <c r="AV238" s="49">
        <v>0</v>
      </c>
      <c r="AX238" s="50">
        <f t="shared" ca="1" si="12"/>
        <v>0.28442933440770823</v>
      </c>
      <c r="AY238" s="8">
        <v>1</v>
      </c>
      <c r="AZ238" s="49">
        <v>0</v>
      </c>
      <c r="BB238" s="50">
        <f t="shared" ca="1" si="13"/>
        <v>0.38964075057756942</v>
      </c>
      <c r="BC238" s="8">
        <v>1</v>
      </c>
      <c r="BD238" s="49">
        <v>0</v>
      </c>
      <c r="BF238" s="50">
        <f t="shared" ca="1" si="14"/>
        <v>0.43861209124993195</v>
      </c>
      <c r="BG238" s="8">
        <v>1</v>
      </c>
      <c r="BH238" s="49">
        <v>0</v>
      </c>
      <c r="BJ238" s="50">
        <f t="shared" ca="1" si="15"/>
        <v>0.4373195923193578</v>
      </c>
      <c r="BK238" s="8">
        <v>1</v>
      </c>
      <c r="BL238" s="49">
        <v>0</v>
      </c>
      <c r="BN238" s="50">
        <f t="shared" ca="1" si="16"/>
        <v>6.1066924254215005E-3</v>
      </c>
      <c r="BO238" s="8">
        <v>1</v>
      </c>
      <c r="BP238" s="49">
        <v>0</v>
      </c>
      <c r="BR238" s="50">
        <f t="shared" ca="1" si="17"/>
        <v>0.70152740823293325</v>
      </c>
      <c r="BS238" s="8">
        <v>1</v>
      </c>
      <c r="BT238" s="49">
        <v>0</v>
      </c>
    </row>
    <row r="239" spans="1:72" x14ac:dyDescent="0.2">
      <c r="A239" s="22">
        <v>44786</v>
      </c>
      <c r="B239" s="50">
        <f t="shared" ca="1" si="0"/>
        <v>0.84812930833197131</v>
      </c>
      <c r="C239" s="8">
        <v>1</v>
      </c>
      <c r="D239" s="49">
        <v>0</v>
      </c>
      <c r="F239" s="50">
        <f t="shared" ca="1" si="1"/>
        <v>0.96534575459801986</v>
      </c>
      <c r="G239" s="8">
        <v>1</v>
      </c>
      <c r="H239" s="49">
        <v>0</v>
      </c>
      <c r="J239" s="50">
        <f t="shared" ca="1" si="2"/>
        <v>0.54488553931013417</v>
      </c>
      <c r="K239" s="8">
        <v>1</v>
      </c>
      <c r="L239" s="49">
        <v>0</v>
      </c>
      <c r="N239" s="50">
        <f t="shared" ca="1" si="3"/>
        <v>0.38374067068513296</v>
      </c>
      <c r="O239" s="8">
        <v>1</v>
      </c>
      <c r="P239" s="49">
        <v>0</v>
      </c>
      <c r="R239" s="50">
        <f t="shared" ca="1" si="4"/>
        <v>0.50483374192195474</v>
      </c>
      <c r="S239" s="8">
        <v>1</v>
      </c>
      <c r="T239" s="49">
        <v>0</v>
      </c>
      <c r="V239" s="50">
        <f t="shared" ca="1" si="5"/>
        <v>0.87125883243822921</v>
      </c>
      <c r="W239" s="8">
        <v>1</v>
      </c>
      <c r="X239" s="49">
        <v>0</v>
      </c>
      <c r="Z239" s="50">
        <f t="shared" ca="1" si="6"/>
        <v>0.62320027173483816</v>
      </c>
      <c r="AA239" s="8">
        <v>1</v>
      </c>
      <c r="AB239" s="49">
        <v>0</v>
      </c>
      <c r="AD239" s="50">
        <f t="shared" ca="1" si="7"/>
        <v>0.2002475643488304</v>
      </c>
      <c r="AE239" s="8">
        <v>1</v>
      </c>
      <c r="AF239" s="49">
        <v>0</v>
      </c>
      <c r="AH239" s="50">
        <f t="shared" ca="1" si="8"/>
        <v>0.34736395257217778</v>
      </c>
      <c r="AI239" s="8">
        <v>1</v>
      </c>
      <c r="AJ239" s="49">
        <v>0</v>
      </c>
      <c r="AL239" s="50">
        <f t="shared" ca="1" si="9"/>
        <v>0.56128490826524957</v>
      </c>
      <c r="AM239" s="8">
        <v>1</v>
      </c>
      <c r="AN239" s="49">
        <v>0</v>
      </c>
      <c r="AP239" s="50">
        <f t="shared" ca="1" si="10"/>
        <v>0.36131977632840973</v>
      </c>
      <c r="AQ239" s="8">
        <v>1</v>
      </c>
      <c r="AR239" s="49">
        <v>0</v>
      </c>
      <c r="AT239" s="50">
        <f t="shared" ca="1" si="11"/>
        <v>0.86999209371338548</v>
      </c>
      <c r="AU239" s="8">
        <v>1</v>
      </c>
      <c r="AV239" s="49">
        <v>0</v>
      </c>
      <c r="AX239" s="50">
        <f t="shared" ca="1" si="12"/>
        <v>8.619612223374884E-2</v>
      </c>
      <c r="AY239" s="8">
        <v>1</v>
      </c>
      <c r="AZ239" s="49">
        <v>0</v>
      </c>
      <c r="BB239" s="50">
        <f t="shared" ca="1" si="13"/>
        <v>0.7774731802267516</v>
      </c>
      <c r="BC239" s="8">
        <v>1</v>
      </c>
      <c r="BD239" s="49">
        <v>0</v>
      </c>
      <c r="BF239" s="50">
        <f t="shared" ca="1" si="14"/>
        <v>9.6674295545010724E-2</v>
      </c>
      <c r="BG239" s="8">
        <v>1</v>
      </c>
      <c r="BH239" s="49">
        <v>0</v>
      </c>
      <c r="BJ239" s="50">
        <f t="shared" ca="1" si="15"/>
        <v>0.43009948195324221</v>
      </c>
      <c r="BK239" s="8">
        <v>1</v>
      </c>
      <c r="BL239" s="49">
        <v>0</v>
      </c>
      <c r="BN239" s="50">
        <f t="shared" ca="1" si="16"/>
        <v>0.71342869704251566</v>
      </c>
      <c r="BO239" s="8">
        <v>1</v>
      </c>
      <c r="BP239" s="49">
        <v>0</v>
      </c>
      <c r="BR239" s="50">
        <f t="shared" ca="1" si="17"/>
        <v>0.58074447302002441</v>
      </c>
      <c r="BS239" s="8">
        <v>1</v>
      </c>
      <c r="BT239" s="49">
        <v>0</v>
      </c>
    </row>
    <row r="240" spans="1:72" x14ac:dyDescent="0.2">
      <c r="A240" s="22">
        <v>44787</v>
      </c>
      <c r="B240" s="50">
        <f t="shared" ca="1" si="0"/>
        <v>0.90217756606843502</v>
      </c>
      <c r="C240" s="8">
        <v>1</v>
      </c>
      <c r="D240" s="49">
        <v>0</v>
      </c>
      <c r="F240" s="50">
        <f t="shared" ca="1" si="1"/>
        <v>0.69586973056139456</v>
      </c>
      <c r="G240" s="8">
        <v>1</v>
      </c>
      <c r="H240" s="49">
        <v>0</v>
      </c>
      <c r="J240" s="50">
        <f t="shared" ca="1" si="2"/>
        <v>0.78164956869721169</v>
      </c>
      <c r="K240" s="8">
        <v>1</v>
      </c>
      <c r="L240" s="49">
        <v>0</v>
      </c>
      <c r="N240" s="50">
        <f t="shared" ca="1" si="3"/>
        <v>0.70246155647397868</v>
      </c>
      <c r="O240" s="8">
        <v>1</v>
      </c>
      <c r="P240" s="49">
        <v>0</v>
      </c>
      <c r="R240" s="50">
        <f t="shared" ca="1" si="4"/>
        <v>0.81520472971249824</v>
      </c>
      <c r="S240" s="8">
        <v>1</v>
      </c>
      <c r="T240" s="49">
        <v>0</v>
      </c>
      <c r="V240" s="50">
        <f t="shared" ca="1" si="5"/>
        <v>0.81530713325292103</v>
      </c>
      <c r="W240" s="8">
        <v>1</v>
      </c>
      <c r="X240" s="49">
        <v>0</v>
      </c>
      <c r="Z240" s="50">
        <f t="shared" ca="1" si="6"/>
        <v>0.85463190409612733</v>
      </c>
      <c r="AA240" s="8">
        <v>1</v>
      </c>
      <c r="AB240" s="49">
        <v>0</v>
      </c>
      <c r="AD240" s="50">
        <f t="shared" ca="1" si="7"/>
        <v>0.69488220897627595</v>
      </c>
      <c r="AE240" s="8">
        <v>1</v>
      </c>
      <c r="AF240" s="49">
        <v>0</v>
      </c>
      <c r="AH240" s="50">
        <f t="shared" ca="1" si="8"/>
        <v>0.66658674167869825</v>
      </c>
      <c r="AI240" s="8">
        <v>1</v>
      </c>
      <c r="AJ240" s="49">
        <v>0</v>
      </c>
      <c r="AL240" s="50">
        <f t="shared" ca="1" si="9"/>
        <v>0.97276034568806213</v>
      </c>
      <c r="AM240" s="8">
        <v>1</v>
      </c>
      <c r="AN240" s="49">
        <v>0</v>
      </c>
      <c r="AP240" s="50">
        <f t="shared" ca="1" si="10"/>
        <v>0.29700641701320618</v>
      </c>
      <c r="AQ240" s="8">
        <v>1</v>
      </c>
      <c r="AR240" s="49">
        <v>0</v>
      </c>
      <c r="AT240" s="50">
        <f t="shared" ca="1" si="11"/>
        <v>0.41628637352431508</v>
      </c>
      <c r="AU240" s="8">
        <v>1</v>
      </c>
      <c r="AV240" s="49">
        <v>0</v>
      </c>
      <c r="AX240" s="50">
        <f t="shared" ca="1" si="12"/>
        <v>0.18060782734646186</v>
      </c>
      <c r="AY240" s="8">
        <v>1</v>
      </c>
      <c r="AZ240" s="49">
        <v>0</v>
      </c>
      <c r="BB240" s="50">
        <f t="shared" ca="1" si="13"/>
        <v>0.11744325085895091</v>
      </c>
      <c r="BC240" s="8">
        <v>1</v>
      </c>
      <c r="BD240" s="49">
        <v>0</v>
      </c>
      <c r="BF240" s="50">
        <f t="shared" ca="1" si="14"/>
        <v>0.75038646591784408</v>
      </c>
      <c r="BG240" s="8">
        <v>1</v>
      </c>
      <c r="BH240" s="49">
        <v>0</v>
      </c>
      <c r="BJ240" s="50">
        <f t="shared" ca="1" si="15"/>
        <v>0.48226758923182211</v>
      </c>
      <c r="BK240" s="8">
        <v>1</v>
      </c>
      <c r="BL240" s="49">
        <v>0</v>
      </c>
      <c r="BN240" s="50">
        <f t="shared" ca="1" si="16"/>
        <v>0.93307422466131196</v>
      </c>
      <c r="BO240" s="8">
        <v>1</v>
      </c>
      <c r="BP240" s="49">
        <v>0</v>
      </c>
      <c r="BR240" s="50">
        <f t="shared" ca="1" si="17"/>
        <v>0.70460981545224588</v>
      </c>
      <c r="BS240" s="8">
        <v>1</v>
      </c>
      <c r="BT240" s="49">
        <v>0</v>
      </c>
    </row>
    <row r="241" spans="1:72" x14ac:dyDescent="0.2">
      <c r="A241" s="22">
        <v>44788</v>
      </c>
      <c r="B241" s="50">
        <f t="shared" ca="1" si="0"/>
        <v>0.37693895148341838</v>
      </c>
      <c r="C241" s="8">
        <v>1</v>
      </c>
      <c r="D241" s="49">
        <v>0</v>
      </c>
      <c r="F241" s="50">
        <f t="shared" ca="1" si="1"/>
        <v>0.38951551184823108</v>
      </c>
      <c r="G241" s="8">
        <v>1</v>
      </c>
      <c r="H241" s="49">
        <v>0</v>
      </c>
      <c r="J241" s="50">
        <f t="shared" ca="1" si="2"/>
        <v>0.26299703573504474</v>
      </c>
      <c r="K241" s="8">
        <v>1</v>
      </c>
      <c r="L241" s="49">
        <v>0</v>
      </c>
      <c r="N241" s="50">
        <f t="shared" ca="1" si="3"/>
        <v>0.62645881806181025</v>
      </c>
      <c r="O241" s="8">
        <v>1</v>
      </c>
      <c r="P241" s="49">
        <v>0</v>
      </c>
      <c r="R241" s="50">
        <f t="shared" ca="1" si="4"/>
        <v>0.27917343140527373</v>
      </c>
      <c r="S241" s="8">
        <v>1</v>
      </c>
      <c r="T241" s="49">
        <v>0</v>
      </c>
      <c r="V241" s="50">
        <f t="shared" ca="1" si="5"/>
        <v>0.87189091845513489</v>
      </c>
      <c r="W241" s="8">
        <v>1</v>
      </c>
      <c r="X241" s="49">
        <v>0</v>
      </c>
      <c r="Z241" s="50">
        <f t="shared" ca="1" si="6"/>
        <v>0.14254440519214617</v>
      </c>
      <c r="AA241" s="8">
        <v>1</v>
      </c>
      <c r="AB241" s="49">
        <v>0</v>
      </c>
      <c r="AD241" s="50">
        <f t="shared" ca="1" si="7"/>
        <v>0.4228934427524188</v>
      </c>
      <c r="AE241" s="8">
        <v>1</v>
      </c>
      <c r="AF241" s="49">
        <v>0</v>
      </c>
      <c r="AH241" s="50">
        <f t="shared" ca="1" si="8"/>
        <v>0.32663366637636593</v>
      </c>
      <c r="AI241" s="8">
        <v>1</v>
      </c>
      <c r="AJ241" s="49">
        <v>0</v>
      </c>
      <c r="AL241" s="50">
        <f t="shared" ca="1" si="9"/>
        <v>0.80812115854185163</v>
      </c>
      <c r="AM241" s="8">
        <v>1</v>
      </c>
      <c r="AN241" s="49">
        <v>0</v>
      </c>
      <c r="AP241" s="50">
        <f t="shared" ca="1" si="10"/>
        <v>0.24394374041168865</v>
      </c>
      <c r="AQ241" s="8">
        <v>1</v>
      </c>
      <c r="AR241" s="49">
        <v>0</v>
      </c>
      <c r="AT241" s="50">
        <f t="shared" ca="1" si="11"/>
        <v>0.48852570945248863</v>
      </c>
      <c r="AU241" s="8">
        <v>1</v>
      </c>
      <c r="AV241" s="49">
        <v>0</v>
      </c>
      <c r="AX241" s="50">
        <f t="shared" ca="1" si="12"/>
        <v>8.4536578787621997E-2</v>
      </c>
      <c r="AY241" s="8">
        <v>1</v>
      </c>
      <c r="AZ241" s="49">
        <v>0</v>
      </c>
      <c r="BB241" s="50">
        <f t="shared" ca="1" si="13"/>
        <v>1.5633318139606889E-2</v>
      </c>
      <c r="BC241" s="8">
        <v>1</v>
      </c>
      <c r="BD241" s="49">
        <v>0</v>
      </c>
      <c r="BF241" s="50">
        <f t="shared" ca="1" si="14"/>
        <v>0.87401685927969197</v>
      </c>
      <c r="BG241" s="8">
        <v>1</v>
      </c>
      <c r="BH241" s="49">
        <v>0</v>
      </c>
      <c r="BJ241" s="50">
        <f t="shared" ca="1" si="15"/>
        <v>0.60586937598016055</v>
      </c>
      <c r="BK241" s="8">
        <v>1</v>
      </c>
      <c r="BL241" s="49">
        <v>0</v>
      </c>
      <c r="BN241" s="50">
        <f t="shared" ca="1" si="16"/>
        <v>0.96829614303699307</v>
      </c>
      <c r="BO241" s="8">
        <v>1</v>
      </c>
      <c r="BP241" s="49">
        <v>0</v>
      </c>
      <c r="BR241" s="50">
        <f t="shared" ca="1" si="17"/>
        <v>4.3930031959016125E-2</v>
      </c>
      <c r="BS241" s="8">
        <v>1</v>
      </c>
      <c r="BT241" s="49">
        <v>0</v>
      </c>
    </row>
    <row r="242" spans="1:72" x14ac:dyDescent="0.2">
      <c r="A242" s="22">
        <v>44789</v>
      </c>
      <c r="B242" s="50">
        <f t="shared" ca="1" si="0"/>
        <v>0.50678479228272821</v>
      </c>
      <c r="C242" s="8">
        <v>1</v>
      </c>
      <c r="D242" s="49">
        <v>0</v>
      </c>
      <c r="F242" s="50">
        <f t="shared" ca="1" si="1"/>
        <v>0.23747497195735301</v>
      </c>
      <c r="G242" s="8">
        <v>1</v>
      </c>
      <c r="H242" s="49">
        <v>0</v>
      </c>
      <c r="J242" s="50">
        <f t="shared" ca="1" si="2"/>
        <v>0.3046283051098112</v>
      </c>
      <c r="K242" s="8">
        <v>1</v>
      </c>
      <c r="L242" s="49">
        <v>0</v>
      </c>
      <c r="N242" s="50">
        <f t="shared" ca="1" si="3"/>
        <v>0.51148010933801402</v>
      </c>
      <c r="O242" s="8">
        <v>1</v>
      </c>
      <c r="P242" s="49">
        <v>0</v>
      </c>
      <c r="R242" s="50">
        <f t="shared" ca="1" si="4"/>
        <v>0.30904891327002793</v>
      </c>
      <c r="S242" s="8">
        <v>1</v>
      </c>
      <c r="T242" s="49">
        <v>0</v>
      </c>
      <c r="V242" s="50">
        <f t="shared" ca="1" si="5"/>
        <v>0.26699657657814857</v>
      </c>
      <c r="W242" s="8">
        <v>1</v>
      </c>
      <c r="X242" s="49">
        <v>0</v>
      </c>
      <c r="Z242" s="50">
        <f t="shared" ca="1" si="6"/>
        <v>0.62239943625022964</v>
      </c>
      <c r="AA242" s="8">
        <v>1</v>
      </c>
      <c r="AB242" s="49">
        <v>0</v>
      </c>
      <c r="AD242" s="50">
        <f t="shared" ca="1" si="7"/>
        <v>0.58318174651235677</v>
      </c>
      <c r="AE242" s="8">
        <v>1</v>
      </c>
      <c r="AF242" s="49">
        <v>0</v>
      </c>
      <c r="AH242" s="50">
        <f t="shared" ca="1" si="8"/>
        <v>0.72996935867108637</v>
      </c>
      <c r="AI242" s="8">
        <v>1</v>
      </c>
      <c r="AJ242" s="49">
        <v>0</v>
      </c>
      <c r="AL242" s="50">
        <f t="shared" ca="1" si="9"/>
        <v>0.52129558561433087</v>
      </c>
      <c r="AM242" s="8">
        <v>1</v>
      </c>
      <c r="AN242" s="49">
        <v>0</v>
      </c>
      <c r="AP242" s="50">
        <f t="shared" ca="1" si="10"/>
        <v>0.51294582540964839</v>
      </c>
      <c r="AQ242" s="8">
        <v>1</v>
      </c>
      <c r="AR242" s="49">
        <v>0</v>
      </c>
      <c r="AT242" s="50">
        <f t="shared" ca="1" si="11"/>
        <v>0.31026314653134468</v>
      </c>
      <c r="AU242" s="8">
        <v>1</v>
      </c>
      <c r="AV242" s="49">
        <v>0</v>
      </c>
      <c r="AX242" s="50">
        <f t="shared" ca="1" si="12"/>
        <v>0.73675563308692138</v>
      </c>
      <c r="AY242" s="8">
        <v>1</v>
      </c>
      <c r="AZ242" s="49">
        <v>0</v>
      </c>
      <c r="BB242" s="50">
        <f t="shared" ca="1" si="13"/>
        <v>0.47693817973434605</v>
      </c>
      <c r="BC242" s="8">
        <v>1</v>
      </c>
      <c r="BD242" s="49">
        <v>0</v>
      </c>
      <c r="BF242" s="50">
        <f t="shared" ca="1" si="14"/>
        <v>0.66103298079139905</v>
      </c>
      <c r="BG242" s="8">
        <v>1</v>
      </c>
      <c r="BH242" s="49">
        <v>0</v>
      </c>
      <c r="BJ242" s="50">
        <f t="shared" ca="1" si="15"/>
        <v>0.42769706475932356</v>
      </c>
      <c r="BK242" s="8">
        <v>1</v>
      </c>
      <c r="BL242" s="49">
        <v>0</v>
      </c>
      <c r="BN242" s="50">
        <f t="shared" ca="1" si="16"/>
        <v>0.27218267150688613</v>
      </c>
      <c r="BO242" s="8">
        <v>1</v>
      </c>
      <c r="BP242" s="49">
        <v>0</v>
      </c>
      <c r="BR242" s="50">
        <f t="shared" ca="1" si="17"/>
        <v>0.3539334648382334</v>
      </c>
      <c r="BS242" s="8">
        <v>1</v>
      </c>
      <c r="BT242" s="49">
        <v>0</v>
      </c>
    </row>
    <row r="243" spans="1:72" x14ac:dyDescent="0.2">
      <c r="A243" s="22">
        <v>44790</v>
      </c>
      <c r="B243" s="50">
        <f t="shared" ca="1" si="0"/>
        <v>0.9269353702598353</v>
      </c>
      <c r="C243" s="8">
        <v>1</v>
      </c>
      <c r="D243" s="49">
        <v>0</v>
      </c>
      <c r="F243" s="50">
        <f t="shared" ca="1" si="1"/>
        <v>0.68257808670111819</v>
      </c>
      <c r="G243" s="8">
        <v>1</v>
      </c>
      <c r="H243" s="49">
        <v>0</v>
      </c>
      <c r="J243" s="50">
        <f t="shared" ca="1" si="2"/>
        <v>0.55301612811952605</v>
      </c>
      <c r="K243" s="8">
        <v>1</v>
      </c>
      <c r="L243" s="49">
        <v>0</v>
      </c>
      <c r="N243" s="50">
        <f t="shared" ca="1" si="3"/>
        <v>0.61985004134677535</v>
      </c>
      <c r="O243" s="8">
        <v>1</v>
      </c>
      <c r="P243" s="49">
        <v>0</v>
      </c>
      <c r="R243" s="50">
        <f t="shared" ca="1" si="4"/>
        <v>0.25687137557452178</v>
      </c>
      <c r="S243" s="8">
        <v>1</v>
      </c>
      <c r="T243" s="49">
        <v>0</v>
      </c>
      <c r="V243" s="50">
        <f t="shared" ca="1" si="5"/>
        <v>0.58347636939531577</v>
      </c>
      <c r="W243" s="8">
        <v>1</v>
      </c>
      <c r="X243" s="49">
        <v>0</v>
      </c>
      <c r="Z243" s="50">
        <f t="shared" ca="1" si="6"/>
        <v>0.34399476288669961</v>
      </c>
      <c r="AA243" s="8">
        <v>1</v>
      </c>
      <c r="AB243" s="49">
        <v>0</v>
      </c>
      <c r="AD243" s="50">
        <f t="shared" ca="1" si="7"/>
        <v>0.5585541025346088</v>
      </c>
      <c r="AE243" s="8">
        <v>1</v>
      </c>
      <c r="AF243" s="49">
        <v>0</v>
      </c>
      <c r="AH243" s="50">
        <f t="shared" ca="1" si="8"/>
        <v>0.3433988275430705</v>
      </c>
      <c r="AI243" s="8">
        <v>1</v>
      </c>
      <c r="AJ243" s="49">
        <v>0</v>
      </c>
      <c r="AL243" s="50">
        <f t="shared" ca="1" si="9"/>
        <v>0.22631306217931269</v>
      </c>
      <c r="AM243" s="8">
        <v>1</v>
      </c>
      <c r="AN243" s="49">
        <v>0</v>
      </c>
      <c r="AP243" s="50">
        <f t="shared" ca="1" si="10"/>
        <v>0.49452731909891989</v>
      </c>
      <c r="AQ243" s="8">
        <v>1</v>
      </c>
      <c r="AR243" s="49">
        <v>0</v>
      </c>
      <c r="AT243" s="50">
        <f t="shared" ca="1" si="11"/>
        <v>0.88158377842842461</v>
      </c>
      <c r="AU243" s="8">
        <v>1</v>
      </c>
      <c r="AV243" s="49">
        <v>0</v>
      </c>
      <c r="AX243" s="50">
        <f t="shared" ca="1" si="12"/>
        <v>0.81085058547802558</v>
      </c>
      <c r="AY243" s="8">
        <v>1</v>
      </c>
      <c r="AZ243" s="49">
        <v>0</v>
      </c>
      <c r="BB243" s="50">
        <f t="shared" ca="1" si="13"/>
        <v>0.77052207601547973</v>
      </c>
      <c r="BC243" s="8">
        <v>1</v>
      </c>
      <c r="BD243" s="49">
        <v>0</v>
      </c>
      <c r="BF243" s="50">
        <f t="shared" ca="1" si="14"/>
        <v>0.14710503852633794</v>
      </c>
      <c r="BG243" s="8">
        <v>1</v>
      </c>
      <c r="BH243" s="49">
        <v>0</v>
      </c>
      <c r="BJ243" s="50">
        <f t="shared" ca="1" si="15"/>
        <v>0.77607308026179134</v>
      </c>
      <c r="BK243" s="8">
        <v>1</v>
      </c>
      <c r="BL243" s="49">
        <v>0</v>
      </c>
      <c r="BN243" s="50">
        <f t="shared" ca="1" si="16"/>
        <v>0.6174182169446133</v>
      </c>
      <c r="BO243" s="8">
        <v>1</v>
      </c>
      <c r="BP243" s="49">
        <v>0</v>
      </c>
      <c r="BR243" s="50">
        <f t="shared" ca="1" si="17"/>
        <v>0.63957506883556481</v>
      </c>
      <c r="BS243" s="8">
        <v>1</v>
      </c>
      <c r="BT243" s="49">
        <v>0</v>
      </c>
    </row>
    <row r="244" spans="1:72" x14ac:dyDescent="0.2">
      <c r="A244" s="22">
        <v>44791</v>
      </c>
      <c r="B244" s="50">
        <f t="shared" ca="1" si="0"/>
        <v>0.25435284966846161</v>
      </c>
      <c r="C244" s="8">
        <v>1</v>
      </c>
      <c r="D244" s="49">
        <v>0</v>
      </c>
      <c r="F244" s="50">
        <f t="shared" ca="1" si="1"/>
        <v>0.36190440721965389</v>
      </c>
      <c r="G244" s="8">
        <v>1</v>
      </c>
      <c r="H244" s="49">
        <v>0</v>
      </c>
      <c r="J244" s="50">
        <f t="shared" ca="1" si="2"/>
        <v>0.43626082857697812</v>
      </c>
      <c r="K244" s="8">
        <v>1</v>
      </c>
      <c r="L244" s="49">
        <v>0</v>
      </c>
      <c r="N244" s="50">
        <f t="shared" ca="1" si="3"/>
        <v>0.40833753911084369</v>
      </c>
      <c r="O244" s="8">
        <v>1</v>
      </c>
      <c r="P244" s="49">
        <v>0</v>
      </c>
      <c r="R244" s="50">
        <f t="shared" ca="1" si="4"/>
        <v>3.0867679291733174E-2</v>
      </c>
      <c r="S244" s="8">
        <v>1</v>
      </c>
      <c r="T244" s="49">
        <v>0</v>
      </c>
      <c r="V244" s="50">
        <f t="shared" ca="1" si="5"/>
        <v>0.48648862935744563</v>
      </c>
      <c r="W244" s="8">
        <v>1</v>
      </c>
      <c r="X244" s="49">
        <v>0</v>
      </c>
      <c r="Z244" s="50">
        <f t="shared" ca="1" si="6"/>
        <v>0.68478925310703054</v>
      </c>
      <c r="AA244" s="8">
        <v>1</v>
      </c>
      <c r="AB244" s="49">
        <v>0</v>
      </c>
      <c r="AD244" s="50">
        <f t="shared" ca="1" si="7"/>
        <v>0.85874430378295141</v>
      </c>
      <c r="AE244" s="8">
        <v>1</v>
      </c>
      <c r="AF244" s="49">
        <v>0</v>
      </c>
      <c r="AH244" s="50">
        <f t="shared" ca="1" si="8"/>
        <v>0.90500578913888741</v>
      </c>
      <c r="AI244" s="8">
        <v>1</v>
      </c>
      <c r="AJ244" s="49">
        <v>0</v>
      </c>
      <c r="AL244" s="50">
        <f t="shared" ca="1" si="9"/>
        <v>7.3690839073053849E-2</v>
      </c>
      <c r="AM244" s="8">
        <v>1</v>
      </c>
      <c r="AN244" s="49">
        <v>0</v>
      </c>
      <c r="AP244" s="50">
        <f t="shared" ca="1" si="10"/>
        <v>0.50735561029403697</v>
      </c>
      <c r="AQ244" s="8">
        <v>1</v>
      </c>
      <c r="AR244" s="49">
        <v>0</v>
      </c>
      <c r="AT244" s="50">
        <f t="shared" ca="1" si="11"/>
        <v>0.52065691334895536</v>
      </c>
      <c r="AU244" s="8">
        <v>1</v>
      </c>
      <c r="AV244" s="49">
        <v>0</v>
      </c>
      <c r="AX244" s="50">
        <f t="shared" ca="1" si="12"/>
        <v>0.77890200774876606</v>
      </c>
      <c r="AY244" s="8">
        <v>1</v>
      </c>
      <c r="AZ244" s="49">
        <v>0</v>
      </c>
      <c r="BB244" s="50">
        <f t="shared" ca="1" si="13"/>
        <v>0.2013477315696719</v>
      </c>
      <c r="BC244" s="8">
        <v>1</v>
      </c>
      <c r="BD244" s="49">
        <v>0</v>
      </c>
      <c r="BF244" s="50">
        <f t="shared" ca="1" si="14"/>
        <v>0.84490016358697373</v>
      </c>
      <c r="BG244" s="8">
        <v>1</v>
      </c>
      <c r="BH244" s="49">
        <v>0</v>
      </c>
      <c r="BJ244" s="50">
        <f t="shared" ca="1" si="15"/>
        <v>0.73280298596818716</v>
      </c>
      <c r="BK244" s="8">
        <v>1</v>
      </c>
      <c r="BL244" s="49">
        <v>0</v>
      </c>
      <c r="BN244" s="50">
        <f t="shared" ca="1" si="16"/>
        <v>0.60603476857184535</v>
      </c>
      <c r="BO244" s="8">
        <v>1</v>
      </c>
      <c r="BP244" s="49">
        <v>0</v>
      </c>
      <c r="BR244" s="50">
        <f t="shared" ca="1" si="17"/>
        <v>0.63854008656997863</v>
      </c>
      <c r="BS244" s="8">
        <v>1</v>
      </c>
      <c r="BT244" s="49">
        <v>0</v>
      </c>
    </row>
    <row r="245" spans="1:72" x14ac:dyDescent="0.2">
      <c r="A245" s="22">
        <v>44792</v>
      </c>
      <c r="B245" s="50">
        <f t="shared" ca="1" si="0"/>
        <v>0.99010216589246891</v>
      </c>
      <c r="C245" s="8">
        <v>1</v>
      </c>
      <c r="D245" s="49">
        <v>0</v>
      </c>
      <c r="F245" s="50">
        <f t="shared" ca="1" si="1"/>
        <v>0.96007975328049822</v>
      </c>
      <c r="G245" s="8">
        <v>1</v>
      </c>
      <c r="H245" s="49">
        <v>0</v>
      </c>
      <c r="J245" s="50">
        <f t="shared" ca="1" si="2"/>
        <v>0.10080398312989258</v>
      </c>
      <c r="K245" s="8">
        <v>1</v>
      </c>
      <c r="L245" s="49">
        <v>0</v>
      </c>
      <c r="N245" s="50">
        <f t="shared" ca="1" si="3"/>
        <v>0.12760686269836108</v>
      </c>
      <c r="O245" s="8">
        <v>1</v>
      </c>
      <c r="P245" s="49">
        <v>0</v>
      </c>
      <c r="R245" s="50">
        <f t="shared" ca="1" si="4"/>
        <v>0.64642366107991789</v>
      </c>
      <c r="S245" s="8">
        <v>1</v>
      </c>
      <c r="T245" s="49">
        <v>0</v>
      </c>
      <c r="V245" s="50">
        <f t="shared" ca="1" si="5"/>
        <v>0.16072289257575334</v>
      </c>
      <c r="W245" s="8">
        <v>1</v>
      </c>
      <c r="X245" s="49">
        <v>0</v>
      </c>
      <c r="Z245" s="50">
        <f t="shared" ca="1" si="6"/>
        <v>0.40306621631241824</v>
      </c>
      <c r="AA245" s="8">
        <v>1</v>
      </c>
      <c r="AB245" s="49">
        <v>0</v>
      </c>
      <c r="AD245" s="50">
        <f t="shared" ca="1" si="7"/>
        <v>2.4885948002313585E-2</v>
      </c>
      <c r="AE245" s="8">
        <v>1</v>
      </c>
      <c r="AF245" s="49">
        <v>0</v>
      </c>
      <c r="AH245" s="50">
        <f t="shared" ca="1" si="8"/>
        <v>0.71980715969031717</v>
      </c>
      <c r="AI245" s="8">
        <v>1</v>
      </c>
      <c r="AJ245" s="49">
        <v>0</v>
      </c>
      <c r="AL245" s="50">
        <f t="shared" ca="1" si="9"/>
        <v>0.97907429828612935</v>
      </c>
      <c r="AM245" s="8">
        <v>1</v>
      </c>
      <c r="AN245" s="49">
        <v>0</v>
      </c>
      <c r="AP245" s="50">
        <f t="shared" ca="1" si="10"/>
        <v>0.86254180114719148</v>
      </c>
      <c r="AQ245" s="8">
        <v>1</v>
      </c>
      <c r="AR245" s="49">
        <v>0</v>
      </c>
      <c r="AT245" s="50">
        <f t="shared" ca="1" si="11"/>
        <v>0.33248441091188219</v>
      </c>
      <c r="AU245" s="8">
        <v>1</v>
      </c>
      <c r="AV245" s="49">
        <v>0</v>
      </c>
      <c r="AX245" s="50">
        <f t="shared" ca="1" si="12"/>
        <v>0.96704275277369944</v>
      </c>
      <c r="AY245" s="8">
        <v>1</v>
      </c>
      <c r="AZ245" s="49">
        <v>0</v>
      </c>
      <c r="BB245" s="50">
        <f t="shared" ca="1" si="13"/>
        <v>0.93949559858893172</v>
      </c>
      <c r="BC245" s="8">
        <v>1</v>
      </c>
      <c r="BD245" s="49">
        <v>0</v>
      </c>
      <c r="BF245" s="50">
        <f t="shared" ca="1" si="14"/>
        <v>0.37661594639138352</v>
      </c>
      <c r="BG245" s="8">
        <v>1</v>
      </c>
      <c r="BH245" s="49">
        <v>0</v>
      </c>
      <c r="BJ245" s="50">
        <f t="shared" ca="1" si="15"/>
        <v>0.53011179748858805</v>
      </c>
      <c r="BK245" s="8">
        <v>1</v>
      </c>
      <c r="BL245" s="49">
        <v>0</v>
      </c>
      <c r="BN245" s="50">
        <f t="shared" ca="1" si="16"/>
        <v>0.95000187218921917</v>
      </c>
      <c r="BO245" s="8">
        <v>1</v>
      </c>
      <c r="BP245" s="49">
        <v>0</v>
      </c>
      <c r="BR245" s="50">
        <f t="shared" ca="1" si="17"/>
        <v>0.66691326021030861</v>
      </c>
      <c r="BS245" s="8">
        <v>1</v>
      </c>
      <c r="BT245" s="49">
        <v>0</v>
      </c>
    </row>
    <row r="246" spans="1:72" x14ac:dyDescent="0.2">
      <c r="A246" s="22">
        <v>44793</v>
      </c>
      <c r="B246" s="50">
        <f t="shared" ca="1" si="0"/>
        <v>0.43110266146709986</v>
      </c>
      <c r="C246" s="8">
        <v>1</v>
      </c>
      <c r="D246" s="49">
        <v>0</v>
      </c>
      <c r="F246" s="50">
        <f t="shared" ca="1" si="1"/>
        <v>0.1294953732257963</v>
      </c>
      <c r="G246" s="8">
        <v>1</v>
      </c>
      <c r="H246" s="49">
        <v>0</v>
      </c>
      <c r="J246" s="50">
        <f t="shared" ca="1" si="2"/>
        <v>0.72998208050028035</v>
      </c>
      <c r="K246" s="8">
        <v>1</v>
      </c>
      <c r="L246" s="49">
        <v>0</v>
      </c>
      <c r="N246" s="50">
        <f t="shared" ca="1" si="3"/>
        <v>0.94100079410893045</v>
      </c>
      <c r="O246" s="8">
        <v>1</v>
      </c>
      <c r="P246" s="49">
        <v>0</v>
      </c>
      <c r="R246" s="50">
        <f t="shared" ca="1" si="4"/>
        <v>0.85832003859319628</v>
      </c>
      <c r="S246" s="8">
        <v>1</v>
      </c>
      <c r="T246" s="49">
        <v>0</v>
      </c>
      <c r="V246" s="50">
        <f t="shared" ca="1" si="5"/>
        <v>0.52692183157465478</v>
      </c>
      <c r="W246" s="8">
        <v>1</v>
      </c>
      <c r="X246" s="49">
        <v>0</v>
      </c>
      <c r="Z246" s="50">
        <f t="shared" ca="1" si="6"/>
        <v>0.74071482175432657</v>
      </c>
      <c r="AA246" s="8">
        <v>1</v>
      </c>
      <c r="AB246" s="49">
        <v>0</v>
      </c>
      <c r="AD246" s="50">
        <f t="shared" ca="1" si="7"/>
        <v>0.93848300780084226</v>
      </c>
      <c r="AE246" s="8">
        <v>1</v>
      </c>
      <c r="AF246" s="49">
        <v>0</v>
      </c>
      <c r="AH246" s="50">
        <f t="shared" ca="1" si="8"/>
        <v>0.38388099903755912</v>
      </c>
      <c r="AI246" s="8">
        <v>1</v>
      </c>
      <c r="AJ246" s="49">
        <v>0</v>
      </c>
      <c r="AL246" s="50">
        <f t="shared" ca="1" si="9"/>
        <v>0.4791777911288575</v>
      </c>
      <c r="AM246" s="8">
        <v>1</v>
      </c>
      <c r="AN246" s="49">
        <v>0</v>
      </c>
      <c r="AP246" s="50">
        <f t="shared" ca="1" si="10"/>
        <v>0.16681139884368135</v>
      </c>
      <c r="AQ246" s="8">
        <v>1</v>
      </c>
      <c r="AR246" s="49">
        <v>0</v>
      </c>
      <c r="AT246" s="50">
        <f t="shared" ca="1" si="11"/>
        <v>0.79557788329016221</v>
      </c>
      <c r="AU246" s="8">
        <v>1</v>
      </c>
      <c r="AV246" s="49">
        <v>0</v>
      </c>
      <c r="AX246" s="50">
        <f t="shared" ca="1" si="12"/>
        <v>0.43689155880031949</v>
      </c>
      <c r="AY246" s="8">
        <v>1</v>
      </c>
      <c r="AZ246" s="49">
        <v>0</v>
      </c>
      <c r="BB246" s="50">
        <f t="shared" ca="1" si="13"/>
        <v>0.62827127536477068</v>
      </c>
      <c r="BC246" s="8">
        <v>1</v>
      </c>
      <c r="BD246" s="49">
        <v>0</v>
      </c>
      <c r="BF246" s="50">
        <f t="shared" ca="1" si="14"/>
        <v>0.67019384765625656</v>
      </c>
      <c r="BG246" s="8">
        <v>1</v>
      </c>
      <c r="BH246" s="49">
        <v>0</v>
      </c>
      <c r="BJ246" s="50">
        <f t="shared" ca="1" si="15"/>
        <v>0.23706292524402472</v>
      </c>
      <c r="BK246" s="8">
        <v>1</v>
      </c>
      <c r="BL246" s="49">
        <v>0</v>
      </c>
      <c r="BN246" s="50">
        <f t="shared" ca="1" si="16"/>
        <v>0.78909790077068453</v>
      </c>
      <c r="BO246" s="8">
        <v>1</v>
      </c>
      <c r="BP246" s="49">
        <v>0</v>
      </c>
      <c r="BR246" s="50">
        <f t="shared" ca="1" si="17"/>
        <v>3.8756281864301689E-2</v>
      </c>
      <c r="BS246" s="8">
        <v>1</v>
      </c>
      <c r="BT246" s="49">
        <v>0</v>
      </c>
    </row>
    <row r="247" spans="1:72" x14ac:dyDescent="0.2">
      <c r="A247" s="22">
        <v>44794</v>
      </c>
      <c r="B247" s="50">
        <f t="shared" ca="1" si="0"/>
        <v>0.25099154602756302</v>
      </c>
      <c r="C247" s="8">
        <v>1</v>
      </c>
      <c r="D247" s="49">
        <v>0</v>
      </c>
      <c r="F247" s="50">
        <f t="shared" ca="1" si="1"/>
        <v>0.68573694746573199</v>
      </c>
      <c r="G247" s="8">
        <v>1</v>
      </c>
      <c r="H247" s="49">
        <v>0</v>
      </c>
      <c r="J247" s="50">
        <f t="shared" ca="1" si="2"/>
        <v>0.42796683661154289</v>
      </c>
      <c r="K247" s="8">
        <v>1</v>
      </c>
      <c r="L247" s="49">
        <v>0</v>
      </c>
      <c r="N247" s="50">
        <f t="shared" ca="1" si="3"/>
        <v>0.38888392972782693</v>
      </c>
      <c r="O247" s="8">
        <v>1</v>
      </c>
      <c r="P247" s="49">
        <v>0</v>
      </c>
      <c r="R247" s="50">
        <f t="shared" ca="1" si="4"/>
        <v>0.9610993768890248</v>
      </c>
      <c r="S247" s="8">
        <v>1</v>
      </c>
      <c r="T247" s="49">
        <v>0</v>
      </c>
      <c r="V247" s="50">
        <f t="shared" ca="1" si="5"/>
        <v>0.64378045854903077</v>
      </c>
      <c r="W247" s="8">
        <v>1</v>
      </c>
      <c r="X247" s="49">
        <v>0</v>
      </c>
      <c r="Z247" s="50">
        <f t="shared" ca="1" si="6"/>
        <v>0.59198327518191585</v>
      </c>
      <c r="AA247" s="8">
        <v>1</v>
      </c>
      <c r="AB247" s="49">
        <v>0</v>
      </c>
      <c r="AD247" s="50">
        <f t="shared" ca="1" si="7"/>
        <v>0.79214094169661164</v>
      </c>
      <c r="AE247" s="8">
        <v>1</v>
      </c>
      <c r="AF247" s="49">
        <v>0</v>
      </c>
      <c r="AH247" s="50">
        <f t="shared" ca="1" si="8"/>
        <v>0.47011350176761335</v>
      </c>
      <c r="AI247" s="8">
        <v>1</v>
      </c>
      <c r="AJ247" s="49">
        <v>0</v>
      </c>
      <c r="AL247" s="50">
        <f t="shared" ca="1" si="9"/>
        <v>0.81921649092340032</v>
      </c>
      <c r="AM247" s="8">
        <v>1</v>
      </c>
      <c r="AN247" s="49">
        <v>0</v>
      </c>
      <c r="AP247" s="50">
        <f t="shared" ca="1" si="10"/>
        <v>0.26661864563133386</v>
      </c>
      <c r="AQ247" s="8">
        <v>1</v>
      </c>
      <c r="AR247" s="49">
        <v>0</v>
      </c>
      <c r="AT247" s="50">
        <f t="shared" ca="1" si="11"/>
        <v>0.43290544539523412</v>
      </c>
      <c r="AU247" s="8">
        <v>1</v>
      </c>
      <c r="AV247" s="49">
        <v>0</v>
      </c>
      <c r="AX247" s="50">
        <f t="shared" ca="1" si="12"/>
        <v>0.24693334016010415</v>
      </c>
      <c r="AY247" s="8">
        <v>1</v>
      </c>
      <c r="AZ247" s="49">
        <v>0</v>
      </c>
      <c r="BB247" s="50">
        <f t="shared" ca="1" si="13"/>
        <v>0.9189371818439529</v>
      </c>
      <c r="BC247" s="8">
        <v>1</v>
      </c>
      <c r="BD247" s="49">
        <v>0</v>
      </c>
      <c r="BF247" s="50">
        <f t="shared" ca="1" si="14"/>
        <v>0.20822931452821691</v>
      </c>
      <c r="BG247" s="8">
        <v>1</v>
      </c>
      <c r="BH247" s="49">
        <v>0</v>
      </c>
      <c r="BJ247" s="50">
        <f t="shared" ca="1" si="15"/>
        <v>9.8278297099486656E-2</v>
      </c>
      <c r="BK247" s="8">
        <v>1</v>
      </c>
      <c r="BL247" s="49">
        <v>0</v>
      </c>
      <c r="BN247" s="50">
        <f t="shared" ca="1" si="16"/>
        <v>0.32673727911448869</v>
      </c>
      <c r="BO247" s="8">
        <v>1</v>
      </c>
      <c r="BP247" s="49">
        <v>0</v>
      </c>
      <c r="BR247" s="50">
        <f t="shared" ca="1" si="17"/>
        <v>0.20776884194955925</v>
      </c>
      <c r="BS247" s="8">
        <v>1</v>
      </c>
      <c r="BT247" s="49">
        <v>0</v>
      </c>
    </row>
    <row r="248" spans="1:72" x14ac:dyDescent="0.2">
      <c r="A248" s="22">
        <v>44795</v>
      </c>
      <c r="B248" s="50">
        <f t="shared" ca="1" si="0"/>
        <v>0.28791941036755275</v>
      </c>
      <c r="C248" s="8">
        <v>1</v>
      </c>
      <c r="D248" s="49">
        <v>0</v>
      </c>
      <c r="F248" s="50">
        <f t="shared" ca="1" si="1"/>
        <v>0.85209411113145683</v>
      </c>
      <c r="G248" s="8">
        <v>1</v>
      </c>
      <c r="H248" s="49">
        <v>0</v>
      </c>
      <c r="J248" s="50">
        <f t="shared" ca="1" si="2"/>
        <v>0.6713712308673343</v>
      </c>
      <c r="K248" s="8">
        <v>1</v>
      </c>
      <c r="L248" s="49">
        <v>0</v>
      </c>
      <c r="N248" s="50">
        <f t="shared" ca="1" si="3"/>
        <v>0.83336197950291002</v>
      </c>
      <c r="O248" s="8">
        <v>1</v>
      </c>
      <c r="P248" s="49">
        <v>0</v>
      </c>
      <c r="R248" s="50">
        <f t="shared" ca="1" si="4"/>
        <v>9.9585623865259043E-2</v>
      </c>
      <c r="S248" s="8">
        <v>1</v>
      </c>
      <c r="T248" s="49">
        <v>0</v>
      </c>
      <c r="V248" s="50">
        <f t="shared" ca="1" si="5"/>
        <v>0.39449519590855497</v>
      </c>
      <c r="W248" s="8">
        <v>1</v>
      </c>
      <c r="X248" s="49">
        <v>0</v>
      </c>
      <c r="Z248" s="50">
        <f t="shared" ca="1" si="6"/>
        <v>0.31927011285253826</v>
      </c>
      <c r="AA248" s="8">
        <v>1</v>
      </c>
      <c r="AB248" s="49">
        <v>0</v>
      </c>
      <c r="AD248" s="50">
        <f t="shared" ca="1" si="7"/>
        <v>0.86856785723666274</v>
      </c>
      <c r="AE248" s="8">
        <v>1</v>
      </c>
      <c r="AF248" s="49">
        <v>0</v>
      </c>
      <c r="AH248" s="50">
        <f t="shared" ca="1" si="8"/>
        <v>0.4325105829717335</v>
      </c>
      <c r="AI248" s="8">
        <v>1</v>
      </c>
      <c r="AJ248" s="49">
        <v>0</v>
      </c>
      <c r="AL248" s="50">
        <f t="shared" ca="1" si="9"/>
        <v>0.75686084555251842</v>
      </c>
      <c r="AM248" s="8">
        <v>1</v>
      </c>
      <c r="AN248" s="49">
        <v>0</v>
      </c>
      <c r="AP248" s="50">
        <f t="shared" ca="1" si="10"/>
        <v>0.84898878665470312</v>
      </c>
      <c r="AQ248" s="8">
        <v>1</v>
      </c>
      <c r="AR248" s="49">
        <v>0</v>
      </c>
      <c r="AT248" s="50">
        <f t="shared" ca="1" si="11"/>
        <v>2.8982371951738473E-2</v>
      </c>
      <c r="AU248" s="8">
        <v>1</v>
      </c>
      <c r="AV248" s="49">
        <v>0</v>
      </c>
      <c r="AX248" s="50">
        <f t="shared" ca="1" si="12"/>
        <v>0.25532588804799827</v>
      </c>
      <c r="AY248" s="8">
        <v>1</v>
      </c>
      <c r="AZ248" s="49">
        <v>0</v>
      </c>
      <c r="BB248" s="50">
        <f t="shared" ca="1" si="13"/>
        <v>0.54947383015848894</v>
      </c>
      <c r="BC248" s="8">
        <v>1</v>
      </c>
      <c r="BD248" s="49">
        <v>0</v>
      </c>
      <c r="BF248" s="50">
        <f t="shared" ca="1" si="14"/>
        <v>0.99281674519823393</v>
      </c>
      <c r="BG248" s="8">
        <v>1</v>
      </c>
      <c r="BH248" s="49">
        <v>0</v>
      </c>
      <c r="BJ248" s="50">
        <f t="shared" ca="1" si="15"/>
        <v>0.53315354121351222</v>
      </c>
      <c r="BK248" s="8">
        <v>1</v>
      </c>
      <c r="BL248" s="49">
        <v>0</v>
      </c>
      <c r="BN248" s="50">
        <f t="shared" ca="1" si="16"/>
        <v>0.73700726531242788</v>
      </c>
      <c r="BO248" s="8">
        <v>1</v>
      </c>
      <c r="BP248" s="49">
        <v>0</v>
      </c>
      <c r="BR248" s="50">
        <f t="shared" ca="1" si="17"/>
        <v>0.96173731117352934</v>
      </c>
      <c r="BS248" s="8">
        <v>1</v>
      </c>
      <c r="BT248" s="49">
        <v>0</v>
      </c>
    </row>
    <row r="249" spans="1:72" x14ac:dyDescent="0.2">
      <c r="A249" s="22">
        <v>44796</v>
      </c>
      <c r="B249" s="50">
        <f t="shared" ca="1" si="0"/>
        <v>0.19598992765379575</v>
      </c>
      <c r="C249" s="8">
        <v>1</v>
      </c>
      <c r="D249" s="49">
        <v>0</v>
      </c>
      <c r="F249" s="50">
        <f t="shared" ca="1" si="1"/>
        <v>0.5054846861760085</v>
      </c>
      <c r="G249" s="8">
        <v>1</v>
      </c>
      <c r="H249" s="49">
        <v>0</v>
      </c>
      <c r="J249" s="50">
        <f t="shared" ca="1" si="2"/>
        <v>0.95014904449025317</v>
      </c>
      <c r="K249" s="8">
        <v>1</v>
      </c>
      <c r="L249" s="49">
        <v>0</v>
      </c>
      <c r="N249" s="50">
        <f t="shared" ca="1" si="3"/>
        <v>0.80531351691529363</v>
      </c>
      <c r="O249" s="8">
        <v>1</v>
      </c>
      <c r="P249" s="49">
        <v>0</v>
      </c>
      <c r="R249" s="50">
        <f t="shared" ca="1" si="4"/>
        <v>0.42979582184697307</v>
      </c>
      <c r="S249" s="8">
        <v>1</v>
      </c>
      <c r="T249" s="49">
        <v>0</v>
      </c>
      <c r="V249" s="50">
        <f t="shared" ca="1" si="5"/>
        <v>0.7547687131106795</v>
      </c>
      <c r="W249" s="8">
        <v>1</v>
      </c>
      <c r="X249" s="49">
        <v>0</v>
      </c>
      <c r="Z249" s="50">
        <f t="shared" ca="1" si="6"/>
        <v>0.54764306062393775</v>
      </c>
      <c r="AA249" s="8">
        <v>1</v>
      </c>
      <c r="AB249" s="49">
        <v>0</v>
      </c>
      <c r="AD249" s="50">
        <f t="shared" ca="1" si="7"/>
        <v>0.4635066353570837</v>
      </c>
      <c r="AE249" s="8">
        <v>1</v>
      </c>
      <c r="AF249" s="49">
        <v>0</v>
      </c>
      <c r="AH249" s="50">
        <f t="shared" ca="1" si="8"/>
        <v>0.68234806126647285</v>
      </c>
      <c r="AI249" s="8">
        <v>1</v>
      </c>
      <c r="AJ249" s="49">
        <v>0</v>
      </c>
      <c r="AL249" s="50">
        <f t="shared" ca="1" si="9"/>
        <v>0.16196359859172382</v>
      </c>
      <c r="AM249" s="8">
        <v>1</v>
      </c>
      <c r="AN249" s="49">
        <v>0</v>
      </c>
      <c r="AP249" s="50">
        <f t="shared" ca="1" si="10"/>
        <v>0.1046262230301882</v>
      </c>
      <c r="AQ249" s="8">
        <v>1</v>
      </c>
      <c r="AR249" s="49">
        <v>0</v>
      </c>
      <c r="AT249" s="50">
        <f t="shared" ca="1" si="11"/>
        <v>0.9791156835444611</v>
      </c>
      <c r="AU249" s="8">
        <v>1</v>
      </c>
      <c r="AV249" s="49">
        <v>0</v>
      </c>
      <c r="AX249" s="50">
        <f t="shared" ca="1" si="12"/>
        <v>0.89705025392031768</v>
      </c>
      <c r="AY249" s="8">
        <v>1</v>
      </c>
      <c r="AZ249" s="49">
        <v>0</v>
      </c>
      <c r="BB249" s="50">
        <f t="shared" ca="1" si="13"/>
        <v>0.44154113826668784</v>
      </c>
      <c r="BC249" s="8">
        <v>1</v>
      </c>
      <c r="BD249" s="49">
        <v>0</v>
      </c>
      <c r="BF249" s="50">
        <f t="shared" ca="1" si="14"/>
        <v>0.50704226371984595</v>
      </c>
      <c r="BG249" s="8">
        <v>1</v>
      </c>
      <c r="BH249" s="49">
        <v>0</v>
      </c>
      <c r="BJ249" s="50">
        <f t="shared" ca="1" si="15"/>
        <v>0.24270799495811435</v>
      </c>
      <c r="BK249" s="8">
        <v>1</v>
      </c>
      <c r="BL249" s="49">
        <v>0</v>
      </c>
      <c r="BN249" s="50">
        <f t="shared" ca="1" si="16"/>
        <v>0.69491787848981734</v>
      </c>
      <c r="BO249" s="8">
        <v>1</v>
      </c>
      <c r="BP249" s="49">
        <v>0</v>
      </c>
      <c r="BR249" s="50">
        <f t="shared" ca="1" si="17"/>
        <v>0.24897526448506768</v>
      </c>
      <c r="BS249" s="8">
        <v>1</v>
      </c>
      <c r="BT249" s="49">
        <v>0</v>
      </c>
    </row>
    <row r="250" spans="1:72" x14ac:dyDescent="0.2">
      <c r="A250" s="22">
        <v>44797</v>
      </c>
      <c r="B250" s="50">
        <f t="shared" ca="1" si="0"/>
        <v>0.5558016042466003</v>
      </c>
      <c r="C250" s="8">
        <v>1</v>
      </c>
      <c r="D250" s="49">
        <v>0</v>
      </c>
      <c r="F250" s="50">
        <f t="shared" ca="1" si="1"/>
        <v>0.37819142085615209</v>
      </c>
      <c r="G250" s="8">
        <v>1</v>
      </c>
      <c r="H250" s="49">
        <v>0</v>
      </c>
      <c r="J250" s="50">
        <f t="shared" ca="1" si="2"/>
        <v>0.38816686797140187</v>
      </c>
      <c r="K250" s="8">
        <v>1</v>
      </c>
      <c r="L250" s="49">
        <v>0</v>
      </c>
      <c r="N250" s="50">
        <f t="shared" ca="1" si="3"/>
        <v>0.90793885808831609</v>
      </c>
      <c r="O250" s="8">
        <v>1</v>
      </c>
      <c r="P250" s="49">
        <v>0</v>
      </c>
      <c r="R250" s="50">
        <f t="shared" ca="1" si="4"/>
        <v>0.68166279775702265</v>
      </c>
      <c r="S250" s="8">
        <v>1</v>
      </c>
      <c r="T250" s="49">
        <v>0</v>
      </c>
      <c r="V250" s="50">
        <f t="shared" ca="1" si="5"/>
        <v>2.7634762131014123E-2</v>
      </c>
      <c r="W250" s="8">
        <v>1</v>
      </c>
      <c r="X250" s="49">
        <v>0</v>
      </c>
      <c r="Z250" s="50">
        <f t="shared" ca="1" si="6"/>
        <v>0.24594524251690808</v>
      </c>
      <c r="AA250" s="8">
        <v>1</v>
      </c>
      <c r="AB250" s="49">
        <v>0</v>
      </c>
      <c r="AD250" s="50">
        <f t="shared" ca="1" si="7"/>
        <v>0.90582111772128748</v>
      </c>
      <c r="AE250" s="8">
        <v>1</v>
      </c>
      <c r="AF250" s="49">
        <v>0</v>
      </c>
      <c r="AH250" s="50">
        <f t="shared" ca="1" si="8"/>
        <v>7.7455757241850276E-2</v>
      </c>
      <c r="AI250" s="8">
        <v>1</v>
      </c>
      <c r="AJ250" s="49">
        <v>0</v>
      </c>
      <c r="AL250" s="50">
        <f t="shared" ca="1" si="9"/>
        <v>0.85564462124047658</v>
      </c>
      <c r="AM250" s="8">
        <v>1</v>
      </c>
      <c r="AN250" s="49">
        <v>0</v>
      </c>
      <c r="AP250" s="50">
        <f t="shared" ca="1" si="10"/>
        <v>0.62481049856292792</v>
      </c>
      <c r="AQ250" s="8">
        <v>1</v>
      </c>
      <c r="AR250" s="49">
        <v>0</v>
      </c>
      <c r="AT250" s="50">
        <f t="shared" ca="1" si="11"/>
        <v>0.1369556178366067</v>
      </c>
      <c r="AU250" s="8">
        <v>1</v>
      </c>
      <c r="AV250" s="49">
        <v>0</v>
      </c>
      <c r="AX250" s="50">
        <f t="shared" ca="1" si="12"/>
        <v>5.813240578508283E-2</v>
      </c>
      <c r="AY250" s="8">
        <v>1</v>
      </c>
      <c r="AZ250" s="49">
        <v>0</v>
      </c>
      <c r="BB250" s="50">
        <f t="shared" ca="1" si="13"/>
        <v>0.90330465354073552</v>
      </c>
      <c r="BC250" s="8">
        <v>1</v>
      </c>
      <c r="BD250" s="49">
        <v>0</v>
      </c>
      <c r="BF250" s="50">
        <f t="shared" ca="1" si="14"/>
        <v>4.292618103773449E-2</v>
      </c>
      <c r="BG250" s="8">
        <v>1</v>
      </c>
      <c r="BH250" s="49">
        <v>0</v>
      </c>
      <c r="BJ250" s="50">
        <f t="shared" ca="1" si="15"/>
        <v>0.61338892439960124</v>
      </c>
      <c r="BK250" s="8">
        <v>1</v>
      </c>
      <c r="BL250" s="49">
        <v>0</v>
      </c>
      <c r="BN250" s="50">
        <f t="shared" ca="1" si="16"/>
        <v>0.99919184051558207</v>
      </c>
      <c r="BO250" s="8">
        <v>1</v>
      </c>
      <c r="BP250" s="49">
        <v>0</v>
      </c>
      <c r="BR250" s="50">
        <f t="shared" ca="1" si="17"/>
        <v>0.13359496142140703</v>
      </c>
      <c r="BS250" s="8">
        <v>1</v>
      </c>
      <c r="BT250" s="49">
        <v>0</v>
      </c>
    </row>
    <row r="251" spans="1:72" x14ac:dyDescent="0.2">
      <c r="A251" s="22">
        <v>44798</v>
      </c>
      <c r="B251" s="50">
        <f t="shared" ca="1" si="0"/>
        <v>0.6456722590709717</v>
      </c>
      <c r="C251" s="8">
        <v>1</v>
      </c>
      <c r="D251" s="49">
        <v>0</v>
      </c>
      <c r="F251" s="50">
        <f t="shared" ca="1" si="1"/>
        <v>0.97701697184887015</v>
      </c>
      <c r="G251" s="8">
        <v>1</v>
      </c>
      <c r="H251" s="49">
        <v>0</v>
      </c>
      <c r="J251" s="50">
        <f t="shared" ca="1" si="2"/>
        <v>0.69797515865077964</v>
      </c>
      <c r="K251" s="8">
        <v>1</v>
      </c>
      <c r="L251" s="49">
        <v>0</v>
      </c>
      <c r="N251" s="50">
        <f t="shared" ca="1" si="3"/>
        <v>0.17341559061423639</v>
      </c>
      <c r="O251" s="8">
        <v>1</v>
      </c>
      <c r="P251" s="49">
        <v>0</v>
      </c>
      <c r="R251" s="50">
        <f t="shared" ca="1" si="4"/>
        <v>3.0156164841243505E-2</v>
      </c>
      <c r="S251" s="8">
        <v>1</v>
      </c>
      <c r="T251" s="49">
        <v>0</v>
      </c>
      <c r="V251" s="50">
        <f t="shared" ca="1" si="5"/>
        <v>0.28682565849701436</v>
      </c>
      <c r="W251" s="8">
        <v>1</v>
      </c>
      <c r="X251" s="49">
        <v>0</v>
      </c>
      <c r="Z251" s="50">
        <f t="shared" ca="1" si="6"/>
        <v>0.83367526223795052</v>
      </c>
      <c r="AA251" s="8">
        <v>1</v>
      </c>
      <c r="AB251" s="49">
        <v>0</v>
      </c>
      <c r="AD251" s="50">
        <f t="shared" ca="1" si="7"/>
        <v>0.67506455966307966</v>
      </c>
      <c r="AE251" s="8">
        <v>1</v>
      </c>
      <c r="AF251" s="49">
        <v>0</v>
      </c>
      <c r="AH251" s="50">
        <f t="shared" ca="1" si="8"/>
        <v>0.76064789909413166</v>
      </c>
      <c r="AI251" s="8">
        <v>1</v>
      </c>
      <c r="AJ251" s="49">
        <v>0</v>
      </c>
      <c r="AL251" s="50">
        <f t="shared" ca="1" si="9"/>
        <v>0.31094874670127948</v>
      </c>
      <c r="AM251" s="8">
        <v>1</v>
      </c>
      <c r="AN251" s="49">
        <v>0</v>
      </c>
      <c r="AP251" s="50">
        <f t="shared" ca="1" si="10"/>
        <v>6.3478933065024723E-2</v>
      </c>
      <c r="AQ251" s="8">
        <v>1</v>
      </c>
      <c r="AR251" s="49">
        <v>0</v>
      </c>
      <c r="AT251" s="50">
        <f t="shared" ca="1" si="11"/>
        <v>0.20236419023811358</v>
      </c>
      <c r="AU251" s="8">
        <v>1</v>
      </c>
      <c r="AV251" s="49">
        <v>0</v>
      </c>
      <c r="AX251" s="50">
        <f t="shared" ca="1" si="12"/>
        <v>0.37208365808377308</v>
      </c>
      <c r="AY251" s="8">
        <v>1</v>
      </c>
      <c r="AZ251" s="49">
        <v>0</v>
      </c>
      <c r="BB251" s="50">
        <f t="shared" ca="1" si="13"/>
        <v>0.88296023406074575</v>
      </c>
      <c r="BC251" s="8">
        <v>1</v>
      </c>
      <c r="BD251" s="49">
        <v>0</v>
      </c>
      <c r="BF251" s="50">
        <f t="shared" ca="1" si="14"/>
        <v>0.98209654349526354</v>
      </c>
      <c r="BG251" s="8">
        <v>1</v>
      </c>
      <c r="BH251" s="49">
        <v>0</v>
      </c>
      <c r="BJ251" s="50">
        <f t="shared" ca="1" si="15"/>
        <v>0.81713571568324839</v>
      </c>
      <c r="BK251" s="8">
        <v>1</v>
      </c>
      <c r="BL251" s="49">
        <v>0</v>
      </c>
      <c r="BN251" s="50">
        <f t="shared" ca="1" si="16"/>
        <v>0.2095339444364972</v>
      </c>
      <c r="BO251" s="8">
        <v>1</v>
      </c>
      <c r="BP251" s="49">
        <v>0</v>
      </c>
      <c r="BR251" s="50">
        <f t="shared" ca="1" si="17"/>
        <v>0.73876055596329082</v>
      </c>
      <c r="BS251" s="8">
        <v>1</v>
      </c>
      <c r="BT251" s="49">
        <v>0</v>
      </c>
    </row>
    <row r="252" spans="1:72" x14ac:dyDescent="0.2">
      <c r="A252" s="22">
        <v>44799</v>
      </c>
      <c r="B252" s="50">
        <f t="shared" ca="1" si="0"/>
        <v>0.46902434206381682</v>
      </c>
      <c r="C252" s="8">
        <v>1</v>
      </c>
      <c r="D252" s="49">
        <v>0</v>
      </c>
      <c r="F252" s="50">
        <f t="shared" ca="1" si="1"/>
        <v>0.69317236214240596</v>
      </c>
      <c r="G252" s="8">
        <v>1</v>
      </c>
      <c r="H252" s="49">
        <v>0</v>
      </c>
      <c r="J252" s="50">
        <f t="shared" ca="1" si="2"/>
        <v>0.36383737088200718</v>
      </c>
      <c r="K252" s="8">
        <v>1</v>
      </c>
      <c r="L252" s="49">
        <v>0</v>
      </c>
      <c r="N252" s="50">
        <f t="shared" ca="1" si="3"/>
        <v>0.65905433330009944</v>
      </c>
      <c r="O252" s="8">
        <v>1</v>
      </c>
      <c r="P252" s="49">
        <v>0</v>
      </c>
      <c r="R252" s="50">
        <f t="shared" ca="1" si="4"/>
        <v>0.94441233881553999</v>
      </c>
      <c r="S252" s="8">
        <v>1</v>
      </c>
      <c r="T252" s="49">
        <v>0</v>
      </c>
      <c r="V252" s="50">
        <f t="shared" ca="1" si="5"/>
        <v>2.7275726159978753E-2</v>
      </c>
      <c r="W252" s="8">
        <v>1</v>
      </c>
      <c r="X252" s="49">
        <v>0</v>
      </c>
      <c r="Z252" s="50">
        <f t="shared" ca="1" si="6"/>
        <v>0.17663566698026767</v>
      </c>
      <c r="AA252" s="8">
        <v>1</v>
      </c>
      <c r="AB252" s="49">
        <v>0</v>
      </c>
      <c r="AD252" s="50">
        <f t="shared" ca="1" si="7"/>
        <v>0.37635029054778735</v>
      </c>
      <c r="AE252" s="8">
        <v>1</v>
      </c>
      <c r="AF252" s="49">
        <v>0</v>
      </c>
      <c r="AH252" s="50">
        <f t="shared" ca="1" si="8"/>
        <v>0.3001182228271233</v>
      </c>
      <c r="AI252" s="8">
        <v>1</v>
      </c>
      <c r="AJ252" s="49">
        <v>0</v>
      </c>
      <c r="AL252" s="50">
        <f t="shared" ca="1" si="9"/>
        <v>0.47155781013316889</v>
      </c>
      <c r="AM252" s="8">
        <v>1</v>
      </c>
      <c r="AN252" s="49">
        <v>0</v>
      </c>
      <c r="AP252" s="50">
        <f t="shared" ca="1" si="10"/>
        <v>0.43965502222881525</v>
      </c>
      <c r="AQ252" s="8">
        <v>1</v>
      </c>
      <c r="AR252" s="49">
        <v>0</v>
      </c>
      <c r="AT252" s="50">
        <f t="shared" ca="1" si="11"/>
        <v>0.38817997381205949</v>
      </c>
      <c r="AU252" s="8">
        <v>1</v>
      </c>
      <c r="AV252" s="49">
        <v>0</v>
      </c>
      <c r="AX252" s="50">
        <f t="shared" ca="1" si="12"/>
        <v>0.13626766463606643</v>
      </c>
      <c r="AY252" s="8">
        <v>1</v>
      </c>
      <c r="AZ252" s="49">
        <v>0</v>
      </c>
      <c r="BB252" s="50">
        <f t="shared" ca="1" si="13"/>
        <v>0.80300931456621738</v>
      </c>
      <c r="BC252" s="8">
        <v>1</v>
      </c>
      <c r="BD252" s="49">
        <v>0</v>
      </c>
      <c r="BF252" s="50">
        <f t="shared" ca="1" si="14"/>
        <v>0.16556048959159997</v>
      </c>
      <c r="BG252" s="8">
        <v>1</v>
      </c>
      <c r="BH252" s="49">
        <v>0</v>
      </c>
      <c r="BJ252" s="50">
        <f t="shared" ca="1" si="15"/>
        <v>0.1458998468552769</v>
      </c>
      <c r="BK252" s="8">
        <v>1</v>
      </c>
      <c r="BL252" s="49">
        <v>0</v>
      </c>
      <c r="BN252" s="50">
        <f t="shared" ca="1" si="16"/>
        <v>4.3146875852085764E-2</v>
      </c>
      <c r="BO252" s="8">
        <v>1</v>
      </c>
      <c r="BP252" s="49">
        <v>0</v>
      </c>
      <c r="BR252" s="50">
        <f t="shared" ca="1" si="17"/>
        <v>0.11431498877756086</v>
      </c>
      <c r="BS252" s="8">
        <v>1</v>
      </c>
      <c r="BT252" s="49">
        <v>0</v>
      </c>
    </row>
    <row r="253" spans="1:72" x14ac:dyDescent="0.2">
      <c r="A253" s="22">
        <v>44800</v>
      </c>
      <c r="B253" s="50">
        <f t="shared" ca="1" si="0"/>
        <v>0.36038922072656798</v>
      </c>
      <c r="C253" s="8">
        <v>1</v>
      </c>
      <c r="D253" s="49">
        <v>0</v>
      </c>
      <c r="F253" s="50">
        <f t="shared" ca="1" si="1"/>
        <v>0.93187221584056756</v>
      </c>
      <c r="G253" s="8">
        <v>1</v>
      </c>
      <c r="H253" s="49">
        <v>0</v>
      </c>
      <c r="J253" s="50">
        <f t="shared" ca="1" si="2"/>
        <v>0.63544773571882063</v>
      </c>
      <c r="K253" s="8">
        <v>1</v>
      </c>
      <c r="L253" s="49">
        <v>0</v>
      </c>
      <c r="N253" s="50">
        <f t="shared" ca="1" si="3"/>
        <v>0.97399806932119326</v>
      </c>
      <c r="O253" s="8">
        <v>1</v>
      </c>
      <c r="P253" s="49">
        <v>0</v>
      </c>
      <c r="R253" s="50">
        <f t="shared" ca="1" si="4"/>
        <v>0.5645277506184303</v>
      </c>
      <c r="S253" s="8">
        <v>1</v>
      </c>
      <c r="T253" s="49">
        <v>0</v>
      </c>
      <c r="V253" s="50">
        <f t="shared" ca="1" si="5"/>
        <v>2.4213568556760712E-2</v>
      </c>
      <c r="W253" s="8">
        <v>1</v>
      </c>
      <c r="X253" s="49">
        <v>0</v>
      </c>
      <c r="Z253" s="50">
        <f t="shared" ca="1" si="6"/>
        <v>2.7128364261398197E-2</v>
      </c>
      <c r="AA253" s="8">
        <v>1</v>
      </c>
      <c r="AB253" s="49">
        <v>0</v>
      </c>
      <c r="AD253" s="50">
        <f t="shared" ca="1" si="7"/>
        <v>0.42288126181849706</v>
      </c>
      <c r="AE253" s="8">
        <v>1</v>
      </c>
      <c r="AF253" s="49">
        <v>0</v>
      </c>
      <c r="AH253" s="50">
        <f t="shared" ca="1" si="8"/>
        <v>0.33317337142488523</v>
      </c>
      <c r="AI253" s="8">
        <v>1</v>
      </c>
      <c r="AJ253" s="49">
        <v>0</v>
      </c>
      <c r="AL253" s="50">
        <f t="shared" ca="1" si="9"/>
        <v>2.698783686200712E-2</v>
      </c>
      <c r="AM253" s="8">
        <v>1</v>
      </c>
      <c r="AN253" s="49">
        <v>0</v>
      </c>
      <c r="AP253" s="50">
        <f t="shared" ca="1" si="10"/>
        <v>0.83471787975109779</v>
      </c>
      <c r="AQ253" s="8">
        <v>1</v>
      </c>
      <c r="AR253" s="49">
        <v>0</v>
      </c>
      <c r="AT253" s="50">
        <f t="shared" ca="1" si="11"/>
        <v>0.30706836076078847</v>
      </c>
      <c r="AU253" s="8">
        <v>1</v>
      </c>
      <c r="AV253" s="49">
        <v>0</v>
      </c>
      <c r="AX253" s="50">
        <f t="shared" ca="1" si="12"/>
        <v>0.8612859597046103</v>
      </c>
      <c r="AY253" s="8">
        <v>1</v>
      </c>
      <c r="AZ253" s="49">
        <v>0</v>
      </c>
      <c r="BB253" s="50">
        <f t="shared" ca="1" si="13"/>
        <v>0.85463755838246869</v>
      </c>
      <c r="BC253" s="8">
        <v>1</v>
      </c>
      <c r="BD253" s="49">
        <v>0</v>
      </c>
      <c r="BF253" s="50">
        <f t="shared" ca="1" si="14"/>
        <v>0.65536921442248142</v>
      </c>
      <c r="BG253" s="8">
        <v>1</v>
      </c>
      <c r="BH253" s="49">
        <v>0</v>
      </c>
      <c r="BJ253" s="50">
        <f t="shared" ca="1" si="15"/>
        <v>0.14940179351104688</v>
      </c>
      <c r="BK253" s="8">
        <v>1</v>
      </c>
      <c r="BL253" s="49">
        <v>0</v>
      </c>
      <c r="BN253" s="50">
        <f t="shared" ca="1" si="16"/>
        <v>0.94809550008093801</v>
      </c>
      <c r="BO253" s="8">
        <v>1</v>
      </c>
      <c r="BP253" s="49">
        <v>0</v>
      </c>
      <c r="BR253" s="50">
        <f t="shared" ca="1" si="17"/>
        <v>0.5005096235008637</v>
      </c>
      <c r="BS253" s="8">
        <v>1</v>
      </c>
      <c r="BT253" s="49">
        <v>0</v>
      </c>
    </row>
    <row r="254" spans="1:72" x14ac:dyDescent="0.2">
      <c r="A254" s="22">
        <v>44801</v>
      </c>
      <c r="B254" s="50">
        <f t="shared" ca="1" si="0"/>
        <v>0.91384476065297382</v>
      </c>
      <c r="C254" s="8">
        <v>1</v>
      </c>
      <c r="D254" s="49">
        <v>0</v>
      </c>
      <c r="F254" s="50">
        <f t="shared" ca="1" si="1"/>
        <v>0.14267786966131057</v>
      </c>
      <c r="G254" s="8">
        <v>1</v>
      </c>
      <c r="H254" s="49">
        <v>0</v>
      </c>
      <c r="J254" s="50">
        <f t="shared" ca="1" si="2"/>
        <v>0.27681515581351201</v>
      </c>
      <c r="K254" s="8">
        <v>1</v>
      </c>
      <c r="L254" s="49">
        <v>0</v>
      </c>
      <c r="N254" s="50">
        <f t="shared" ca="1" si="3"/>
        <v>0.31266809064983325</v>
      </c>
      <c r="O254" s="8">
        <v>1</v>
      </c>
      <c r="P254" s="49">
        <v>0</v>
      </c>
      <c r="R254" s="50">
        <f t="shared" ca="1" si="4"/>
        <v>0.91587562868685923</v>
      </c>
      <c r="S254" s="8">
        <v>1</v>
      </c>
      <c r="T254" s="49">
        <v>0</v>
      </c>
      <c r="V254" s="50">
        <f t="shared" ca="1" si="5"/>
        <v>0.78560926520043495</v>
      </c>
      <c r="W254" s="8">
        <v>1</v>
      </c>
      <c r="X254" s="49">
        <v>0</v>
      </c>
      <c r="Z254" s="50">
        <f t="shared" ca="1" si="6"/>
        <v>0.14387948723242416</v>
      </c>
      <c r="AA254" s="8">
        <v>1</v>
      </c>
      <c r="AB254" s="49">
        <v>0</v>
      </c>
      <c r="AD254" s="50">
        <f t="shared" ca="1" si="7"/>
        <v>0.25300950621235729</v>
      </c>
      <c r="AE254" s="8">
        <v>1</v>
      </c>
      <c r="AF254" s="49">
        <v>0</v>
      </c>
      <c r="AH254" s="50">
        <f t="shared" ca="1" si="8"/>
        <v>9.5197260504374159E-2</v>
      </c>
      <c r="AI254" s="8">
        <v>1</v>
      </c>
      <c r="AJ254" s="49">
        <v>0</v>
      </c>
      <c r="AL254" s="50">
        <f t="shared" ca="1" si="9"/>
        <v>0.1648793593530048</v>
      </c>
      <c r="AM254" s="8">
        <v>1</v>
      </c>
      <c r="AN254" s="49">
        <v>0</v>
      </c>
      <c r="AP254" s="50">
        <f t="shared" ca="1" si="10"/>
        <v>0.12971207914578808</v>
      </c>
      <c r="AQ254" s="8">
        <v>1</v>
      </c>
      <c r="AR254" s="49">
        <v>0</v>
      </c>
      <c r="AT254" s="50">
        <f t="shared" ca="1" si="11"/>
        <v>0.27330800658251142</v>
      </c>
      <c r="AU254" s="8">
        <v>1</v>
      </c>
      <c r="AV254" s="49">
        <v>0</v>
      </c>
      <c r="AX254" s="50">
        <f t="shared" ca="1" si="12"/>
        <v>0.62981995934831914</v>
      </c>
      <c r="AY254" s="8">
        <v>1</v>
      </c>
      <c r="AZ254" s="49">
        <v>0</v>
      </c>
      <c r="BB254" s="50">
        <f t="shared" ca="1" si="13"/>
        <v>0.12511461261023749</v>
      </c>
      <c r="BC254" s="8">
        <v>1</v>
      </c>
      <c r="BD254" s="49">
        <v>0</v>
      </c>
      <c r="BF254" s="50">
        <f t="shared" ca="1" si="14"/>
        <v>0.39388835420899015</v>
      </c>
      <c r="BG254" s="8">
        <v>1</v>
      </c>
      <c r="BH254" s="49">
        <v>0</v>
      </c>
      <c r="BJ254" s="50">
        <f t="shared" ca="1" si="15"/>
        <v>0.55724084587938139</v>
      </c>
      <c r="BK254" s="8">
        <v>1</v>
      </c>
      <c r="BL254" s="49">
        <v>0</v>
      </c>
      <c r="BN254" s="50">
        <f t="shared" ca="1" si="16"/>
        <v>0.44934379123301016</v>
      </c>
      <c r="BO254" s="8">
        <v>1</v>
      </c>
      <c r="BP254" s="49">
        <v>0</v>
      </c>
      <c r="BR254" s="50">
        <f t="shared" ca="1" si="17"/>
        <v>0.73764398599445069</v>
      </c>
      <c r="BS254" s="8">
        <v>1</v>
      </c>
      <c r="BT254" s="49">
        <v>0</v>
      </c>
    </row>
    <row r="255" spans="1:72" x14ac:dyDescent="0.2">
      <c r="A255" s="22">
        <v>44802</v>
      </c>
      <c r="B255" s="50">
        <f t="shared" ca="1" si="0"/>
        <v>0.82618776122683413</v>
      </c>
      <c r="C255" s="8">
        <v>1</v>
      </c>
      <c r="D255" s="49">
        <v>0</v>
      </c>
      <c r="F255" s="50">
        <f t="shared" ca="1" si="1"/>
        <v>0.62001018118440121</v>
      </c>
      <c r="G255" s="8">
        <v>1</v>
      </c>
      <c r="H255" s="49">
        <v>0</v>
      </c>
      <c r="J255" s="50">
        <f t="shared" ca="1" si="2"/>
        <v>5.4149231245455898E-2</v>
      </c>
      <c r="K255" s="8">
        <v>1</v>
      </c>
      <c r="L255" s="49">
        <v>0</v>
      </c>
      <c r="N255" s="50">
        <f t="shared" ca="1" si="3"/>
        <v>0.51528559897461312</v>
      </c>
      <c r="O255" s="8">
        <v>1</v>
      </c>
      <c r="P255" s="49">
        <v>0</v>
      </c>
      <c r="R255" s="50">
        <f t="shared" ca="1" si="4"/>
        <v>0.433838881396162</v>
      </c>
      <c r="S255" s="8">
        <v>1</v>
      </c>
      <c r="T255" s="49">
        <v>0</v>
      </c>
      <c r="V255" s="50">
        <f t="shared" ca="1" si="5"/>
        <v>0.81488038919159911</v>
      </c>
      <c r="W255" s="8">
        <v>1</v>
      </c>
      <c r="X255" s="49">
        <v>0</v>
      </c>
      <c r="Z255" s="50">
        <f t="shared" ca="1" si="6"/>
        <v>0.11221660400153233</v>
      </c>
      <c r="AA255" s="8">
        <v>1</v>
      </c>
      <c r="AB255" s="49">
        <v>0</v>
      </c>
      <c r="AD255" s="50">
        <f t="shared" ca="1" si="7"/>
        <v>0.52224430050115012</v>
      </c>
      <c r="AE255" s="8">
        <v>1</v>
      </c>
      <c r="AF255" s="49">
        <v>0</v>
      </c>
      <c r="AH255" s="50">
        <f t="shared" ca="1" si="8"/>
        <v>0.54055851196939797</v>
      </c>
      <c r="AI255" s="8">
        <v>1</v>
      </c>
      <c r="AJ255" s="49">
        <v>0</v>
      </c>
      <c r="AL255" s="50">
        <f t="shared" ca="1" si="9"/>
        <v>0.79191032390876781</v>
      </c>
      <c r="AM255" s="8">
        <v>1</v>
      </c>
      <c r="AN255" s="49">
        <v>0</v>
      </c>
      <c r="AP255" s="50">
        <f t="shared" ca="1" si="10"/>
        <v>0.52059068851888601</v>
      </c>
      <c r="AQ255" s="8">
        <v>1</v>
      </c>
      <c r="AR255" s="49">
        <v>0</v>
      </c>
      <c r="AT255" s="50">
        <f t="shared" ca="1" si="11"/>
        <v>0.42497096725398065</v>
      </c>
      <c r="AU255" s="8">
        <v>1</v>
      </c>
      <c r="AV255" s="49">
        <v>0</v>
      </c>
      <c r="AX255" s="50">
        <f t="shared" ca="1" si="12"/>
        <v>0.50038089227611071</v>
      </c>
      <c r="AY255" s="8">
        <v>1</v>
      </c>
      <c r="AZ255" s="49">
        <v>0</v>
      </c>
      <c r="BB255" s="50">
        <f t="shared" ca="1" si="13"/>
        <v>0.77956606844981036</v>
      </c>
      <c r="BC255" s="8">
        <v>1</v>
      </c>
      <c r="BD255" s="49">
        <v>0</v>
      </c>
      <c r="BF255" s="50">
        <f t="shared" ca="1" si="14"/>
        <v>8.3089907329602974E-2</v>
      </c>
      <c r="BG255" s="8">
        <v>1</v>
      </c>
      <c r="BH255" s="49">
        <v>0</v>
      </c>
      <c r="BJ255" s="50">
        <f t="shared" ca="1" si="15"/>
        <v>0.77644541384526378</v>
      </c>
      <c r="BK255" s="8">
        <v>1</v>
      </c>
      <c r="BL255" s="49">
        <v>0</v>
      </c>
      <c r="BN255" s="50">
        <f t="shared" ca="1" si="16"/>
        <v>0.99978496683640883</v>
      </c>
      <c r="BO255" s="8">
        <v>1</v>
      </c>
      <c r="BP255" s="49">
        <v>0</v>
      </c>
      <c r="BR255" s="50">
        <f t="shared" ca="1" si="17"/>
        <v>0.1059987175228263</v>
      </c>
      <c r="BS255" s="8">
        <v>1</v>
      </c>
      <c r="BT255" s="49">
        <v>0</v>
      </c>
    </row>
    <row r="256" spans="1:72" x14ac:dyDescent="0.2">
      <c r="A256" s="22">
        <v>44803</v>
      </c>
      <c r="B256" s="50">
        <f t="shared" ca="1" si="0"/>
        <v>0.36273207230380045</v>
      </c>
      <c r="C256" s="8">
        <v>1</v>
      </c>
      <c r="D256" s="49">
        <v>0</v>
      </c>
      <c r="F256" s="50">
        <f t="shared" ca="1" si="1"/>
        <v>0.5246325490365531</v>
      </c>
      <c r="G256" s="8">
        <v>1</v>
      </c>
      <c r="H256" s="49">
        <v>0</v>
      </c>
      <c r="J256" s="50">
        <f t="shared" ca="1" si="2"/>
        <v>0.5437356350271938</v>
      </c>
      <c r="K256" s="8">
        <v>1</v>
      </c>
      <c r="L256" s="49">
        <v>0</v>
      </c>
      <c r="N256" s="50">
        <f t="shared" ca="1" si="3"/>
        <v>0.23034389132458144</v>
      </c>
      <c r="O256" s="8">
        <v>1</v>
      </c>
      <c r="P256" s="49">
        <v>0</v>
      </c>
      <c r="R256" s="50">
        <f t="shared" ca="1" si="4"/>
        <v>0.20345764457569981</v>
      </c>
      <c r="S256" s="8">
        <v>1</v>
      </c>
      <c r="T256" s="49">
        <v>0</v>
      </c>
      <c r="V256" s="50">
        <f t="shared" ca="1" si="5"/>
        <v>0.90184889912686872</v>
      </c>
      <c r="W256" s="8">
        <v>1</v>
      </c>
      <c r="X256" s="49">
        <v>0</v>
      </c>
      <c r="Z256" s="50">
        <f t="shared" ca="1" si="6"/>
        <v>0.91404957912570606</v>
      </c>
      <c r="AA256" s="8">
        <v>1</v>
      </c>
      <c r="AB256" s="49">
        <v>0</v>
      </c>
      <c r="AD256" s="50">
        <f t="shared" ca="1" si="7"/>
        <v>0.72077958804404807</v>
      </c>
      <c r="AE256" s="8">
        <v>1</v>
      </c>
      <c r="AF256" s="49">
        <v>0</v>
      </c>
      <c r="AH256" s="50">
        <f t="shared" ca="1" si="8"/>
        <v>0.35977807858570743</v>
      </c>
      <c r="AI256" s="8">
        <v>1</v>
      </c>
      <c r="AJ256" s="49">
        <v>0</v>
      </c>
      <c r="AL256" s="50">
        <f t="shared" ca="1" si="9"/>
        <v>0.36427246127156876</v>
      </c>
      <c r="AM256" s="8">
        <v>1</v>
      </c>
      <c r="AN256" s="49">
        <v>0</v>
      </c>
      <c r="AP256" s="50">
        <f t="shared" ca="1" si="10"/>
        <v>0.5779725332056993</v>
      </c>
      <c r="AQ256" s="8">
        <v>1</v>
      </c>
      <c r="AR256" s="49">
        <v>0</v>
      </c>
      <c r="AT256" s="50">
        <f t="shared" ca="1" si="11"/>
        <v>0.44791709186704698</v>
      </c>
      <c r="AU256" s="8">
        <v>1</v>
      </c>
      <c r="AV256" s="49">
        <v>0</v>
      </c>
      <c r="AX256" s="50">
        <f t="shared" ca="1" si="12"/>
        <v>0.94254432207738548</v>
      </c>
      <c r="AY256" s="8">
        <v>1</v>
      </c>
      <c r="AZ256" s="49">
        <v>0</v>
      </c>
      <c r="BB256" s="50">
        <f t="shared" ca="1" si="13"/>
        <v>0.92449691232750586</v>
      </c>
      <c r="BC256" s="8">
        <v>1</v>
      </c>
      <c r="BD256" s="49">
        <v>0</v>
      </c>
      <c r="BF256" s="50">
        <f t="shared" ca="1" si="14"/>
        <v>0.52001581597421387</v>
      </c>
      <c r="BG256" s="8">
        <v>1</v>
      </c>
      <c r="BH256" s="49">
        <v>0</v>
      </c>
      <c r="BJ256" s="50">
        <f t="shared" ca="1" si="15"/>
        <v>0.14388358069727125</v>
      </c>
      <c r="BK256" s="8">
        <v>1</v>
      </c>
      <c r="BL256" s="49">
        <v>0</v>
      </c>
      <c r="BN256" s="50">
        <f t="shared" ca="1" si="16"/>
        <v>0.57728293562275501</v>
      </c>
      <c r="BO256" s="8">
        <v>1</v>
      </c>
      <c r="BP256" s="49">
        <v>0</v>
      </c>
      <c r="BR256" s="50">
        <f t="shared" ca="1" si="17"/>
        <v>0.32684932332646999</v>
      </c>
      <c r="BS256" s="8">
        <v>1</v>
      </c>
      <c r="BT256" s="49">
        <v>0</v>
      </c>
    </row>
    <row r="257" spans="1:72" x14ac:dyDescent="0.2">
      <c r="A257" s="22">
        <v>44804</v>
      </c>
      <c r="B257" s="50">
        <f t="shared" ca="1" si="0"/>
        <v>0.9195956390864034</v>
      </c>
      <c r="C257" s="8">
        <v>1</v>
      </c>
      <c r="D257" s="49">
        <v>0</v>
      </c>
      <c r="F257" s="50">
        <f t="shared" ca="1" si="1"/>
        <v>0.79603956824962496</v>
      </c>
      <c r="G257" s="8">
        <v>1</v>
      </c>
      <c r="H257" s="49">
        <v>0</v>
      </c>
      <c r="J257" s="50">
        <f t="shared" ca="1" si="2"/>
        <v>0.31793520412908005</v>
      </c>
      <c r="K257" s="8">
        <v>1</v>
      </c>
      <c r="L257" s="49">
        <v>0</v>
      </c>
      <c r="N257" s="50">
        <f t="shared" ca="1" si="3"/>
        <v>0.59873265000801867</v>
      </c>
      <c r="O257" s="8">
        <v>1</v>
      </c>
      <c r="P257" s="49">
        <v>0</v>
      </c>
      <c r="R257" s="50">
        <f t="shared" ca="1" si="4"/>
        <v>0.3883141343930282</v>
      </c>
      <c r="S257" s="8">
        <v>1</v>
      </c>
      <c r="T257" s="49">
        <v>0</v>
      </c>
      <c r="V257" s="50">
        <f t="shared" ca="1" si="5"/>
        <v>0.3497918488716858</v>
      </c>
      <c r="W257" s="8">
        <v>1</v>
      </c>
      <c r="X257" s="49">
        <v>0</v>
      </c>
      <c r="Z257" s="50">
        <f t="shared" ca="1" si="6"/>
        <v>0.14251907581719536</v>
      </c>
      <c r="AA257" s="8">
        <v>1</v>
      </c>
      <c r="AB257" s="49">
        <v>0</v>
      </c>
      <c r="AD257" s="50">
        <f t="shared" ca="1" si="7"/>
        <v>0.53655582496834087</v>
      </c>
      <c r="AE257" s="8">
        <v>1</v>
      </c>
      <c r="AF257" s="49">
        <v>0</v>
      </c>
      <c r="AH257" s="50">
        <f t="shared" ca="1" si="8"/>
        <v>0.5818418695903943</v>
      </c>
      <c r="AI257" s="8">
        <v>1</v>
      </c>
      <c r="AJ257" s="49">
        <v>0</v>
      </c>
      <c r="AL257" s="50">
        <f t="shared" ca="1" si="9"/>
        <v>0.96030727964342344</v>
      </c>
      <c r="AM257" s="8">
        <v>1</v>
      </c>
      <c r="AN257" s="49">
        <v>0</v>
      </c>
      <c r="AP257" s="50">
        <f t="shared" ca="1" si="10"/>
        <v>0.72763979406433987</v>
      </c>
      <c r="AQ257" s="8">
        <v>1</v>
      </c>
      <c r="AR257" s="49">
        <v>0</v>
      </c>
      <c r="AT257" s="50">
        <f t="shared" ca="1" si="11"/>
        <v>0.62348392351656368</v>
      </c>
      <c r="AU257" s="8">
        <v>1</v>
      </c>
      <c r="AV257" s="49">
        <v>0</v>
      </c>
      <c r="AX257" s="50">
        <f t="shared" ca="1" si="12"/>
        <v>0.28875363057497927</v>
      </c>
      <c r="AY257" s="8">
        <v>1</v>
      </c>
      <c r="AZ257" s="49">
        <v>0</v>
      </c>
      <c r="BB257" s="50">
        <f t="shared" ca="1" si="13"/>
        <v>0.89423738103700823</v>
      </c>
      <c r="BC257" s="8">
        <v>1</v>
      </c>
      <c r="BD257" s="49">
        <v>0</v>
      </c>
      <c r="BF257" s="50">
        <f t="shared" ca="1" si="14"/>
        <v>0.78992853854579481</v>
      </c>
      <c r="BG257" s="8">
        <v>1</v>
      </c>
      <c r="BH257" s="49">
        <v>0</v>
      </c>
      <c r="BJ257" s="50">
        <f t="shared" ca="1" si="15"/>
        <v>0.14456016711386588</v>
      </c>
      <c r="BK257" s="8">
        <v>1</v>
      </c>
      <c r="BL257" s="49">
        <v>0</v>
      </c>
      <c r="BN257" s="50">
        <f t="shared" ca="1" si="16"/>
        <v>0.28135693544086393</v>
      </c>
      <c r="BO257" s="8">
        <v>1</v>
      </c>
      <c r="BP257" s="49">
        <v>0</v>
      </c>
      <c r="BR257" s="50">
        <f t="shared" ca="1" si="17"/>
        <v>0.44496591329478052</v>
      </c>
      <c r="BS257" s="8">
        <v>1</v>
      </c>
      <c r="BT257" s="49">
        <v>0</v>
      </c>
    </row>
    <row r="258" spans="1:72" x14ac:dyDescent="0.2">
      <c r="A258" s="22">
        <v>44805</v>
      </c>
      <c r="B258" s="50">
        <f t="shared" ca="1" si="0"/>
        <v>0.36302621926213718</v>
      </c>
      <c r="C258" s="8">
        <v>1</v>
      </c>
      <c r="D258" s="49">
        <v>0</v>
      </c>
      <c r="F258" s="50">
        <f t="shared" ca="1" si="1"/>
        <v>0.21571611645436295</v>
      </c>
      <c r="G258" s="8">
        <v>1</v>
      </c>
      <c r="H258" s="49">
        <v>0</v>
      </c>
      <c r="J258" s="50">
        <f t="shared" ca="1" si="2"/>
        <v>0.18596691231391427</v>
      </c>
      <c r="K258" s="8">
        <v>1</v>
      </c>
      <c r="L258" s="49">
        <v>0</v>
      </c>
      <c r="N258" s="50">
        <f t="shared" ca="1" si="3"/>
        <v>0.69285939600527202</v>
      </c>
      <c r="O258" s="8">
        <v>1</v>
      </c>
      <c r="P258" s="49">
        <v>0</v>
      </c>
      <c r="R258" s="50">
        <f t="shared" ca="1" si="4"/>
        <v>0.37136042420324178</v>
      </c>
      <c r="S258" s="8">
        <v>1</v>
      </c>
      <c r="T258" s="49">
        <v>0</v>
      </c>
      <c r="V258" s="50">
        <f t="shared" ca="1" si="5"/>
        <v>0.48646468630995221</v>
      </c>
      <c r="W258" s="8">
        <v>1</v>
      </c>
      <c r="X258" s="49">
        <v>0</v>
      </c>
      <c r="Z258" s="50">
        <f t="shared" ca="1" si="6"/>
        <v>0.54400017336917961</v>
      </c>
      <c r="AA258" s="8">
        <v>1</v>
      </c>
      <c r="AB258" s="49">
        <v>0</v>
      </c>
      <c r="AD258" s="50">
        <f t="shared" ca="1" si="7"/>
        <v>2.1284188691942152E-2</v>
      </c>
      <c r="AE258" s="8">
        <v>1</v>
      </c>
      <c r="AF258" s="49">
        <v>0</v>
      </c>
      <c r="AH258" s="50">
        <f t="shared" ca="1" si="8"/>
        <v>0.13794328923673449</v>
      </c>
      <c r="AI258" s="8">
        <v>1</v>
      </c>
      <c r="AJ258" s="49">
        <v>0</v>
      </c>
      <c r="AL258" s="50">
        <f t="shared" ca="1" si="9"/>
        <v>6.8785069857855152E-2</v>
      </c>
      <c r="AM258" s="8">
        <v>1</v>
      </c>
      <c r="AN258" s="49">
        <v>0</v>
      </c>
      <c r="AP258" s="50">
        <f t="shared" ca="1" si="10"/>
        <v>0.12317487986415465</v>
      </c>
      <c r="AQ258" s="8">
        <v>1</v>
      </c>
      <c r="AR258" s="49">
        <v>0</v>
      </c>
      <c r="AT258" s="50">
        <f t="shared" ca="1" si="11"/>
        <v>0.68218712408362703</v>
      </c>
      <c r="AU258" s="8">
        <v>1</v>
      </c>
      <c r="AV258" s="49">
        <v>0</v>
      </c>
      <c r="AX258" s="50">
        <f t="shared" ca="1" si="12"/>
        <v>8.6198583638406712E-2</v>
      </c>
      <c r="AY258" s="8">
        <v>1</v>
      </c>
      <c r="AZ258" s="49">
        <v>0</v>
      </c>
      <c r="BB258" s="50">
        <f t="shared" ca="1" si="13"/>
        <v>0.79195492943781498</v>
      </c>
      <c r="BC258" s="8">
        <v>1</v>
      </c>
      <c r="BD258" s="49">
        <v>0</v>
      </c>
      <c r="BF258" s="50">
        <f t="shared" ca="1" si="14"/>
        <v>0.47743656166464599</v>
      </c>
      <c r="BG258" s="8">
        <v>1</v>
      </c>
      <c r="BH258" s="49">
        <v>0</v>
      </c>
      <c r="BJ258" s="50">
        <f t="shared" ca="1" si="15"/>
        <v>0.23127811896994044</v>
      </c>
      <c r="BK258" s="8">
        <v>1</v>
      </c>
      <c r="BL258" s="49">
        <v>0</v>
      </c>
      <c r="BN258" s="50">
        <f t="shared" ca="1" si="16"/>
        <v>0.5390049503637484</v>
      </c>
      <c r="BO258" s="8">
        <v>1</v>
      </c>
      <c r="BP258" s="49">
        <v>0</v>
      </c>
      <c r="BR258" s="50">
        <f t="shared" ca="1" si="17"/>
        <v>0.65419826842809481</v>
      </c>
      <c r="BS258" s="8">
        <v>1</v>
      </c>
      <c r="BT258" s="49">
        <v>0</v>
      </c>
    </row>
    <row r="259" spans="1:72" x14ac:dyDescent="0.2">
      <c r="A259" s="22">
        <v>44806</v>
      </c>
      <c r="B259" s="50">
        <f t="shared" ca="1" si="0"/>
        <v>0.49349782218676874</v>
      </c>
      <c r="C259" s="8">
        <v>1</v>
      </c>
      <c r="D259" s="49">
        <f t="shared" ref="D259:D303" ca="1" si="161">ROUNDUP(_xlfn.NORM.INV(B259,C$4*C259,C$6*C259),0)</f>
        <v>100</v>
      </c>
      <c r="F259" s="50">
        <f t="shared" ca="1" si="1"/>
        <v>0.12010432008391292</v>
      </c>
      <c r="G259" s="8">
        <v>1</v>
      </c>
      <c r="H259" s="49">
        <f t="shared" ref="H259:H303" ca="1" si="162">ROUNDUP(_xlfn.NORM.INV(F259,G$4*G259,G$6*G259),0)</f>
        <v>148</v>
      </c>
      <c r="J259" s="50">
        <f t="shared" ca="1" si="2"/>
        <v>0.86565299319333699</v>
      </c>
      <c r="K259" s="8">
        <v>1</v>
      </c>
      <c r="L259" s="49">
        <f t="shared" ref="L259:L303" ca="1" si="163">ROUNDUP(_xlfn.NORM.INV(J259,K$4*K259,K$6*K259),0)</f>
        <v>195</v>
      </c>
      <c r="N259" s="50">
        <f t="shared" ca="1" si="3"/>
        <v>5.3670265132712336E-2</v>
      </c>
      <c r="O259" s="8">
        <v>1</v>
      </c>
      <c r="P259" s="49">
        <f t="shared" ref="P259:P303" ca="1" si="164">ROUNDUP(_xlfn.NORM.INV(N259,O$4*O259,O$6*O259),0)</f>
        <v>131</v>
      </c>
      <c r="R259" s="50">
        <f t="shared" ca="1" si="4"/>
        <v>9.2564574758168483E-2</v>
      </c>
      <c r="S259" s="8">
        <v>1</v>
      </c>
      <c r="T259" s="49">
        <f t="shared" ref="T259:T303" ca="1" si="165">ROUNDUP(_xlfn.NORM.INV(R259,S$4*S259,S$6*S259),0)</f>
        <v>90</v>
      </c>
      <c r="V259" s="50">
        <f t="shared" ca="1" si="5"/>
        <v>0.33119043291004169</v>
      </c>
      <c r="W259" s="8">
        <v>1</v>
      </c>
      <c r="X259" s="49">
        <f t="shared" ref="X259:X303" ca="1" si="166">ROUNDUP(_xlfn.NORM.INV(V259,W$4*W259,W$6*W259),0)</f>
        <v>199</v>
      </c>
      <c r="Z259" s="50">
        <f t="shared" ca="1" si="6"/>
        <v>0.38732921444135127</v>
      </c>
      <c r="AA259" s="8">
        <v>1</v>
      </c>
      <c r="AB259" s="49">
        <f t="shared" ref="AB259:AB303" ca="1" si="167">ROUNDUP(_xlfn.NORM.INV(Z259,AA$4*AA259,AA$6*AA259),0)</f>
        <v>250</v>
      </c>
      <c r="AD259" s="50">
        <f t="shared" ca="1" si="7"/>
        <v>0.64953871531500929</v>
      </c>
      <c r="AE259" s="8">
        <v>1</v>
      </c>
      <c r="AF259" s="49">
        <f t="shared" ref="AF259:AF303" ca="1" si="168">ROUNDUP(_xlfn.NORM.INV(AD259,AE$4*AE259,AE$6*AE259),0)</f>
        <v>361</v>
      </c>
      <c r="AH259" s="50">
        <f t="shared" ca="1" si="8"/>
        <v>0.27873321873820034</v>
      </c>
      <c r="AI259" s="8">
        <v>1</v>
      </c>
      <c r="AJ259" s="49">
        <f t="shared" ref="AJ259:AJ303" ca="1" si="169">ROUNDUP(_xlfn.NORM.INV(AH259,AI$4*AI259,AI$6*AI259),0)</f>
        <v>152</v>
      </c>
      <c r="AL259" s="50">
        <f t="shared" ca="1" si="9"/>
        <v>0.82604509212995858</v>
      </c>
      <c r="AM259" s="8">
        <v>1</v>
      </c>
      <c r="AN259" s="49">
        <f t="shared" ref="AN259:AN303" ca="1" si="170">ROUNDUP(_xlfn.NORM.INV(AL259,AM$4*AM259,AM$6*AM259),0)</f>
        <v>184</v>
      </c>
      <c r="AP259" s="50">
        <f t="shared" ca="1" si="10"/>
        <v>0.41624602861226889</v>
      </c>
      <c r="AQ259" s="8">
        <v>1</v>
      </c>
      <c r="AR259" s="49">
        <f t="shared" ref="AR259:AR303" ca="1" si="171">ROUNDUP(_xlfn.NORM.INV(AP259,AQ$4*AQ259,AQ$6*AQ259),0)</f>
        <v>205</v>
      </c>
      <c r="AT259" s="50">
        <f t="shared" ca="1" si="11"/>
        <v>0.54544800917770919</v>
      </c>
      <c r="AU259" s="8">
        <v>1</v>
      </c>
      <c r="AV259" s="49">
        <f t="shared" ref="AV259:AV303" ca="1" si="172">ROUNDUP(_xlfn.NORM.INV(AT259,AU$4*AU259,AU$6*AU259),0)</f>
        <v>198</v>
      </c>
      <c r="AX259" s="50">
        <f t="shared" ca="1" si="12"/>
        <v>0.64763966286486996</v>
      </c>
      <c r="AY259" s="8">
        <v>1</v>
      </c>
      <c r="AZ259" s="49">
        <f t="shared" ref="AZ259:AZ303" ca="1" si="173">ROUNDUP(_xlfn.NORM.INV(AX259,AY$4*AY259,AY$6*AY259),0)</f>
        <v>199</v>
      </c>
      <c r="BB259" s="50">
        <f t="shared" ca="1" si="13"/>
        <v>0.13706711944856476</v>
      </c>
      <c r="BC259" s="8">
        <v>1</v>
      </c>
      <c r="BD259" s="49">
        <f t="shared" ref="BD259:BD303" ca="1" si="174">ROUNDUP(_xlfn.NORM.INV(BB259,BC$4*BC259,BC$6*BC259),0)</f>
        <v>114</v>
      </c>
      <c r="BF259" s="50">
        <f t="shared" ca="1" si="14"/>
        <v>0.77457720872866453</v>
      </c>
      <c r="BG259" s="8">
        <v>1</v>
      </c>
      <c r="BH259" s="49">
        <f t="shared" ref="BH259:BH303" ca="1" si="175">ROUNDUP(_xlfn.NORM.INV(BF259,BG$4*BG259,BG$6*BG259),0)</f>
        <v>198</v>
      </c>
      <c r="BJ259" s="50">
        <f t="shared" ca="1" si="15"/>
        <v>0.60144119727218481</v>
      </c>
      <c r="BK259" s="8">
        <v>1</v>
      </c>
      <c r="BL259" s="49">
        <f t="shared" ref="BL259:BL303" ca="1" si="176">ROUNDUP(_xlfn.NORM.INV(BJ259,BK$4*BK259,BK$6*BK259),0)</f>
        <v>140</v>
      </c>
      <c r="BN259" s="50">
        <f t="shared" ca="1" si="16"/>
        <v>0.68279705465079044</v>
      </c>
      <c r="BO259" s="8">
        <v>1</v>
      </c>
      <c r="BP259" s="49">
        <f t="shared" ref="BP259:BP303" ca="1" si="177">ROUNDUP(_xlfn.NORM.INV(BN259,BO$4*BO259,BO$6*BO259),0)</f>
        <v>196</v>
      </c>
      <c r="BR259" s="50">
        <f t="shared" ca="1" si="17"/>
        <v>0.33383294643169781</v>
      </c>
      <c r="BS259" s="8">
        <v>1</v>
      </c>
      <c r="BT259" s="49">
        <f t="shared" ref="BT259:BT303" ca="1" si="178">ROUNDUP(_xlfn.NORM.INV(BR259,BS$4*BS259,BS$6*BS259),0)</f>
        <v>163</v>
      </c>
    </row>
    <row r="260" spans="1:72" x14ac:dyDescent="0.2">
      <c r="A260" s="22">
        <v>44807</v>
      </c>
      <c r="B260" s="50">
        <f t="shared" ca="1" si="0"/>
        <v>0.53516892513024106</v>
      </c>
      <c r="C260" s="8">
        <v>1</v>
      </c>
      <c r="D260" s="49">
        <f t="shared" ca="1" si="161"/>
        <v>102</v>
      </c>
      <c r="F260" s="50">
        <f t="shared" ca="1" si="1"/>
        <v>0.82993077524854375</v>
      </c>
      <c r="G260" s="8">
        <v>1</v>
      </c>
      <c r="H260" s="49">
        <f t="shared" ca="1" si="162"/>
        <v>271</v>
      </c>
      <c r="J260" s="50">
        <f t="shared" ca="1" si="2"/>
        <v>0.11134932181376278</v>
      </c>
      <c r="K260" s="8">
        <v>1</v>
      </c>
      <c r="L260" s="49">
        <f t="shared" ca="1" si="163"/>
        <v>102</v>
      </c>
      <c r="N260" s="50">
        <f t="shared" ca="1" si="3"/>
        <v>0.46643937261229718</v>
      </c>
      <c r="O260" s="8">
        <v>1</v>
      </c>
      <c r="P260" s="49">
        <f t="shared" ca="1" si="164"/>
        <v>225</v>
      </c>
      <c r="R260" s="50">
        <f t="shared" ca="1" si="4"/>
        <v>0.37216295719052817</v>
      </c>
      <c r="S260" s="8">
        <v>1</v>
      </c>
      <c r="T260" s="49">
        <f t="shared" ca="1" si="165"/>
        <v>127</v>
      </c>
      <c r="V260" s="50">
        <f t="shared" ca="1" si="5"/>
        <v>0.85611135728017607</v>
      </c>
      <c r="W260" s="8">
        <v>1</v>
      </c>
      <c r="X260" s="49">
        <f t="shared" ca="1" si="166"/>
        <v>289</v>
      </c>
      <c r="Z260" s="50">
        <f t="shared" ca="1" si="6"/>
        <v>0.47963634089377138</v>
      </c>
      <c r="AA260" s="8">
        <v>1</v>
      </c>
      <c r="AB260" s="49">
        <f t="shared" ca="1" si="167"/>
        <v>267</v>
      </c>
      <c r="AD260" s="50">
        <f t="shared" ca="1" si="7"/>
        <v>0.11926832729144787</v>
      </c>
      <c r="AE260" s="8">
        <v>1</v>
      </c>
      <c r="AF260" s="49">
        <f t="shared" ca="1" si="168"/>
        <v>225</v>
      </c>
      <c r="AH260" s="50">
        <f t="shared" ca="1" si="8"/>
        <v>0.10492899598137895</v>
      </c>
      <c r="AI260" s="8">
        <v>1</v>
      </c>
      <c r="AJ260" s="49">
        <f t="shared" ca="1" si="169"/>
        <v>120</v>
      </c>
      <c r="AL260" s="50">
        <f t="shared" ca="1" si="9"/>
        <v>0.70744199956876752</v>
      </c>
      <c r="AM260" s="8">
        <v>1</v>
      </c>
      <c r="AN260" s="49">
        <f t="shared" ca="1" si="170"/>
        <v>169</v>
      </c>
      <c r="AP260" s="50">
        <f t="shared" ca="1" si="10"/>
        <v>0.83255833288016134</v>
      </c>
      <c r="AQ260" s="8">
        <v>1</v>
      </c>
      <c r="AR260" s="49">
        <f t="shared" ca="1" si="171"/>
        <v>273</v>
      </c>
      <c r="AT260" s="50">
        <f t="shared" ca="1" si="11"/>
        <v>2.2551989307347475E-2</v>
      </c>
      <c r="AU260" s="8">
        <v>1</v>
      </c>
      <c r="AV260" s="49">
        <f t="shared" ca="1" si="172"/>
        <v>90</v>
      </c>
      <c r="AX260" s="50">
        <f t="shared" ca="1" si="12"/>
        <v>0.99244064457985626</v>
      </c>
      <c r="AY260" s="8">
        <v>1</v>
      </c>
      <c r="AZ260" s="49">
        <f t="shared" ca="1" si="173"/>
        <v>297</v>
      </c>
      <c r="BB260" s="50">
        <f t="shared" ca="1" si="13"/>
        <v>0.50286562992316464</v>
      </c>
      <c r="BC260" s="8">
        <v>1</v>
      </c>
      <c r="BD260" s="49">
        <f t="shared" ca="1" si="174"/>
        <v>160</v>
      </c>
      <c r="BF260" s="50">
        <f t="shared" ca="1" si="14"/>
        <v>0.84374080188861389</v>
      </c>
      <c r="BG260" s="8">
        <v>1</v>
      </c>
      <c r="BH260" s="49">
        <f t="shared" ca="1" si="175"/>
        <v>209</v>
      </c>
      <c r="BJ260" s="50">
        <f t="shared" ca="1" si="15"/>
        <v>0.64607293168361646</v>
      </c>
      <c r="BK260" s="8">
        <v>1</v>
      </c>
      <c r="BL260" s="49">
        <f t="shared" ca="1" si="176"/>
        <v>145</v>
      </c>
      <c r="BN260" s="50">
        <f t="shared" ca="1" si="16"/>
        <v>0.38269647246887917</v>
      </c>
      <c r="BO260" s="8">
        <v>1</v>
      </c>
      <c r="BP260" s="49">
        <f t="shared" ca="1" si="177"/>
        <v>160</v>
      </c>
      <c r="BR260" s="50">
        <f t="shared" ca="1" si="17"/>
        <v>0.31086241392555813</v>
      </c>
      <c r="BS260" s="8">
        <v>1</v>
      </c>
      <c r="BT260" s="49">
        <f t="shared" ca="1" si="178"/>
        <v>160</v>
      </c>
    </row>
    <row r="261" spans="1:72" x14ac:dyDescent="0.2">
      <c r="A261" s="22">
        <v>44808</v>
      </c>
      <c r="B261" s="50">
        <f t="shared" ca="1" si="0"/>
        <v>0.92586077369863173</v>
      </c>
      <c r="C261" s="8">
        <v>1</v>
      </c>
      <c r="D261" s="49">
        <f t="shared" ca="1" si="161"/>
        <v>129</v>
      </c>
      <c r="F261" s="50">
        <f t="shared" ca="1" si="1"/>
        <v>0.16431248750074501</v>
      </c>
      <c r="G261" s="8">
        <v>1</v>
      </c>
      <c r="H261" s="49">
        <f t="shared" ca="1" si="162"/>
        <v>160</v>
      </c>
      <c r="J261" s="50">
        <f t="shared" ca="1" si="2"/>
        <v>0.97529042928390719</v>
      </c>
      <c r="K261" s="8">
        <v>1</v>
      </c>
      <c r="L261" s="49">
        <f t="shared" ca="1" si="163"/>
        <v>229</v>
      </c>
      <c r="N261" s="50">
        <f t="shared" ca="1" si="3"/>
        <v>7.0414095267990695E-2</v>
      </c>
      <c r="O261" s="8">
        <v>1</v>
      </c>
      <c r="P261" s="49">
        <f t="shared" ca="1" si="164"/>
        <v>140</v>
      </c>
      <c r="R261" s="50">
        <f t="shared" ca="1" si="4"/>
        <v>0.69401034036968368</v>
      </c>
      <c r="S261" s="8">
        <v>1</v>
      </c>
      <c r="T261" s="49">
        <f t="shared" ca="1" si="165"/>
        <v>158</v>
      </c>
      <c r="V261" s="50">
        <f t="shared" ca="1" si="5"/>
        <v>0.58920036265001841</v>
      </c>
      <c r="W261" s="8">
        <v>1</v>
      </c>
      <c r="X261" s="49">
        <f t="shared" ca="1" si="166"/>
        <v>239</v>
      </c>
      <c r="Z261" s="50">
        <f t="shared" ca="1" si="6"/>
        <v>0.60661567845032616</v>
      </c>
      <c r="AA261" s="8">
        <v>1</v>
      </c>
      <c r="AB261" s="49">
        <f t="shared" ca="1" si="167"/>
        <v>290</v>
      </c>
      <c r="AD261" s="50">
        <f t="shared" ca="1" si="7"/>
        <v>0.9523312491920084</v>
      </c>
      <c r="AE261" s="8">
        <v>1</v>
      </c>
      <c r="AF261" s="49">
        <f t="shared" ca="1" si="168"/>
        <v>473</v>
      </c>
      <c r="AH261" s="50">
        <f t="shared" ca="1" si="8"/>
        <v>0.21717140349042474</v>
      </c>
      <c r="AI261" s="8">
        <v>1</v>
      </c>
      <c r="AJ261" s="49">
        <f t="shared" ca="1" si="169"/>
        <v>143</v>
      </c>
      <c r="AL261" s="50">
        <f t="shared" ca="1" si="9"/>
        <v>0.30321467817916414</v>
      </c>
      <c r="AM261" s="8">
        <v>1</v>
      </c>
      <c r="AN261" s="49">
        <f t="shared" ca="1" si="170"/>
        <v>127</v>
      </c>
      <c r="AP261" s="50">
        <f t="shared" ca="1" si="10"/>
        <v>0.91816593372972799</v>
      </c>
      <c r="AQ261" s="8">
        <v>1</v>
      </c>
      <c r="AR261" s="49">
        <f t="shared" ca="1" si="171"/>
        <v>298</v>
      </c>
      <c r="AT261" s="50">
        <f t="shared" ca="1" si="11"/>
        <v>0.12375345504870006</v>
      </c>
      <c r="AU261" s="8">
        <v>1</v>
      </c>
      <c r="AV261" s="49">
        <f t="shared" ca="1" si="172"/>
        <v>133</v>
      </c>
      <c r="AX261" s="50">
        <f t="shared" ca="1" si="12"/>
        <v>0.1390821723338822</v>
      </c>
      <c r="AY261" s="8">
        <v>1</v>
      </c>
      <c r="AZ261" s="49">
        <f t="shared" ca="1" si="173"/>
        <v>128</v>
      </c>
      <c r="BB261" s="50">
        <f t="shared" ca="1" si="13"/>
        <v>0.31557856275680252</v>
      </c>
      <c r="BC261" s="8">
        <v>1</v>
      </c>
      <c r="BD261" s="49">
        <f t="shared" ca="1" si="174"/>
        <v>140</v>
      </c>
      <c r="BF261" s="50">
        <f t="shared" ca="1" si="14"/>
        <v>0.73124134206110736</v>
      </c>
      <c r="BG261" s="8">
        <v>1</v>
      </c>
      <c r="BH261" s="49">
        <f t="shared" ca="1" si="175"/>
        <v>192</v>
      </c>
      <c r="BJ261" s="50">
        <f t="shared" ca="1" si="15"/>
        <v>6.5674508797061715E-2</v>
      </c>
      <c r="BK261" s="8">
        <v>1</v>
      </c>
      <c r="BL261" s="49">
        <f t="shared" ca="1" si="176"/>
        <v>79</v>
      </c>
      <c r="BN261" s="50">
        <f t="shared" ca="1" si="16"/>
        <v>0.39358934301695325</v>
      </c>
      <c r="BO261" s="8">
        <v>1</v>
      </c>
      <c r="BP261" s="49">
        <f t="shared" ca="1" si="177"/>
        <v>162</v>
      </c>
      <c r="BR261" s="50">
        <f t="shared" ca="1" si="17"/>
        <v>0.32104112857623213</v>
      </c>
      <c r="BS261" s="8">
        <v>1</v>
      </c>
      <c r="BT261" s="49">
        <f t="shared" ca="1" si="178"/>
        <v>161</v>
      </c>
    </row>
    <row r="262" spans="1:72" x14ac:dyDescent="0.2">
      <c r="A262" s="22">
        <v>44809</v>
      </c>
      <c r="B262" s="50">
        <f t="shared" ca="1" si="0"/>
        <v>0.56246802690576425</v>
      </c>
      <c r="C262" s="8">
        <v>1</v>
      </c>
      <c r="D262" s="49">
        <f t="shared" ca="1" si="161"/>
        <v>104</v>
      </c>
      <c r="F262" s="50">
        <f t="shared" ca="1" si="1"/>
        <v>2.6138005568734357E-2</v>
      </c>
      <c r="G262" s="8">
        <v>1</v>
      </c>
      <c r="H262" s="49">
        <f t="shared" ca="1" si="162"/>
        <v>104</v>
      </c>
      <c r="J262" s="50">
        <f t="shared" ca="1" si="2"/>
        <v>0.14918566849271797</v>
      </c>
      <c r="K262" s="8">
        <v>1</v>
      </c>
      <c r="L262" s="49">
        <f t="shared" ca="1" si="163"/>
        <v>109</v>
      </c>
      <c r="N262" s="50">
        <f t="shared" ca="1" si="3"/>
        <v>6.9612525439168849E-3</v>
      </c>
      <c r="O262" s="8">
        <v>1</v>
      </c>
      <c r="P262" s="49">
        <f t="shared" ca="1" si="164"/>
        <v>79</v>
      </c>
      <c r="R262" s="50">
        <f t="shared" ca="1" si="4"/>
        <v>0.97862453846457642</v>
      </c>
      <c r="S262" s="8">
        <v>1</v>
      </c>
      <c r="T262" s="49">
        <f t="shared" ca="1" si="165"/>
        <v>214</v>
      </c>
      <c r="V262" s="50">
        <f t="shared" ca="1" si="5"/>
        <v>0.307815569449292</v>
      </c>
      <c r="W262" s="8">
        <v>1</v>
      </c>
      <c r="X262" s="49">
        <f t="shared" ca="1" si="166"/>
        <v>195</v>
      </c>
      <c r="Z262" s="50">
        <f t="shared" ca="1" si="6"/>
        <v>0.36433058959621134</v>
      </c>
      <c r="AA262" s="8">
        <v>1</v>
      </c>
      <c r="AB262" s="49">
        <f t="shared" ca="1" si="167"/>
        <v>246</v>
      </c>
      <c r="AD262" s="50">
        <f t="shared" ca="1" si="7"/>
        <v>0.37743415512366973</v>
      </c>
      <c r="AE262" s="8">
        <v>1</v>
      </c>
      <c r="AF262" s="49">
        <f t="shared" ca="1" si="168"/>
        <v>300</v>
      </c>
      <c r="AH262" s="50">
        <f t="shared" ca="1" si="8"/>
        <v>9.8604037874010508E-2</v>
      </c>
      <c r="AI262" s="8">
        <v>1</v>
      </c>
      <c r="AJ262" s="49">
        <f t="shared" ca="1" si="169"/>
        <v>119</v>
      </c>
      <c r="AL262" s="50">
        <f t="shared" ca="1" si="9"/>
        <v>0.90773797665284894</v>
      </c>
      <c r="AM262" s="8">
        <v>1</v>
      </c>
      <c r="AN262" s="49">
        <f t="shared" ca="1" si="170"/>
        <v>200</v>
      </c>
      <c r="AP262" s="50">
        <f t="shared" ca="1" si="10"/>
        <v>3.9054881089610083E-2</v>
      </c>
      <c r="AQ262" s="8">
        <v>1</v>
      </c>
      <c r="AR262" s="49">
        <f t="shared" ca="1" si="171"/>
        <v>115</v>
      </c>
      <c r="AT262" s="50">
        <f t="shared" ca="1" si="11"/>
        <v>0.27131572182645991</v>
      </c>
      <c r="AU262" s="8">
        <v>1</v>
      </c>
      <c r="AV262" s="49">
        <f t="shared" ca="1" si="172"/>
        <v>161</v>
      </c>
      <c r="AX262" s="50">
        <f t="shared" ca="1" si="12"/>
        <v>0.54645703812962798</v>
      </c>
      <c r="AY262" s="8">
        <v>1</v>
      </c>
      <c r="AZ262" s="49">
        <f t="shared" ca="1" si="173"/>
        <v>186</v>
      </c>
      <c r="BB262" s="50">
        <f t="shared" ca="1" si="13"/>
        <v>0.84946206775708843</v>
      </c>
      <c r="BC262" s="8">
        <v>1</v>
      </c>
      <c r="BD262" s="49">
        <f t="shared" ca="1" si="174"/>
        <v>204</v>
      </c>
      <c r="BF262" s="50">
        <f t="shared" ca="1" si="14"/>
        <v>8.4124186773986254E-2</v>
      </c>
      <c r="BG262" s="8">
        <v>1</v>
      </c>
      <c r="BH262" s="49">
        <f t="shared" ca="1" si="175"/>
        <v>105</v>
      </c>
      <c r="BJ262" s="50">
        <f t="shared" ca="1" si="15"/>
        <v>0.61396402031771047</v>
      </c>
      <c r="BK262" s="8">
        <v>1</v>
      </c>
      <c r="BL262" s="49">
        <f t="shared" ca="1" si="176"/>
        <v>142</v>
      </c>
      <c r="BN262" s="50">
        <f t="shared" ca="1" si="16"/>
        <v>0.65038693287540028</v>
      </c>
      <c r="BO262" s="8">
        <v>1</v>
      </c>
      <c r="BP262" s="49">
        <f t="shared" ca="1" si="177"/>
        <v>192</v>
      </c>
      <c r="BR262" s="50">
        <f t="shared" ca="1" si="17"/>
        <v>0.74747284283591231</v>
      </c>
      <c r="BS262" s="8">
        <v>1</v>
      </c>
      <c r="BT262" s="49">
        <f t="shared" ca="1" si="178"/>
        <v>217</v>
      </c>
    </row>
    <row r="263" spans="1:72" x14ac:dyDescent="0.2">
      <c r="A263" s="22">
        <v>44810</v>
      </c>
      <c r="B263" s="50">
        <f t="shared" ca="1" si="0"/>
        <v>0.18877497838723734</v>
      </c>
      <c r="C263" s="8">
        <v>1</v>
      </c>
      <c r="D263" s="49">
        <f t="shared" ca="1" si="161"/>
        <v>83</v>
      </c>
      <c r="F263" s="50">
        <f t="shared" ca="1" si="1"/>
        <v>0.72128622730691683</v>
      </c>
      <c r="G263" s="8">
        <v>1</v>
      </c>
      <c r="H263" s="49">
        <f t="shared" ca="1" si="162"/>
        <v>250</v>
      </c>
      <c r="J263" s="50">
        <f t="shared" ca="1" si="2"/>
        <v>0.88995074696801657</v>
      </c>
      <c r="K263" s="8">
        <v>1</v>
      </c>
      <c r="L263" s="49">
        <f t="shared" ca="1" si="163"/>
        <v>200</v>
      </c>
      <c r="N263" s="50">
        <f t="shared" ca="1" si="3"/>
        <v>0.47927455910021477</v>
      </c>
      <c r="O263" s="8">
        <v>1</v>
      </c>
      <c r="P263" s="49">
        <f t="shared" ca="1" si="164"/>
        <v>227</v>
      </c>
      <c r="R263" s="50">
        <f t="shared" ca="1" si="4"/>
        <v>0.75343216688339976</v>
      </c>
      <c r="S263" s="8">
        <v>1</v>
      </c>
      <c r="T263" s="49">
        <f t="shared" ca="1" si="165"/>
        <v>165</v>
      </c>
      <c r="V263" s="50">
        <f t="shared" ca="1" si="5"/>
        <v>0.75657614048867083</v>
      </c>
      <c r="W263" s="8">
        <v>1</v>
      </c>
      <c r="X263" s="49">
        <f t="shared" ca="1" si="166"/>
        <v>267</v>
      </c>
      <c r="Z263" s="50">
        <f t="shared" ca="1" si="6"/>
        <v>0.37619523208084538</v>
      </c>
      <c r="AA263" s="8">
        <v>1</v>
      </c>
      <c r="AB263" s="49">
        <f t="shared" ca="1" si="167"/>
        <v>248</v>
      </c>
      <c r="AD263" s="50">
        <f t="shared" ca="1" si="7"/>
        <v>8.2098431255509197E-2</v>
      </c>
      <c r="AE263" s="8">
        <v>1</v>
      </c>
      <c r="AF263" s="49">
        <f t="shared" ca="1" si="168"/>
        <v>206</v>
      </c>
      <c r="AH263" s="50">
        <f t="shared" ca="1" si="8"/>
        <v>0.538997943708034</v>
      </c>
      <c r="AI263" s="8">
        <v>1</v>
      </c>
      <c r="AJ263" s="49">
        <f t="shared" ca="1" si="169"/>
        <v>185</v>
      </c>
      <c r="AL263" s="50">
        <f t="shared" ca="1" si="9"/>
        <v>0.67845254939767241</v>
      </c>
      <c r="AM263" s="8">
        <v>1</v>
      </c>
      <c r="AN263" s="49">
        <f t="shared" ca="1" si="170"/>
        <v>166</v>
      </c>
      <c r="AP263" s="50">
        <f t="shared" ca="1" si="10"/>
        <v>1.5983583131129353E-2</v>
      </c>
      <c r="AQ263" s="8">
        <v>1</v>
      </c>
      <c r="AR263" s="49">
        <f t="shared" ca="1" si="171"/>
        <v>93</v>
      </c>
      <c r="AT263" s="50">
        <f t="shared" ca="1" si="11"/>
        <v>0.27847486107525343</v>
      </c>
      <c r="AU263" s="8">
        <v>1</v>
      </c>
      <c r="AV263" s="49">
        <f t="shared" ca="1" si="172"/>
        <v>162</v>
      </c>
      <c r="AX263" s="50">
        <f t="shared" ca="1" si="12"/>
        <v>0.14514777331589446</v>
      </c>
      <c r="AY263" s="8">
        <v>1</v>
      </c>
      <c r="AZ263" s="49">
        <f t="shared" ca="1" si="173"/>
        <v>130</v>
      </c>
      <c r="BB263" s="50">
        <f t="shared" ca="1" si="13"/>
        <v>0.26701655729064855</v>
      </c>
      <c r="BC263" s="8">
        <v>1</v>
      </c>
      <c r="BD263" s="49">
        <f t="shared" ca="1" si="174"/>
        <v>134</v>
      </c>
      <c r="BF263" s="50">
        <f t="shared" ca="1" si="14"/>
        <v>0.52755936737968689</v>
      </c>
      <c r="BG263" s="8">
        <v>1</v>
      </c>
      <c r="BH263" s="49">
        <f t="shared" ca="1" si="175"/>
        <v>168</v>
      </c>
      <c r="BJ263" s="50">
        <f t="shared" ca="1" si="15"/>
        <v>0.47148987457550795</v>
      </c>
      <c r="BK263" s="8">
        <v>1</v>
      </c>
      <c r="BL263" s="49">
        <f t="shared" ca="1" si="176"/>
        <v>129</v>
      </c>
      <c r="BN263" s="50">
        <f t="shared" ca="1" si="16"/>
        <v>0.31366722861762608</v>
      </c>
      <c r="BO263" s="8">
        <v>1</v>
      </c>
      <c r="BP263" s="49">
        <f t="shared" ca="1" si="177"/>
        <v>152</v>
      </c>
      <c r="BR263" s="50">
        <f t="shared" ca="1" si="17"/>
        <v>0.44792667484922677</v>
      </c>
      <c r="BS263" s="8">
        <v>1</v>
      </c>
      <c r="BT263" s="49">
        <f t="shared" ca="1" si="178"/>
        <v>178</v>
      </c>
    </row>
    <row r="264" spans="1:72" x14ac:dyDescent="0.2">
      <c r="A264" s="22">
        <v>44811</v>
      </c>
      <c r="B264" s="50">
        <f t="shared" ca="1" si="0"/>
        <v>0.14451787550940121</v>
      </c>
      <c r="C264" s="8">
        <v>1</v>
      </c>
      <c r="D264" s="49">
        <f t="shared" ca="1" si="161"/>
        <v>79</v>
      </c>
      <c r="F264" s="50">
        <f t="shared" ca="1" si="1"/>
        <v>0.67949968030339003</v>
      </c>
      <c r="G264" s="8">
        <v>1</v>
      </c>
      <c r="H264" s="49">
        <f t="shared" ca="1" si="162"/>
        <v>243</v>
      </c>
      <c r="J264" s="50">
        <f t="shared" ca="1" si="2"/>
        <v>0.37745990484861369</v>
      </c>
      <c r="K264" s="8">
        <v>1</v>
      </c>
      <c r="L264" s="49">
        <f t="shared" ca="1" si="163"/>
        <v>138</v>
      </c>
      <c r="N264" s="50">
        <f t="shared" ca="1" si="3"/>
        <v>0.93765301932518696</v>
      </c>
      <c r="O264" s="8">
        <v>1</v>
      </c>
      <c r="P264" s="49">
        <f t="shared" ca="1" si="164"/>
        <v>324</v>
      </c>
      <c r="R264" s="50">
        <f t="shared" ca="1" si="4"/>
        <v>0.27401688533524959</v>
      </c>
      <c r="S264" s="8">
        <v>1</v>
      </c>
      <c r="T264" s="49">
        <f t="shared" ca="1" si="165"/>
        <v>117</v>
      </c>
      <c r="V264" s="50">
        <f t="shared" ca="1" si="5"/>
        <v>0.71723522239349535</v>
      </c>
      <c r="W264" s="8">
        <v>1</v>
      </c>
      <c r="X264" s="49">
        <f t="shared" ca="1" si="166"/>
        <v>260</v>
      </c>
      <c r="Z264" s="50">
        <f t="shared" ca="1" si="6"/>
        <v>0.42404886503233341</v>
      </c>
      <c r="AA264" s="8">
        <v>1</v>
      </c>
      <c r="AB264" s="49">
        <f t="shared" ca="1" si="167"/>
        <v>257</v>
      </c>
      <c r="AD264" s="50">
        <f t="shared" ca="1" si="7"/>
        <v>0.88756651858383828</v>
      </c>
      <c r="AE264" s="8">
        <v>1</v>
      </c>
      <c r="AF264" s="49">
        <f t="shared" ca="1" si="168"/>
        <v>433</v>
      </c>
      <c r="AH264" s="50">
        <f t="shared" ca="1" si="8"/>
        <v>0.47387752083155177</v>
      </c>
      <c r="AI264" s="8">
        <v>1</v>
      </c>
      <c r="AJ264" s="49">
        <f t="shared" ca="1" si="169"/>
        <v>177</v>
      </c>
      <c r="AL264" s="50">
        <f t="shared" ca="1" si="9"/>
        <v>0.28539967939800903</v>
      </c>
      <c r="AM264" s="8">
        <v>1</v>
      </c>
      <c r="AN264" s="49">
        <f t="shared" ca="1" si="170"/>
        <v>125</v>
      </c>
      <c r="AP264" s="50">
        <f t="shared" ca="1" si="10"/>
        <v>0.22068927110830994</v>
      </c>
      <c r="AQ264" s="8">
        <v>1</v>
      </c>
      <c r="AR264" s="49">
        <f t="shared" ca="1" si="171"/>
        <v>173</v>
      </c>
      <c r="AT264" s="50">
        <f t="shared" ca="1" si="11"/>
        <v>0.17221035986344679</v>
      </c>
      <c r="AU264" s="8">
        <v>1</v>
      </c>
      <c r="AV264" s="49">
        <f t="shared" ca="1" si="172"/>
        <v>144</v>
      </c>
      <c r="AX264" s="50">
        <f t="shared" ca="1" si="12"/>
        <v>0.30137488016500813</v>
      </c>
      <c r="AY264" s="8">
        <v>1</v>
      </c>
      <c r="AZ264" s="49">
        <f t="shared" ca="1" si="173"/>
        <v>155</v>
      </c>
      <c r="BB264" s="50">
        <f t="shared" ca="1" si="13"/>
        <v>0.47468481173435051</v>
      </c>
      <c r="BC264" s="8">
        <v>1</v>
      </c>
      <c r="BD264" s="49">
        <f t="shared" ca="1" si="174"/>
        <v>157</v>
      </c>
      <c r="BF264" s="50">
        <f t="shared" ca="1" si="14"/>
        <v>0.97338495943193992</v>
      </c>
      <c r="BG264" s="8">
        <v>1</v>
      </c>
      <c r="BH264" s="49">
        <f t="shared" ca="1" si="175"/>
        <v>250</v>
      </c>
      <c r="BJ264" s="50">
        <f t="shared" ca="1" si="15"/>
        <v>0.54512810853759341</v>
      </c>
      <c r="BK264" s="8">
        <v>1</v>
      </c>
      <c r="BL264" s="49">
        <f t="shared" ca="1" si="176"/>
        <v>135</v>
      </c>
      <c r="BN264" s="50">
        <f t="shared" ca="1" si="16"/>
        <v>0.99263193968690366</v>
      </c>
      <c r="BO264" s="8">
        <v>1</v>
      </c>
      <c r="BP264" s="49">
        <f t="shared" ca="1" si="177"/>
        <v>287</v>
      </c>
      <c r="BR264" s="50">
        <f t="shared" ca="1" si="17"/>
        <v>0.60079185149927217</v>
      </c>
      <c r="BS264" s="8">
        <v>1</v>
      </c>
      <c r="BT264" s="49">
        <f t="shared" ca="1" si="178"/>
        <v>196</v>
      </c>
    </row>
    <row r="265" spans="1:72" x14ac:dyDescent="0.2">
      <c r="A265" s="22">
        <v>44812</v>
      </c>
      <c r="B265" s="50">
        <f t="shared" ca="1" si="0"/>
        <v>0.18685712784791342</v>
      </c>
      <c r="C265" s="8">
        <v>1</v>
      </c>
      <c r="D265" s="49">
        <f t="shared" ca="1" si="161"/>
        <v>83</v>
      </c>
      <c r="F265" s="50">
        <f t="shared" ca="1" si="1"/>
        <v>0.53303203815495759</v>
      </c>
      <c r="G265" s="8">
        <v>1</v>
      </c>
      <c r="H265" s="49">
        <f t="shared" ca="1" si="162"/>
        <v>221</v>
      </c>
      <c r="J265" s="50">
        <f t="shared" ca="1" si="2"/>
        <v>0.8977927190992212</v>
      </c>
      <c r="K265" s="8">
        <v>1</v>
      </c>
      <c r="L265" s="49">
        <f t="shared" ca="1" si="163"/>
        <v>201</v>
      </c>
      <c r="N265" s="50">
        <f t="shared" ca="1" si="3"/>
        <v>0.75107321975089147</v>
      </c>
      <c r="O265" s="8">
        <v>1</v>
      </c>
      <c r="P265" s="49">
        <f t="shared" ca="1" si="164"/>
        <v>271</v>
      </c>
      <c r="R265" s="50">
        <f t="shared" ca="1" si="4"/>
        <v>0.6800912248562434</v>
      </c>
      <c r="S265" s="8">
        <v>1</v>
      </c>
      <c r="T265" s="49">
        <f t="shared" ca="1" si="165"/>
        <v>157</v>
      </c>
      <c r="V265" s="50">
        <f t="shared" ca="1" si="5"/>
        <v>0.21277694125960811</v>
      </c>
      <c r="W265" s="8">
        <v>1</v>
      </c>
      <c r="X265" s="49">
        <f t="shared" ca="1" si="166"/>
        <v>178</v>
      </c>
      <c r="Z265" s="50">
        <f t="shared" ca="1" si="6"/>
        <v>0.27325557775347176</v>
      </c>
      <c r="AA265" s="8">
        <v>1</v>
      </c>
      <c r="AB265" s="49">
        <f t="shared" ca="1" si="167"/>
        <v>227</v>
      </c>
      <c r="AD265" s="50">
        <f t="shared" ca="1" si="7"/>
        <v>0.7709882306746807</v>
      </c>
      <c r="AE265" s="8">
        <v>1</v>
      </c>
      <c r="AF265" s="49">
        <f t="shared" ca="1" si="168"/>
        <v>392</v>
      </c>
      <c r="AH265" s="50">
        <f t="shared" ca="1" si="8"/>
        <v>0.2223641112124084</v>
      </c>
      <c r="AI265" s="8">
        <v>1</v>
      </c>
      <c r="AJ265" s="49">
        <f t="shared" ca="1" si="169"/>
        <v>144</v>
      </c>
      <c r="AL265" s="50">
        <f t="shared" ca="1" si="9"/>
        <v>0.364762726662058</v>
      </c>
      <c r="AM265" s="8">
        <v>1</v>
      </c>
      <c r="AN265" s="49">
        <f t="shared" ca="1" si="170"/>
        <v>134</v>
      </c>
      <c r="AP265" s="50">
        <f t="shared" ca="1" si="10"/>
        <v>0.11456492701777832</v>
      </c>
      <c r="AQ265" s="8">
        <v>1</v>
      </c>
      <c r="AR265" s="49">
        <f t="shared" ca="1" si="171"/>
        <v>148</v>
      </c>
      <c r="AT265" s="50">
        <f t="shared" ca="1" si="11"/>
        <v>8.7060105334613835E-2</v>
      </c>
      <c r="AU265" s="8">
        <v>1</v>
      </c>
      <c r="AV265" s="49">
        <f t="shared" ca="1" si="172"/>
        <v>123</v>
      </c>
      <c r="AX265" s="50">
        <f t="shared" ca="1" si="12"/>
        <v>0.25907564885270973</v>
      </c>
      <c r="AY265" s="8">
        <v>1</v>
      </c>
      <c r="AZ265" s="49">
        <f t="shared" ca="1" si="173"/>
        <v>149</v>
      </c>
      <c r="BB265" s="50">
        <f t="shared" ca="1" si="13"/>
        <v>0.44497772955210257</v>
      </c>
      <c r="BC265" s="8">
        <v>1</v>
      </c>
      <c r="BD265" s="49">
        <f t="shared" ca="1" si="174"/>
        <v>154</v>
      </c>
      <c r="BF265" s="50">
        <f t="shared" ca="1" si="14"/>
        <v>0.22906651184698101</v>
      </c>
      <c r="BG265" s="8">
        <v>1</v>
      </c>
      <c r="BH265" s="49">
        <f t="shared" ca="1" si="175"/>
        <v>132</v>
      </c>
      <c r="BJ265" s="50">
        <f t="shared" ca="1" si="15"/>
        <v>6.667949425987818E-2</v>
      </c>
      <c r="BK265" s="8">
        <v>1</v>
      </c>
      <c r="BL265" s="49">
        <f t="shared" ca="1" si="176"/>
        <v>79</v>
      </c>
      <c r="BN265" s="50">
        <f t="shared" ca="1" si="16"/>
        <v>6.5365448098501866E-2</v>
      </c>
      <c r="BO265" s="8">
        <v>1</v>
      </c>
      <c r="BP265" s="49">
        <f t="shared" ca="1" si="177"/>
        <v>104</v>
      </c>
      <c r="BR265" s="50">
        <f t="shared" ca="1" si="17"/>
        <v>5.3985308291136791E-3</v>
      </c>
      <c r="BS265" s="8">
        <v>1</v>
      </c>
      <c r="BT265" s="49">
        <f t="shared" ca="1" si="178"/>
        <v>59</v>
      </c>
    </row>
    <row r="266" spans="1:72" x14ac:dyDescent="0.2">
      <c r="A266" s="22">
        <v>44813</v>
      </c>
      <c r="B266" s="50">
        <f t="shared" ca="1" si="0"/>
        <v>0.39701129261532375</v>
      </c>
      <c r="C266" s="8">
        <v>1</v>
      </c>
      <c r="D266" s="49">
        <f t="shared" ca="1" si="161"/>
        <v>95</v>
      </c>
      <c r="F266" s="50">
        <f t="shared" ca="1" si="1"/>
        <v>0.29807387418770548</v>
      </c>
      <c r="G266" s="8">
        <v>1</v>
      </c>
      <c r="H266" s="49">
        <f t="shared" ca="1" si="162"/>
        <v>185</v>
      </c>
      <c r="J266" s="50">
        <f t="shared" ca="1" si="2"/>
        <v>1.1891699634514197E-4</v>
      </c>
      <c r="K266" s="8">
        <v>1</v>
      </c>
      <c r="L266" s="49">
        <f t="shared" ca="1" si="163"/>
        <v>3</v>
      </c>
      <c r="N266" s="50">
        <f t="shared" ca="1" si="3"/>
        <v>0.99590332540397841</v>
      </c>
      <c r="O266" s="8">
        <v>1</v>
      </c>
      <c r="P266" s="49">
        <f t="shared" ca="1" si="164"/>
        <v>392</v>
      </c>
      <c r="R266" s="50">
        <f t="shared" ca="1" si="4"/>
        <v>0.44062542852656872</v>
      </c>
      <c r="S266" s="8">
        <v>1</v>
      </c>
      <c r="T266" s="49">
        <f t="shared" ca="1" si="165"/>
        <v>134</v>
      </c>
      <c r="V266" s="50">
        <f t="shared" ca="1" si="5"/>
        <v>0.93300853982204068</v>
      </c>
      <c r="W266" s="8">
        <v>1</v>
      </c>
      <c r="X266" s="49">
        <f t="shared" ca="1" si="166"/>
        <v>315</v>
      </c>
      <c r="Z266" s="50">
        <f t="shared" ca="1" si="6"/>
        <v>0.88677741800134569</v>
      </c>
      <c r="AA266" s="8">
        <v>1</v>
      </c>
      <c r="AB266" s="49">
        <f t="shared" ca="1" si="167"/>
        <v>358</v>
      </c>
      <c r="AD266" s="50">
        <f t="shared" ca="1" si="7"/>
        <v>0.42951165843202466</v>
      </c>
      <c r="AE266" s="8">
        <v>1</v>
      </c>
      <c r="AF266" s="49">
        <f t="shared" ca="1" si="168"/>
        <v>312</v>
      </c>
      <c r="AH266" s="50">
        <f t="shared" ca="1" si="8"/>
        <v>0.26971871530013336</v>
      </c>
      <c r="AI266" s="8">
        <v>1</v>
      </c>
      <c r="AJ266" s="49">
        <f t="shared" ca="1" si="169"/>
        <v>151</v>
      </c>
      <c r="AL266" s="50">
        <f t="shared" ca="1" si="9"/>
        <v>0.58851680634181691</v>
      </c>
      <c r="AM266" s="8">
        <v>1</v>
      </c>
      <c r="AN266" s="49">
        <f t="shared" ca="1" si="170"/>
        <v>156</v>
      </c>
      <c r="AP266" s="50">
        <f t="shared" ca="1" si="10"/>
        <v>0.11281089535659705</v>
      </c>
      <c r="AQ266" s="8">
        <v>1</v>
      </c>
      <c r="AR266" s="49">
        <f t="shared" ca="1" si="171"/>
        <v>147</v>
      </c>
      <c r="AT266" s="50">
        <f t="shared" ca="1" si="11"/>
        <v>0.10500153504593646</v>
      </c>
      <c r="AU266" s="8">
        <v>1</v>
      </c>
      <c r="AV266" s="49">
        <f t="shared" ca="1" si="172"/>
        <v>128</v>
      </c>
      <c r="AX266" s="50">
        <f t="shared" ca="1" si="12"/>
        <v>0.23451012768000112</v>
      </c>
      <c r="AY266" s="8">
        <v>1</v>
      </c>
      <c r="AZ266" s="49">
        <f t="shared" ca="1" si="173"/>
        <v>146</v>
      </c>
      <c r="BB266" s="50">
        <f t="shared" ca="1" si="13"/>
        <v>1.4372482377983498E-2</v>
      </c>
      <c r="BC266" s="8">
        <v>1</v>
      </c>
      <c r="BD266" s="49">
        <f t="shared" ca="1" si="174"/>
        <v>67</v>
      </c>
      <c r="BF266" s="50">
        <f t="shared" ca="1" si="14"/>
        <v>0.87323041424745951</v>
      </c>
      <c r="BG266" s="8">
        <v>1</v>
      </c>
      <c r="BH266" s="49">
        <f t="shared" ca="1" si="175"/>
        <v>215</v>
      </c>
      <c r="BJ266" s="50">
        <f t="shared" ca="1" si="15"/>
        <v>0.54938734047638216</v>
      </c>
      <c r="BK266" s="8">
        <v>1</v>
      </c>
      <c r="BL266" s="49">
        <f t="shared" ca="1" si="176"/>
        <v>136</v>
      </c>
      <c r="BN266" s="50">
        <f t="shared" ca="1" si="16"/>
        <v>1.4717695416152643E-2</v>
      </c>
      <c r="BO266" s="8">
        <v>1</v>
      </c>
      <c r="BP266" s="49">
        <f t="shared" ca="1" si="177"/>
        <v>73</v>
      </c>
      <c r="BR266" s="50">
        <f t="shared" ca="1" si="17"/>
        <v>0.47667042297477569</v>
      </c>
      <c r="BS266" s="8">
        <v>1</v>
      </c>
      <c r="BT266" s="49">
        <f t="shared" ca="1" si="178"/>
        <v>181</v>
      </c>
    </row>
    <row r="267" spans="1:72" x14ac:dyDescent="0.2">
      <c r="A267" s="22">
        <v>44814</v>
      </c>
      <c r="B267" s="50">
        <f t="shared" ca="1" si="0"/>
        <v>0.96281165372335642</v>
      </c>
      <c r="C267" s="8">
        <v>1</v>
      </c>
      <c r="D267" s="49">
        <f t="shared" ca="1" si="161"/>
        <v>136</v>
      </c>
      <c r="F267" s="50">
        <f t="shared" ca="1" si="1"/>
        <v>0.76194001054545968</v>
      </c>
      <c r="G267" s="8">
        <v>1</v>
      </c>
      <c r="H267" s="49">
        <f t="shared" ca="1" si="162"/>
        <v>257</v>
      </c>
      <c r="J267" s="50">
        <f t="shared" ca="1" si="2"/>
        <v>0.13398380009105881</v>
      </c>
      <c r="K267" s="8">
        <v>1</v>
      </c>
      <c r="L267" s="49">
        <f t="shared" ca="1" si="163"/>
        <v>106</v>
      </c>
      <c r="N267" s="50">
        <f t="shared" ca="1" si="3"/>
        <v>0.98160722756826257</v>
      </c>
      <c r="O267" s="8">
        <v>1</v>
      </c>
      <c r="P267" s="49">
        <f t="shared" ca="1" si="164"/>
        <v>358</v>
      </c>
      <c r="R267" s="50">
        <f t="shared" ca="1" si="4"/>
        <v>0.50526372675072662</v>
      </c>
      <c r="S267" s="8">
        <v>1</v>
      </c>
      <c r="T267" s="49">
        <f t="shared" ca="1" si="165"/>
        <v>140</v>
      </c>
      <c r="V267" s="50">
        <f t="shared" ca="1" si="5"/>
        <v>0.11922455796646159</v>
      </c>
      <c r="W267" s="8">
        <v>1</v>
      </c>
      <c r="X267" s="49">
        <f t="shared" ca="1" si="166"/>
        <v>155</v>
      </c>
      <c r="Z267" s="50">
        <f t="shared" ca="1" si="6"/>
        <v>0.70955883700226718</v>
      </c>
      <c r="AA267" s="8">
        <v>1</v>
      </c>
      <c r="AB267" s="49">
        <f t="shared" ca="1" si="167"/>
        <v>310</v>
      </c>
      <c r="AD267" s="50">
        <f t="shared" ca="1" si="7"/>
        <v>0.88423024351405166</v>
      </c>
      <c r="AE267" s="8">
        <v>1</v>
      </c>
      <c r="AF267" s="49">
        <f t="shared" ca="1" si="168"/>
        <v>432</v>
      </c>
      <c r="AH267" s="50">
        <f t="shared" ca="1" si="8"/>
        <v>0.5705271852379139</v>
      </c>
      <c r="AI267" s="8">
        <v>1</v>
      </c>
      <c r="AJ267" s="49">
        <f t="shared" ca="1" si="169"/>
        <v>189</v>
      </c>
      <c r="AL267" s="50">
        <f t="shared" ca="1" si="9"/>
        <v>0.83514107702737972</v>
      </c>
      <c r="AM267" s="8">
        <v>1</v>
      </c>
      <c r="AN267" s="49">
        <f t="shared" ca="1" si="170"/>
        <v>186</v>
      </c>
      <c r="AP267" s="50">
        <f t="shared" ca="1" si="10"/>
        <v>0.84103135264416251</v>
      </c>
      <c r="AQ267" s="8">
        <v>1</v>
      </c>
      <c r="AR267" s="49">
        <f t="shared" ca="1" si="171"/>
        <v>275</v>
      </c>
      <c r="AT267" s="50">
        <f t="shared" ca="1" si="11"/>
        <v>0.18776925284414792</v>
      </c>
      <c r="AU267" s="8">
        <v>1</v>
      </c>
      <c r="AV267" s="49">
        <f t="shared" ca="1" si="172"/>
        <v>147</v>
      </c>
      <c r="AX267" s="50">
        <f t="shared" ca="1" si="12"/>
        <v>0.99699153069037694</v>
      </c>
      <c r="AY267" s="8">
        <v>1</v>
      </c>
      <c r="AZ267" s="49">
        <f t="shared" ca="1" si="173"/>
        <v>312</v>
      </c>
      <c r="BB267" s="50">
        <f t="shared" ca="1" si="13"/>
        <v>0.87647251634890855</v>
      </c>
      <c r="BC267" s="8">
        <v>1</v>
      </c>
      <c r="BD267" s="49">
        <f t="shared" ca="1" si="174"/>
        <v>209</v>
      </c>
      <c r="BF267" s="50">
        <f t="shared" ca="1" si="14"/>
        <v>0.29068722042864903</v>
      </c>
      <c r="BG267" s="8">
        <v>1</v>
      </c>
      <c r="BH267" s="49">
        <f t="shared" ca="1" si="175"/>
        <v>141</v>
      </c>
      <c r="BJ267" s="50">
        <f t="shared" ca="1" si="15"/>
        <v>0.9750142290608369</v>
      </c>
      <c r="BK267" s="8">
        <v>1</v>
      </c>
      <c r="BL267" s="49">
        <f t="shared" ca="1" si="176"/>
        <v>200</v>
      </c>
      <c r="BN267" s="50">
        <f t="shared" ca="1" si="16"/>
        <v>6.2186501870875599E-3</v>
      </c>
      <c r="BO267" s="8">
        <v>1</v>
      </c>
      <c r="BP267" s="49">
        <f t="shared" ca="1" si="177"/>
        <v>58</v>
      </c>
      <c r="BR267" s="50">
        <f t="shared" ca="1" si="17"/>
        <v>0.63371512220417814</v>
      </c>
      <c r="BS267" s="8">
        <v>1</v>
      </c>
      <c r="BT267" s="49">
        <f t="shared" ca="1" si="178"/>
        <v>201</v>
      </c>
    </row>
    <row r="268" spans="1:72" x14ac:dyDescent="0.2">
      <c r="A268" s="22">
        <v>44815</v>
      </c>
      <c r="B268" s="50">
        <f t="shared" ca="1" si="0"/>
        <v>0.15509701480176963</v>
      </c>
      <c r="C268" s="8">
        <v>1</v>
      </c>
      <c r="D268" s="49">
        <f t="shared" ca="1" si="161"/>
        <v>80</v>
      </c>
      <c r="F268" s="50">
        <f t="shared" ca="1" si="1"/>
        <v>0.99653007287099726</v>
      </c>
      <c r="G268" s="8">
        <v>1</v>
      </c>
      <c r="H268" s="49">
        <f t="shared" ca="1" si="162"/>
        <v>371</v>
      </c>
      <c r="J268" s="50">
        <f t="shared" ca="1" si="2"/>
        <v>0.21960612062914486</v>
      </c>
      <c r="K268" s="8">
        <v>1</v>
      </c>
      <c r="L268" s="49">
        <f t="shared" ca="1" si="163"/>
        <v>120</v>
      </c>
      <c r="N268" s="50">
        <f t="shared" ca="1" si="3"/>
        <v>0.3912154165673718</v>
      </c>
      <c r="O268" s="8">
        <v>1</v>
      </c>
      <c r="P268" s="49">
        <f t="shared" ca="1" si="164"/>
        <v>213</v>
      </c>
      <c r="R268" s="50">
        <f t="shared" ca="1" si="4"/>
        <v>0.91860773862860012</v>
      </c>
      <c r="S268" s="8">
        <v>1</v>
      </c>
      <c r="T268" s="49">
        <f t="shared" ca="1" si="165"/>
        <v>191</v>
      </c>
      <c r="V268" s="50">
        <f t="shared" ca="1" si="5"/>
        <v>0.25849439333999302</v>
      </c>
      <c r="W268" s="8">
        <v>1</v>
      </c>
      <c r="X268" s="49">
        <f t="shared" ca="1" si="166"/>
        <v>187</v>
      </c>
      <c r="Z268" s="50">
        <f t="shared" ca="1" si="6"/>
        <v>0.53683951049779821</v>
      </c>
      <c r="AA268" s="8">
        <v>1</v>
      </c>
      <c r="AB268" s="49">
        <f t="shared" ca="1" si="167"/>
        <v>277</v>
      </c>
      <c r="AD268" s="50">
        <f t="shared" ca="1" si="7"/>
        <v>0.20416964329467402</v>
      </c>
      <c r="AE268" s="8">
        <v>1</v>
      </c>
      <c r="AF268" s="49">
        <f t="shared" ca="1" si="168"/>
        <v>255</v>
      </c>
      <c r="AH268" s="50">
        <f t="shared" ca="1" si="8"/>
        <v>0.46438108857461868</v>
      </c>
      <c r="AI268" s="8">
        <v>1</v>
      </c>
      <c r="AJ268" s="49">
        <f t="shared" ca="1" si="169"/>
        <v>176</v>
      </c>
      <c r="AL268" s="50">
        <f t="shared" ca="1" si="9"/>
        <v>0.86933559234121838</v>
      </c>
      <c r="AM268" s="8">
        <v>1</v>
      </c>
      <c r="AN268" s="49">
        <f t="shared" ca="1" si="170"/>
        <v>192</v>
      </c>
      <c r="AP268" s="50">
        <f t="shared" ca="1" si="10"/>
        <v>0.84201161789244849</v>
      </c>
      <c r="AQ268" s="8">
        <v>1</v>
      </c>
      <c r="AR268" s="49">
        <f t="shared" ca="1" si="171"/>
        <v>275</v>
      </c>
      <c r="AT268" s="50">
        <f t="shared" ca="1" si="11"/>
        <v>0.16761581314461815</v>
      </c>
      <c r="AU268" s="8">
        <v>1</v>
      </c>
      <c r="AV268" s="49">
        <f t="shared" ca="1" si="172"/>
        <v>143</v>
      </c>
      <c r="AX268" s="50">
        <f t="shared" ca="1" si="12"/>
        <v>0.639436584485785</v>
      </c>
      <c r="AY268" s="8">
        <v>1</v>
      </c>
      <c r="AZ268" s="49">
        <f t="shared" ca="1" si="173"/>
        <v>197</v>
      </c>
      <c r="BB268" s="50">
        <f t="shared" ca="1" si="13"/>
        <v>0.38188368724936261</v>
      </c>
      <c r="BC268" s="8">
        <v>1</v>
      </c>
      <c r="BD268" s="49">
        <f t="shared" ca="1" si="174"/>
        <v>147</v>
      </c>
      <c r="BF268" s="50">
        <f t="shared" ca="1" si="14"/>
        <v>3.5753301268376836E-2</v>
      </c>
      <c r="BG268" s="8">
        <v>1</v>
      </c>
      <c r="BH268" s="49">
        <f t="shared" ca="1" si="175"/>
        <v>86</v>
      </c>
      <c r="BJ268" s="50">
        <f t="shared" ca="1" si="15"/>
        <v>0.53472557429377532</v>
      </c>
      <c r="BK268" s="8">
        <v>1</v>
      </c>
      <c r="BL268" s="49">
        <f t="shared" ca="1" si="176"/>
        <v>134</v>
      </c>
      <c r="BN268" s="50">
        <f t="shared" ca="1" si="16"/>
        <v>0.46555270647411395</v>
      </c>
      <c r="BO268" s="8">
        <v>1</v>
      </c>
      <c r="BP268" s="49">
        <f t="shared" ca="1" si="177"/>
        <v>170</v>
      </c>
      <c r="BR268" s="50">
        <f t="shared" ca="1" si="17"/>
        <v>0.15651870787763078</v>
      </c>
      <c r="BS268" s="8">
        <v>1</v>
      </c>
      <c r="BT268" s="49">
        <f t="shared" ca="1" si="178"/>
        <v>135</v>
      </c>
    </row>
    <row r="269" spans="1:72" x14ac:dyDescent="0.2">
      <c r="A269" s="22">
        <v>44816</v>
      </c>
      <c r="B269" s="50">
        <f t="shared" ca="1" si="0"/>
        <v>0.69907483500885148</v>
      </c>
      <c r="C269" s="8">
        <v>1</v>
      </c>
      <c r="D269" s="49">
        <f t="shared" ca="1" si="161"/>
        <v>111</v>
      </c>
      <c r="F269" s="50">
        <f t="shared" ca="1" si="1"/>
        <v>0.98666233556798155</v>
      </c>
      <c r="G269" s="8">
        <v>1</v>
      </c>
      <c r="H269" s="49">
        <f t="shared" ca="1" si="162"/>
        <v>343</v>
      </c>
      <c r="J269" s="50">
        <f t="shared" ca="1" si="2"/>
        <v>0.94746689009626817</v>
      </c>
      <c r="K269" s="8">
        <v>1</v>
      </c>
      <c r="L269" s="49">
        <f t="shared" ca="1" si="163"/>
        <v>215</v>
      </c>
      <c r="N269" s="50">
        <f t="shared" ca="1" si="3"/>
        <v>0.96920357914673461</v>
      </c>
      <c r="O269" s="8">
        <v>1</v>
      </c>
      <c r="P269" s="49">
        <f t="shared" ca="1" si="164"/>
        <v>344</v>
      </c>
      <c r="R269" s="50">
        <f t="shared" ca="1" si="4"/>
        <v>0.18184637342909349</v>
      </c>
      <c r="S269" s="8">
        <v>1</v>
      </c>
      <c r="T269" s="49">
        <f t="shared" ca="1" si="165"/>
        <v>106</v>
      </c>
      <c r="V269" s="50">
        <f t="shared" ca="1" si="5"/>
        <v>0.80655753569178257</v>
      </c>
      <c r="W269" s="8">
        <v>1</v>
      </c>
      <c r="X269" s="49">
        <f t="shared" ca="1" si="166"/>
        <v>277</v>
      </c>
      <c r="Z269" s="50">
        <f t="shared" ca="1" si="6"/>
        <v>0.57468554269325811</v>
      </c>
      <c r="AA269" s="8">
        <v>1</v>
      </c>
      <c r="AB269" s="49">
        <f t="shared" ca="1" si="167"/>
        <v>284</v>
      </c>
      <c r="AD269" s="50">
        <f t="shared" ca="1" si="7"/>
        <v>2.7161283768397659E-2</v>
      </c>
      <c r="AE269" s="8">
        <v>1</v>
      </c>
      <c r="AF269" s="49">
        <f t="shared" ca="1" si="168"/>
        <v>160</v>
      </c>
      <c r="AH269" s="50">
        <f t="shared" ca="1" si="8"/>
        <v>0.22368746073150481</v>
      </c>
      <c r="AI269" s="8">
        <v>1</v>
      </c>
      <c r="AJ269" s="49">
        <f t="shared" ca="1" si="169"/>
        <v>144</v>
      </c>
      <c r="AL269" s="50">
        <f t="shared" ca="1" si="9"/>
        <v>0.60049829153080336</v>
      </c>
      <c r="AM269" s="8">
        <v>1</v>
      </c>
      <c r="AN269" s="49">
        <f t="shared" ca="1" si="170"/>
        <v>158</v>
      </c>
      <c r="AP269" s="50">
        <f t="shared" ca="1" si="10"/>
        <v>0.83833965179312431</v>
      </c>
      <c r="AQ269" s="8">
        <v>1</v>
      </c>
      <c r="AR269" s="49">
        <f t="shared" ca="1" si="171"/>
        <v>274</v>
      </c>
      <c r="AT269" s="50">
        <f t="shared" ca="1" si="11"/>
        <v>1.5605905977716605E-2</v>
      </c>
      <c r="AU269" s="8">
        <v>1</v>
      </c>
      <c r="AV269" s="49">
        <f t="shared" ca="1" si="172"/>
        <v>82</v>
      </c>
      <c r="AX269" s="50">
        <f t="shared" ca="1" si="12"/>
        <v>0.83892793471482752</v>
      </c>
      <c r="AY269" s="8">
        <v>1</v>
      </c>
      <c r="AZ269" s="49">
        <f t="shared" ca="1" si="173"/>
        <v>228</v>
      </c>
      <c r="BB269" s="50">
        <f t="shared" ca="1" si="13"/>
        <v>0.2464611846346535</v>
      </c>
      <c r="BC269" s="8">
        <v>1</v>
      </c>
      <c r="BD269" s="49">
        <f t="shared" ca="1" si="174"/>
        <v>131</v>
      </c>
      <c r="BF269" s="50">
        <f t="shared" ca="1" si="14"/>
        <v>0.97665666265441708</v>
      </c>
      <c r="BG269" s="8">
        <v>1</v>
      </c>
      <c r="BH269" s="49">
        <f t="shared" ca="1" si="175"/>
        <v>252</v>
      </c>
      <c r="BJ269" s="50">
        <f t="shared" ca="1" si="15"/>
        <v>0.13934015489683638</v>
      </c>
      <c r="BK269" s="8">
        <v>1</v>
      </c>
      <c r="BL269" s="49">
        <f t="shared" ca="1" si="176"/>
        <v>94</v>
      </c>
      <c r="BN269" s="50">
        <f t="shared" ca="1" si="16"/>
        <v>0.91883814680698717</v>
      </c>
      <c r="BO269" s="8">
        <v>1</v>
      </c>
      <c r="BP269" s="49">
        <f t="shared" ca="1" si="177"/>
        <v>239</v>
      </c>
      <c r="BR269" s="50">
        <f t="shared" ca="1" si="17"/>
        <v>0.71587590521763256</v>
      </c>
      <c r="BS269" s="8">
        <v>1</v>
      </c>
      <c r="BT269" s="49">
        <f t="shared" ca="1" si="178"/>
        <v>212</v>
      </c>
    </row>
    <row r="270" spans="1:72" x14ac:dyDescent="0.2">
      <c r="A270" s="22">
        <v>44817</v>
      </c>
      <c r="B270" s="50">
        <f t="shared" ref="B270:B379" ca="1" si="179">RAND()</f>
        <v>0.89760533376974549</v>
      </c>
      <c r="C270" s="8">
        <v>1</v>
      </c>
      <c r="D270" s="49">
        <f t="shared" ca="1" si="161"/>
        <v>126</v>
      </c>
      <c r="F270" s="50">
        <f t="shared" ref="F270:F379" ca="1" si="180">RAND()</f>
        <v>0.51118113798245179</v>
      </c>
      <c r="G270" s="8">
        <v>1</v>
      </c>
      <c r="H270" s="49">
        <f t="shared" ca="1" si="162"/>
        <v>218</v>
      </c>
      <c r="J270" s="50">
        <f t="shared" ref="J270:J379" ca="1" si="181">RAND()</f>
        <v>0.50588941995966463</v>
      </c>
      <c r="K270" s="8">
        <v>1</v>
      </c>
      <c r="L270" s="49">
        <f t="shared" ca="1" si="163"/>
        <v>151</v>
      </c>
      <c r="N270" s="50">
        <f t="shared" ref="N270:N379" ca="1" si="182">RAND()</f>
        <v>0.20356871159160883</v>
      </c>
      <c r="O270" s="8">
        <v>1</v>
      </c>
      <c r="P270" s="49">
        <f t="shared" ca="1" si="164"/>
        <v>179</v>
      </c>
      <c r="R270" s="50">
        <f t="shared" ref="R270:R379" ca="1" si="183">RAND()</f>
        <v>0.74237044120703111</v>
      </c>
      <c r="S270" s="8">
        <v>1</v>
      </c>
      <c r="T270" s="49">
        <f t="shared" ca="1" si="165"/>
        <v>163</v>
      </c>
      <c r="V270" s="50">
        <f t="shared" ref="V270:V379" ca="1" si="184">RAND()</f>
        <v>9.649039888856592E-2</v>
      </c>
      <c r="W270" s="8">
        <v>1</v>
      </c>
      <c r="X270" s="49">
        <f t="shared" ca="1" si="166"/>
        <v>147</v>
      </c>
      <c r="Z270" s="50">
        <f t="shared" ref="Z270:Z379" ca="1" si="185">RAND()</f>
        <v>0.73648965617461148</v>
      </c>
      <c r="AA270" s="8">
        <v>1</v>
      </c>
      <c r="AB270" s="49">
        <f t="shared" ca="1" si="167"/>
        <v>316</v>
      </c>
      <c r="AD270" s="50">
        <f t="shared" ref="AD270:AD379" ca="1" si="186">RAND()</f>
        <v>0.64804218112142475</v>
      </c>
      <c r="AE270" s="8">
        <v>1</v>
      </c>
      <c r="AF270" s="49">
        <f t="shared" ca="1" si="168"/>
        <v>361</v>
      </c>
      <c r="AH270" s="50">
        <f t="shared" ref="AH270:AH379" ca="1" si="187">RAND()</f>
        <v>0.91553447501512975</v>
      </c>
      <c r="AI270" s="8">
        <v>1</v>
      </c>
      <c r="AJ270" s="49">
        <f t="shared" ca="1" si="169"/>
        <v>246</v>
      </c>
      <c r="AL270" s="50">
        <f t="shared" ref="AL270:AL379" ca="1" si="188">RAND()</f>
        <v>0.21977309342098594</v>
      </c>
      <c r="AM270" s="8">
        <v>1</v>
      </c>
      <c r="AN270" s="49">
        <f t="shared" ca="1" si="170"/>
        <v>117</v>
      </c>
      <c r="AP270" s="50">
        <f t="shared" ref="AP270:AP379" ca="1" si="189">RAND()</f>
        <v>0.9787376813069657</v>
      </c>
      <c r="AQ270" s="8">
        <v>1</v>
      </c>
      <c r="AR270" s="49">
        <f t="shared" ca="1" si="171"/>
        <v>334</v>
      </c>
      <c r="AT270" s="50">
        <f t="shared" ref="AT270:AT379" ca="1" si="190">RAND()</f>
        <v>0.80826693377997005</v>
      </c>
      <c r="AU270" s="8">
        <v>1</v>
      </c>
      <c r="AV270" s="49">
        <f t="shared" ca="1" si="172"/>
        <v>237</v>
      </c>
      <c r="AX270" s="50">
        <f t="shared" ref="AX270:AX379" ca="1" si="191">RAND()</f>
        <v>0.81655359881347667</v>
      </c>
      <c r="AY270" s="8">
        <v>1</v>
      </c>
      <c r="AZ270" s="49">
        <f t="shared" ca="1" si="173"/>
        <v>224</v>
      </c>
      <c r="BB270" s="50">
        <f t="shared" ref="BB270:BB379" ca="1" si="192">RAND()</f>
        <v>0.29795887813110666</v>
      </c>
      <c r="BC270" s="8">
        <v>1</v>
      </c>
      <c r="BD270" s="49">
        <f t="shared" ca="1" si="174"/>
        <v>138</v>
      </c>
      <c r="BF270" s="50">
        <f t="shared" ref="BF270:BF379" ca="1" si="193">RAND()</f>
        <v>0.90126257878882243</v>
      </c>
      <c r="BG270" s="8">
        <v>1</v>
      </c>
      <c r="BH270" s="49">
        <f t="shared" ca="1" si="175"/>
        <v>222</v>
      </c>
      <c r="BJ270" s="50">
        <f t="shared" ref="BJ270:BJ379" ca="1" si="194">RAND()</f>
        <v>2.0714733129676866E-2</v>
      </c>
      <c r="BK270" s="8">
        <v>1</v>
      </c>
      <c r="BL270" s="49">
        <f t="shared" ca="1" si="176"/>
        <v>60</v>
      </c>
      <c r="BN270" s="50">
        <f t="shared" ref="BN270:BN379" ca="1" si="195">RAND()</f>
        <v>0.54109756736243309</v>
      </c>
      <c r="BO270" s="8">
        <v>1</v>
      </c>
      <c r="BP270" s="49">
        <f t="shared" ca="1" si="177"/>
        <v>179</v>
      </c>
      <c r="BR270" s="50">
        <f t="shared" ref="BR270:BR379" ca="1" si="196">RAND()</f>
        <v>8.0791679389405902E-3</v>
      </c>
      <c r="BS270" s="8">
        <v>1</v>
      </c>
      <c r="BT270" s="49">
        <f t="shared" ca="1" si="178"/>
        <v>66</v>
      </c>
    </row>
    <row r="271" spans="1:72" x14ac:dyDescent="0.2">
      <c r="A271" s="22">
        <v>44818</v>
      </c>
      <c r="B271" s="50">
        <f t="shared" ca="1" si="179"/>
        <v>0.48077189887771243</v>
      </c>
      <c r="C271" s="8">
        <v>1</v>
      </c>
      <c r="D271" s="49">
        <f t="shared" ca="1" si="161"/>
        <v>100</v>
      </c>
      <c r="F271" s="50">
        <f t="shared" ca="1" si="180"/>
        <v>0.7982721868479955</v>
      </c>
      <c r="G271" s="8">
        <v>1</v>
      </c>
      <c r="H271" s="49">
        <f t="shared" ca="1" si="162"/>
        <v>264</v>
      </c>
      <c r="J271" s="50">
        <f t="shared" ca="1" si="181"/>
        <v>8.9838981844898469E-2</v>
      </c>
      <c r="K271" s="8">
        <v>1</v>
      </c>
      <c r="L271" s="49">
        <f t="shared" ca="1" si="163"/>
        <v>97</v>
      </c>
      <c r="N271" s="50">
        <f t="shared" ca="1" si="182"/>
        <v>0.78022098460115052</v>
      </c>
      <c r="O271" s="8">
        <v>1</v>
      </c>
      <c r="P271" s="49">
        <f t="shared" ca="1" si="164"/>
        <v>277</v>
      </c>
      <c r="R271" s="50">
        <f t="shared" ca="1" si="183"/>
        <v>0.87372047064465275</v>
      </c>
      <c r="S271" s="8">
        <v>1</v>
      </c>
      <c r="T271" s="49">
        <f t="shared" ca="1" si="165"/>
        <v>182</v>
      </c>
      <c r="V271" s="50">
        <f t="shared" ca="1" si="184"/>
        <v>0.4308284914101167</v>
      </c>
      <c r="W271" s="8">
        <v>1</v>
      </c>
      <c r="X271" s="49">
        <f t="shared" ca="1" si="166"/>
        <v>215</v>
      </c>
      <c r="Z271" s="50">
        <f t="shared" ca="1" si="185"/>
        <v>0.1917623801846382</v>
      </c>
      <c r="AA271" s="8">
        <v>1</v>
      </c>
      <c r="AB271" s="49">
        <f t="shared" ca="1" si="167"/>
        <v>208</v>
      </c>
      <c r="AD271" s="50">
        <f t="shared" ca="1" si="186"/>
        <v>0.62400803701070284</v>
      </c>
      <c r="AE271" s="8">
        <v>1</v>
      </c>
      <c r="AF271" s="49">
        <f t="shared" ca="1" si="168"/>
        <v>355</v>
      </c>
      <c r="AH271" s="50">
        <f t="shared" ca="1" si="187"/>
        <v>0.10445627942518743</v>
      </c>
      <c r="AI271" s="8">
        <v>1</v>
      </c>
      <c r="AJ271" s="49">
        <f t="shared" ca="1" si="169"/>
        <v>120</v>
      </c>
      <c r="AL271" s="50">
        <f t="shared" ca="1" si="188"/>
        <v>0.98840175916968054</v>
      </c>
      <c r="AM271" s="8">
        <v>1</v>
      </c>
      <c r="AN271" s="49">
        <f t="shared" ca="1" si="170"/>
        <v>237</v>
      </c>
      <c r="AP271" s="50">
        <f t="shared" ca="1" si="189"/>
        <v>0.69505644094633456</v>
      </c>
      <c r="AQ271" s="8">
        <v>1</v>
      </c>
      <c r="AR271" s="49">
        <f t="shared" ca="1" si="171"/>
        <v>247</v>
      </c>
      <c r="AT271" s="50">
        <f t="shared" ca="1" si="190"/>
        <v>0.17595475075384281</v>
      </c>
      <c r="AU271" s="8">
        <v>1</v>
      </c>
      <c r="AV271" s="49">
        <f t="shared" ca="1" si="172"/>
        <v>145</v>
      </c>
      <c r="AX271" s="50">
        <f t="shared" ca="1" si="191"/>
        <v>0.82619584853251671</v>
      </c>
      <c r="AY271" s="8">
        <v>1</v>
      </c>
      <c r="AZ271" s="49">
        <f t="shared" ca="1" si="173"/>
        <v>225</v>
      </c>
      <c r="BB271" s="50">
        <f t="shared" ca="1" si="192"/>
        <v>0.91053858123531384</v>
      </c>
      <c r="BC271" s="8">
        <v>1</v>
      </c>
      <c r="BD271" s="49">
        <f t="shared" ca="1" si="174"/>
        <v>217</v>
      </c>
      <c r="BF271" s="50">
        <f t="shared" ca="1" si="193"/>
        <v>0.28007160840614498</v>
      </c>
      <c r="BG271" s="8">
        <v>1</v>
      </c>
      <c r="BH271" s="49">
        <f t="shared" ca="1" si="175"/>
        <v>139</v>
      </c>
      <c r="BJ271" s="50">
        <f t="shared" ca="1" si="194"/>
        <v>0.39119083366644547</v>
      </c>
      <c r="BK271" s="8">
        <v>1</v>
      </c>
      <c r="BL271" s="49">
        <f t="shared" ca="1" si="176"/>
        <v>122</v>
      </c>
      <c r="BN271" s="50">
        <f t="shared" ca="1" si="195"/>
        <v>0.97647577887714399</v>
      </c>
      <c r="BO271" s="8">
        <v>1</v>
      </c>
      <c r="BP271" s="49">
        <f t="shared" ca="1" si="177"/>
        <v>266</v>
      </c>
      <c r="BR271" s="50">
        <f t="shared" ca="1" si="196"/>
        <v>0.11882557627172885</v>
      </c>
      <c r="BS271" s="8">
        <v>1</v>
      </c>
      <c r="BT271" s="49">
        <f t="shared" ca="1" si="178"/>
        <v>126</v>
      </c>
    </row>
    <row r="272" spans="1:72" x14ac:dyDescent="0.2">
      <c r="A272" s="22">
        <v>44819</v>
      </c>
      <c r="B272" s="50">
        <f t="shared" ca="1" si="179"/>
        <v>0.6436935337145111</v>
      </c>
      <c r="C272" s="8">
        <v>1</v>
      </c>
      <c r="D272" s="49">
        <f t="shared" ca="1" si="161"/>
        <v>108</v>
      </c>
      <c r="F272" s="50">
        <f t="shared" ca="1" si="180"/>
        <v>0.33942082784938066</v>
      </c>
      <c r="G272" s="8">
        <v>1</v>
      </c>
      <c r="H272" s="49">
        <f t="shared" ca="1" si="162"/>
        <v>192</v>
      </c>
      <c r="J272" s="50">
        <f t="shared" ca="1" si="181"/>
        <v>0.41151128833836526</v>
      </c>
      <c r="K272" s="8">
        <v>1</v>
      </c>
      <c r="L272" s="49">
        <f t="shared" ca="1" si="163"/>
        <v>142</v>
      </c>
      <c r="N272" s="50">
        <f t="shared" ca="1" si="182"/>
        <v>0.26567100534010313</v>
      </c>
      <c r="O272" s="8">
        <v>1</v>
      </c>
      <c r="P272" s="49">
        <f t="shared" ca="1" si="164"/>
        <v>192</v>
      </c>
      <c r="R272" s="50">
        <f t="shared" ca="1" si="183"/>
        <v>0.21223076077472258</v>
      </c>
      <c r="S272" s="8">
        <v>1</v>
      </c>
      <c r="T272" s="49">
        <f t="shared" ca="1" si="165"/>
        <v>110</v>
      </c>
      <c r="V272" s="50">
        <f t="shared" ca="1" si="184"/>
        <v>2.2964876130005307E-2</v>
      </c>
      <c r="W272" s="8">
        <v>1</v>
      </c>
      <c r="X272" s="49">
        <f t="shared" ca="1" si="166"/>
        <v>106</v>
      </c>
      <c r="Z272" s="50">
        <f t="shared" ca="1" si="185"/>
        <v>0.14394624419120983</v>
      </c>
      <c r="AA272" s="8">
        <v>1</v>
      </c>
      <c r="AB272" s="49">
        <f t="shared" ca="1" si="167"/>
        <v>194</v>
      </c>
      <c r="AD272" s="50">
        <f t="shared" ca="1" si="186"/>
        <v>0.17375220834859673</v>
      </c>
      <c r="AE272" s="8">
        <v>1</v>
      </c>
      <c r="AF272" s="49">
        <f t="shared" ca="1" si="168"/>
        <v>246</v>
      </c>
      <c r="AH272" s="50">
        <f t="shared" ca="1" si="187"/>
        <v>0.60785434897264212</v>
      </c>
      <c r="AI272" s="8">
        <v>1</v>
      </c>
      <c r="AJ272" s="49">
        <f t="shared" ca="1" si="169"/>
        <v>193</v>
      </c>
      <c r="AL272" s="50">
        <f t="shared" ca="1" si="188"/>
        <v>0.28645691927441097</v>
      </c>
      <c r="AM272" s="8">
        <v>1</v>
      </c>
      <c r="AN272" s="49">
        <f t="shared" ca="1" si="170"/>
        <v>126</v>
      </c>
      <c r="AP272" s="50">
        <f t="shared" ca="1" si="189"/>
        <v>0.73991868274906991</v>
      </c>
      <c r="AQ272" s="8">
        <v>1</v>
      </c>
      <c r="AR272" s="49">
        <f t="shared" ca="1" si="171"/>
        <v>254</v>
      </c>
      <c r="AT272" s="50">
        <f t="shared" ca="1" si="190"/>
        <v>0.51788796715560292</v>
      </c>
      <c r="AU272" s="8">
        <v>1</v>
      </c>
      <c r="AV272" s="49">
        <f t="shared" ca="1" si="172"/>
        <v>194</v>
      </c>
      <c r="AX272" s="50">
        <f t="shared" ca="1" si="191"/>
        <v>0.70451708071832686</v>
      </c>
      <c r="AY272" s="8">
        <v>1</v>
      </c>
      <c r="AZ272" s="49">
        <f t="shared" ca="1" si="173"/>
        <v>206</v>
      </c>
      <c r="BB272" s="50">
        <f t="shared" ca="1" si="192"/>
        <v>0.38405686083124102</v>
      </c>
      <c r="BC272" s="8">
        <v>1</v>
      </c>
      <c r="BD272" s="49">
        <f t="shared" ca="1" si="174"/>
        <v>148</v>
      </c>
      <c r="BF272" s="50">
        <f t="shared" ca="1" si="193"/>
        <v>0.55240289466572445</v>
      </c>
      <c r="BG272" s="8">
        <v>1</v>
      </c>
      <c r="BH272" s="49">
        <f t="shared" ca="1" si="175"/>
        <v>171</v>
      </c>
      <c r="BJ272" s="50">
        <f t="shared" ca="1" si="194"/>
        <v>0.23051659602043517</v>
      </c>
      <c r="BK272" s="8">
        <v>1</v>
      </c>
      <c r="BL272" s="49">
        <f t="shared" ca="1" si="176"/>
        <v>106</v>
      </c>
      <c r="BN272" s="50">
        <f t="shared" ca="1" si="195"/>
        <v>0.5518435468092785</v>
      </c>
      <c r="BO272" s="8">
        <v>1</v>
      </c>
      <c r="BP272" s="49">
        <f t="shared" ca="1" si="177"/>
        <v>180</v>
      </c>
      <c r="BR272" s="50">
        <f t="shared" ca="1" si="196"/>
        <v>0.9906697946442119</v>
      </c>
      <c r="BS272" s="8">
        <v>1</v>
      </c>
      <c r="BT272" s="49">
        <f t="shared" ca="1" si="178"/>
        <v>299</v>
      </c>
    </row>
    <row r="273" spans="1:72" x14ac:dyDescent="0.2">
      <c r="A273" s="22">
        <v>44820</v>
      </c>
      <c r="B273" s="50">
        <f t="shared" ca="1" si="179"/>
        <v>0.35191728149471002</v>
      </c>
      <c r="C273" s="8">
        <v>1</v>
      </c>
      <c r="D273" s="49">
        <f t="shared" ca="1" si="161"/>
        <v>93</v>
      </c>
      <c r="F273" s="50">
        <f t="shared" ca="1" si="180"/>
        <v>0.9778532881526939</v>
      </c>
      <c r="G273" s="8">
        <v>1</v>
      </c>
      <c r="H273" s="49">
        <f t="shared" ca="1" si="162"/>
        <v>331</v>
      </c>
      <c r="J273" s="50">
        <f t="shared" ca="1" si="181"/>
        <v>0.48170314248017532</v>
      </c>
      <c r="K273" s="8">
        <v>1</v>
      </c>
      <c r="L273" s="49">
        <f t="shared" ca="1" si="163"/>
        <v>149</v>
      </c>
      <c r="N273" s="50">
        <f t="shared" ca="1" si="182"/>
        <v>0.11907956676861675</v>
      </c>
      <c r="O273" s="8">
        <v>1</v>
      </c>
      <c r="P273" s="49">
        <f t="shared" ca="1" si="164"/>
        <v>158</v>
      </c>
      <c r="R273" s="50">
        <f t="shared" ca="1" si="183"/>
        <v>0.15469776006436942</v>
      </c>
      <c r="S273" s="8">
        <v>1</v>
      </c>
      <c r="T273" s="49">
        <f t="shared" ca="1" si="165"/>
        <v>102</v>
      </c>
      <c r="V273" s="50">
        <f t="shared" ca="1" si="184"/>
        <v>0.12192261293155127</v>
      </c>
      <c r="W273" s="8">
        <v>1</v>
      </c>
      <c r="X273" s="49">
        <f t="shared" ca="1" si="166"/>
        <v>156</v>
      </c>
      <c r="Z273" s="50">
        <f t="shared" ca="1" si="185"/>
        <v>0.63183245118188436</v>
      </c>
      <c r="AA273" s="8">
        <v>1</v>
      </c>
      <c r="AB273" s="49">
        <f t="shared" ca="1" si="167"/>
        <v>295</v>
      </c>
      <c r="AD273" s="50">
        <f t="shared" ca="1" si="186"/>
        <v>0.34969074138816691</v>
      </c>
      <c r="AE273" s="8">
        <v>1</v>
      </c>
      <c r="AF273" s="49">
        <f t="shared" ca="1" si="168"/>
        <v>294</v>
      </c>
      <c r="AH273" s="50">
        <f t="shared" ca="1" si="187"/>
        <v>0.59151550315668266</v>
      </c>
      <c r="AI273" s="8">
        <v>1</v>
      </c>
      <c r="AJ273" s="49">
        <f t="shared" ca="1" si="169"/>
        <v>191</v>
      </c>
      <c r="AL273" s="50">
        <f t="shared" ca="1" si="188"/>
        <v>0.73210896401617487</v>
      </c>
      <c r="AM273" s="8">
        <v>1</v>
      </c>
      <c r="AN273" s="49">
        <f t="shared" ca="1" si="170"/>
        <v>172</v>
      </c>
      <c r="AP273" s="50">
        <f t="shared" ca="1" si="189"/>
        <v>0.12547362043335653</v>
      </c>
      <c r="AQ273" s="8">
        <v>1</v>
      </c>
      <c r="AR273" s="49">
        <f t="shared" ca="1" si="171"/>
        <v>151</v>
      </c>
      <c r="AT273" s="50">
        <f t="shared" ca="1" si="190"/>
        <v>0.26749316595978834</v>
      </c>
      <c r="AU273" s="8">
        <v>1</v>
      </c>
      <c r="AV273" s="49">
        <f t="shared" ca="1" si="172"/>
        <v>160</v>
      </c>
      <c r="AX273" s="50">
        <f t="shared" ca="1" si="191"/>
        <v>0.21360682730055058</v>
      </c>
      <c r="AY273" s="8">
        <v>1</v>
      </c>
      <c r="AZ273" s="49">
        <f t="shared" ca="1" si="173"/>
        <v>142</v>
      </c>
      <c r="BB273" s="50">
        <f t="shared" ca="1" si="192"/>
        <v>0.74580267557766633</v>
      </c>
      <c r="BC273" s="8">
        <v>1</v>
      </c>
      <c r="BD273" s="49">
        <f t="shared" ca="1" si="174"/>
        <v>188</v>
      </c>
      <c r="BF273" s="50">
        <f t="shared" ca="1" si="193"/>
        <v>0.31702530205980917</v>
      </c>
      <c r="BG273" s="8">
        <v>1</v>
      </c>
      <c r="BH273" s="49">
        <f t="shared" ca="1" si="175"/>
        <v>144</v>
      </c>
      <c r="BJ273" s="50">
        <f t="shared" ca="1" si="194"/>
        <v>0.15424598212071039</v>
      </c>
      <c r="BK273" s="8">
        <v>1</v>
      </c>
      <c r="BL273" s="49">
        <f t="shared" ca="1" si="176"/>
        <v>96</v>
      </c>
      <c r="BN273" s="50">
        <f t="shared" ca="1" si="195"/>
        <v>0.1191940123300339</v>
      </c>
      <c r="BO273" s="8">
        <v>1</v>
      </c>
      <c r="BP273" s="49">
        <f t="shared" ca="1" si="177"/>
        <v>119</v>
      </c>
      <c r="BR273" s="50">
        <f t="shared" ca="1" si="196"/>
        <v>0.64174568465257653</v>
      </c>
      <c r="BS273" s="8">
        <v>1</v>
      </c>
      <c r="BT273" s="49">
        <f t="shared" ca="1" si="178"/>
        <v>202</v>
      </c>
    </row>
    <row r="274" spans="1:72" x14ac:dyDescent="0.2">
      <c r="A274" s="22">
        <v>44821</v>
      </c>
      <c r="B274" s="50">
        <f t="shared" ca="1" si="179"/>
        <v>0.11351582548151318</v>
      </c>
      <c r="C274" s="8">
        <v>1</v>
      </c>
      <c r="D274" s="49">
        <f t="shared" ca="1" si="161"/>
        <v>76</v>
      </c>
      <c r="F274" s="50">
        <f t="shared" ca="1" si="180"/>
        <v>0.94628538353351355</v>
      </c>
      <c r="G274" s="8">
        <v>1</v>
      </c>
      <c r="H274" s="49">
        <f t="shared" ca="1" si="162"/>
        <v>308</v>
      </c>
      <c r="J274" s="50">
        <f t="shared" ca="1" si="181"/>
        <v>0.15207616956697101</v>
      </c>
      <c r="K274" s="8">
        <v>1</v>
      </c>
      <c r="L274" s="49">
        <f t="shared" ca="1" si="163"/>
        <v>109</v>
      </c>
      <c r="N274" s="50">
        <f t="shared" ca="1" si="182"/>
        <v>0.8306263556603023</v>
      </c>
      <c r="O274" s="8">
        <v>1</v>
      </c>
      <c r="P274" s="49">
        <f t="shared" ca="1" si="164"/>
        <v>288</v>
      </c>
      <c r="R274" s="50">
        <f t="shared" ca="1" si="183"/>
        <v>0.55270535612574301</v>
      </c>
      <c r="S274" s="8">
        <v>1</v>
      </c>
      <c r="T274" s="49">
        <f t="shared" ca="1" si="165"/>
        <v>144</v>
      </c>
      <c r="V274" s="50">
        <f t="shared" ca="1" si="184"/>
        <v>0.47731480790530301</v>
      </c>
      <c r="W274" s="8">
        <v>1</v>
      </c>
      <c r="X274" s="49">
        <f t="shared" ca="1" si="166"/>
        <v>222</v>
      </c>
      <c r="Z274" s="50">
        <f t="shared" ca="1" si="185"/>
        <v>0.23565481244514341</v>
      </c>
      <c r="AA274" s="8">
        <v>1</v>
      </c>
      <c r="AB274" s="49">
        <f t="shared" ca="1" si="167"/>
        <v>219</v>
      </c>
      <c r="AD274" s="50">
        <f t="shared" ca="1" si="186"/>
        <v>0.38162132875474697</v>
      </c>
      <c r="AE274" s="8">
        <v>1</v>
      </c>
      <c r="AF274" s="49">
        <f t="shared" ca="1" si="168"/>
        <v>301</v>
      </c>
      <c r="AH274" s="50">
        <f t="shared" ca="1" si="187"/>
        <v>0.20228296871816986</v>
      </c>
      <c r="AI274" s="8">
        <v>1</v>
      </c>
      <c r="AJ274" s="49">
        <f t="shared" ca="1" si="169"/>
        <v>140</v>
      </c>
      <c r="AL274" s="50">
        <f t="shared" ca="1" si="188"/>
        <v>0.55821923705549781</v>
      </c>
      <c r="AM274" s="8">
        <v>1</v>
      </c>
      <c r="AN274" s="49">
        <f t="shared" ca="1" si="170"/>
        <v>153</v>
      </c>
      <c r="AP274" s="50">
        <f t="shared" ca="1" si="189"/>
        <v>0.55433293675990536</v>
      </c>
      <c r="AQ274" s="8">
        <v>1</v>
      </c>
      <c r="AR274" s="49">
        <f t="shared" ca="1" si="171"/>
        <v>225</v>
      </c>
      <c r="AT274" s="50">
        <f t="shared" ca="1" si="190"/>
        <v>0.74225036117733723</v>
      </c>
      <c r="AU274" s="8">
        <v>1</v>
      </c>
      <c r="AV274" s="49">
        <f t="shared" ca="1" si="172"/>
        <v>225</v>
      </c>
      <c r="AX274" s="50">
        <f t="shared" ca="1" si="191"/>
        <v>0.82067055288548496</v>
      </c>
      <c r="AY274" s="8">
        <v>1</v>
      </c>
      <c r="AZ274" s="49">
        <f t="shared" ca="1" si="173"/>
        <v>224</v>
      </c>
      <c r="BB274" s="50">
        <f t="shared" ca="1" si="192"/>
        <v>3.0582570053314995E-2</v>
      </c>
      <c r="BC274" s="8">
        <v>1</v>
      </c>
      <c r="BD274" s="49">
        <f t="shared" ca="1" si="174"/>
        <v>80</v>
      </c>
      <c r="BF274" s="50">
        <f t="shared" ca="1" si="193"/>
        <v>0.86516630371918624</v>
      </c>
      <c r="BG274" s="8">
        <v>1</v>
      </c>
      <c r="BH274" s="49">
        <f t="shared" ca="1" si="175"/>
        <v>213</v>
      </c>
      <c r="BJ274" s="50">
        <f t="shared" ca="1" si="194"/>
        <v>1.2587281439065068E-2</v>
      </c>
      <c r="BK274" s="8">
        <v>1</v>
      </c>
      <c r="BL274" s="49">
        <f t="shared" ca="1" si="176"/>
        <v>53</v>
      </c>
      <c r="BN274" s="50">
        <f t="shared" ca="1" si="195"/>
        <v>0.51272484722920297</v>
      </c>
      <c r="BO274" s="8">
        <v>1</v>
      </c>
      <c r="BP274" s="49">
        <f t="shared" ca="1" si="177"/>
        <v>176</v>
      </c>
      <c r="BR274" s="50">
        <f t="shared" ca="1" si="196"/>
        <v>0.38694949216555874</v>
      </c>
      <c r="BS274" s="8">
        <v>1</v>
      </c>
      <c r="BT274" s="49">
        <f t="shared" ca="1" si="178"/>
        <v>170</v>
      </c>
    </row>
    <row r="275" spans="1:72" x14ac:dyDescent="0.2">
      <c r="A275" s="22">
        <v>44822</v>
      </c>
      <c r="B275" s="50">
        <f t="shared" ca="1" si="179"/>
        <v>9.5227044663274474E-2</v>
      </c>
      <c r="C275" s="8">
        <v>1</v>
      </c>
      <c r="D275" s="49">
        <f t="shared" ca="1" si="161"/>
        <v>74</v>
      </c>
      <c r="F275" s="50">
        <f t="shared" ca="1" si="180"/>
        <v>0.65909951355538521</v>
      </c>
      <c r="G275" s="8">
        <v>1</v>
      </c>
      <c r="H275" s="49">
        <f t="shared" ca="1" si="162"/>
        <v>239</v>
      </c>
      <c r="J275" s="50">
        <f t="shared" ca="1" si="181"/>
        <v>0.77345651492795076</v>
      </c>
      <c r="K275" s="8">
        <v>1</v>
      </c>
      <c r="L275" s="49">
        <f t="shared" ca="1" si="163"/>
        <v>181</v>
      </c>
      <c r="N275" s="50">
        <f t="shared" ca="1" si="182"/>
        <v>0.15206785387720134</v>
      </c>
      <c r="O275" s="8">
        <v>1</v>
      </c>
      <c r="P275" s="49">
        <f t="shared" ca="1" si="164"/>
        <v>167</v>
      </c>
      <c r="R275" s="50">
        <f t="shared" ca="1" si="183"/>
        <v>6.2630272562175238E-3</v>
      </c>
      <c r="S275" s="8">
        <v>1</v>
      </c>
      <c r="T275" s="49">
        <f t="shared" ca="1" si="165"/>
        <v>47</v>
      </c>
      <c r="V275" s="50">
        <f t="shared" ca="1" si="184"/>
        <v>0.30199484665130483</v>
      </c>
      <c r="W275" s="8">
        <v>1</v>
      </c>
      <c r="X275" s="49">
        <f t="shared" ca="1" si="166"/>
        <v>194</v>
      </c>
      <c r="Z275" s="50">
        <f t="shared" ca="1" si="185"/>
        <v>4.576645560115733E-2</v>
      </c>
      <c r="AA275" s="8">
        <v>1</v>
      </c>
      <c r="AB275" s="49">
        <f t="shared" ca="1" si="167"/>
        <v>149</v>
      </c>
      <c r="AD275" s="50">
        <f t="shared" ca="1" si="186"/>
        <v>0.47834839286948927</v>
      </c>
      <c r="AE275" s="8">
        <v>1</v>
      </c>
      <c r="AF275" s="49">
        <f t="shared" ca="1" si="168"/>
        <v>323</v>
      </c>
      <c r="AH275" s="50">
        <f t="shared" ca="1" si="187"/>
        <v>0.13847705089796414</v>
      </c>
      <c r="AI275" s="8">
        <v>1</v>
      </c>
      <c r="AJ275" s="49">
        <f t="shared" ca="1" si="169"/>
        <v>128</v>
      </c>
      <c r="AL275" s="50">
        <f t="shared" ca="1" si="188"/>
        <v>2.6515647754716931E-2</v>
      </c>
      <c r="AM275" s="8">
        <v>1</v>
      </c>
      <c r="AN275" s="49">
        <f t="shared" ca="1" si="170"/>
        <v>72</v>
      </c>
      <c r="AP275" s="50">
        <f t="shared" ca="1" si="189"/>
        <v>0.50987790433580582</v>
      </c>
      <c r="AQ275" s="8">
        <v>1</v>
      </c>
      <c r="AR275" s="49">
        <f t="shared" ca="1" si="171"/>
        <v>219</v>
      </c>
      <c r="AT275" s="50">
        <f t="shared" ca="1" si="190"/>
        <v>0.86722220146908402</v>
      </c>
      <c r="AU275" s="8">
        <v>1</v>
      </c>
      <c r="AV275" s="49">
        <f t="shared" ca="1" si="172"/>
        <v>249</v>
      </c>
      <c r="AX275" s="50">
        <f t="shared" ca="1" si="191"/>
        <v>6.0502604486614486E-2</v>
      </c>
      <c r="AY275" s="8">
        <v>1</v>
      </c>
      <c r="AZ275" s="49">
        <f t="shared" ca="1" si="173"/>
        <v>106</v>
      </c>
      <c r="BB275" s="50">
        <f t="shared" ca="1" si="192"/>
        <v>0.90856250109731229</v>
      </c>
      <c r="BC275" s="8">
        <v>1</v>
      </c>
      <c r="BD275" s="49">
        <f t="shared" ca="1" si="174"/>
        <v>217</v>
      </c>
      <c r="BF275" s="50">
        <f t="shared" ca="1" si="193"/>
        <v>2.8897776690394728E-2</v>
      </c>
      <c r="BG275" s="8">
        <v>1</v>
      </c>
      <c r="BH275" s="49">
        <f t="shared" ca="1" si="175"/>
        <v>82</v>
      </c>
      <c r="BJ275" s="50">
        <f t="shared" ca="1" si="194"/>
        <v>0.95989942993804034</v>
      </c>
      <c r="BK275" s="8">
        <v>1</v>
      </c>
      <c r="BL275" s="49">
        <f t="shared" ca="1" si="176"/>
        <v>193</v>
      </c>
      <c r="BN275" s="50">
        <f t="shared" ca="1" si="195"/>
        <v>0.75056136061713841</v>
      </c>
      <c r="BO275" s="8">
        <v>1</v>
      </c>
      <c r="BP275" s="49">
        <f t="shared" ca="1" si="177"/>
        <v>205</v>
      </c>
      <c r="BR275" s="50">
        <f t="shared" ca="1" si="196"/>
        <v>0.7905644606033726</v>
      </c>
      <c r="BS275" s="8">
        <v>1</v>
      </c>
      <c r="BT275" s="49">
        <f t="shared" ca="1" si="178"/>
        <v>223</v>
      </c>
    </row>
    <row r="276" spans="1:72" x14ac:dyDescent="0.2">
      <c r="A276" s="22">
        <v>44823</v>
      </c>
      <c r="B276" s="50">
        <f t="shared" ca="1" si="179"/>
        <v>0.58958057882840087</v>
      </c>
      <c r="C276" s="8">
        <v>1</v>
      </c>
      <c r="D276" s="49">
        <f t="shared" ca="1" si="161"/>
        <v>105</v>
      </c>
      <c r="F276" s="50">
        <f t="shared" ca="1" si="180"/>
        <v>0.94720006747569219</v>
      </c>
      <c r="G276" s="8">
        <v>1</v>
      </c>
      <c r="H276" s="49">
        <f t="shared" ca="1" si="162"/>
        <v>309</v>
      </c>
      <c r="J276" s="50">
        <f t="shared" ca="1" si="181"/>
        <v>0.35476130597239175</v>
      </c>
      <c r="K276" s="8">
        <v>1</v>
      </c>
      <c r="L276" s="49">
        <f t="shared" ca="1" si="163"/>
        <v>136</v>
      </c>
      <c r="N276" s="50">
        <f t="shared" ca="1" si="182"/>
        <v>0.38518070781929636</v>
      </c>
      <c r="O276" s="8">
        <v>1</v>
      </c>
      <c r="P276" s="49">
        <f t="shared" ca="1" si="164"/>
        <v>212</v>
      </c>
      <c r="R276" s="50">
        <f t="shared" ca="1" si="183"/>
        <v>0.9247299630855037</v>
      </c>
      <c r="S276" s="8">
        <v>1</v>
      </c>
      <c r="T276" s="49">
        <f t="shared" ca="1" si="165"/>
        <v>192</v>
      </c>
      <c r="V276" s="50">
        <f t="shared" ca="1" si="184"/>
        <v>0.3059591348563061</v>
      </c>
      <c r="W276" s="8">
        <v>1</v>
      </c>
      <c r="X276" s="49">
        <f t="shared" ca="1" si="166"/>
        <v>195</v>
      </c>
      <c r="Z276" s="50">
        <f t="shared" ca="1" si="185"/>
        <v>0.29241259860242574</v>
      </c>
      <c r="AA276" s="8">
        <v>1</v>
      </c>
      <c r="AB276" s="49">
        <f t="shared" ca="1" si="167"/>
        <v>231</v>
      </c>
      <c r="AD276" s="50">
        <f t="shared" ca="1" si="186"/>
        <v>0.29641754522875374</v>
      </c>
      <c r="AE276" s="8">
        <v>1</v>
      </c>
      <c r="AF276" s="49">
        <f t="shared" ca="1" si="168"/>
        <v>281</v>
      </c>
      <c r="AH276" s="50">
        <f t="shared" ca="1" si="187"/>
        <v>0.87362596046453689</v>
      </c>
      <c r="AI276" s="8">
        <v>1</v>
      </c>
      <c r="AJ276" s="49">
        <f t="shared" ca="1" si="169"/>
        <v>235</v>
      </c>
      <c r="AL276" s="50">
        <f t="shared" ca="1" si="188"/>
        <v>0.95142625404871561</v>
      </c>
      <c r="AM276" s="8">
        <v>1</v>
      </c>
      <c r="AN276" s="49">
        <f t="shared" ca="1" si="170"/>
        <v>213</v>
      </c>
      <c r="AP276" s="50">
        <f t="shared" ca="1" si="189"/>
        <v>0.9564744129008772</v>
      </c>
      <c r="AQ276" s="8">
        <v>1</v>
      </c>
      <c r="AR276" s="49">
        <f t="shared" ca="1" si="171"/>
        <v>316</v>
      </c>
      <c r="AT276" s="50">
        <f t="shared" ca="1" si="190"/>
        <v>0.75042358713544444</v>
      </c>
      <c r="AU276" s="8">
        <v>1</v>
      </c>
      <c r="AV276" s="49">
        <f t="shared" ca="1" si="172"/>
        <v>227</v>
      </c>
      <c r="AX276" s="50">
        <f t="shared" ca="1" si="191"/>
        <v>0.61415816176249893</v>
      </c>
      <c r="AY276" s="8">
        <v>1</v>
      </c>
      <c r="AZ276" s="49">
        <f t="shared" ca="1" si="173"/>
        <v>194</v>
      </c>
      <c r="BB276" s="50">
        <f t="shared" ca="1" si="192"/>
        <v>0.57720885454611948</v>
      </c>
      <c r="BC276" s="8">
        <v>1</v>
      </c>
      <c r="BD276" s="49">
        <f t="shared" ca="1" si="174"/>
        <v>168</v>
      </c>
      <c r="BF276" s="50">
        <f t="shared" ca="1" si="193"/>
        <v>0.22565854239391558</v>
      </c>
      <c r="BG276" s="8">
        <v>1</v>
      </c>
      <c r="BH276" s="49">
        <f t="shared" ca="1" si="175"/>
        <v>132</v>
      </c>
      <c r="BJ276" s="50">
        <f t="shared" ca="1" si="194"/>
        <v>0.4685260233542784</v>
      </c>
      <c r="BK276" s="8">
        <v>1</v>
      </c>
      <c r="BL276" s="49">
        <f t="shared" ca="1" si="176"/>
        <v>129</v>
      </c>
      <c r="BN276" s="50">
        <f t="shared" ca="1" si="195"/>
        <v>0.66165620477953713</v>
      </c>
      <c r="BO276" s="8">
        <v>1</v>
      </c>
      <c r="BP276" s="49">
        <f t="shared" ca="1" si="177"/>
        <v>193</v>
      </c>
      <c r="BR276" s="50">
        <f t="shared" ca="1" si="196"/>
        <v>0.13935392003055491</v>
      </c>
      <c r="BS276" s="8">
        <v>1</v>
      </c>
      <c r="BT276" s="49">
        <f t="shared" ca="1" si="178"/>
        <v>131</v>
      </c>
    </row>
    <row r="277" spans="1:72" x14ac:dyDescent="0.2">
      <c r="A277" s="22">
        <v>44824</v>
      </c>
      <c r="B277" s="50">
        <f t="shared" ca="1" si="179"/>
        <v>0.42546249913451373</v>
      </c>
      <c r="C277" s="8">
        <v>1</v>
      </c>
      <c r="D277" s="49">
        <f t="shared" ca="1" si="161"/>
        <v>97</v>
      </c>
      <c r="F277" s="50">
        <f t="shared" ca="1" si="180"/>
        <v>0.57148184103825495</v>
      </c>
      <c r="G277" s="8">
        <v>1</v>
      </c>
      <c r="H277" s="49">
        <f t="shared" ca="1" si="162"/>
        <v>226</v>
      </c>
      <c r="J277" s="50">
        <f t="shared" ca="1" si="181"/>
        <v>0.29920092427600364</v>
      </c>
      <c r="K277" s="8">
        <v>1</v>
      </c>
      <c r="L277" s="49">
        <f t="shared" ca="1" si="163"/>
        <v>129</v>
      </c>
      <c r="N277" s="50">
        <f t="shared" ca="1" si="182"/>
        <v>0.57574347819132388</v>
      </c>
      <c r="O277" s="8">
        <v>1</v>
      </c>
      <c r="P277" s="49">
        <f t="shared" ca="1" si="164"/>
        <v>242</v>
      </c>
      <c r="R277" s="50">
        <f t="shared" ca="1" si="183"/>
        <v>0.63142115094133922</v>
      </c>
      <c r="S277" s="8">
        <v>1</v>
      </c>
      <c r="T277" s="49">
        <f t="shared" ca="1" si="165"/>
        <v>152</v>
      </c>
      <c r="V277" s="50">
        <f t="shared" ca="1" si="184"/>
        <v>4.0565329342789891E-4</v>
      </c>
      <c r="W277" s="8">
        <v>1</v>
      </c>
      <c r="X277" s="49">
        <f t="shared" ca="1" si="166"/>
        <v>25</v>
      </c>
      <c r="Z277" s="50">
        <f t="shared" ca="1" si="185"/>
        <v>0.37592569057721392</v>
      </c>
      <c r="AA277" s="8">
        <v>1</v>
      </c>
      <c r="AB277" s="49">
        <f t="shared" ca="1" si="167"/>
        <v>248</v>
      </c>
      <c r="AD277" s="50">
        <f t="shared" ca="1" si="186"/>
        <v>0.34769939401789196</v>
      </c>
      <c r="AE277" s="8">
        <v>1</v>
      </c>
      <c r="AF277" s="49">
        <f t="shared" ca="1" si="168"/>
        <v>293</v>
      </c>
      <c r="AH277" s="50">
        <f t="shared" ca="1" si="187"/>
        <v>0.12244918699472407</v>
      </c>
      <c r="AI277" s="8">
        <v>1</v>
      </c>
      <c r="AJ277" s="49">
        <f t="shared" ca="1" si="169"/>
        <v>125</v>
      </c>
      <c r="AL277" s="50">
        <f t="shared" ca="1" si="188"/>
        <v>0.67714003092848274</v>
      </c>
      <c r="AM277" s="8">
        <v>1</v>
      </c>
      <c r="AN277" s="49">
        <f t="shared" ca="1" si="170"/>
        <v>166</v>
      </c>
      <c r="AP277" s="50">
        <f t="shared" ca="1" si="189"/>
        <v>0.86271550514914008</v>
      </c>
      <c r="AQ277" s="8">
        <v>1</v>
      </c>
      <c r="AR277" s="49">
        <f t="shared" ca="1" si="171"/>
        <v>280</v>
      </c>
      <c r="AT277" s="50">
        <f t="shared" ca="1" si="190"/>
        <v>2.7224403982911594E-2</v>
      </c>
      <c r="AU277" s="8">
        <v>1</v>
      </c>
      <c r="AV277" s="49">
        <f t="shared" ca="1" si="172"/>
        <v>94</v>
      </c>
      <c r="AX277" s="50">
        <f t="shared" ca="1" si="191"/>
        <v>0.60649494996547926</v>
      </c>
      <c r="AY277" s="8">
        <v>1</v>
      </c>
      <c r="AZ277" s="49">
        <f t="shared" ca="1" si="173"/>
        <v>193</v>
      </c>
      <c r="BB277" s="50">
        <f t="shared" ca="1" si="192"/>
        <v>0.36260079840960524</v>
      </c>
      <c r="BC277" s="8">
        <v>1</v>
      </c>
      <c r="BD277" s="49">
        <f t="shared" ca="1" si="174"/>
        <v>145</v>
      </c>
      <c r="BF277" s="50">
        <f t="shared" ca="1" si="193"/>
        <v>0.38167159506440462</v>
      </c>
      <c r="BG277" s="8">
        <v>1</v>
      </c>
      <c r="BH277" s="49">
        <f t="shared" ca="1" si="175"/>
        <v>152</v>
      </c>
      <c r="BJ277" s="50">
        <f t="shared" ca="1" si="194"/>
        <v>8.8093691751756298E-2</v>
      </c>
      <c r="BK277" s="8">
        <v>1</v>
      </c>
      <c r="BL277" s="49">
        <f t="shared" ca="1" si="176"/>
        <v>84</v>
      </c>
      <c r="BN277" s="50">
        <f t="shared" ca="1" si="195"/>
        <v>7.3083583650177419E-2</v>
      </c>
      <c r="BO277" s="8">
        <v>1</v>
      </c>
      <c r="BP277" s="49">
        <f t="shared" ca="1" si="177"/>
        <v>107</v>
      </c>
      <c r="BR277" s="50">
        <f t="shared" ca="1" si="196"/>
        <v>0.6510071277252939</v>
      </c>
      <c r="BS277" s="8">
        <v>1</v>
      </c>
      <c r="BT277" s="49">
        <f t="shared" ca="1" si="178"/>
        <v>203</v>
      </c>
    </row>
    <row r="278" spans="1:72" x14ac:dyDescent="0.2">
      <c r="A278" s="22">
        <v>44825</v>
      </c>
      <c r="B278" s="50">
        <f t="shared" ca="1" si="179"/>
        <v>0.99913233569694293</v>
      </c>
      <c r="C278" s="8">
        <v>1</v>
      </c>
      <c r="D278" s="49">
        <f t="shared" ca="1" si="161"/>
        <v>163</v>
      </c>
      <c r="F278" s="50">
        <f t="shared" ca="1" si="180"/>
        <v>0.52619114470258899</v>
      </c>
      <c r="G278" s="8">
        <v>1</v>
      </c>
      <c r="H278" s="49">
        <f t="shared" ca="1" si="162"/>
        <v>220</v>
      </c>
      <c r="J278" s="50">
        <f t="shared" ca="1" si="181"/>
        <v>0.50008519298476939</v>
      </c>
      <c r="K278" s="8">
        <v>1</v>
      </c>
      <c r="L278" s="49">
        <f t="shared" ca="1" si="163"/>
        <v>151</v>
      </c>
      <c r="N278" s="50">
        <f t="shared" ca="1" si="182"/>
        <v>0.75166497757436246</v>
      </c>
      <c r="O278" s="8">
        <v>1</v>
      </c>
      <c r="P278" s="49">
        <f t="shared" ca="1" si="164"/>
        <v>271</v>
      </c>
      <c r="R278" s="50">
        <f t="shared" ca="1" si="183"/>
        <v>0.99497028113120356</v>
      </c>
      <c r="S278" s="8">
        <v>1</v>
      </c>
      <c r="T278" s="49">
        <f t="shared" ca="1" si="165"/>
        <v>234</v>
      </c>
      <c r="V278" s="50">
        <f t="shared" ca="1" si="184"/>
        <v>0.72229366031748343</v>
      </c>
      <c r="W278" s="8">
        <v>1</v>
      </c>
      <c r="X278" s="49">
        <f t="shared" ca="1" si="166"/>
        <v>261</v>
      </c>
      <c r="Z278" s="50">
        <f t="shared" ca="1" si="185"/>
        <v>0.88592456220465543</v>
      </c>
      <c r="AA278" s="8">
        <v>1</v>
      </c>
      <c r="AB278" s="49">
        <f t="shared" ca="1" si="167"/>
        <v>357</v>
      </c>
      <c r="AD278" s="50">
        <f t="shared" ca="1" si="186"/>
        <v>0.80813991301073373</v>
      </c>
      <c r="AE278" s="8">
        <v>1</v>
      </c>
      <c r="AF278" s="49">
        <f t="shared" ca="1" si="168"/>
        <v>403</v>
      </c>
      <c r="AH278" s="50">
        <f t="shared" ca="1" si="187"/>
        <v>0.56396543707750535</v>
      </c>
      <c r="AI278" s="8">
        <v>1</v>
      </c>
      <c r="AJ278" s="49">
        <f t="shared" ca="1" si="169"/>
        <v>188</v>
      </c>
      <c r="AL278" s="50">
        <f t="shared" ca="1" si="188"/>
        <v>0.75244423438645691</v>
      </c>
      <c r="AM278" s="8">
        <v>1</v>
      </c>
      <c r="AN278" s="49">
        <f t="shared" ca="1" si="170"/>
        <v>174</v>
      </c>
      <c r="AP278" s="50">
        <f t="shared" ca="1" si="189"/>
        <v>0.48501297366420804</v>
      </c>
      <c r="AQ278" s="8">
        <v>1</v>
      </c>
      <c r="AR278" s="49">
        <f t="shared" ca="1" si="171"/>
        <v>215</v>
      </c>
      <c r="AT278" s="50">
        <f t="shared" ca="1" si="190"/>
        <v>0.39887025318661984</v>
      </c>
      <c r="AU278" s="8">
        <v>1</v>
      </c>
      <c r="AV278" s="49">
        <f t="shared" ca="1" si="172"/>
        <v>179</v>
      </c>
      <c r="AX278" s="50">
        <f t="shared" ca="1" si="191"/>
        <v>0.48615177754941907</v>
      </c>
      <c r="AY278" s="8">
        <v>1</v>
      </c>
      <c r="AZ278" s="49">
        <f t="shared" ca="1" si="173"/>
        <v>179</v>
      </c>
      <c r="BB278" s="50">
        <f t="shared" ca="1" si="192"/>
        <v>0.29846767396617568</v>
      </c>
      <c r="BC278" s="8">
        <v>1</v>
      </c>
      <c r="BD278" s="49">
        <f t="shared" ca="1" si="174"/>
        <v>138</v>
      </c>
      <c r="BF278" s="50">
        <f t="shared" ca="1" si="193"/>
        <v>0.5116936261397308</v>
      </c>
      <c r="BG278" s="8">
        <v>1</v>
      </c>
      <c r="BH278" s="49">
        <f t="shared" ca="1" si="175"/>
        <v>166</v>
      </c>
      <c r="BJ278" s="50">
        <f t="shared" ca="1" si="194"/>
        <v>0.25059099670236717</v>
      </c>
      <c r="BK278" s="8">
        <v>1</v>
      </c>
      <c r="BL278" s="49">
        <f t="shared" ca="1" si="176"/>
        <v>108</v>
      </c>
      <c r="BN278" s="50">
        <f t="shared" ca="1" si="195"/>
        <v>0.68464640473014948</v>
      </c>
      <c r="BO278" s="8">
        <v>1</v>
      </c>
      <c r="BP278" s="49">
        <f t="shared" ca="1" si="177"/>
        <v>196</v>
      </c>
      <c r="BR278" s="50">
        <f t="shared" ca="1" si="196"/>
        <v>4.6032394484520123E-2</v>
      </c>
      <c r="BS278" s="8">
        <v>1</v>
      </c>
      <c r="BT278" s="49">
        <f t="shared" ca="1" si="178"/>
        <v>102</v>
      </c>
    </row>
    <row r="279" spans="1:72" x14ac:dyDescent="0.2">
      <c r="A279" s="22">
        <v>44826</v>
      </c>
      <c r="B279" s="50">
        <f t="shared" ca="1" si="179"/>
        <v>0.3747697917793843</v>
      </c>
      <c r="C279" s="8">
        <v>1</v>
      </c>
      <c r="D279" s="49">
        <f t="shared" ca="1" si="161"/>
        <v>94</v>
      </c>
      <c r="F279" s="50">
        <f t="shared" ca="1" si="180"/>
        <v>0.1923537404145208</v>
      </c>
      <c r="G279" s="8">
        <v>1</v>
      </c>
      <c r="H279" s="49">
        <f t="shared" ca="1" si="162"/>
        <v>166</v>
      </c>
      <c r="J279" s="50">
        <f t="shared" ca="1" si="181"/>
        <v>0.9762484749393926</v>
      </c>
      <c r="K279" s="8">
        <v>1</v>
      </c>
      <c r="L279" s="49">
        <f t="shared" ca="1" si="163"/>
        <v>230</v>
      </c>
      <c r="N279" s="50">
        <f t="shared" ca="1" si="182"/>
        <v>4.8595914293400821E-2</v>
      </c>
      <c r="O279" s="8">
        <v>1</v>
      </c>
      <c r="P279" s="49">
        <f t="shared" ca="1" si="164"/>
        <v>128</v>
      </c>
      <c r="R279" s="50">
        <f t="shared" ca="1" si="183"/>
        <v>7.9958361533094546E-3</v>
      </c>
      <c r="S279" s="8">
        <v>1</v>
      </c>
      <c r="T279" s="49">
        <f t="shared" ca="1" si="165"/>
        <v>50</v>
      </c>
      <c r="V279" s="50">
        <f t="shared" ca="1" si="184"/>
        <v>0.54207507302630709</v>
      </c>
      <c r="W279" s="8">
        <v>1</v>
      </c>
      <c r="X279" s="49">
        <f t="shared" ca="1" si="166"/>
        <v>232</v>
      </c>
      <c r="Z279" s="50">
        <f t="shared" ca="1" si="185"/>
        <v>0.4445746865064526</v>
      </c>
      <c r="AA279" s="8">
        <v>1</v>
      </c>
      <c r="AB279" s="49">
        <f t="shared" ca="1" si="167"/>
        <v>260</v>
      </c>
      <c r="AD279" s="50">
        <f t="shared" ca="1" si="186"/>
        <v>0.83849756778231821</v>
      </c>
      <c r="AE279" s="8">
        <v>1</v>
      </c>
      <c r="AF279" s="49">
        <f t="shared" ca="1" si="168"/>
        <v>414</v>
      </c>
      <c r="AH279" s="50">
        <f t="shared" ca="1" si="187"/>
        <v>0.53397692169510935</v>
      </c>
      <c r="AI279" s="8">
        <v>1</v>
      </c>
      <c r="AJ279" s="49">
        <f t="shared" ca="1" si="169"/>
        <v>184</v>
      </c>
      <c r="AL279" s="50">
        <f t="shared" ca="1" si="188"/>
        <v>0.73317111871400775</v>
      </c>
      <c r="AM279" s="8">
        <v>1</v>
      </c>
      <c r="AN279" s="49">
        <f t="shared" ca="1" si="170"/>
        <v>172</v>
      </c>
      <c r="AP279" s="50">
        <f t="shared" ca="1" si="189"/>
        <v>0.22488629135703309</v>
      </c>
      <c r="AQ279" s="8">
        <v>1</v>
      </c>
      <c r="AR279" s="49">
        <f t="shared" ca="1" si="171"/>
        <v>174</v>
      </c>
      <c r="AT279" s="50">
        <f t="shared" ca="1" si="190"/>
        <v>6.8583123166009119E-2</v>
      </c>
      <c r="AU279" s="8">
        <v>1</v>
      </c>
      <c r="AV279" s="49">
        <f t="shared" ca="1" si="172"/>
        <v>116</v>
      </c>
      <c r="AX279" s="50">
        <f t="shared" ca="1" si="191"/>
        <v>0.34474418382552674</v>
      </c>
      <c r="AY279" s="8">
        <v>1</v>
      </c>
      <c r="AZ279" s="49">
        <f t="shared" ca="1" si="173"/>
        <v>161</v>
      </c>
      <c r="BB279" s="50">
        <f t="shared" ca="1" si="192"/>
        <v>0.2157172214448726</v>
      </c>
      <c r="BC279" s="8">
        <v>1</v>
      </c>
      <c r="BD279" s="49">
        <f t="shared" ca="1" si="174"/>
        <v>127</v>
      </c>
      <c r="BF279" s="50">
        <f t="shared" ca="1" si="193"/>
        <v>0.40269089342483744</v>
      </c>
      <c r="BG279" s="8">
        <v>1</v>
      </c>
      <c r="BH279" s="49">
        <f t="shared" ca="1" si="175"/>
        <v>154</v>
      </c>
      <c r="BJ279" s="50">
        <f t="shared" ca="1" si="194"/>
        <v>0.68616476136585758</v>
      </c>
      <c r="BK279" s="8">
        <v>1</v>
      </c>
      <c r="BL279" s="49">
        <f t="shared" ca="1" si="176"/>
        <v>148</v>
      </c>
      <c r="BN279" s="50">
        <f t="shared" ca="1" si="195"/>
        <v>7.3806609528828893E-2</v>
      </c>
      <c r="BO279" s="8">
        <v>1</v>
      </c>
      <c r="BP279" s="49">
        <f t="shared" ca="1" si="177"/>
        <v>107</v>
      </c>
      <c r="BR279" s="50">
        <f t="shared" ca="1" si="196"/>
        <v>0.53249615940804318</v>
      </c>
      <c r="BS279" s="8">
        <v>1</v>
      </c>
      <c r="BT279" s="49">
        <f t="shared" ca="1" si="178"/>
        <v>188</v>
      </c>
    </row>
    <row r="280" spans="1:72" x14ac:dyDescent="0.2">
      <c r="A280" s="22">
        <v>44827</v>
      </c>
      <c r="B280" s="50">
        <f t="shared" ca="1" si="179"/>
        <v>0.33778869634868169</v>
      </c>
      <c r="C280" s="8">
        <v>1</v>
      </c>
      <c r="D280" s="49">
        <f t="shared" ca="1" si="161"/>
        <v>92</v>
      </c>
      <c r="F280" s="50">
        <f t="shared" ca="1" si="180"/>
        <v>0.11056486159552537</v>
      </c>
      <c r="G280" s="8">
        <v>1</v>
      </c>
      <c r="H280" s="49">
        <f t="shared" ca="1" si="162"/>
        <v>146</v>
      </c>
      <c r="J280" s="50">
        <f t="shared" ca="1" si="181"/>
        <v>0.34730765897068683</v>
      </c>
      <c r="K280" s="8">
        <v>1</v>
      </c>
      <c r="L280" s="49">
        <f t="shared" ca="1" si="163"/>
        <v>135</v>
      </c>
      <c r="N280" s="50">
        <f t="shared" ca="1" si="182"/>
        <v>2.6847207542184837E-2</v>
      </c>
      <c r="O280" s="8">
        <v>1</v>
      </c>
      <c r="P280" s="49">
        <f t="shared" ca="1" si="164"/>
        <v>112</v>
      </c>
      <c r="R280" s="50">
        <f t="shared" ca="1" si="183"/>
        <v>0.29302158137631473</v>
      </c>
      <c r="S280" s="8">
        <v>1</v>
      </c>
      <c r="T280" s="49">
        <f t="shared" ca="1" si="165"/>
        <v>119</v>
      </c>
      <c r="V280" s="50">
        <f t="shared" ca="1" si="184"/>
        <v>0.35713117373877257</v>
      </c>
      <c r="W280" s="8">
        <v>1</v>
      </c>
      <c r="X280" s="49">
        <f t="shared" ca="1" si="166"/>
        <v>204</v>
      </c>
      <c r="Z280" s="50">
        <f t="shared" ca="1" si="185"/>
        <v>0.12523961403293449</v>
      </c>
      <c r="AA280" s="8">
        <v>1</v>
      </c>
      <c r="AB280" s="49">
        <f t="shared" ca="1" si="167"/>
        <v>188</v>
      </c>
      <c r="AD280" s="50">
        <f t="shared" ca="1" si="186"/>
        <v>0.84331649054102531</v>
      </c>
      <c r="AE280" s="8">
        <v>1</v>
      </c>
      <c r="AF280" s="49">
        <f t="shared" ca="1" si="168"/>
        <v>415</v>
      </c>
      <c r="AH280" s="50">
        <f t="shared" ca="1" si="187"/>
        <v>0.6243869292082771</v>
      </c>
      <c r="AI280" s="8">
        <v>1</v>
      </c>
      <c r="AJ280" s="49">
        <f t="shared" ca="1" si="169"/>
        <v>196</v>
      </c>
      <c r="AL280" s="50">
        <f t="shared" ca="1" si="188"/>
        <v>0.83527207816410898</v>
      </c>
      <c r="AM280" s="8">
        <v>1</v>
      </c>
      <c r="AN280" s="49">
        <f t="shared" ca="1" si="170"/>
        <v>186</v>
      </c>
      <c r="AP280" s="50">
        <f t="shared" ca="1" si="189"/>
        <v>0.48418161883751931</v>
      </c>
      <c r="AQ280" s="8">
        <v>1</v>
      </c>
      <c r="AR280" s="49">
        <f t="shared" ca="1" si="171"/>
        <v>215</v>
      </c>
      <c r="AT280" s="50">
        <f t="shared" ca="1" si="190"/>
        <v>0.74401205244897994</v>
      </c>
      <c r="AU280" s="8">
        <v>1</v>
      </c>
      <c r="AV280" s="49">
        <f t="shared" ca="1" si="172"/>
        <v>226</v>
      </c>
      <c r="AX280" s="50">
        <f t="shared" ca="1" si="191"/>
        <v>0.91666864999371256</v>
      </c>
      <c r="AY280" s="8">
        <v>1</v>
      </c>
      <c r="AZ280" s="49">
        <f t="shared" ca="1" si="173"/>
        <v>247</v>
      </c>
      <c r="BB280" s="50">
        <f t="shared" ca="1" si="192"/>
        <v>0.17388752218136339</v>
      </c>
      <c r="BC280" s="8">
        <v>1</v>
      </c>
      <c r="BD280" s="49">
        <f t="shared" ca="1" si="174"/>
        <v>120</v>
      </c>
      <c r="BF280" s="50">
        <f t="shared" ca="1" si="193"/>
        <v>0.62843091000693641</v>
      </c>
      <c r="BG280" s="8">
        <v>1</v>
      </c>
      <c r="BH280" s="49">
        <f t="shared" ca="1" si="175"/>
        <v>179</v>
      </c>
      <c r="BJ280" s="50">
        <f t="shared" ca="1" si="194"/>
        <v>0.63627078350890243</v>
      </c>
      <c r="BK280" s="8">
        <v>1</v>
      </c>
      <c r="BL280" s="49">
        <f t="shared" ca="1" si="176"/>
        <v>144</v>
      </c>
      <c r="BN280" s="50">
        <f t="shared" ca="1" si="195"/>
        <v>0.72060675319145917</v>
      </c>
      <c r="BO280" s="8">
        <v>1</v>
      </c>
      <c r="BP280" s="49">
        <f t="shared" ca="1" si="177"/>
        <v>201</v>
      </c>
      <c r="BR280" s="50">
        <f t="shared" ca="1" si="196"/>
        <v>0.50421437346187026</v>
      </c>
      <c r="BS280" s="8">
        <v>1</v>
      </c>
      <c r="BT280" s="49">
        <f t="shared" ca="1" si="178"/>
        <v>184</v>
      </c>
    </row>
    <row r="281" spans="1:72" x14ac:dyDescent="0.2">
      <c r="A281" s="22">
        <v>44828</v>
      </c>
      <c r="B281" s="50">
        <f t="shared" ca="1" si="179"/>
        <v>0.80671994209483777</v>
      </c>
      <c r="C281" s="8">
        <v>1</v>
      </c>
      <c r="D281" s="49">
        <f t="shared" ca="1" si="161"/>
        <v>118</v>
      </c>
      <c r="F281" s="50">
        <f t="shared" ca="1" si="180"/>
        <v>0.97371507627259024</v>
      </c>
      <c r="G281" s="8">
        <v>1</v>
      </c>
      <c r="H281" s="49">
        <f t="shared" ca="1" si="162"/>
        <v>327</v>
      </c>
      <c r="J281" s="50">
        <f t="shared" ca="1" si="181"/>
        <v>0.28798958963045584</v>
      </c>
      <c r="K281" s="8">
        <v>1</v>
      </c>
      <c r="L281" s="49">
        <f t="shared" ca="1" si="163"/>
        <v>128</v>
      </c>
      <c r="N281" s="50">
        <f t="shared" ca="1" si="182"/>
        <v>0.61817892787794571</v>
      </c>
      <c r="O281" s="8">
        <v>1</v>
      </c>
      <c r="P281" s="49">
        <f t="shared" ca="1" si="164"/>
        <v>248</v>
      </c>
      <c r="R281" s="50">
        <f t="shared" ca="1" si="183"/>
        <v>1.769401687696015E-2</v>
      </c>
      <c r="S281" s="8">
        <v>1</v>
      </c>
      <c r="T281" s="49">
        <f t="shared" ca="1" si="165"/>
        <v>61</v>
      </c>
      <c r="V281" s="50">
        <f t="shared" ca="1" si="184"/>
        <v>0.63463702707991165</v>
      </c>
      <c r="W281" s="8">
        <v>1</v>
      </c>
      <c r="X281" s="49">
        <f t="shared" ca="1" si="166"/>
        <v>246</v>
      </c>
      <c r="Z281" s="50">
        <f t="shared" ca="1" si="185"/>
        <v>0.68032436007158914</v>
      </c>
      <c r="AA281" s="8">
        <v>1</v>
      </c>
      <c r="AB281" s="49">
        <f t="shared" ca="1" si="167"/>
        <v>304</v>
      </c>
      <c r="AD281" s="50">
        <f t="shared" ca="1" si="186"/>
        <v>8.9866679268185368E-2</v>
      </c>
      <c r="AE281" s="8">
        <v>1</v>
      </c>
      <c r="AF281" s="49">
        <f t="shared" ca="1" si="168"/>
        <v>211</v>
      </c>
      <c r="AH281" s="50">
        <f t="shared" ca="1" si="187"/>
        <v>0.22983679675978097</v>
      </c>
      <c r="AI281" s="8">
        <v>1</v>
      </c>
      <c r="AJ281" s="49">
        <f t="shared" ca="1" si="169"/>
        <v>145</v>
      </c>
      <c r="AL281" s="50">
        <f t="shared" ca="1" si="188"/>
        <v>0.77454084771855813</v>
      </c>
      <c r="AM281" s="8">
        <v>1</v>
      </c>
      <c r="AN281" s="49">
        <f t="shared" ca="1" si="170"/>
        <v>177</v>
      </c>
      <c r="AP281" s="50">
        <f t="shared" ca="1" si="189"/>
        <v>0.48864766409165572</v>
      </c>
      <c r="AQ281" s="8">
        <v>1</v>
      </c>
      <c r="AR281" s="49">
        <f t="shared" ca="1" si="171"/>
        <v>216</v>
      </c>
      <c r="AT281" s="50">
        <f t="shared" ca="1" si="190"/>
        <v>0.86442860634868279</v>
      </c>
      <c r="AU281" s="8">
        <v>1</v>
      </c>
      <c r="AV281" s="49">
        <f t="shared" ca="1" si="172"/>
        <v>248</v>
      </c>
      <c r="AX281" s="50">
        <f t="shared" ca="1" si="191"/>
        <v>0.8856464209895023</v>
      </c>
      <c r="AY281" s="8">
        <v>1</v>
      </c>
      <c r="AZ281" s="49">
        <f t="shared" ca="1" si="173"/>
        <v>238</v>
      </c>
      <c r="BB281" s="50">
        <f t="shared" ca="1" si="192"/>
        <v>0.33793590254626815</v>
      </c>
      <c r="BC281" s="8">
        <v>1</v>
      </c>
      <c r="BD281" s="49">
        <f t="shared" ca="1" si="174"/>
        <v>142</v>
      </c>
      <c r="BF281" s="50">
        <f t="shared" ca="1" si="193"/>
        <v>0.49424319257800076</v>
      </c>
      <c r="BG281" s="8">
        <v>1</v>
      </c>
      <c r="BH281" s="49">
        <f t="shared" ca="1" si="175"/>
        <v>164</v>
      </c>
      <c r="BJ281" s="50">
        <f t="shared" ca="1" si="194"/>
        <v>0.91036307220713708</v>
      </c>
      <c r="BK281" s="8">
        <v>1</v>
      </c>
      <c r="BL281" s="49">
        <f t="shared" ca="1" si="176"/>
        <v>178</v>
      </c>
      <c r="BN281" s="50">
        <f t="shared" ca="1" si="195"/>
        <v>0.47585340037421042</v>
      </c>
      <c r="BO281" s="8">
        <v>1</v>
      </c>
      <c r="BP281" s="49">
        <f t="shared" ca="1" si="177"/>
        <v>171</v>
      </c>
      <c r="BR281" s="50">
        <f t="shared" ca="1" si="196"/>
        <v>0.61001581676669903</v>
      </c>
      <c r="BS281" s="8">
        <v>1</v>
      </c>
      <c r="BT281" s="49">
        <f t="shared" ca="1" si="178"/>
        <v>198</v>
      </c>
    </row>
    <row r="282" spans="1:72" x14ac:dyDescent="0.2">
      <c r="A282" s="22">
        <v>44829</v>
      </c>
      <c r="B282" s="50">
        <f t="shared" ca="1" si="179"/>
        <v>0.12111066378852309</v>
      </c>
      <c r="C282" s="8">
        <v>1</v>
      </c>
      <c r="D282" s="49">
        <f t="shared" ca="1" si="161"/>
        <v>77</v>
      </c>
      <c r="F282" s="50">
        <f t="shared" ca="1" si="180"/>
        <v>0.65789842804448362</v>
      </c>
      <c r="G282" s="8">
        <v>1</v>
      </c>
      <c r="H282" s="49">
        <f t="shared" ca="1" si="162"/>
        <v>239</v>
      </c>
      <c r="J282" s="50">
        <f t="shared" ca="1" si="181"/>
        <v>0.29022272659821158</v>
      </c>
      <c r="K282" s="8">
        <v>1</v>
      </c>
      <c r="L282" s="49">
        <f t="shared" ca="1" si="163"/>
        <v>128</v>
      </c>
      <c r="N282" s="50">
        <f t="shared" ca="1" si="182"/>
        <v>9.9594772801395837E-2</v>
      </c>
      <c r="O282" s="8">
        <v>1</v>
      </c>
      <c r="P282" s="49">
        <f t="shared" ca="1" si="164"/>
        <v>151</v>
      </c>
      <c r="R282" s="50">
        <f t="shared" ca="1" si="183"/>
        <v>8.8655235576897695E-3</v>
      </c>
      <c r="S282" s="8">
        <v>1</v>
      </c>
      <c r="T282" s="49">
        <f t="shared" ca="1" si="165"/>
        <v>52</v>
      </c>
      <c r="V282" s="50">
        <f t="shared" ca="1" si="184"/>
        <v>0.58931800572612503</v>
      </c>
      <c r="W282" s="8">
        <v>1</v>
      </c>
      <c r="X282" s="49">
        <f t="shared" ca="1" si="166"/>
        <v>239</v>
      </c>
      <c r="Z282" s="50">
        <f t="shared" ca="1" si="185"/>
        <v>0.67241944919578966</v>
      </c>
      <c r="AA282" s="8">
        <v>1</v>
      </c>
      <c r="AB282" s="49">
        <f t="shared" ca="1" si="167"/>
        <v>303</v>
      </c>
      <c r="AD282" s="50">
        <f t="shared" ca="1" si="186"/>
        <v>0.26645884930266595</v>
      </c>
      <c r="AE282" s="8">
        <v>1</v>
      </c>
      <c r="AF282" s="49">
        <f t="shared" ca="1" si="168"/>
        <v>273</v>
      </c>
      <c r="AH282" s="50">
        <f t="shared" ca="1" si="187"/>
        <v>2.1099639488371902E-2</v>
      </c>
      <c r="AI282" s="8">
        <v>1</v>
      </c>
      <c r="AJ282" s="49">
        <f t="shared" ca="1" si="169"/>
        <v>83</v>
      </c>
      <c r="AL282" s="50">
        <f t="shared" ca="1" si="188"/>
        <v>0.16362834197137954</v>
      </c>
      <c r="AM282" s="8">
        <v>1</v>
      </c>
      <c r="AN282" s="49">
        <f t="shared" ca="1" si="170"/>
        <v>109</v>
      </c>
      <c r="AP282" s="50">
        <f t="shared" ca="1" si="189"/>
        <v>0.8215359634052305</v>
      </c>
      <c r="AQ282" s="8">
        <v>1</v>
      </c>
      <c r="AR282" s="49">
        <f t="shared" ca="1" si="171"/>
        <v>270</v>
      </c>
      <c r="AT282" s="50">
        <f t="shared" ca="1" si="190"/>
        <v>0.32360476570859598</v>
      </c>
      <c r="AU282" s="8">
        <v>1</v>
      </c>
      <c r="AV282" s="49">
        <f t="shared" ca="1" si="172"/>
        <v>169</v>
      </c>
      <c r="AX282" s="50">
        <f t="shared" ca="1" si="191"/>
        <v>0.5052605688799523</v>
      </c>
      <c r="AY282" s="8">
        <v>1</v>
      </c>
      <c r="AZ282" s="49">
        <f t="shared" ca="1" si="173"/>
        <v>181</v>
      </c>
      <c r="BB282" s="50">
        <f t="shared" ca="1" si="192"/>
        <v>0.98098119389519189</v>
      </c>
      <c r="BC282" s="8">
        <v>1</v>
      </c>
      <c r="BD282" s="49">
        <f t="shared" ca="1" si="174"/>
        <v>248</v>
      </c>
      <c r="BF282" s="50">
        <f t="shared" ca="1" si="193"/>
        <v>0.81045279193591513</v>
      </c>
      <c r="BG282" s="8">
        <v>1</v>
      </c>
      <c r="BH282" s="49">
        <f t="shared" ca="1" si="175"/>
        <v>204</v>
      </c>
      <c r="BJ282" s="50">
        <f t="shared" ca="1" si="194"/>
        <v>0.57568843094826472</v>
      </c>
      <c r="BK282" s="8">
        <v>1</v>
      </c>
      <c r="BL282" s="49">
        <f t="shared" ca="1" si="176"/>
        <v>138</v>
      </c>
      <c r="BN282" s="50">
        <f t="shared" ca="1" si="195"/>
        <v>0.59249922415594292</v>
      </c>
      <c r="BO282" s="8">
        <v>1</v>
      </c>
      <c r="BP282" s="49">
        <f t="shared" ca="1" si="177"/>
        <v>185</v>
      </c>
      <c r="BR282" s="50">
        <f t="shared" ca="1" si="196"/>
        <v>0.81518009321742646</v>
      </c>
      <c r="BS282" s="8">
        <v>1</v>
      </c>
      <c r="BT282" s="49">
        <f t="shared" ca="1" si="178"/>
        <v>228</v>
      </c>
    </row>
    <row r="283" spans="1:72" x14ac:dyDescent="0.2">
      <c r="A283" s="22">
        <v>44830</v>
      </c>
      <c r="B283" s="50">
        <f t="shared" ca="1" si="179"/>
        <v>7.937773959954042E-2</v>
      </c>
      <c r="C283" s="8">
        <v>1</v>
      </c>
      <c r="D283" s="49">
        <f t="shared" ca="1" si="161"/>
        <v>72</v>
      </c>
      <c r="F283" s="50">
        <f t="shared" ca="1" si="180"/>
        <v>0.61124381708975273</v>
      </c>
      <c r="G283" s="8">
        <v>1</v>
      </c>
      <c r="H283" s="49">
        <f t="shared" ca="1" si="162"/>
        <v>232</v>
      </c>
      <c r="J283" s="50">
        <f t="shared" ca="1" si="181"/>
        <v>0.67369911188023834</v>
      </c>
      <c r="K283" s="8">
        <v>1</v>
      </c>
      <c r="L283" s="49">
        <f t="shared" ca="1" si="163"/>
        <v>169</v>
      </c>
      <c r="N283" s="50">
        <f t="shared" ca="1" si="182"/>
        <v>0.48777682829824676</v>
      </c>
      <c r="O283" s="8">
        <v>1</v>
      </c>
      <c r="P283" s="49">
        <f t="shared" ca="1" si="164"/>
        <v>228</v>
      </c>
      <c r="R283" s="50">
        <f t="shared" ca="1" si="183"/>
        <v>0.26657887795333424</v>
      </c>
      <c r="S283" s="8">
        <v>1</v>
      </c>
      <c r="T283" s="49">
        <f t="shared" ca="1" si="165"/>
        <v>116</v>
      </c>
      <c r="V283" s="50">
        <f t="shared" ca="1" si="184"/>
        <v>0.99100058243514033</v>
      </c>
      <c r="W283" s="8">
        <v>1</v>
      </c>
      <c r="X283" s="49">
        <f t="shared" ca="1" si="166"/>
        <v>367</v>
      </c>
      <c r="Z283" s="50">
        <f t="shared" ca="1" si="185"/>
        <v>0.30856124922069772</v>
      </c>
      <c r="AA283" s="8">
        <v>1</v>
      </c>
      <c r="AB283" s="49">
        <f t="shared" ca="1" si="167"/>
        <v>235</v>
      </c>
      <c r="AD283" s="50">
        <f t="shared" ca="1" si="186"/>
        <v>0.79045119070529812</v>
      </c>
      <c r="AE283" s="8">
        <v>1</v>
      </c>
      <c r="AF283" s="49">
        <f t="shared" ca="1" si="168"/>
        <v>398</v>
      </c>
      <c r="AH283" s="50">
        <f t="shared" ca="1" si="187"/>
        <v>0.39933325754595139</v>
      </c>
      <c r="AI283" s="8">
        <v>1</v>
      </c>
      <c r="AJ283" s="49">
        <f t="shared" ca="1" si="169"/>
        <v>168</v>
      </c>
      <c r="AL283" s="50">
        <f t="shared" ca="1" si="188"/>
        <v>0.65160683753001059</v>
      </c>
      <c r="AM283" s="8">
        <v>1</v>
      </c>
      <c r="AN283" s="49">
        <f t="shared" ca="1" si="170"/>
        <v>163</v>
      </c>
      <c r="AP283" s="50">
        <f t="shared" ca="1" si="189"/>
        <v>0.69572268420620376</v>
      </c>
      <c r="AQ283" s="8">
        <v>1</v>
      </c>
      <c r="AR283" s="49">
        <f t="shared" ca="1" si="171"/>
        <v>247</v>
      </c>
      <c r="AT283" s="50">
        <f t="shared" ca="1" si="190"/>
        <v>0.85726775403826438</v>
      </c>
      <c r="AU283" s="8">
        <v>1</v>
      </c>
      <c r="AV283" s="49">
        <f t="shared" ca="1" si="172"/>
        <v>247</v>
      </c>
      <c r="AX283" s="50">
        <f t="shared" ca="1" si="191"/>
        <v>5.7133398526545198E-2</v>
      </c>
      <c r="AY283" s="8">
        <v>1</v>
      </c>
      <c r="AZ283" s="49">
        <f t="shared" ca="1" si="173"/>
        <v>105</v>
      </c>
      <c r="BB283" s="50">
        <f t="shared" ca="1" si="192"/>
        <v>0.89549777562474142</v>
      </c>
      <c r="BC283" s="8">
        <v>1</v>
      </c>
      <c r="BD283" s="49">
        <f t="shared" ca="1" si="174"/>
        <v>214</v>
      </c>
      <c r="BF283" s="50">
        <f t="shared" ca="1" si="193"/>
        <v>0.21736099307985435</v>
      </c>
      <c r="BG283" s="8">
        <v>1</v>
      </c>
      <c r="BH283" s="49">
        <f t="shared" ca="1" si="175"/>
        <v>131</v>
      </c>
      <c r="BJ283" s="50">
        <f t="shared" ca="1" si="194"/>
        <v>0.60962781662683074</v>
      </c>
      <c r="BK283" s="8">
        <v>1</v>
      </c>
      <c r="BL283" s="49">
        <f t="shared" ca="1" si="176"/>
        <v>141</v>
      </c>
      <c r="BN283" s="50">
        <f t="shared" ca="1" si="195"/>
        <v>0.82338062417469371</v>
      </c>
      <c r="BO283" s="8">
        <v>1</v>
      </c>
      <c r="BP283" s="49">
        <f t="shared" ca="1" si="177"/>
        <v>217</v>
      </c>
      <c r="BR283" s="50">
        <f t="shared" ca="1" si="196"/>
        <v>0.98323663249471205</v>
      </c>
      <c r="BS283" s="8">
        <v>1</v>
      </c>
      <c r="BT283" s="49">
        <f t="shared" ca="1" si="178"/>
        <v>288</v>
      </c>
    </row>
    <row r="284" spans="1:72" x14ac:dyDescent="0.2">
      <c r="A284" s="22">
        <v>44831</v>
      </c>
      <c r="B284" s="50">
        <f t="shared" ca="1" si="179"/>
        <v>0.83478596369695846</v>
      </c>
      <c r="C284" s="8">
        <v>1</v>
      </c>
      <c r="D284" s="49">
        <f t="shared" ca="1" si="161"/>
        <v>120</v>
      </c>
      <c r="F284" s="50">
        <f t="shared" ca="1" si="180"/>
        <v>0.4235954550331178</v>
      </c>
      <c r="G284" s="8">
        <v>1</v>
      </c>
      <c r="H284" s="49">
        <f t="shared" ca="1" si="162"/>
        <v>205</v>
      </c>
      <c r="J284" s="50">
        <f t="shared" ca="1" si="181"/>
        <v>0.63576052817077022</v>
      </c>
      <c r="K284" s="8">
        <v>1</v>
      </c>
      <c r="L284" s="49">
        <f t="shared" ca="1" si="163"/>
        <v>164</v>
      </c>
      <c r="N284" s="50">
        <f t="shared" ca="1" si="182"/>
        <v>0.23862838846312462</v>
      </c>
      <c r="O284" s="8">
        <v>1</v>
      </c>
      <c r="P284" s="49">
        <f t="shared" ca="1" si="164"/>
        <v>186</v>
      </c>
      <c r="R284" s="50">
        <f t="shared" ca="1" si="183"/>
        <v>0.53718196913670868</v>
      </c>
      <c r="S284" s="8">
        <v>1</v>
      </c>
      <c r="T284" s="49">
        <f t="shared" ca="1" si="165"/>
        <v>143</v>
      </c>
      <c r="V284" s="50">
        <f t="shared" ca="1" si="184"/>
        <v>0.73089516399630139</v>
      </c>
      <c r="W284" s="8">
        <v>1</v>
      </c>
      <c r="X284" s="49">
        <f t="shared" ca="1" si="166"/>
        <v>262</v>
      </c>
      <c r="Z284" s="50">
        <f t="shared" ca="1" si="185"/>
        <v>0.98795171568723195</v>
      </c>
      <c r="AA284" s="8">
        <v>1</v>
      </c>
      <c r="AB284" s="49">
        <f t="shared" ca="1" si="167"/>
        <v>433</v>
      </c>
      <c r="AD284" s="50">
        <f t="shared" ca="1" si="186"/>
        <v>0.17258974973859742</v>
      </c>
      <c r="AE284" s="8">
        <v>1</v>
      </c>
      <c r="AF284" s="49">
        <f t="shared" ca="1" si="168"/>
        <v>245</v>
      </c>
      <c r="AH284" s="50">
        <f t="shared" ca="1" si="187"/>
        <v>0.14717060409467642</v>
      </c>
      <c r="AI284" s="8">
        <v>1</v>
      </c>
      <c r="AJ284" s="49">
        <f t="shared" ca="1" si="169"/>
        <v>130</v>
      </c>
      <c r="AL284" s="50">
        <f t="shared" ca="1" si="188"/>
        <v>0.70526619095112075</v>
      </c>
      <c r="AM284" s="8">
        <v>1</v>
      </c>
      <c r="AN284" s="49">
        <f t="shared" ca="1" si="170"/>
        <v>169</v>
      </c>
      <c r="AP284" s="50">
        <f t="shared" ca="1" si="189"/>
        <v>0.93924805220307173</v>
      </c>
      <c r="AQ284" s="8">
        <v>1</v>
      </c>
      <c r="AR284" s="49">
        <f t="shared" ca="1" si="171"/>
        <v>307</v>
      </c>
      <c r="AT284" s="50">
        <f t="shared" ca="1" si="190"/>
        <v>0.1928299993108441</v>
      </c>
      <c r="AU284" s="8">
        <v>1</v>
      </c>
      <c r="AV284" s="49">
        <f t="shared" ca="1" si="172"/>
        <v>148</v>
      </c>
      <c r="AX284" s="50">
        <f t="shared" ca="1" si="191"/>
        <v>0.66853176586941865</v>
      </c>
      <c r="AY284" s="8">
        <v>1</v>
      </c>
      <c r="AZ284" s="49">
        <f t="shared" ca="1" si="173"/>
        <v>201</v>
      </c>
      <c r="BB284" s="50">
        <f t="shared" ca="1" si="192"/>
        <v>0.32217287510351</v>
      </c>
      <c r="BC284" s="8">
        <v>1</v>
      </c>
      <c r="BD284" s="49">
        <f t="shared" ca="1" si="174"/>
        <v>140</v>
      </c>
      <c r="BF284" s="50">
        <f t="shared" ca="1" si="193"/>
        <v>0.52542265730483806</v>
      </c>
      <c r="BG284" s="8">
        <v>1</v>
      </c>
      <c r="BH284" s="49">
        <f t="shared" ca="1" si="175"/>
        <v>168</v>
      </c>
      <c r="BJ284" s="50">
        <f t="shared" ca="1" si="194"/>
        <v>0.5843421927727126</v>
      </c>
      <c r="BK284" s="8">
        <v>1</v>
      </c>
      <c r="BL284" s="49">
        <f t="shared" ca="1" si="176"/>
        <v>139</v>
      </c>
      <c r="BN284" s="50">
        <f t="shared" ca="1" si="195"/>
        <v>0.14809013097885648</v>
      </c>
      <c r="BO284" s="8">
        <v>1</v>
      </c>
      <c r="BP284" s="49">
        <f t="shared" ca="1" si="177"/>
        <v>126</v>
      </c>
      <c r="BR284" s="50">
        <f t="shared" ca="1" si="196"/>
        <v>0.11805853883372919</v>
      </c>
      <c r="BS284" s="8">
        <v>1</v>
      </c>
      <c r="BT284" s="49">
        <f t="shared" ca="1" si="178"/>
        <v>126</v>
      </c>
    </row>
    <row r="285" spans="1:72" x14ac:dyDescent="0.2">
      <c r="A285" s="22">
        <v>44832</v>
      </c>
      <c r="B285" s="50">
        <f t="shared" ca="1" si="179"/>
        <v>0.6302734063260832</v>
      </c>
      <c r="C285" s="8">
        <v>1</v>
      </c>
      <c r="D285" s="49">
        <f t="shared" ca="1" si="161"/>
        <v>107</v>
      </c>
      <c r="F285" s="50">
        <f t="shared" ca="1" si="180"/>
        <v>3.3374657530207408E-2</v>
      </c>
      <c r="G285" s="8">
        <v>1</v>
      </c>
      <c r="H285" s="49">
        <f t="shared" ca="1" si="162"/>
        <v>111</v>
      </c>
      <c r="J285" s="50">
        <f t="shared" ca="1" si="181"/>
        <v>0.92268605521943015</v>
      </c>
      <c r="K285" s="8">
        <v>1</v>
      </c>
      <c r="L285" s="49">
        <f t="shared" ca="1" si="163"/>
        <v>207</v>
      </c>
      <c r="N285" s="50">
        <f t="shared" ca="1" si="182"/>
        <v>0.65147066747756988</v>
      </c>
      <c r="O285" s="8">
        <v>1</v>
      </c>
      <c r="P285" s="49">
        <f t="shared" ca="1" si="164"/>
        <v>254</v>
      </c>
      <c r="R285" s="50">
        <f t="shared" ca="1" si="183"/>
        <v>0.65925754747201493</v>
      </c>
      <c r="S285" s="8">
        <v>1</v>
      </c>
      <c r="T285" s="49">
        <f t="shared" ca="1" si="165"/>
        <v>154</v>
      </c>
      <c r="V285" s="50">
        <f t="shared" ca="1" si="184"/>
        <v>0.7958542013950306</v>
      </c>
      <c r="W285" s="8">
        <v>1</v>
      </c>
      <c r="X285" s="49">
        <f t="shared" ca="1" si="166"/>
        <v>275</v>
      </c>
      <c r="Z285" s="50">
        <f t="shared" ca="1" si="185"/>
        <v>0.79661810488639784</v>
      </c>
      <c r="AA285" s="8">
        <v>1</v>
      </c>
      <c r="AB285" s="49">
        <f t="shared" ca="1" si="167"/>
        <v>330</v>
      </c>
      <c r="AD285" s="50">
        <f t="shared" ca="1" si="186"/>
        <v>1.8896102400303594E-2</v>
      </c>
      <c r="AE285" s="8">
        <v>1</v>
      </c>
      <c r="AF285" s="49">
        <f t="shared" ca="1" si="168"/>
        <v>146</v>
      </c>
      <c r="AH285" s="50">
        <f t="shared" ca="1" si="187"/>
        <v>0.27744401793064888</v>
      </c>
      <c r="AI285" s="8">
        <v>1</v>
      </c>
      <c r="AJ285" s="49">
        <f t="shared" ca="1" si="169"/>
        <v>152</v>
      </c>
      <c r="AL285" s="50">
        <f t="shared" ca="1" si="188"/>
        <v>0.64367947178810103</v>
      </c>
      <c r="AM285" s="8">
        <v>1</v>
      </c>
      <c r="AN285" s="49">
        <f t="shared" ca="1" si="170"/>
        <v>162</v>
      </c>
      <c r="AP285" s="50">
        <f t="shared" ca="1" si="189"/>
        <v>0.29396092621005188</v>
      </c>
      <c r="AQ285" s="8">
        <v>1</v>
      </c>
      <c r="AR285" s="49">
        <f t="shared" ca="1" si="171"/>
        <v>186</v>
      </c>
      <c r="AT285" s="50">
        <f t="shared" ca="1" si="190"/>
        <v>0.50849575633851662</v>
      </c>
      <c r="AU285" s="8">
        <v>1</v>
      </c>
      <c r="AV285" s="49">
        <f t="shared" ca="1" si="172"/>
        <v>193</v>
      </c>
      <c r="AX285" s="50">
        <f t="shared" ca="1" si="191"/>
        <v>4.9993515161758095E-3</v>
      </c>
      <c r="AY285" s="8">
        <v>1</v>
      </c>
      <c r="AZ285" s="49">
        <f t="shared" ca="1" si="173"/>
        <v>57</v>
      </c>
      <c r="BB285" s="50">
        <f t="shared" ca="1" si="192"/>
        <v>0.14981591754026524</v>
      </c>
      <c r="BC285" s="8">
        <v>1</v>
      </c>
      <c r="BD285" s="49">
        <f t="shared" ca="1" si="174"/>
        <v>116</v>
      </c>
      <c r="BF285" s="50">
        <f t="shared" ca="1" si="193"/>
        <v>0.29292427100627438</v>
      </c>
      <c r="BG285" s="8">
        <v>1</v>
      </c>
      <c r="BH285" s="49">
        <f t="shared" ca="1" si="175"/>
        <v>141</v>
      </c>
      <c r="BJ285" s="50">
        <f t="shared" ca="1" si="194"/>
        <v>0.30675284855309837</v>
      </c>
      <c r="BK285" s="8">
        <v>1</v>
      </c>
      <c r="BL285" s="49">
        <f t="shared" ca="1" si="176"/>
        <v>114</v>
      </c>
      <c r="BN285" s="50">
        <f t="shared" ca="1" si="195"/>
        <v>0.18050054955747896</v>
      </c>
      <c r="BO285" s="8">
        <v>1</v>
      </c>
      <c r="BP285" s="49">
        <f t="shared" ca="1" si="177"/>
        <v>132</v>
      </c>
      <c r="BR285" s="50">
        <f t="shared" ca="1" si="196"/>
        <v>0.4904101522090476</v>
      </c>
      <c r="BS285" s="8">
        <v>1</v>
      </c>
      <c r="BT285" s="49">
        <f t="shared" ca="1" si="178"/>
        <v>183</v>
      </c>
    </row>
    <row r="286" spans="1:72" x14ac:dyDescent="0.2">
      <c r="A286" s="22">
        <v>44833</v>
      </c>
      <c r="B286" s="50">
        <f t="shared" ca="1" si="179"/>
        <v>0.80475218363792123</v>
      </c>
      <c r="C286" s="8">
        <v>1</v>
      </c>
      <c r="D286" s="49">
        <f t="shared" ca="1" si="161"/>
        <v>118</v>
      </c>
      <c r="F286" s="50">
        <f t="shared" ca="1" si="180"/>
        <v>0.65844548172239381</v>
      </c>
      <c r="G286" s="8">
        <v>1</v>
      </c>
      <c r="H286" s="49">
        <f t="shared" ca="1" si="162"/>
        <v>239</v>
      </c>
      <c r="J286" s="50">
        <f t="shared" ca="1" si="181"/>
        <v>3.3109672894601538E-2</v>
      </c>
      <c r="K286" s="8">
        <v>1</v>
      </c>
      <c r="L286" s="49">
        <f t="shared" ca="1" si="163"/>
        <v>77</v>
      </c>
      <c r="N286" s="50">
        <f t="shared" ca="1" si="182"/>
        <v>0.702448325233337</v>
      </c>
      <c r="O286" s="8">
        <v>1</v>
      </c>
      <c r="P286" s="49">
        <f t="shared" ca="1" si="164"/>
        <v>262</v>
      </c>
      <c r="R286" s="50">
        <f t="shared" ca="1" si="183"/>
        <v>0.4294693372729036</v>
      </c>
      <c r="S286" s="8">
        <v>1</v>
      </c>
      <c r="T286" s="49">
        <f t="shared" ca="1" si="165"/>
        <v>133</v>
      </c>
      <c r="V286" s="50">
        <f t="shared" ca="1" si="184"/>
        <v>0.58322194680137263</v>
      </c>
      <c r="W286" s="8">
        <v>1</v>
      </c>
      <c r="X286" s="49">
        <f t="shared" ca="1" si="166"/>
        <v>238</v>
      </c>
      <c r="Z286" s="50">
        <f t="shared" ca="1" si="185"/>
        <v>0.69398204225092353</v>
      </c>
      <c r="AA286" s="8">
        <v>1</v>
      </c>
      <c r="AB286" s="49">
        <f t="shared" ca="1" si="167"/>
        <v>307</v>
      </c>
      <c r="AD286" s="50">
        <f t="shared" ca="1" si="186"/>
        <v>0.39628835625553449</v>
      </c>
      <c r="AE286" s="8">
        <v>1</v>
      </c>
      <c r="AF286" s="49">
        <f t="shared" ca="1" si="168"/>
        <v>305</v>
      </c>
      <c r="AH286" s="50">
        <f t="shared" ca="1" si="187"/>
        <v>0.63469540865653939</v>
      </c>
      <c r="AI286" s="8">
        <v>1</v>
      </c>
      <c r="AJ286" s="49">
        <f t="shared" ca="1" si="169"/>
        <v>197</v>
      </c>
      <c r="AL286" s="50">
        <f t="shared" ca="1" si="188"/>
        <v>0.17257765006701653</v>
      </c>
      <c r="AM286" s="8">
        <v>1</v>
      </c>
      <c r="AN286" s="49">
        <f t="shared" ca="1" si="170"/>
        <v>111</v>
      </c>
      <c r="AP286" s="50">
        <f t="shared" ca="1" si="189"/>
        <v>0.72681332432631107</v>
      </c>
      <c r="AQ286" s="8">
        <v>1</v>
      </c>
      <c r="AR286" s="49">
        <f t="shared" ca="1" si="171"/>
        <v>252</v>
      </c>
      <c r="AT286" s="50">
        <f t="shared" ca="1" si="190"/>
        <v>0.10924056787013425</v>
      </c>
      <c r="AU286" s="8">
        <v>1</v>
      </c>
      <c r="AV286" s="49">
        <f t="shared" ca="1" si="172"/>
        <v>129</v>
      </c>
      <c r="AX286" s="50">
        <f t="shared" ca="1" si="191"/>
        <v>0.89981308379851377</v>
      </c>
      <c r="AY286" s="8">
        <v>1</v>
      </c>
      <c r="AZ286" s="49">
        <f t="shared" ca="1" si="173"/>
        <v>242</v>
      </c>
      <c r="BB286" s="50">
        <f t="shared" ca="1" si="192"/>
        <v>5.4331784526092664E-2</v>
      </c>
      <c r="BC286" s="8">
        <v>1</v>
      </c>
      <c r="BD286" s="49">
        <f t="shared" ca="1" si="174"/>
        <v>92</v>
      </c>
      <c r="BF286" s="50">
        <f t="shared" ca="1" si="193"/>
        <v>0.44489474079753566</v>
      </c>
      <c r="BG286" s="8">
        <v>1</v>
      </c>
      <c r="BH286" s="49">
        <f t="shared" ca="1" si="175"/>
        <v>159</v>
      </c>
      <c r="BJ286" s="50">
        <f t="shared" ca="1" si="194"/>
        <v>0.23124013392430121</v>
      </c>
      <c r="BK286" s="8">
        <v>1</v>
      </c>
      <c r="BL286" s="49">
        <f t="shared" ca="1" si="176"/>
        <v>106</v>
      </c>
      <c r="BN286" s="50">
        <f t="shared" ca="1" si="195"/>
        <v>0.15478675740627734</v>
      </c>
      <c r="BO286" s="8">
        <v>1</v>
      </c>
      <c r="BP286" s="49">
        <f t="shared" ca="1" si="177"/>
        <v>127</v>
      </c>
      <c r="BR286" s="50">
        <f t="shared" ca="1" si="196"/>
        <v>0.70565711206210668</v>
      </c>
      <c r="BS286" s="8">
        <v>1</v>
      </c>
      <c r="BT286" s="49">
        <f t="shared" ca="1" si="178"/>
        <v>210</v>
      </c>
    </row>
    <row r="287" spans="1:72" x14ac:dyDescent="0.2">
      <c r="A287" s="22">
        <v>44834</v>
      </c>
      <c r="B287" s="50">
        <f t="shared" ca="1" si="179"/>
        <v>0.83288320722269438</v>
      </c>
      <c r="C287" s="8">
        <v>1</v>
      </c>
      <c r="D287" s="49">
        <f t="shared" ca="1" si="161"/>
        <v>120</v>
      </c>
      <c r="F287" s="50">
        <f t="shared" ca="1" si="180"/>
        <v>6.4430288255779233E-2</v>
      </c>
      <c r="G287" s="8">
        <v>1</v>
      </c>
      <c r="H287" s="49">
        <f t="shared" ca="1" si="162"/>
        <v>129</v>
      </c>
      <c r="J287" s="50">
        <f t="shared" ca="1" si="181"/>
        <v>0.92524832158292492</v>
      </c>
      <c r="K287" s="8">
        <v>1</v>
      </c>
      <c r="L287" s="49">
        <f t="shared" ca="1" si="163"/>
        <v>208</v>
      </c>
      <c r="N287" s="50">
        <f t="shared" ca="1" si="182"/>
        <v>0.88890678737258422</v>
      </c>
      <c r="O287" s="8">
        <v>1</v>
      </c>
      <c r="P287" s="49">
        <f t="shared" ca="1" si="164"/>
        <v>305</v>
      </c>
      <c r="R287" s="50">
        <f t="shared" ca="1" si="183"/>
        <v>0.43405239877304047</v>
      </c>
      <c r="S287" s="8">
        <v>1</v>
      </c>
      <c r="T287" s="49">
        <f t="shared" ca="1" si="165"/>
        <v>133</v>
      </c>
      <c r="V287" s="50">
        <f t="shared" ca="1" si="184"/>
        <v>5.6029088274876959E-2</v>
      </c>
      <c r="W287" s="8">
        <v>1</v>
      </c>
      <c r="X287" s="49">
        <f t="shared" ca="1" si="166"/>
        <v>130</v>
      </c>
      <c r="Z287" s="50">
        <f t="shared" ca="1" si="185"/>
        <v>0.36535082247381145</v>
      </c>
      <c r="AA287" s="8">
        <v>1</v>
      </c>
      <c r="AB287" s="49">
        <f t="shared" ca="1" si="167"/>
        <v>246</v>
      </c>
      <c r="AD287" s="50">
        <f t="shared" ca="1" si="186"/>
        <v>0.6292235276702226</v>
      </c>
      <c r="AE287" s="8">
        <v>1</v>
      </c>
      <c r="AF287" s="49">
        <f t="shared" ca="1" si="168"/>
        <v>356</v>
      </c>
      <c r="AH287" s="50">
        <f t="shared" ca="1" si="187"/>
        <v>0.87107321069507515</v>
      </c>
      <c r="AI287" s="8">
        <v>1</v>
      </c>
      <c r="AJ287" s="49">
        <f t="shared" ca="1" si="169"/>
        <v>235</v>
      </c>
      <c r="AL287" s="50">
        <f t="shared" ca="1" si="188"/>
        <v>0.85834440816789492</v>
      </c>
      <c r="AM287" s="8">
        <v>1</v>
      </c>
      <c r="AN287" s="49">
        <f t="shared" ca="1" si="170"/>
        <v>190</v>
      </c>
      <c r="AP287" s="50">
        <f t="shared" ca="1" si="189"/>
        <v>0.68891639837246377</v>
      </c>
      <c r="AQ287" s="8">
        <v>1</v>
      </c>
      <c r="AR287" s="49">
        <f t="shared" ca="1" si="171"/>
        <v>246</v>
      </c>
      <c r="AT287" s="50">
        <f t="shared" ca="1" si="190"/>
        <v>0.2009010732454084</v>
      </c>
      <c r="AU287" s="8">
        <v>1</v>
      </c>
      <c r="AV287" s="49">
        <f t="shared" ca="1" si="172"/>
        <v>149</v>
      </c>
      <c r="AX287" s="50">
        <f t="shared" ca="1" si="191"/>
        <v>0.24570652573092189</v>
      </c>
      <c r="AY287" s="8">
        <v>1</v>
      </c>
      <c r="AZ287" s="49">
        <f t="shared" ca="1" si="173"/>
        <v>147</v>
      </c>
      <c r="BB287" s="50">
        <f t="shared" ca="1" si="192"/>
        <v>0.10106187596777216</v>
      </c>
      <c r="BC287" s="8">
        <v>1</v>
      </c>
      <c r="BD287" s="49">
        <f t="shared" ca="1" si="174"/>
        <v>106</v>
      </c>
      <c r="BF287" s="50">
        <f t="shared" ca="1" si="193"/>
        <v>0.7310391251433408</v>
      </c>
      <c r="BG287" s="8">
        <v>1</v>
      </c>
      <c r="BH287" s="49">
        <f t="shared" ca="1" si="175"/>
        <v>192</v>
      </c>
      <c r="BJ287" s="50">
        <f t="shared" ca="1" si="194"/>
        <v>0.24570238163909486</v>
      </c>
      <c r="BK287" s="8">
        <v>1</v>
      </c>
      <c r="BL287" s="49">
        <f t="shared" ca="1" si="176"/>
        <v>107</v>
      </c>
      <c r="BN287" s="50">
        <f t="shared" ca="1" si="195"/>
        <v>0.44068348821198589</v>
      </c>
      <c r="BO287" s="8">
        <v>1</v>
      </c>
      <c r="BP287" s="49">
        <f t="shared" ca="1" si="177"/>
        <v>167</v>
      </c>
      <c r="BR287" s="50">
        <f t="shared" ca="1" si="196"/>
        <v>0.80881132508134157</v>
      </c>
      <c r="BS287" s="8">
        <v>1</v>
      </c>
      <c r="BT287" s="49">
        <f t="shared" ca="1" si="178"/>
        <v>227</v>
      </c>
    </row>
    <row r="288" spans="1:72" x14ac:dyDescent="0.2">
      <c r="A288" s="22">
        <v>44835</v>
      </c>
      <c r="B288" s="50">
        <f t="shared" ca="1" si="179"/>
        <v>0.28062295355075373</v>
      </c>
      <c r="C288" s="8">
        <v>1</v>
      </c>
      <c r="D288" s="49">
        <f t="shared" ca="1" si="161"/>
        <v>89</v>
      </c>
      <c r="F288" s="50">
        <f t="shared" ca="1" si="180"/>
        <v>0.69379914511152463</v>
      </c>
      <c r="G288" s="8">
        <v>1</v>
      </c>
      <c r="H288" s="49">
        <f t="shared" ca="1" si="162"/>
        <v>245</v>
      </c>
      <c r="J288" s="50">
        <f t="shared" ca="1" si="181"/>
        <v>0.598596603712931</v>
      </c>
      <c r="K288" s="8">
        <v>1</v>
      </c>
      <c r="L288" s="49">
        <f t="shared" ca="1" si="163"/>
        <v>160</v>
      </c>
      <c r="N288" s="50">
        <f t="shared" ca="1" si="182"/>
        <v>0.14865629254934543</v>
      </c>
      <c r="O288" s="8">
        <v>1</v>
      </c>
      <c r="P288" s="49">
        <f t="shared" ca="1" si="164"/>
        <v>166</v>
      </c>
      <c r="R288" s="50">
        <f t="shared" ca="1" si="183"/>
        <v>0.43311977742775343</v>
      </c>
      <c r="S288" s="8">
        <v>1</v>
      </c>
      <c r="T288" s="49">
        <f t="shared" ca="1" si="165"/>
        <v>133</v>
      </c>
      <c r="V288" s="50">
        <f t="shared" ca="1" si="184"/>
        <v>0.23287981365432475</v>
      </c>
      <c r="W288" s="8">
        <v>1</v>
      </c>
      <c r="X288" s="49">
        <f t="shared" ca="1" si="166"/>
        <v>182</v>
      </c>
      <c r="Z288" s="50">
        <f t="shared" ca="1" si="185"/>
        <v>5.6142289766322073E-2</v>
      </c>
      <c r="AA288" s="8">
        <v>1</v>
      </c>
      <c r="AB288" s="49">
        <f t="shared" ca="1" si="167"/>
        <v>156</v>
      </c>
      <c r="AD288" s="50">
        <f t="shared" ca="1" si="186"/>
        <v>0.14173552068610107</v>
      </c>
      <c r="AE288" s="8">
        <v>1</v>
      </c>
      <c r="AF288" s="49">
        <f t="shared" ca="1" si="168"/>
        <v>234</v>
      </c>
      <c r="AH288" s="50">
        <f t="shared" ca="1" si="187"/>
        <v>0.78876361641939818</v>
      </c>
      <c r="AI288" s="8">
        <v>1</v>
      </c>
      <c r="AJ288" s="49">
        <f t="shared" ca="1" si="169"/>
        <v>219</v>
      </c>
      <c r="AL288" s="50">
        <f t="shared" ca="1" si="188"/>
        <v>0.53734935697759034</v>
      </c>
      <c r="AM288" s="8">
        <v>1</v>
      </c>
      <c r="AN288" s="49">
        <f t="shared" ca="1" si="170"/>
        <v>151</v>
      </c>
      <c r="AP288" s="50">
        <f t="shared" ca="1" si="189"/>
        <v>0.51488045147581318</v>
      </c>
      <c r="AQ288" s="8">
        <v>1</v>
      </c>
      <c r="AR288" s="49">
        <f t="shared" ca="1" si="171"/>
        <v>219</v>
      </c>
      <c r="AT288" s="50">
        <f t="shared" ca="1" si="190"/>
        <v>0.48744914671985518</v>
      </c>
      <c r="AU288" s="8">
        <v>1</v>
      </c>
      <c r="AV288" s="49">
        <f t="shared" ca="1" si="172"/>
        <v>191</v>
      </c>
      <c r="AX288" s="50">
        <f t="shared" ca="1" si="191"/>
        <v>0.78172601861058477</v>
      </c>
      <c r="AY288" s="8">
        <v>1</v>
      </c>
      <c r="AZ288" s="49">
        <f t="shared" ca="1" si="173"/>
        <v>218</v>
      </c>
      <c r="BB288" s="50">
        <f t="shared" ca="1" si="192"/>
        <v>0.75263817480091255</v>
      </c>
      <c r="BC288" s="8">
        <v>1</v>
      </c>
      <c r="BD288" s="49">
        <f t="shared" ca="1" si="174"/>
        <v>189</v>
      </c>
      <c r="BF288" s="50">
        <f t="shared" ca="1" si="193"/>
        <v>0.51798777327774237</v>
      </c>
      <c r="BG288" s="8">
        <v>1</v>
      </c>
      <c r="BH288" s="49">
        <f t="shared" ca="1" si="175"/>
        <v>167</v>
      </c>
      <c r="BJ288" s="50">
        <f t="shared" ca="1" si="194"/>
        <v>0.25091535123646358</v>
      </c>
      <c r="BK288" s="8">
        <v>1</v>
      </c>
      <c r="BL288" s="49">
        <f t="shared" ca="1" si="176"/>
        <v>108</v>
      </c>
      <c r="BN288" s="50">
        <f t="shared" ca="1" si="195"/>
        <v>0.31757299090098423</v>
      </c>
      <c r="BO288" s="8">
        <v>1</v>
      </c>
      <c r="BP288" s="49">
        <f t="shared" ca="1" si="177"/>
        <v>152</v>
      </c>
      <c r="BR288" s="50">
        <f t="shared" ca="1" si="196"/>
        <v>0.94126117044706348</v>
      </c>
      <c r="BS288" s="8">
        <v>1</v>
      </c>
      <c r="BT288" s="49">
        <f t="shared" ca="1" si="178"/>
        <v>261</v>
      </c>
    </row>
    <row r="289" spans="1:72" x14ac:dyDescent="0.2">
      <c r="A289" s="22">
        <v>44836</v>
      </c>
      <c r="B289" s="50">
        <f t="shared" ca="1" si="179"/>
        <v>0.94773665436878329</v>
      </c>
      <c r="C289" s="8">
        <v>1</v>
      </c>
      <c r="D289" s="49">
        <f t="shared" ca="1" si="161"/>
        <v>133</v>
      </c>
      <c r="F289" s="50">
        <f t="shared" ca="1" si="180"/>
        <v>0.24162854928617306</v>
      </c>
      <c r="G289" s="8">
        <v>1</v>
      </c>
      <c r="H289" s="49">
        <f t="shared" ca="1" si="162"/>
        <v>176</v>
      </c>
      <c r="J289" s="50">
        <f t="shared" ca="1" si="181"/>
        <v>0.76663864099854595</v>
      </c>
      <c r="K289" s="8">
        <v>1</v>
      </c>
      <c r="L289" s="49">
        <f t="shared" ca="1" si="163"/>
        <v>180</v>
      </c>
      <c r="N289" s="50">
        <f t="shared" ca="1" si="182"/>
        <v>0.65971022982970595</v>
      </c>
      <c r="O289" s="8">
        <v>1</v>
      </c>
      <c r="P289" s="49">
        <f t="shared" ca="1" si="164"/>
        <v>255</v>
      </c>
      <c r="R289" s="50">
        <f t="shared" ca="1" si="183"/>
        <v>0.13617216919039066</v>
      </c>
      <c r="S289" s="8">
        <v>1</v>
      </c>
      <c r="T289" s="49">
        <f t="shared" ca="1" si="165"/>
        <v>99</v>
      </c>
      <c r="V289" s="50">
        <f t="shared" ca="1" si="184"/>
        <v>0.67552184687173966</v>
      </c>
      <c r="W289" s="8">
        <v>1</v>
      </c>
      <c r="X289" s="49">
        <f t="shared" ca="1" si="166"/>
        <v>253</v>
      </c>
      <c r="Z289" s="50">
        <f t="shared" ca="1" si="185"/>
        <v>0.91759884869343644</v>
      </c>
      <c r="AA289" s="8">
        <v>1</v>
      </c>
      <c r="AB289" s="49">
        <f t="shared" ca="1" si="167"/>
        <v>371</v>
      </c>
      <c r="AD289" s="50">
        <f t="shared" ca="1" si="186"/>
        <v>5.781402887826248E-3</v>
      </c>
      <c r="AE289" s="8">
        <v>1</v>
      </c>
      <c r="AF289" s="49">
        <f t="shared" ca="1" si="168"/>
        <v>107</v>
      </c>
      <c r="AH289" s="50">
        <f t="shared" ca="1" si="187"/>
        <v>0.58340333800030497</v>
      </c>
      <c r="AI289" s="8">
        <v>1</v>
      </c>
      <c r="AJ289" s="49">
        <f t="shared" ca="1" si="169"/>
        <v>190</v>
      </c>
      <c r="AL289" s="50">
        <f t="shared" ca="1" si="188"/>
        <v>4.7063379233196034E-2</v>
      </c>
      <c r="AM289" s="8">
        <v>1</v>
      </c>
      <c r="AN289" s="49">
        <f t="shared" ca="1" si="170"/>
        <v>82</v>
      </c>
      <c r="AP289" s="50">
        <f t="shared" ca="1" si="189"/>
        <v>0.8801150082034499</v>
      </c>
      <c r="AQ289" s="8">
        <v>1</v>
      </c>
      <c r="AR289" s="49">
        <f t="shared" ca="1" si="171"/>
        <v>285</v>
      </c>
      <c r="AT289" s="50">
        <f t="shared" ca="1" si="190"/>
        <v>0.75283601600911376</v>
      </c>
      <c r="AU289" s="8">
        <v>1</v>
      </c>
      <c r="AV289" s="49">
        <f t="shared" ca="1" si="172"/>
        <v>227</v>
      </c>
      <c r="AX289" s="50">
        <f t="shared" ca="1" si="191"/>
        <v>0.28387536333423513</v>
      </c>
      <c r="AY289" s="8">
        <v>1</v>
      </c>
      <c r="AZ289" s="49">
        <f t="shared" ca="1" si="173"/>
        <v>153</v>
      </c>
      <c r="BB289" s="50">
        <f t="shared" ca="1" si="192"/>
        <v>0.37773013530672606</v>
      </c>
      <c r="BC289" s="8">
        <v>1</v>
      </c>
      <c r="BD289" s="49">
        <f t="shared" ca="1" si="174"/>
        <v>147</v>
      </c>
      <c r="BF289" s="50">
        <f t="shared" ca="1" si="193"/>
        <v>0.90948197474805048</v>
      </c>
      <c r="BG289" s="8">
        <v>1</v>
      </c>
      <c r="BH289" s="49">
        <f t="shared" ca="1" si="175"/>
        <v>224</v>
      </c>
      <c r="BJ289" s="50">
        <f t="shared" ca="1" si="194"/>
        <v>8.9707038900912361E-2</v>
      </c>
      <c r="BK289" s="8">
        <v>1</v>
      </c>
      <c r="BL289" s="49">
        <f t="shared" ca="1" si="176"/>
        <v>85</v>
      </c>
      <c r="BN289" s="50">
        <f t="shared" ca="1" si="195"/>
        <v>0.8081928300386737</v>
      </c>
      <c r="BO289" s="8">
        <v>1</v>
      </c>
      <c r="BP289" s="49">
        <f t="shared" ca="1" si="177"/>
        <v>214</v>
      </c>
      <c r="BR289" s="50">
        <f t="shared" ca="1" si="196"/>
        <v>0.21766771922179096</v>
      </c>
      <c r="BS289" s="8">
        <v>1</v>
      </c>
      <c r="BT289" s="49">
        <f t="shared" ca="1" si="178"/>
        <v>146</v>
      </c>
    </row>
    <row r="290" spans="1:72" x14ac:dyDescent="0.2">
      <c r="A290" s="22">
        <v>44837</v>
      </c>
      <c r="B290" s="50">
        <f t="shared" ca="1" si="179"/>
        <v>0.6529716010437373</v>
      </c>
      <c r="C290" s="8">
        <v>1</v>
      </c>
      <c r="D290" s="49">
        <f t="shared" ca="1" si="161"/>
        <v>108</v>
      </c>
      <c r="F290" s="50">
        <f t="shared" ca="1" si="180"/>
        <v>5.3627466045723771E-2</v>
      </c>
      <c r="G290" s="8">
        <v>1</v>
      </c>
      <c r="H290" s="49">
        <f t="shared" ca="1" si="162"/>
        <v>123</v>
      </c>
      <c r="J290" s="50">
        <f t="shared" ca="1" si="181"/>
        <v>0.15984544056100325</v>
      </c>
      <c r="K290" s="8">
        <v>1</v>
      </c>
      <c r="L290" s="49">
        <f t="shared" ca="1" si="163"/>
        <v>111</v>
      </c>
      <c r="N290" s="50">
        <f t="shared" ca="1" si="182"/>
        <v>0.34004989976065758</v>
      </c>
      <c r="O290" s="8">
        <v>1</v>
      </c>
      <c r="P290" s="49">
        <f t="shared" ca="1" si="164"/>
        <v>205</v>
      </c>
      <c r="R290" s="50">
        <f t="shared" ca="1" si="183"/>
        <v>0.31594989028012455</v>
      </c>
      <c r="S290" s="8">
        <v>1</v>
      </c>
      <c r="T290" s="49">
        <f t="shared" ca="1" si="165"/>
        <v>122</v>
      </c>
      <c r="V290" s="50">
        <f t="shared" ca="1" si="184"/>
        <v>0.49727752082496246</v>
      </c>
      <c r="W290" s="8">
        <v>1</v>
      </c>
      <c r="X290" s="49">
        <f t="shared" ca="1" si="166"/>
        <v>225</v>
      </c>
      <c r="Z290" s="50">
        <f t="shared" ca="1" si="185"/>
        <v>0.27406374617961216</v>
      </c>
      <c r="AA290" s="8">
        <v>1</v>
      </c>
      <c r="AB290" s="49">
        <f t="shared" ca="1" si="167"/>
        <v>227</v>
      </c>
      <c r="AD290" s="50">
        <f t="shared" ca="1" si="186"/>
        <v>0.95950804531394673</v>
      </c>
      <c r="AE290" s="8">
        <v>1</v>
      </c>
      <c r="AF290" s="49">
        <f t="shared" ca="1" si="168"/>
        <v>480</v>
      </c>
      <c r="AH290" s="50">
        <f t="shared" ca="1" si="187"/>
        <v>0.25034490416628241</v>
      </c>
      <c r="AI290" s="8">
        <v>1</v>
      </c>
      <c r="AJ290" s="49">
        <f t="shared" ca="1" si="169"/>
        <v>148</v>
      </c>
      <c r="AL290" s="50">
        <f t="shared" ca="1" si="188"/>
        <v>0.79584272864406203</v>
      </c>
      <c r="AM290" s="8">
        <v>1</v>
      </c>
      <c r="AN290" s="49">
        <f t="shared" ca="1" si="170"/>
        <v>180</v>
      </c>
      <c r="AP290" s="50">
        <f t="shared" ca="1" si="189"/>
        <v>0.62581593366715405</v>
      </c>
      <c r="AQ290" s="8">
        <v>1</v>
      </c>
      <c r="AR290" s="49">
        <f t="shared" ca="1" si="171"/>
        <v>236</v>
      </c>
      <c r="AT290" s="50">
        <f t="shared" ca="1" si="190"/>
        <v>0.4713143605963982</v>
      </c>
      <c r="AU290" s="8">
        <v>1</v>
      </c>
      <c r="AV290" s="49">
        <f t="shared" ca="1" si="172"/>
        <v>189</v>
      </c>
      <c r="AX290" s="50">
        <f t="shared" ca="1" si="191"/>
        <v>0.91037655423237462</v>
      </c>
      <c r="AY290" s="8">
        <v>1</v>
      </c>
      <c r="AZ290" s="49">
        <f t="shared" ca="1" si="173"/>
        <v>245</v>
      </c>
      <c r="BB290" s="50">
        <f t="shared" ca="1" si="192"/>
        <v>0.18343308420989035</v>
      </c>
      <c r="BC290" s="8">
        <v>1</v>
      </c>
      <c r="BD290" s="49">
        <f t="shared" ca="1" si="174"/>
        <v>122</v>
      </c>
      <c r="BF290" s="50">
        <f t="shared" ca="1" si="193"/>
        <v>0.36535988223800364</v>
      </c>
      <c r="BG290" s="8">
        <v>1</v>
      </c>
      <c r="BH290" s="49">
        <f t="shared" ca="1" si="175"/>
        <v>150</v>
      </c>
      <c r="BJ290" s="50">
        <f t="shared" ca="1" si="194"/>
        <v>0.69486702786925114</v>
      </c>
      <c r="BK290" s="8">
        <v>1</v>
      </c>
      <c r="BL290" s="49">
        <f t="shared" ca="1" si="176"/>
        <v>149</v>
      </c>
      <c r="BN290" s="50">
        <f t="shared" ca="1" si="195"/>
        <v>0.64820137725318638</v>
      </c>
      <c r="BO290" s="8">
        <v>1</v>
      </c>
      <c r="BP290" s="49">
        <f t="shared" ca="1" si="177"/>
        <v>192</v>
      </c>
      <c r="BR290" s="50">
        <f t="shared" ca="1" si="196"/>
        <v>0.99228054548749611</v>
      </c>
      <c r="BS290" s="8">
        <v>1</v>
      </c>
      <c r="BT290" s="49">
        <f t="shared" ca="1" si="178"/>
        <v>302</v>
      </c>
    </row>
    <row r="291" spans="1:72" x14ac:dyDescent="0.2">
      <c r="A291" s="22">
        <v>44838</v>
      </c>
      <c r="B291" s="50">
        <f t="shared" ca="1" si="179"/>
        <v>0.51425016755580788</v>
      </c>
      <c r="C291" s="8">
        <v>1</v>
      </c>
      <c r="D291" s="49">
        <f t="shared" ca="1" si="161"/>
        <v>101</v>
      </c>
      <c r="F291" s="50">
        <f t="shared" ca="1" si="180"/>
        <v>0.64412672812613925</v>
      </c>
      <c r="G291" s="8">
        <v>1</v>
      </c>
      <c r="H291" s="49">
        <f t="shared" ca="1" si="162"/>
        <v>237</v>
      </c>
      <c r="J291" s="50">
        <f t="shared" ca="1" si="181"/>
        <v>0.54624526682750496</v>
      </c>
      <c r="K291" s="8">
        <v>1</v>
      </c>
      <c r="L291" s="49">
        <f t="shared" ca="1" si="163"/>
        <v>155</v>
      </c>
      <c r="N291" s="50">
        <f t="shared" ca="1" si="182"/>
        <v>0.60617324930722971</v>
      </c>
      <c r="O291" s="8">
        <v>1</v>
      </c>
      <c r="P291" s="49">
        <f t="shared" ca="1" si="164"/>
        <v>246</v>
      </c>
      <c r="R291" s="50">
        <f t="shared" ca="1" si="183"/>
        <v>0.58279866190411733</v>
      </c>
      <c r="S291" s="8">
        <v>1</v>
      </c>
      <c r="T291" s="49">
        <f t="shared" ca="1" si="165"/>
        <v>147</v>
      </c>
      <c r="V291" s="50">
        <f t="shared" ca="1" si="184"/>
        <v>0.40279073680936717</v>
      </c>
      <c r="W291" s="8">
        <v>1</v>
      </c>
      <c r="X291" s="49">
        <f t="shared" ca="1" si="166"/>
        <v>211</v>
      </c>
      <c r="Z291" s="50">
        <f t="shared" ca="1" si="185"/>
        <v>0.36228149913263064</v>
      </c>
      <c r="AA291" s="8">
        <v>1</v>
      </c>
      <c r="AB291" s="49">
        <f t="shared" ca="1" si="167"/>
        <v>245</v>
      </c>
      <c r="AD291" s="50">
        <f t="shared" ca="1" si="186"/>
        <v>9.4754420211662915E-2</v>
      </c>
      <c r="AE291" s="8">
        <v>1</v>
      </c>
      <c r="AF291" s="49">
        <f t="shared" ca="1" si="168"/>
        <v>213</v>
      </c>
      <c r="AH291" s="50">
        <f t="shared" ca="1" si="187"/>
        <v>0.56180705429468669</v>
      </c>
      <c r="AI291" s="8">
        <v>1</v>
      </c>
      <c r="AJ291" s="49">
        <f t="shared" ca="1" si="169"/>
        <v>188</v>
      </c>
      <c r="AL291" s="50">
        <f t="shared" ca="1" si="188"/>
        <v>7.4862141016708517E-2</v>
      </c>
      <c r="AM291" s="8">
        <v>1</v>
      </c>
      <c r="AN291" s="49">
        <f t="shared" ca="1" si="170"/>
        <v>91</v>
      </c>
      <c r="AP291" s="50">
        <f t="shared" ca="1" si="189"/>
        <v>2.5981593449045826E-2</v>
      </c>
      <c r="AQ291" s="8">
        <v>1</v>
      </c>
      <c r="AR291" s="49">
        <f t="shared" ca="1" si="171"/>
        <v>105</v>
      </c>
      <c r="AT291" s="50">
        <f t="shared" ca="1" si="190"/>
        <v>0.96779524779024728</v>
      </c>
      <c r="AU291" s="8">
        <v>1</v>
      </c>
      <c r="AV291" s="49">
        <f t="shared" ca="1" si="172"/>
        <v>287</v>
      </c>
      <c r="AX291" s="50">
        <f t="shared" ca="1" si="191"/>
        <v>0.53450484121933828</v>
      </c>
      <c r="AY291" s="8">
        <v>1</v>
      </c>
      <c r="AZ291" s="49">
        <f t="shared" ca="1" si="173"/>
        <v>185</v>
      </c>
      <c r="BB291" s="50">
        <f t="shared" ca="1" si="192"/>
        <v>0.96573932931775142</v>
      </c>
      <c r="BC291" s="8">
        <v>1</v>
      </c>
      <c r="BD291" s="49">
        <f t="shared" ca="1" si="174"/>
        <v>238</v>
      </c>
      <c r="BF291" s="50">
        <f t="shared" ca="1" si="193"/>
        <v>0.91486153155333882</v>
      </c>
      <c r="BG291" s="8">
        <v>1</v>
      </c>
      <c r="BH291" s="49">
        <f t="shared" ca="1" si="175"/>
        <v>225</v>
      </c>
      <c r="BJ291" s="50">
        <f t="shared" ca="1" si="194"/>
        <v>0.31411172060603276</v>
      </c>
      <c r="BK291" s="8">
        <v>1</v>
      </c>
      <c r="BL291" s="49">
        <f t="shared" ca="1" si="176"/>
        <v>115</v>
      </c>
      <c r="BN291" s="50">
        <f t="shared" ca="1" si="195"/>
        <v>0.38120003009631009</v>
      </c>
      <c r="BO291" s="8">
        <v>1</v>
      </c>
      <c r="BP291" s="49">
        <f t="shared" ca="1" si="177"/>
        <v>160</v>
      </c>
      <c r="BR291" s="50">
        <f t="shared" ca="1" si="196"/>
        <v>0.72415001034544668</v>
      </c>
      <c r="BS291" s="8">
        <v>1</v>
      </c>
      <c r="BT291" s="49">
        <f t="shared" ca="1" si="178"/>
        <v>213</v>
      </c>
    </row>
    <row r="292" spans="1:72" x14ac:dyDescent="0.2">
      <c r="A292" s="22">
        <v>44839</v>
      </c>
      <c r="B292" s="50">
        <f t="shared" ca="1" si="179"/>
        <v>0.2580245690152535</v>
      </c>
      <c r="C292" s="8">
        <v>1</v>
      </c>
      <c r="D292" s="49">
        <f t="shared" ca="1" si="161"/>
        <v>88</v>
      </c>
      <c r="F292" s="50">
        <f t="shared" ca="1" si="180"/>
        <v>0.2276951234094664</v>
      </c>
      <c r="G292" s="8">
        <v>1</v>
      </c>
      <c r="H292" s="49">
        <f t="shared" ca="1" si="162"/>
        <v>173</v>
      </c>
      <c r="J292" s="50">
        <f t="shared" ca="1" si="181"/>
        <v>0.2150648188987021</v>
      </c>
      <c r="K292" s="8">
        <v>1</v>
      </c>
      <c r="L292" s="49">
        <f t="shared" ca="1" si="163"/>
        <v>119</v>
      </c>
      <c r="N292" s="50">
        <f t="shared" ca="1" si="182"/>
        <v>0.52618510856210643</v>
      </c>
      <c r="O292" s="8">
        <v>1</v>
      </c>
      <c r="P292" s="49">
        <f t="shared" ca="1" si="164"/>
        <v>234</v>
      </c>
      <c r="R292" s="50">
        <f t="shared" ca="1" si="183"/>
        <v>0.22834032909788426</v>
      </c>
      <c r="S292" s="8">
        <v>1</v>
      </c>
      <c r="T292" s="49">
        <f t="shared" ca="1" si="165"/>
        <v>112</v>
      </c>
      <c r="V292" s="50">
        <f t="shared" ca="1" si="184"/>
        <v>0.34146507610341581</v>
      </c>
      <c r="W292" s="8">
        <v>1</v>
      </c>
      <c r="X292" s="49">
        <f t="shared" ca="1" si="166"/>
        <v>201</v>
      </c>
      <c r="Z292" s="50">
        <f t="shared" ca="1" si="185"/>
        <v>0.12617079959422672</v>
      </c>
      <c r="AA292" s="8">
        <v>1</v>
      </c>
      <c r="AB292" s="49">
        <f t="shared" ca="1" si="167"/>
        <v>188</v>
      </c>
      <c r="AD292" s="50">
        <f t="shared" ca="1" si="186"/>
        <v>0.96450216695866708</v>
      </c>
      <c r="AE292" s="8">
        <v>1</v>
      </c>
      <c r="AF292" s="49">
        <f t="shared" ca="1" si="168"/>
        <v>485</v>
      </c>
      <c r="AH292" s="50">
        <f t="shared" ca="1" si="187"/>
        <v>9.947569408973711E-2</v>
      </c>
      <c r="AI292" s="8">
        <v>1</v>
      </c>
      <c r="AJ292" s="49">
        <f t="shared" ca="1" si="169"/>
        <v>119</v>
      </c>
      <c r="AL292" s="50">
        <f t="shared" ca="1" si="188"/>
        <v>0.3888572158084489</v>
      </c>
      <c r="AM292" s="8">
        <v>1</v>
      </c>
      <c r="AN292" s="49">
        <f t="shared" ca="1" si="170"/>
        <v>137</v>
      </c>
      <c r="AP292" s="50">
        <f t="shared" ca="1" si="189"/>
        <v>8.3118586825203122E-2</v>
      </c>
      <c r="AQ292" s="8">
        <v>1</v>
      </c>
      <c r="AR292" s="49">
        <f t="shared" ca="1" si="171"/>
        <v>137</v>
      </c>
      <c r="AT292" s="50">
        <f t="shared" ca="1" si="190"/>
        <v>0.17436271963910088</v>
      </c>
      <c r="AU292" s="8">
        <v>1</v>
      </c>
      <c r="AV292" s="49">
        <f t="shared" ca="1" si="172"/>
        <v>144</v>
      </c>
      <c r="AX292" s="50">
        <f t="shared" ca="1" si="191"/>
        <v>0.73083351755455384</v>
      </c>
      <c r="AY292" s="8">
        <v>1</v>
      </c>
      <c r="AZ292" s="49">
        <f t="shared" ca="1" si="173"/>
        <v>210</v>
      </c>
      <c r="BB292" s="50">
        <f t="shared" ca="1" si="192"/>
        <v>0.522205096547676</v>
      </c>
      <c r="BC292" s="8">
        <v>1</v>
      </c>
      <c r="BD292" s="49">
        <f t="shared" ca="1" si="174"/>
        <v>162</v>
      </c>
      <c r="BF292" s="50">
        <f t="shared" ca="1" si="193"/>
        <v>0.69503196746135587</v>
      </c>
      <c r="BG292" s="8">
        <v>1</v>
      </c>
      <c r="BH292" s="49">
        <f t="shared" ca="1" si="175"/>
        <v>187</v>
      </c>
      <c r="BJ292" s="50">
        <f t="shared" ca="1" si="194"/>
        <v>0.56866116280016898</v>
      </c>
      <c r="BK292" s="8">
        <v>1</v>
      </c>
      <c r="BL292" s="49">
        <f t="shared" ca="1" si="176"/>
        <v>137</v>
      </c>
      <c r="BN292" s="50">
        <f t="shared" ca="1" si="195"/>
        <v>0.29050112790455707</v>
      </c>
      <c r="BO292" s="8">
        <v>1</v>
      </c>
      <c r="BP292" s="49">
        <f t="shared" ca="1" si="177"/>
        <v>149</v>
      </c>
      <c r="BR292" s="50">
        <f t="shared" ca="1" si="196"/>
        <v>3.2416954209529725E-2</v>
      </c>
      <c r="BS292" s="8">
        <v>1</v>
      </c>
      <c r="BT292" s="49">
        <f t="shared" ca="1" si="178"/>
        <v>94</v>
      </c>
    </row>
    <row r="293" spans="1:72" x14ac:dyDescent="0.2">
      <c r="A293" s="22">
        <v>44840</v>
      </c>
      <c r="B293" s="50">
        <f t="shared" ca="1" si="179"/>
        <v>0.68418530453856752</v>
      </c>
      <c r="C293" s="8">
        <v>1</v>
      </c>
      <c r="D293" s="49">
        <f t="shared" ca="1" si="161"/>
        <v>110</v>
      </c>
      <c r="F293" s="50">
        <f t="shared" ca="1" si="180"/>
        <v>0.59314948965131897</v>
      </c>
      <c r="G293" s="8">
        <v>1</v>
      </c>
      <c r="H293" s="49">
        <f t="shared" ca="1" si="162"/>
        <v>229</v>
      </c>
      <c r="J293" s="50">
        <f t="shared" ca="1" si="181"/>
        <v>0.9558403151472844</v>
      </c>
      <c r="K293" s="8">
        <v>1</v>
      </c>
      <c r="L293" s="49">
        <f t="shared" ca="1" si="163"/>
        <v>219</v>
      </c>
      <c r="N293" s="50">
        <f t="shared" ca="1" si="182"/>
        <v>0.45680400056576453</v>
      </c>
      <c r="O293" s="8">
        <v>1</v>
      </c>
      <c r="P293" s="49">
        <f t="shared" ca="1" si="164"/>
        <v>223</v>
      </c>
      <c r="R293" s="50">
        <f t="shared" ca="1" si="183"/>
        <v>0.78087527353332642</v>
      </c>
      <c r="S293" s="8">
        <v>1</v>
      </c>
      <c r="T293" s="49">
        <f t="shared" ca="1" si="165"/>
        <v>168</v>
      </c>
      <c r="V293" s="50">
        <f t="shared" ca="1" si="184"/>
        <v>0.30223291083978465</v>
      </c>
      <c r="W293" s="8">
        <v>1</v>
      </c>
      <c r="X293" s="49">
        <f t="shared" ca="1" si="166"/>
        <v>194</v>
      </c>
      <c r="Z293" s="50">
        <f t="shared" ca="1" si="185"/>
        <v>0.18692685833191514</v>
      </c>
      <c r="AA293" s="8">
        <v>1</v>
      </c>
      <c r="AB293" s="49">
        <f t="shared" ca="1" si="167"/>
        <v>206</v>
      </c>
      <c r="AD293" s="50">
        <f t="shared" ca="1" si="186"/>
        <v>0.94762088361346186</v>
      </c>
      <c r="AE293" s="8">
        <v>1</v>
      </c>
      <c r="AF293" s="49">
        <f t="shared" ca="1" si="168"/>
        <v>469</v>
      </c>
      <c r="AH293" s="50">
        <f t="shared" ca="1" si="187"/>
        <v>0.74793134294030061</v>
      </c>
      <c r="AI293" s="8">
        <v>1</v>
      </c>
      <c r="AJ293" s="49">
        <f t="shared" ca="1" si="169"/>
        <v>212</v>
      </c>
      <c r="AL293" s="50">
        <f t="shared" ca="1" si="188"/>
        <v>0.86164666942628421</v>
      </c>
      <c r="AM293" s="8">
        <v>1</v>
      </c>
      <c r="AN293" s="49">
        <f t="shared" ca="1" si="170"/>
        <v>190</v>
      </c>
      <c r="AP293" s="50">
        <f t="shared" ca="1" si="189"/>
        <v>0.68984441559709353</v>
      </c>
      <c r="AQ293" s="8">
        <v>1</v>
      </c>
      <c r="AR293" s="49">
        <f t="shared" ca="1" si="171"/>
        <v>246</v>
      </c>
      <c r="AT293" s="50">
        <f t="shared" ca="1" si="190"/>
        <v>0.6977480592241414</v>
      </c>
      <c r="AU293" s="8">
        <v>1</v>
      </c>
      <c r="AV293" s="49">
        <f t="shared" ca="1" si="172"/>
        <v>219</v>
      </c>
      <c r="AX293" s="50">
        <f t="shared" ca="1" si="191"/>
        <v>0.31574031986338469</v>
      </c>
      <c r="AY293" s="8">
        <v>1</v>
      </c>
      <c r="AZ293" s="49">
        <f t="shared" ca="1" si="173"/>
        <v>157</v>
      </c>
      <c r="BB293" s="50">
        <f t="shared" ca="1" si="192"/>
        <v>0.92631495710531653</v>
      </c>
      <c r="BC293" s="8">
        <v>1</v>
      </c>
      <c r="BD293" s="49">
        <f t="shared" ca="1" si="174"/>
        <v>222</v>
      </c>
      <c r="BF293" s="50">
        <f t="shared" ca="1" si="193"/>
        <v>0.55739556450674488</v>
      </c>
      <c r="BG293" s="8">
        <v>1</v>
      </c>
      <c r="BH293" s="49">
        <f t="shared" ca="1" si="175"/>
        <v>171</v>
      </c>
      <c r="BJ293" s="50">
        <f t="shared" ca="1" si="194"/>
        <v>0.42350559905351925</v>
      </c>
      <c r="BK293" s="8">
        <v>1</v>
      </c>
      <c r="BL293" s="49">
        <f t="shared" ca="1" si="176"/>
        <v>125</v>
      </c>
      <c r="BN293" s="50">
        <f t="shared" ca="1" si="195"/>
        <v>0.50842281273565548</v>
      </c>
      <c r="BO293" s="8">
        <v>1</v>
      </c>
      <c r="BP293" s="49">
        <f t="shared" ca="1" si="177"/>
        <v>175</v>
      </c>
      <c r="BR293" s="50">
        <f t="shared" ca="1" si="196"/>
        <v>0.10135112860459894</v>
      </c>
      <c r="BS293" s="8">
        <v>1</v>
      </c>
      <c r="BT293" s="49">
        <f t="shared" ca="1" si="178"/>
        <v>122</v>
      </c>
    </row>
    <row r="294" spans="1:72" x14ac:dyDescent="0.2">
      <c r="A294" s="22">
        <v>44841</v>
      </c>
      <c r="B294" s="50">
        <f t="shared" ca="1" si="179"/>
        <v>0.78029676747664933</v>
      </c>
      <c r="C294" s="8">
        <v>1</v>
      </c>
      <c r="D294" s="49">
        <f t="shared" ca="1" si="161"/>
        <v>116</v>
      </c>
      <c r="F294" s="50">
        <f t="shared" ca="1" si="180"/>
        <v>0.6773346115478559</v>
      </c>
      <c r="G294" s="8">
        <v>1</v>
      </c>
      <c r="H294" s="49">
        <f t="shared" ca="1" si="162"/>
        <v>242</v>
      </c>
      <c r="J294" s="50">
        <f t="shared" ca="1" si="181"/>
        <v>0.10423745386193484</v>
      </c>
      <c r="K294" s="8">
        <v>1</v>
      </c>
      <c r="L294" s="49">
        <f t="shared" ca="1" si="163"/>
        <v>100</v>
      </c>
      <c r="N294" s="50">
        <f t="shared" ca="1" si="182"/>
        <v>0.61170328097876547</v>
      </c>
      <c r="O294" s="8">
        <v>1</v>
      </c>
      <c r="P294" s="49">
        <f t="shared" ca="1" si="164"/>
        <v>247</v>
      </c>
      <c r="R294" s="50">
        <f t="shared" ca="1" si="183"/>
        <v>0.59055887169072441</v>
      </c>
      <c r="S294" s="8">
        <v>1</v>
      </c>
      <c r="T294" s="49">
        <f t="shared" ca="1" si="165"/>
        <v>148</v>
      </c>
      <c r="V294" s="50">
        <f t="shared" ca="1" si="184"/>
        <v>0.50700475534819833</v>
      </c>
      <c r="W294" s="8">
        <v>1</v>
      </c>
      <c r="X294" s="49">
        <f t="shared" ca="1" si="166"/>
        <v>227</v>
      </c>
      <c r="Z294" s="50">
        <f t="shared" ca="1" si="185"/>
        <v>0.85806467878454018</v>
      </c>
      <c r="AA294" s="8">
        <v>1</v>
      </c>
      <c r="AB294" s="49">
        <f t="shared" ca="1" si="167"/>
        <v>348</v>
      </c>
      <c r="AD294" s="50">
        <f t="shared" ca="1" si="186"/>
        <v>0.74943992787953184</v>
      </c>
      <c r="AE294" s="8">
        <v>1</v>
      </c>
      <c r="AF294" s="49">
        <f t="shared" ca="1" si="168"/>
        <v>386</v>
      </c>
      <c r="AH294" s="50">
        <f t="shared" ca="1" si="187"/>
        <v>0.22133999406704696</v>
      </c>
      <c r="AI294" s="8">
        <v>1</v>
      </c>
      <c r="AJ294" s="49">
        <f t="shared" ca="1" si="169"/>
        <v>144</v>
      </c>
      <c r="AL294" s="50">
        <f t="shared" ca="1" si="188"/>
        <v>0.90880391909122982</v>
      </c>
      <c r="AM294" s="8">
        <v>1</v>
      </c>
      <c r="AN294" s="49">
        <f t="shared" ca="1" si="170"/>
        <v>200</v>
      </c>
      <c r="AP294" s="50">
        <f t="shared" ca="1" si="189"/>
        <v>0.37740399931527757</v>
      </c>
      <c r="AQ294" s="8">
        <v>1</v>
      </c>
      <c r="AR294" s="49">
        <f t="shared" ca="1" si="171"/>
        <v>199</v>
      </c>
      <c r="AT294" s="50">
        <f t="shared" ca="1" si="190"/>
        <v>0.59604948627319909</v>
      </c>
      <c r="AU294" s="8">
        <v>1</v>
      </c>
      <c r="AV294" s="49">
        <f t="shared" ca="1" si="172"/>
        <v>205</v>
      </c>
      <c r="AX294" s="50">
        <f t="shared" ca="1" si="191"/>
        <v>0.67646139147693751</v>
      </c>
      <c r="AY294" s="8">
        <v>1</v>
      </c>
      <c r="AZ294" s="49">
        <f t="shared" ca="1" si="173"/>
        <v>202</v>
      </c>
      <c r="BB294" s="50">
        <f t="shared" ca="1" si="192"/>
        <v>0.96694068185973447</v>
      </c>
      <c r="BC294" s="8">
        <v>1</v>
      </c>
      <c r="BD294" s="49">
        <f t="shared" ca="1" si="174"/>
        <v>238</v>
      </c>
      <c r="BF294" s="50">
        <f t="shared" ca="1" si="193"/>
        <v>0.25415788938622486</v>
      </c>
      <c r="BG294" s="8">
        <v>1</v>
      </c>
      <c r="BH294" s="49">
        <f t="shared" ca="1" si="175"/>
        <v>136</v>
      </c>
      <c r="BJ294" s="50">
        <f t="shared" ca="1" si="194"/>
        <v>0.72992084019859649</v>
      </c>
      <c r="BK294" s="8">
        <v>1</v>
      </c>
      <c r="BL294" s="49">
        <f t="shared" ca="1" si="176"/>
        <v>153</v>
      </c>
      <c r="BN294" s="50">
        <f t="shared" ca="1" si="195"/>
        <v>9.9604303252358584E-2</v>
      </c>
      <c r="BO294" s="8">
        <v>1</v>
      </c>
      <c r="BP294" s="49">
        <f t="shared" ca="1" si="177"/>
        <v>115</v>
      </c>
      <c r="BR294" s="50">
        <f t="shared" ca="1" si="196"/>
        <v>0.80976523105959664</v>
      </c>
      <c r="BS294" s="8">
        <v>1</v>
      </c>
      <c r="BT294" s="49">
        <f t="shared" ca="1" si="178"/>
        <v>227</v>
      </c>
    </row>
    <row r="295" spans="1:72" x14ac:dyDescent="0.2">
      <c r="A295" s="22">
        <v>44842</v>
      </c>
      <c r="B295" s="50">
        <f t="shared" ca="1" si="179"/>
        <v>0.56517553021778699</v>
      </c>
      <c r="C295" s="8">
        <v>1</v>
      </c>
      <c r="D295" s="49">
        <f t="shared" ca="1" si="161"/>
        <v>104</v>
      </c>
      <c r="F295" s="50">
        <f t="shared" ca="1" si="180"/>
        <v>0.91142645405841571</v>
      </c>
      <c r="G295" s="8">
        <v>1</v>
      </c>
      <c r="H295" s="49">
        <f t="shared" ca="1" si="162"/>
        <v>293</v>
      </c>
      <c r="J295" s="50">
        <f t="shared" ca="1" si="181"/>
        <v>0.32936888344754989</v>
      </c>
      <c r="K295" s="8">
        <v>1</v>
      </c>
      <c r="L295" s="49">
        <f t="shared" ca="1" si="163"/>
        <v>133</v>
      </c>
      <c r="N295" s="50">
        <f t="shared" ca="1" si="182"/>
        <v>0.62530796484934814</v>
      </c>
      <c r="O295" s="8">
        <v>1</v>
      </c>
      <c r="P295" s="49">
        <f t="shared" ca="1" si="164"/>
        <v>249</v>
      </c>
      <c r="R295" s="50">
        <f t="shared" ca="1" si="183"/>
        <v>0.51244457661998399</v>
      </c>
      <c r="S295" s="8">
        <v>1</v>
      </c>
      <c r="T295" s="49">
        <f t="shared" ca="1" si="165"/>
        <v>140</v>
      </c>
      <c r="V295" s="50">
        <f t="shared" ca="1" si="184"/>
        <v>0.51133136603414386</v>
      </c>
      <c r="W295" s="8">
        <v>1</v>
      </c>
      <c r="X295" s="49">
        <f t="shared" ca="1" si="166"/>
        <v>227</v>
      </c>
      <c r="Z295" s="50">
        <f t="shared" ca="1" si="185"/>
        <v>8.0508928244911071E-2</v>
      </c>
      <c r="AA295" s="8">
        <v>1</v>
      </c>
      <c r="AB295" s="49">
        <f t="shared" ca="1" si="167"/>
        <v>170</v>
      </c>
      <c r="AD295" s="50">
        <f t="shared" ca="1" si="186"/>
        <v>0.75626909908290796</v>
      </c>
      <c r="AE295" s="8">
        <v>1</v>
      </c>
      <c r="AF295" s="49">
        <f t="shared" ca="1" si="168"/>
        <v>388</v>
      </c>
      <c r="AH295" s="50">
        <f t="shared" ca="1" si="187"/>
        <v>0.34520854108554366</v>
      </c>
      <c r="AI295" s="8">
        <v>1</v>
      </c>
      <c r="AJ295" s="49">
        <f t="shared" ca="1" si="169"/>
        <v>161</v>
      </c>
      <c r="AL295" s="50">
        <f t="shared" ca="1" si="188"/>
        <v>0.33298165327966645</v>
      </c>
      <c r="AM295" s="8">
        <v>1</v>
      </c>
      <c r="AN295" s="49">
        <f t="shared" ca="1" si="170"/>
        <v>131</v>
      </c>
      <c r="AP295" s="50">
        <f t="shared" ca="1" si="189"/>
        <v>0.71864490776540946</v>
      </c>
      <c r="AQ295" s="8">
        <v>1</v>
      </c>
      <c r="AR295" s="49">
        <f t="shared" ca="1" si="171"/>
        <v>251</v>
      </c>
      <c r="AT295" s="50">
        <f t="shared" ca="1" si="190"/>
        <v>0.15152499123240804</v>
      </c>
      <c r="AU295" s="8">
        <v>1</v>
      </c>
      <c r="AV295" s="49">
        <f t="shared" ca="1" si="172"/>
        <v>140</v>
      </c>
      <c r="AX295" s="50">
        <f t="shared" ca="1" si="191"/>
        <v>0.74889981165084629</v>
      </c>
      <c r="AY295" s="8">
        <v>1</v>
      </c>
      <c r="AZ295" s="49">
        <f t="shared" ca="1" si="173"/>
        <v>213</v>
      </c>
      <c r="BB295" s="50">
        <f t="shared" ca="1" si="192"/>
        <v>0.44961186366169414</v>
      </c>
      <c r="BC295" s="8">
        <v>1</v>
      </c>
      <c r="BD295" s="49">
        <f t="shared" ca="1" si="174"/>
        <v>155</v>
      </c>
      <c r="BF295" s="50">
        <f t="shared" ca="1" si="193"/>
        <v>0.8110058366602908</v>
      </c>
      <c r="BG295" s="8">
        <v>1</v>
      </c>
      <c r="BH295" s="49">
        <f t="shared" ca="1" si="175"/>
        <v>204</v>
      </c>
      <c r="BJ295" s="50">
        <f t="shared" ca="1" si="194"/>
        <v>0.21214791686390977</v>
      </c>
      <c r="BK295" s="8">
        <v>1</v>
      </c>
      <c r="BL295" s="49">
        <f t="shared" ca="1" si="176"/>
        <v>104</v>
      </c>
      <c r="BN295" s="50">
        <f t="shared" ca="1" si="195"/>
        <v>0.22766767955845757</v>
      </c>
      <c r="BO295" s="8">
        <v>1</v>
      </c>
      <c r="BP295" s="49">
        <f t="shared" ca="1" si="177"/>
        <v>139</v>
      </c>
      <c r="BR295" s="50">
        <f t="shared" ca="1" si="196"/>
        <v>0.31354700732232865</v>
      </c>
      <c r="BS295" s="8">
        <v>1</v>
      </c>
      <c r="BT295" s="49">
        <f t="shared" ca="1" si="178"/>
        <v>160</v>
      </c>
    </row>
    <row r="296" spans="1:72" x14ac:dyDescent="0.2">
      <c r="A296" s="22">
        <v>44843</v>
      </c>
      <c r="B296" s="50">
        <f t="shared" ca="1" si="179"/>
        <v>0.30690784365927903</v>
      </c>
      <c r="C296" s="8">
        <v>1</v>
      </c>
      <c r="D296" s="49">
        <f t="shared" ca="1" si="161"/>
        <v>90</v>
      </c>
      <c r="F296" s="50">
        <f t="shared" ca="1" si="180"/>
        <v>0.60766013734087176</v>
      </c>
      <c r="G296" s="8">
        <v>1</v>
      </c>
      <c r="H296" s="49">
        <f t="shared" ca="1" si="162"/>
        <v>232</v>
      </c>
      <c r="J296" s="50">
        <f t="shared" ca="1" si="181"/>
        <v>0.38590361824510255</v>
      </c>
      <c r="K296" s="8">
        <v>1</v>
      </c>
      <c r="L296" s="49">
        <f t="shared" ca="1" si="163"/>
        <v>139</v>
      </c>
      <c r="N296" s="50">
        <f t="shared" ca="1" si="182"/>
        <v>4.6590753356096082E-3</v>
      </c>
      <c r="O296" s="8">
        <v>1</v>
      </c>
      <c r="P296" s="49">
        <f t="shared" ca="1" si="164"/>
        <v>71</v>
      </c>
      <c r="R296" s="50">
        <f t="shared" ca="1" si="183"/>
        <v>0.75634407747841059</v>
      </c>
      <c r="S296" s="8">
        <v>1</v>
      </c>
      <c r="T296" s="49">
        <f t="shared" ca="1" si="165"/>
        <v>165</v>
      </c>
      <c r="V296" s="50">
        <f t="shared" ca="1" si="184"/>
        <v>0.20583377920811508</v>
      </c>
      <c r="W296" s="8">
        <v>1</v>
      </c>
      <c r="X296" s="49">
        <f t="shared" ca="1" si="166"/>
        <v>176</v>
      </c>
      <c r="Z296" s="50">
        <f t="shared" ca="1" si="185"/>
        <v>0.25117937460731155</v>
      </c>
      <c r="AA296" s="8">
        <v>1</v>
      </c>
      <c r="AB296" s="49">
        <f t="shared" ca="1" si="167"/>
        <v>222</v>
      </c>
      <c r="AD296" s="50">
        <f t="shared" ca="1" si="186"/>
        <v>0.13314166446246367</v>
      </c>
      <c r="AE296" s="8">
        <v>1</v>
      </c>
      <c r="AF296" s="49">
        <f t="shared" ca="1" si="168"/>
        <v>231</v>
      </c>
      <c r="AH296" s="50">
        <f t="shared" ca="1" si="187"/>
        <v>0.10277227535361899</v>
      </c>
      <c r="AI296" s="8">
        <v>1</v>
      </c>
      <c r="AJ296" s="49">
        <f t="shared" ca="1" si="169"/>
        <v>120</v>
      </c>
      <c r="AL296" s="50">
        <f t="shared" ca="1" si="188"/>
        <v>0.223750877193158</v>
      </c>
      <c r="AM296" s="8">
        <v>1</v>
      </c>
      <c r="AN296" s="49">
        <f t="shared" ca="1" si="170"/>
        <v>118</v>
      </c>
      <c r="AP296" s="50">
        <f t="shared" ca="1" si="189"/>
        <v>0.77694064961499965</v>
      </c>
      <c r="AQ296" s="8">
        <v>1</v>
      </c>
      <c r="AR296" s="49">
        <f t="shared" ca="1" si="171"/>
        <v>261</v>
      </c>
      <c r="AT296" s="50">
        <f t="shared" ca="1" si="190"/>
        <v>0.70641356194099669</v>
      </c>
      <c r="AU296" s="8">
        <v>1</v>
      </c>
      <c r="AV296" s="49">
        <f t="shared" ca="1" si="172"/>
        <v>220</v>
      </c>
      <c r="AX296" s="50">
        <f t="shared" ca="1" si="191"/>
        <v>0.83962729127300595</v>
      </c>
      <c r="AY296" s="8">
        <v>1</v>
      </c>
      <c r="AZ296" s="49">
        <f t="shared" ca="1" si="173"/>
        <v>228</v>
      </c>
      <c r="BB296" s="50">
        <f t="shared" ca="1" si="192"/>
        <v>0.70576444258535209</v>
      </c>
      <c r="BC296" s="8">
        <v>1</v>
      </c>
      <c r="BD296" s="49">
        <f t="shared" ca="1" si="174"/>
        <v>183</v>
      </c>
      <c r="BF296" s="50">
        <f t="shared" ca="1" si="193"/>
        <v>0.61748545456565362</v>
      </c>
      <c r="BG296" s="8">
        <v>1</v>
      </c>
      <c r="BH296" s="49">
        <f t="shared" ca="1" si="175"/>
        <v>178</v>
      </c>
      <c r="BJ296" s="50">
        <f t="shared" ca="1" si="194"/>
        <v>0.62955670411129894</v>
      </c>
      <c r="BK296" s="8">
        <v>1</v>
      </c>
      <c r="BL296" s="49">
        <f t="shared" ca="1" si="176"/>
        <v>143</v>
      </c>
      <c r="BN296" s="50">
        <f t="shared" ca="1" si="195"/>
        <v>0.20240167511996399</v>
      </c>
      <c r="BO296" s="8">
        <v>1</v>
      </c>
      <c r="BP296" s="49">
        <f t="shared" ca="1" si="177"/>
        <v>135</v>
      </c>
      <c r="BR296" s="50">
        <f t="shared" ca="1" si="196"/>
        <v>0.37434271366763172</v>
      </c>
      <c r="BS296" s="8">
        <v>1</v>
      </c>
      <c r="BT296" s="49">
        <f t="shared" ca="1" si="178"/>
        <v>168</v>
      </c>
    </row>
    <row r="297" spans="1:72" x14ac:dyDescent="0.2">
      <c r="A297" s="22">
        <v>44844</v>
      </c>
      <c r="B297" s="50">
        <f t="shared" ca="1" si="179"/>
        <v>0.29610864472753273</v>
      </c>
      <c r="C297" s="8">
        <v>1</v>
      </c>
      <c r="D297" s="49">
        <f t="shared" ca="1" si="161"/>
        <v>90</v>
      </c>
      <c r="F297" s="50">
        <f t="shared" ca="1" si="180"/>
        <v>0.70090042754812643</v>
      </c>
      <c r="G297" s="8">
        <v>1</v>
      </c>
      <c r="H297" s="49">
        <f t="shared" ca="1" si="162"/>
        <v>246</v>
      </c>
      <c r="J297" s="50">
        <f t="shared" ca="1" si="181"/>
        <v>0.81861944930338471</v>
      </c>
      <c r="K297" s="8">
        <v>1</v>
      </c>
      <c r="L297" s="49">
        <f t="shared" ca="1" si="163"/>
        <v>187</v>
      </c>
      <c r="N297" s="50">
        <f t="shared" ca="1" si="182"/>
        <v>0.20360896721224497</v>
      </c>
      <c r="O297" s="8">
        <v>1</v>
      </c>
      <c r="P297" s="49">
        <f t="shared" ca="1" si="164"/>
        <v>179</v>
      </c>
      <c r="R297" s="50">
        <f t="shared" ca="1" si="183"/>
        <v>0.25728430782869205</v>
      </c>
      <c r="S297" s="8">
        <v>1</v>
      </c>
      <c r="T297" s="49">
        <f t="shared" ca="1" si="165"/>
        <v>115</v>
      </c>
      <c r="V297" s="50">
        <f t="shared" ca="1" si="184"/>
        <v>0.97780457771029816</v>
      </c>
      <c r="W297" s="8">
        <v>1</v>
      </c>
      <c r="X297" s="49">
        <f t="shared" ca="1" si="166"/>
        <v>346</v>
      </c>
      <c r="Z297" s="50">
        <f t="shared" ca="1" si="185"/>
        <v>0.76821251381971178</v>
      </c>
      <c r="AA297" s="8">
        <v>1</v>
      </c>
      <c r="AB297" s="49">
        <f t="shared" ca="1" si="167"/>
        <v>323</v>
      </c>
      <c r="AD297" s="50">
        <f t="shared" ca="1" si="186"/>
        <v>0.21408044500764167</v>
      </c>
      <c r="AE297" s="8">
        <v>1</v>
      </c>
      <c r="AF297" s="49">
        <f t="shared" ca="1" si="168"/>
        <v>258</v>
      </c>
      <c r="AH297" s="50">
        <f t="shared" ca="1" si="187"/>
        <v>0.97605448297735631</v>
      </c>
      <c r="AI297" s="8">
        <v>1</v>
      </c>
      <c r="AJ297" s="49">
        <f t="shared" ca="1" si="169"/>
        <v>275</v>
      </c>
      <c r="AL297" s="50">
        <f t="shared" ca="1" si="188"/>
        <v>0.31651655309875559</v>
      </c>
      <c r="AM297" s="8">
        <v>1</v>
      </c>
      <c r="AN297" s="49">
        <f t="shared" ca="1" si="170"/>
        <v>129</v>
      </c>
      <c r="AP297" s="50">
        <f t="shared" ca="1" si="189"/>
        <v>0.25052367178581914</v>
      </c>
      <c r="AQ297" s="8">
        <v>1</v>
      </c>
      <c r="AR297" s="49">
        <f t="shared" ca="1" si="171"/>
        <v>178</v>
      </c>
      <c r="AT297" s="50">
        <f t="shared" ca="1" si="190"/>
        <v>0.4503052274042102</v>
      </c>
      <c r="AU297" s="8">
        <v>1</v>
      </c>
      <c r="AV297" s="49">
        <f t="shared" ca="1" si="172"/>
        <v>186</v>
      </c>
      <c r="AX297" s="50">
        <f t="shared" ca="1" si="191"/>
        <v>0.45962410864317904</v>
      </c>
      <c r="AY297" s="8">
        <v>1</v>
      </c>
      <c r="AZ297" s="49">
        <f t="shared" ca="1" si="173"/>
        <v>175</v>
      </c>
      <c r="BB297" s="50">
        <f t="shared" ca="1" si="192"/>
        <v>0.34800623830396382</v>
      </c>
      <c r="BC297" s="8">
        <v>1</v>
      </c>
      <c r="BD297" s="49">
        <f t="shared" ca="1" si="174"/>
        <v>143</v>
      </c>
      <c r="BF297" s="50">
        <f t="shared" ca="1" si="193"/>
        <v>0.7263748039308292</v>
      </c>
      <c r="BG297" s="8">
        <v>1</v>
      </c>
      <c r="BH297" s="49">
        <f t="shared" ca="1" si="175"/>
        <v>191</v>
      </c>
      <c r="BJ297" s="50">
        <f t="shared" ca="1" si="194"/>
        <v>0.81603670330432976</v>
      </c>
      <c r="BK297" s="8">
        <v>1</v>
      </c>
      <c r="BL297" s="49">
        <f t="shared" ca="1" si="176"/>
        <v>163</v>
      </c>
      <c r="BN297" s="50">
        <f t="shared" ca="1" si="195"/>
        <v>0.48771480374544796</v>
      </c>
      <c r="BO297" s="8">
        <v>1</v>
      </c>
      <c r="BP297" s="49">
        <f t="shared" ca="1" si="177"/>
        <v>173</v>
      </c>
      <c r="BR297" s="50">
        <f t="shared" ca="1" si="196"/>
        <v>0.77769313257798967</v>
      </c>
      <c r="BS297" s="8">
        <v>1</v>
      </c>
      <c r="BT297" s="49">
        <f t="shared" ca="1" si="178"/>
        <v>221</v>
      </c>
    </row>
    <row r="298" spans="1:72" x14ac:dyDescent="0.2">
      <c r="A298" s="22">
        <v>44845</v>
      </c>
      <c r="B298" s="50">
        <f t="shared" ca="1" si="179"/>
        <v>6.0295729037478263E-2</v>
      </c>
      <c r="C298" s="8">
        <v>1</v>
      </c>
      <c r="D298" s="49">
        <f t="shared" ca="1" si="161"/>
        <v>69</v>
      </c>
      <c r="F298" s="50">
        <f t="shared" ca="1" si="180"/>
        <v>0.53224820010209539</v>
      </c>
      <c r="G298" s="8">
        <v>1</v>
      </c>
      <c r="H298" s="49">
        <f t="shared" ca="1" si="162"/>
        <v>221</v>
      </c>
      <c r="J298" s="50">
        <f t="shared" ca="1" si="181"/>
        <v>0.38846216190536142</v>
      </c>
      <c r="K298" s="8">
        <v>1</v>
      </c>
      <c r="L298" s="49">
        <f t="shared" ca="1" si="163"/>
        <v>139</v>
      </c>
      <c r="N298" s="50">
        <f t="shared" ca="1" si="182"/>
        <v>0.36369675040574634</v>
      </c>
      <c r="O298" s="8">
        <v>1</v>
      </c>
      <c r="P298" s="49">
        <f t="shared" ca="1" si="164"/>
        <v>209</v>
      </c>
      <c r="R298" s="50">
        <f t="shared" ca="1" si="183"/>
        <v>0.64416788172852091</v>
      </c>
      <c r="S298" s="8">
        <v>1</v>
      </c>
      <c r="T298" s="49">
        <f t="shared" ca="1" si="165"/>
        <v>153</v>
      </c>
      <c r="V298" s="50">
        <f t="shared" ca="1" si="184"/>
        <v>0.69952474777979301</v>
      </c>
      <c r="W298" s="8">
        <v>1</v>
      </c>
      <c r="X298" s="49">
        <f t="shared" ca="1" si="166"/>
        <v>257</v>
      </c>
      <c r="Z298" s="50">
        <f t="shared" ca="1" si="185"/>
        <v>0.38003547819906069</v>
      </c>
      <c r="AA298" s="8">
        <v>1</v>
      </c>
      <c r="AB298" s="49">
        <f t="shared" ca="1" si="167"/>
        <v>249</v>
      </c>
      <c r="AD298" s="50">
        <f t="shared" ca="1" si="186"/>
        <v>0.71628594809348567</v>
      </c>
      <c r="AE298" s="8">
        <v>1</v>
      </c>
      <c r="AF298" s="49">
        <f t="shared" ca="1" si="168"/>
        <v>377</v>
      </c>
      <c r="AH298" s="50">
        <f t="shared" ca="1" si="187"/>
        <v>0.40452623619978678</v>
      </c>
      <c r="AI298" s="8">
        <v>1</v>
      </c>
      <c r="AJ298" s="49">
        <f t="shared" ca="1" si="169"/>
        <v>169</v>
      </c>
      <c r="AL298" s="50">
        <f t="shared" ca="1" si="188"/>
        <v>0.95562983393616507</v>
      </c>
      <c r="AM298" s="8">
        <v>1</v>
      </c>
      <c r="AN298" s="49">
        <f t="shared" ca="1" si="170"/>
        <v>214</v>
      </c>
      <c r="AP298" s="50">
        <f t="shared" ca="1" si="189"/>
        <v>0.2231540240599641</v>
      </c>
      <c r="AQ298" s="8">
        <v>1</v>
      </c>
      <c r="AR298" s="49">
        <f t="shared" ca="1" si="171"/>
        <v>173</v>
      </c>
      <c r="AT298" s="50">
        <f t="shared" ca="1" si="190"/>
        <v>0.55418166518894441</v>
      </c>
      <c r="AU298" s="8">
        <v>1</v>
      </c>
      <c r="AV298" s="49">
        <f t="shared" ca="1" si="172"/>
        <v>199</v>
      </c>
      <c r="AX298" s="50">
        <f t="shared" ca="1" si="191"/>
        <v>0.23826405653317739</v>
      </c>
      <c r="AY298" s="8">
        <v>1</v>
      </c>
      <c r="AZ298" s="49">
        <f t="shared" ca="1" si="173"/>
        <v>146</v>
      </c>
      <c r="BB298" s="50">
        <f t="shared" ca="1" si="192"/>
        <v>0.62630618808164806</v>
      </c>
      <c r="BC298" s="8">
        <v>1</v>
      </c>
      <c r="BD298" s="49">
        <f t="shared" ca="1" si="174"/>
        <v>174</v>
      </c>
      <c r="BF298" s="50">
        <f t="shared" ca="1" si="193"/>
        <v>0.41978733246554956</v>
      </c>
      <c r="BG298" s="8">
        <v>1</v>
      </c>
      <c r="BH298" s="49">
        <f t="shared" ca="1" si="175"/>
        <v>156</v>
      </c>
      <c r="BJ298" s="50">
        <f t="shared" ca="1" si="194"/>
        <v>0.37176468190684453</v>
      </c>
      <c r="BK298" s="8">
        <v>1</v>
      </c>
      <c r="BL298" s="49">
        <f t="shared" ca="1" si="176"/>
        <v>120</v>
      </c>
      <c r="BN298" s="50">
        <f t="shared" ca="1" si="195"/>
        <v>0.75992929072397641</v>
      </c>
      <c r="BO298" s="8">
        <v>1</v>
      </c>
      <c r="BP298" s="49">
        <f t="shared" ca="1" si="177"/>
        <v>207</v>
      </c>
      <c r="BR298" s="50">
        <f t="shared" ca="1" si="196"/>
        <v>0.77028221743693881</v>
      </c>
      <c r="BS298" s="8">
        <v>1</v>
      </c>
      <c r="BT298" s="49">
        <f t="shared" ca="1" si="178"/>
        <v>220</v>
      </c>
    </row>
    <row r="299" spans="1:72" x14ac:dyDescent="0.2">
      <c r="A299" s="22">
        <v>44846</v>
      </c>
      <c r="B299" s="50">
        <f t="shared" ca="1" si="179"/>
        <v>0.13021180181288439</v>
      </c>
      <c r="C299" s="8">
        <v>1</v>
      </c>
      <c r="D299" s="49">
        <f t="shared" ca="1" si="161"/>
        <v>78</v>
      </c>
      <c r="F299" s="50">
        <f t="shared" ca="1" si="180"/>
        <v>0.34064116948952938</v>
      </c>
      <c r="G299" s="8">
        <v>1</v>
      </c>
      <c r="H299" s="49">
        <f t="shared" ca="1" si="162"/>
        <v>192</v>
      </c>
      <c r="J299" s="50">
        <f t="shared" ca="1" si="181"/>
        <v>0.68430129821172592</v>
      </c>
      <c r="K299" s="8">
        <v>1</v>
      </c>
      <c r="L299" s="49">
        <f t="shared" ca="1" si="163"/>
        <v>170</v>
      </c>
      <c r="N299" s="50">
        <f t="shared" ca="1" si="182"/>
        <v>0.70924206801957823</v>
      </c>
      <c r="O299" s="8">
        <v>1</v>
      </c>
      <c r="P299" s="49">
        <f t="shared" ca="1" si="164"/>
        <v>264</v>
      </c>
      <c r="R299" s="50">
        <f t="shared" ca="1" si="183"/>
        <v>0.37296151407211753</v>
      </c>
      <c r="S299" s="8">
        <v>1</v>
      </c>
      <c r="T299" s="49">
        <f t="shared" ca="1" si="165"/>
        <v>127</v>
      </c>
      <c r="V299" s="50">
        <f t="shared" ca="1" si="184"/>
        <v>0.27124716015787509</v>
      </c>
      <c r="W299" s="8">
        <v>1</v>
      </c>
      <c r="X299" s="49">
        <f t="shared" ca="1" si="166"/>
        <v>189</v>
      </c>
      <c r="Z299" s="50">
        <f t="shared" ca="1" si="185"/>
        <v>0.47311944266736816</v>
      </c>
      <c r="AA299" s="8">
        <v>1</v>
      </c>
      <c r="AB299" s="49">
        <f t="shared" ca="1" si="167"/>
        <v>266</v>
      </c>
      <c r="AD299" s="50">
        <f t="shared" ca="1" si="186"/>
        <v>0.72295224684060011</v>
      </c>
      <c r="AE299" s="8">
        <v>1</v>
      </c>
      <c r="AF299" s="49">
        <f t="shared" ca="1" si="168"/>
        <v>379</v>
      </c>
      <c r="AH299" s="50">
        <f t="shared" ca="1" si="187"/>
        <v>0.43101965097438222</v>
      </c>
      <c r="AI299" s="8">
        <v>1</v>
      </c>
      <c r="AJ299" s="49">
        <f t="shared" ca="1" si="169"/>
        <v>172</v>
      </c>
      <c r="AL299" s="50">
        <f t="shared" ca="1" si="188"/>
        <v>0.43883923629245636</v>
      </c>
      <c r="AM299" s="8">
        <v>1</v>
      </c>
      <c r="AN299" s="49">
        <f t="shared" ca="1" si="170"/>
        <v>142</v>
      </c>
      <c r="AP299" s="50">
        <f t="shared" ca="1" si="189"/>
        <v>0.35584444881256283</v>
      </c>
      <c r="AQ299" s="8">
        <v>1</v>
      </c>
      <c r="AR299" s="49">
        <f t="shared" ca="1" si="171"/>
        <v>196</v>
      </c>
      <c r="AT299" s="50">
        <f t="shared" ca="1" si="190"/>
        <v>0.33397232281318756</v>
      </c>
      <c r="AU299" s="8">
        <v>1</v>
      </c>
      <c r="AV299" s="49">
        <f t="shared" ca="1" si="172"/>
        <v>170</v>
      </c>
      <c r="AX299" s="50">
        <f t="shared" ca="1" si="191"/>
        <v>0.7778218713529288</v>
      </c>
      <c r="AY299" s="8">
        <v>1</v>
      </c>
      <c r="AZ299" s="49">
        <f t="shared" ca="1" si="173"/>
        <v>217</v>
      </c>
      <c r="BB299" s="50">
        <f t="shared" ca="1" si="192"/>
        <v>0.43708762368409892</v>
      </c>
      <c r="BC299" s="8">
        <v>1</v>
      </c>
      <c r="BD299" s="49">
        <f t="shared" ca="1" si="174"/>
        <v>153</v>
      </c>
      <c r="BF299" s="50">
        <f t="shared" ca="1" si="193"/>
        <v>0.52440777622697921</v>
      </c>
      <c r="BG299" s="8">
        <v>1</v>
      </c>
      <c r="BH299" s="49">
        <f t="shared" ca="1" si="175"/>
        <v>168</v>
      </c>
      <c r="BJ299" s="50">
        <f t="shared" ca="1" si="194"/>
        <v>0.55192698166968279</v>
      </c>
      <c r="BK299" s="8">
        <v>1</v>
      </c>
      <c r="BL299" s="49">
        <f t="shared" ca="1" si="176"/>
        <v>136</v>
      </c>
      <c r="BN299" s="50">
        <f t="shared" ca="1" si="195"/>
        <v>0.96584911661228612</v>
      </c>
      <c r="BO299" s="8">
        <v>1</v>
      </c>
      <c r="BP299" s="49">
        <f t="shared" ca="1" si="177"/>
        <v>258</v>
      </c>
      <c r="BR299" s="50">
        <f t="shared" ca="1" si="196"/>
        <v>0.5083337344399862</v>
      </c>
      <c r="BS299" s="8">
        <v>1</v>
      </c>
      <c r="BT299" s="49">
        <f t="shared" ca="1" si="178"/>
        <v>185</v>
      </c>
    </row>
    <row r="300" spans="1:72" x14ac:dyDescent="0.2">
      <c r="A300" s="22">
        <v>44847</v>
      </c>
      <c r="B300" s="50">
        <f t="shared" ca="1" si="179"/>
        <v>5.6669272378021107E-2</v>
      </c>
      <c r="C300" s="8">
        <v>1</v>
      </c>
      <c r="D300" s="49">
        <f t="shared" ca="1" si="161"/>
        <v>69</v>
      </c>
      <c r="F300" s="50">
        <f t="shared" ca="1" si="180"/>
        <v>0.98224714459082685</v>
      </c>
      <c r="G300" s="8">
        <v>1</v>
      </c>
      <c r="H300" s="49">
        <f t="shared" ca="1" si="162"/>
        <v>337</v>
      </c>
      <c r="J300" s="50">
        <f t="shared" ca="1" si="181"/>
        <v>0.15541688246153129</v>
      </c>
      <c r="K300" s="8">
        <v>1</v>
      </c>
      <c r="L300" s="49">
        <f t="shared" ca="1" si="163"/>
        <v>110</v>
      </c>
      <c r="N300" s="50">
        <f t="shared" ca="1" si="182"/>
        <v>0.42135900050712072</v>
      </c>
      <c r="O300" s="8">
        <v>1</v>
      </c>
      <c r="P300" s="49">
        <f t="shared" ca="1" si="164"/>
        <v>218</v>
      </c>
      <c r="R300" s="50">
        <f t="shared" ca="1" si="183"/>
        <v>0.95541425848015216</v>
      </c>
      <c r="S300" s="8">
        <v>1</v>
      </c>
      <c r="T300" s="49">
        <f t="shared" ca="1" si="165"/>
        <v>202</v>
      </c>
      <c r="V300" s="50">
        <f t="shared" ca="1" si="184"/>
        <v>0.59877600687724331</v>
      </c>
      <c r="W300" s="8">
        <v>1</v>
      </c>
      <c r="X300" s="49">
        <f t="shared" ca="1" si="166"/>
        <v>241</v>
      </c>
      <c r="Z300" s="50">
        <f t="shared" ca="1" si="185"/>
        <v>0.26775851748170443</v>
      </c>
      <c r="AA300" s="8">
        <v>1</v>
      </c>
      <c r="AB300" s="49">
        <f t="shared" ca="1" si="167"/>
        <v>226</v>
      </c>
      <c r="AD300" s="50">
        <f t="shared" ca="1" si="186"/>
        <v>0.50586020185584513</v>
      </c>
      <c r="AE300" s="8">
        <v>1</v>
      </c>
      <c r="AF300" s="49">
        <f t="shared" ca="1" si="168"/>
        <v>329</v>
      </c>
      <c r="AH300" s="50">
        <f t="shared" ca="1" si="187"/>
        <v>0.37563300192902649</v>
      </c>
      <c r="AI300" s="8">
        <v>1</v>
      </c>
      <c r="AJ300" s="49">
        <f t="shared" ca="1" si="169"/>
        <v>165</v>
      </c>
      <c r="AL300" s="50">
        <f t="shared" ca="1" si="188"/>
        <v>0.21443179944726543</v>
      </c>
      <c r="AM300" s="8">
        <v>1</v>
      </c>
      <c r="AN300" s="49">
        <f t="shared" ca="1" si="170"/>
        <v>117</v>
      </c>
      <c r="AP300" s="50">
        <f t="shared" ca="1" si="189"/>
        <v>0.64776715464199197</v>
      </c>
      <c r="AQ300" s="8">
        <v>1</v>
      </c>
      <c r="AR300" s="49">
        <f t="shared" ca="1" si="171"/>
        <v>239</v>
      </c>
      <c r="AT300" s="50">
        <f t="shared" ca="1" si="190"/>
        <v>0.1418355079995689</v>
      </c>
      <c r="AU300" s="8">
        <v>1</v>
      </c>
      <c r="AV300" s="49">
        <f t="shared" ca="1" si="172"/>
        <v>137</v>
      </c>
      <c r="AX300" s="50">
        <f t="shared" ca="1" si="191"/>
        <v>0.14316191565522274</v>
      </c>
      <c r="AY300" s="8">
        <v>1</v>
      </c>
      <c r="AZ300" s="49">
        <f t="shared" ca="1" si="173"/>
        <v>129</v>
      </c>
      <c r="BB300" s="50">
        <f t="shared" ca="1" si="192"/>
        <v>0.39178778656439472</v>
      </c>
      <c r="BC300" s="8">
        <v>1</v>
      </c>
      <c r="BD300" s="49">
        <f t="shared" ca="1" si="174"/>
        <v>148</v>
      </c>
      <c r="BF300" s="50">
        <f t="shared" ca="1" si="193"/>
        <v>0.99908168728287894</v>
      </c>
      <c r="BG300" s="8">
        <v>1</v>
      </c>
      <c r="BH300" s="49">
        <f t="shared" ca="1" si="175"/>
        <v>302</v>
      </c>
      <c r="BJ300" s="50">
        <f t="shared" ca="1" si="194"/>
        <v>0.72709630973485673</v>
      </c>
      <c r="BK300" s="8">
        <v>1</v>
      </c>
      <c r="BL300" s="49">
        <f t="shared" ca="1" si="176"/>
        <v>153</v>
      </c>
      <c r="BN300" s="50">
        <f t="shared" ca="1" si="195"/>
        <v>0.80402214490626478</v>
      </c>
      <c r="BO300" s="8">
        <v>1</v>
      </c>
      <c r="BP300" s="49">
        <f t="shared" ca="1" si="177"/>
        <v>214</v>
      </c>
      <c r="BR300" s="50">
        <f t="shared" ca="1" si="196"/>
        <v>0.14638077347306366</v>
      </c>
      <c r="BS300" s="8">
        <v>1</v>
      </c>
      <c r="BT300" s="49">
        <f t="shared" ca="1" si="178"/>
        <v>132</v>
      </c>
    </row>
    <row r="301" spans="1:72" x14ac:dyDescent="0.2">
      <c r="A301" s="22">
        <v>44848</v>
      </c>
      <c r="B301" s="50">
        <f t="shared" ca="1" si="179"/>
        <v>0.83549275450641602</v>
      </c>
      <c r="C301" s="8">
        <v>1</v>
      </c>
      <c r="D301" s="49">
        <f t="shared" ca="1" si="161"/>
        <v>120</v>
      </c>
      <c r="F301" s="50">
        <f t="shared" ca="1" si="180"/>
        <v>0.20894971461699674</v>
      </c>
      <c r="G301" s="8">
        <v>1</v>
      </c>
      <c r="H301" s="49">
        <f t="shared" ca="1" si="162"/>
        <v>169</v>
      </c>
      <c r="J301" s="50">
        <f t="shared" ca="1" si="181"/>
        <v>5.6465397529058547E-2</v>
      </c>
      <c r="K301" s="8">
        <v>1</v>
      </c>
      <c r="L301" s="49">
        <f t="shared" ca="1" si="163"/>
        <v>87</v>
      </c>
      <c r="N301" s="50">
        <f t="shared" ca="1" si="182"/>
        <v>0.37525766117150616</v>
      </c>
      <c r="O301" s="8">
        <v>1</v>
      </c>
      <c r="P301" s="49">
        <f t="shared" ca="1" si="164"/>
        <v>210</v>
      </c>
      <c r="R301" s="50">
        <f t="shared" ca="1" si="183"/>
        <v>0.58436735458713041</v>
      </c>
      <c r="S301" s="8">
        <v>1</v>
      </c>
      <c r="T301" s="49">
        <f t="shared" ca="1" si="165"/>
        <v>147</v>
      </c>
      <c r="V301" s="50">
        <f t="shared" ca="1" si="184"/>
        <v>0.42250742111983675</v>
      </c>
      <c r="W301" s="8">
        <v>1</v>
      </c>
      <c r="X301" s="49">
        <f t="shared" ca="1" si="166"/>
        <v>214</v>
      </c>
      <c r="Z301" s="50">
        <f t="shared" ca="1" si="185"/>
        <v>0.76574277882327091</v>
      </c>
      <c r="AA301" s="8">
        <v>1</v>
      </c>
      <c r="AB301" s="49">
        <f t="shared" ca="1" si="167"/>
        <v>323</v>
      </c>
      <c r="AD301" s="50">
        <f t="shared" ca="1" si="186"/>
        <v>0.36975490986896642</v>
      </c>
      <c r="AE301" s="8">
        <v>1</v>
      </c>
      <c r="AF301" s="49">
        <f t="shared" ca="1" si="168"/>
        <v>299</v>
      </c>
      <c r="AH301" s="50">
        <f t="shared" ca="1" si="187"/>
        <v>0.90845633063886133</v>
      </c>
      <c r="AI301" s="8">
        <v>1</v>
      </c>
      <c r="AJ301" s="49">
        <f t="shared" ca="1" si="169"/>
        <v>244</v>
      </c>
      <c r="AL301" s="50">
        <f t="shared" ca="1" si="188"/>
        <v>0.95093501054873664</v>
      </c>
      <c r="AM301" s="8">
        <v>1</v>
      </c>
      <c r="AN301" s="49">
        <f t="shared" ca="1" si="170"/>
        <v>213</v>
      </c>
      <c r="AP301" s="50">
        <f t="shared" ca="1" si="189"/>
        <v>0.814018224842191</v>
      </c>
      <c r="AQ301" s="8">
        <v>1</v>
      </c>
      <c r="AR301" s="49">
        <f t="shared" ca="1" si="171"/>
        <v>269</v>
      </c>
      <c r="AT301" s="50">
        <f t="shared" ca="1" si="190"/>
        <v>0.55845572669235255</v>
      </c>
      <c r="AU301" s="8">
        <v>1</v>
      </c>
      <c r="AV301" s="49">
        <f t="shared" ca="1" si="172"/>
        <v>200</v>
      </c>
      <c r="AX301" s="50">
        <f t="shared" ca="1" si="191"/>
        <v>0.79749752263875096</v>
      </c>
      <c r="AY301" s="8">
        <v>1</v>
      </c>
      <c r="AZ301" s="49">
        <f t="shared" ca="1" si="173"/>
        <v>220</v>
      </c>
      <c r="BB301" s="50">
        <f t="shared" ca="1" si="192"/>
        <v>0.76888117475179285</v>
      </c>
      <c r="BC301" s="8">
        <v>1</v>
      </c>
      <c r="BD301" s="49">
        <f t="shared" ca="1" si="174"/>
        <v>191</v>
      </c>
      <c r="BF301" s="50">
        <f t="shared" ca="1" si="193"/>
        <v>0.58009762860689496</v>
      </c>
      <c r="BG301" s="8">
        <v>1</v>
      </c>
      <c r="BH301" s="49">
        <f t="shared" ca="1" si="175"/>
        <v>174</v>
      </c>
      <c r="BJ301" s="50">
        <f t="shared" ca="1" si="194"/>
        <v>0.86907076411520867</v>
      </c>
      <c r="BK301" s="8">
        <v>1</v>
      </c>
      <c r="BL301" s="49">
        <f t="shared" ca="1" si="176"/>
        <v>171</v>
      </c>
      <c r="BN301" s="50">
        <f t="shared" ca="1" si="195"/>
        <v>0.75865336825289753</v>
      </c>
      <c r="BO301" s="8">
        <v>1</v>
      </c>
      <c r="BP301" s="49">
        <f t="shared" ca="1" si="177"/>
        <v>207</v>
      </c>
      <c r="BR301" s="50">
        <f t="shared" ca="1" si="196"/>
        <v>0.10866430351929968</v>
      </c>
      <c r="BS301" s="8">
        <v>1</v>
      </c>
      <c r="BT301" s="49">
        <f t="shared" ca="1" si="178"/>
        <v>124</v>
      </c>
    </row>
    <row r="302" spans="1:72" x14ac:dyDescent="0.2">
      <c r="A302" s="22">
        <v>44849</v>
      </c>
      <c r="B302" s="50">
        <f t="shared" ca="1" si="179"/>
        <v>0.52382642524052714</v>
      </c>
      <c r="C302" s="8">
        <v>1</v>
      </c>
      <c r="D302" s="49">
        <f t="shared" ca="1" si="161"/>
        <v>102</v>
      </c>
      <c r="F302" s="50">
        <f t="shared" ca="1" si="180"/>
        <v>0.89890794153195308</v>
      </c>
      <c r="G302" s="8">
        <v>1</v>
      </c>
      <c r="H302" s="49">
        <f t="shared" ca="1" si="162"/>
        <v>289</v>
      </c>
      <c r="J302" s="50">
        <f t="shared" ca="1" si="181"/>
        <v>2.9455842227648521E-2</v>
      </c>
      <c r="K302" s="8">
        <v>1</v>
      </c>
      <c r="L302" s="49">
        <f t="shared" ca="1" si="163"/>
        <v>75</v>
      </c>
      <c r="N302" s="50">
        <f t="shared" ca="1" si="182"/>
        <v>0.39923592608223468</v>
      </c>
      <c r="O302" s="8">
        <v>1</v>
      </c>
      <c r="P302" s="49">
        <f t="shared" ca="1" si="164"/>
        <v>214</v>
      </c>
      <c r="R302" s="50">
        <f t="shared" ca="1" si="183"/>
        <v>0.52025668859180063</v>
      </c>
      <c r="S302" s="8">
        <v>1</v>
      </c>
      <c r="T302" s="49">
        <f t="shared" ca="1" si="165"/>
        <v>141</v>
      </c>
      <c r="V302" s="50">
        <f t="shared" ca="1" si="184"/>
        <v>0.45376310733279801</v>
      </c>
      <c r="W302" s="8">
        <v>1</v>
      </c>
      <c r="X302" s="49">
        <f t="shared" ca="1" si="166"/>
        <v>219</v>
      </c>
      <c r="Z302" s="50">
        <f t="shared" ca="1" si="185"/>
        <v>0.17040240958211994</v>
      </c>
      <c r="AA302" s="8">
        <v>1</v>
      </c>
      <c r="AB302" s="49">
        <f t="shared" ca="1" si="167"/>
        <v>202</v>
      </c>
      <c r="AD302" s="50">
        <f t="shared" ca="1" si="186"/>
        <v>0.17710314940287963</v>
      </c>
      <c r="AE302" s="8">
        <v>1</v>
      </c>
      <c r="AF302" s="49">
        <f t="shared" ca="1" si="168"/>
        <v>247</v>
      </c>
      <c r="AH302" s="50">
        <f t="shared" ca="1" si="187"/>
        <v>0.49649155898143738</v>
      </c>
      <c r="AI302" s="8">
        <v>1</v>
      </c>
      <c r="AJ302" s="49">
        <f t="shared" ca="1" si="169"/>
        <v>180</v>
      </c>
      <c r="AL302" s="50">
        <f t="shared" ca="1" si="188"/>
        <v>0.73033897234427769</v>
      </c>
      <c r="AM302" s="8">
        <v>1</v>
      </c>
      <c r="AN302" s="49">
        <f t="shared" ca="1" si="170"/>
        <v>172</v>
      </c>
      <c r="AP302" s="50">
        <f t="shared" ca="1" si="189"/>
        <v>0.93554695931355725</v>
      </c>
      <c r="AQ302" s="8">
        <v>1</v>
      </c>
      <c r="AR302" s="49">
        <f t="shared" ca="1" si="171"/>
        <v>305</v>
      </c>
      <c r="AT302" s="50">
        <f t="shared" ca="1" si="190"/>
        <v>0.40964840566790284</v>
      </c>
      <c r="AU302" s="8">
        <v>1</v>
      </c>
      <c r="AV302" s="49">
        <f t="shared" ca="1" si="172"/>
        <v>181</v>
      </c>
      <c r="AX302" s="50">
        <f t="shared" ca="1" si="191"/>
        <v>0.74739375451308665</v>
      </c>
      <c r="AY302" s="8">
        <v>1</v>
      </c>
      <c r="AZ302" s="49">
        <f t="shared" ca="1" si="173"/>
        <v>212</v>
      </c>
      <c r="BB302" s="50">
        <f t="shared" ca="1" si="192"/>
        <v>0.50153172373859389</v>
      </c>
      <c r="BC302" s="8">
        <v>1</v>
      </c>
      <c r="BD302" s="49">
        <f t="shared" ca="1" si="174"/>
        <v>160</v>
      </c>
      <c r="BF302" s="50">
        <f t="shared" ca="1" si="193"/>
        <v>0.31834285878075941</v>
      </c>
      <c r="BG302" s="8">
        <v>1</v>
      </c>
      <c r="BH302" s="49">
        <f t="shared" ca="1" si="175"/>
        <v>144</v>
      </c>
      <c r="BJ302" s="50">
        <f t="shared" ca="1" si="194"/>
        <v>0.39259736391499278</v>
      </c>
      <c r="BK302" s="8">
        <v>1</v>
      </c>
      <c r="BL302" s="49">
        <f t="shared" ca="1" si="176"/>
        <v>122</v>
      </c>
      <c r="BN302" s="50">
        <f t="shared" ca="1" si="195"/>
        <v>0.12215263649703334</v>
      </c>
      <c r="BO302" s="8">
        <v>1</v>
      </c>
      <c r="BP302" s="49">
        <f t="shared" ca="1" si="177"/>
        <v>120</v>
      </c>
      <c r="BR302" s="50">
        <f t="shared" ca="1" si="196"/>
        <v>0.52976466711206738</v>
      </c>
      <c r="BS302" s="8">
        <v>1</v>
      </c>
      <c r="BT302" s="49">
        <f t="shared" ca="1" si="178"/>
        <v>188</v>
      </c>
    </row>
    <row r="303" spans="1:72" x14ac:dyDescent="0.2">
      <c r="A303" s="22">
        <v>44850</v>
      </c>
      <c r="B303" s="50">
        <f t="shared" ca="1" si="179"/>
        <v>0.34701847032063893</v>
      </c>
      <c r="C303" s="8">
        <v>1</v>
      </c>
      <c r="D303" s="49">
        <f t="shared" ca="1" si="161"/>
        <v>93</v>
      </c>
      <c r="F303" s="50">
        <f t="shared" ca="1" si="180"/>
        <v>0.34030615531064368</v>
      </c>
      <c r="G303" s="8">
        <v>1</v>
      </c>
      <c r="H303" s="49">
        <f t="shared" ca="1" si="162"/>
        <v>192</v>
      </c>
      <c r="J303" s="50">
        <f t="shared" ca="1" si="181"/>
        <v>0.81933611848967991</v>
      </c>
      <c r="K303" s="8">
        <v>1</v>
      </c>
      <c r="L303" s="49">
        <f t="shared" ca="1" si="163"/>
        <v>187</v>
      </c>
      <c r="N303" s="50">
        <f t="shared" ca="1" si="182"/>
        <v>0.78809800424084697</v>
      </c>
      <c r="O303" s="8">
        <v>1</v>
      </c>
      <c r="P303" s="49">
        <f t="shared" ca="1" si="164"/>
        <v>279</v>
      </c>
      <c r="R303" s="50">
        <f t="shared" ca="1" si="183"/>
        <v>0.12545839981719475</v>
      </c>
      <c r="S303" s="8">
        <v>1</v>
      </c>
      <c r="T303" s="49">
        <f t="shared" ca="1" si="165"/>
        <v>97</v>
      </c>
      <c r="V303" s="50">
        <f t="shared" ca="1" si="184"/>
        <v>0.79203903471884862</v>
      </c>
      <c r="W303" s="8">
        <v>1</v>
      </c>
      <c r="X303" s="49">
        <f t="shared" ca="1" si="166"/>
        <v>274</v>
      </c>
      <c r="Z303" s="50">
        <f t="shared" ca="1" si="185"/>
        <v>0.70329578338464671</v>
      </c>
      <c r="AA303" s="8">
        <v>1</v>
      </c>
      <c r="AB303" s="49">
        <f t="shared" ca="1" si="167"/>
        <v>309</v>
      </c>
      <c r="AD303" s="50">
        <f t="shared" ca="1" si="186"/>
        <v>0.38947386862967937</v>
      </c>
      <c r="AE303" s="8">
        <v>1</v>
      </c>
      <c r="AF303" s="49">
        <f t="shared" ca="1" si="168"/>
        <v>303</v>
      </c>
      <c r="AH303" s="50">
        <f t="shared" ca="1" si="187"/>
        <v>0.9174550950502478</v>
      </c>
      <c r="AI303" s="8">
        <v>1</v>
      </c>
      <c r="AJ303" s="49">
        <f t="shared" ca="1" si="169"/>
        <v>247</v>
      </c>
      <c r="AL303" s="50">
        <f t="shared" ca="1" si="188"/>
        <v>0.27898084226929809</v>
      </c>
      <c r="AM303" s="8">
        <v>1</v>
      </c>
      <c r="AN303" s="49">
        <f t="shared" ca="1" si="170"/>
        <v>125</v>
      </c>
      <c r="AP303" s="50">
        <f t="shared" ca="1" si="189"/>
        <v>0.63444995754182032</v>
      </c>
      <c r="AQ303" s="8">
        <v>1</v>
      </c>
      <c r="AR303" s="49">
        <f t="shared" ca="1" si="171"/>
        <v>237</v>
      </c>
      <c r="AT303" s="50">
        <f t="shared" ca="1" si="190"/>
        <v>0.20962189519456054</v>
      </c>
      <c r="AU303" s="8">
        <v>1</v>
      </c>
      <c r="AV303" s="49">
        <f t="shared" ca="1" si="172"/>
        <v>151</v>
      </c>
      <c r="AX303" s="50">
        <f t="shared" ca="1" si="191"/>
        <v>0.91652426262367137</v>
      </c>
      <c r="AY303" s="8">
        <v>1</v>
      </c>
      <c r="AZ303" s="49">
        <f t="shared" ca="1" si="173"/>
        <v>247</v>
      </c>
      <c r="BB303" s="50">
        <f t="shared" ca="1" si="192"/>
        <v>0.43987612223774331</v>
      </c>
      <c r="BC303" s="8">
        <v>1</v>
      </c>
      <c r="BD303" s="49">
        <f t="shared" ca="1" si="174"/>
        <v>154</v>
      </c>
      <c r="BF303" s="50">
        <f t="shared" ca="1" si="193"/>
        <v>0.34869960160359803</v>
      </c>
      <c r="BG303" s="8">
        <v>1</v>
      </c>
      <c r="BH303" s="49">
        <f t="shared" ca="1" si="175"/>
        <v>148</v>
      </c>
      <c r="BJ303" s="50">
        <f t="shared" ca="1" si="194"/>
        <v>9.6219839075133318E-2</v>
      </c>
      <c r="BK303" s="8">
        <v>1</v>
      </c>
      <c r="BL303" s="49">
        <f t="shared" ca="1" si="176"/>
        <v>86</v>
      </c>
      <c r="BN303" s="50">
        <f t="shared" ca="1" si="195"/>
        <v>0.12408516441823814</v>
      </c>
      <c r="BO303" s="8">
        <v>1</v>
      </c>
      <c r="BP303" s="49">
        <f t="shared" ca="1" si="177"/>
        <v>121</v>
      </c>
      <c r="BR303" s="50">
        <f t="shared" ca="1" si="196"/>
        <v>0.81378791445079857</v>
      </c>
      <c r="BS303" s="8">
        <v>1</v>
      </c>
      <c r="BT303" s="49">
        <f t="shared" ca="1" si="178"/>
        <v>228</v>
      </c>
    </row>
    <row r="304" spans="1:72" x14ac:dyDescent="0.2">
      <c r="A304" s="22">
        <v>44851</v>
      </c>
      <c r="B304" s="50">
        <f t="shared" ca="1" si="179"/>
        <v>0.65563442631581548</v>
      </c>
      <c r="C304" s="8">
        <v>1</v>
      </c>
      <c r="D304" s="49">
        <v>0</v>
      </c>
      <c r="F304" s="50">
        <f t="shared" ca="1" si="180"/>
        <v>0.49234133919715761</v>
      </c>
      <c r="G304" s="8">
        <v>1</v>
      </c>
      <c r="H304" s="49">
        <v>0</v>
      </c>
      <c r="J304" s="50">
        <f t="shared" ca="1" si="181"/>
        <v>0.50296167888099452</v>
      </c>
      <c r="K304" s="8">
        <v>1</v>
      </c>
      <c r="L304" s="49">
        <v>0</v>
      </c>
      <c r="N304" s="50">
        <f t="shared" ca="1" si="182"/>
        <v>0.29583969686558409</v>
      </c>
      <c r="O304" s="8">
        <v>1</v>
      </c>
      <c r="P304" s="49">
        <v>0</v>
      </c>
      <c r="R304" s="50">
        <f t="shared" ca="1" si="183"/>
        <v>1.4208960595778364E-2</v>
      </c>
      <c r="S304" s="8">
        <v>1</v>
      </c>
      <c r="T304" s="49">
        <v>0</v>
      </c>
      <c r="V304" s="50">
        <f t="shared" ca="1" si="184"/>
        <v>0.58907278681626341</v>
      </c>
      <c r="W304" s="8">
        <v>1</v>
      </c>
      <c r="X304" s="49">
        <v>0</v>
      </c>
      <c r="Z304" s="50">
        <f t="shared" ca="1" si="185"/>
        <v>0.43927438252397932</v>
      </c>
      <c r="AA304" s="8">
        <v>1</v>
      </c>
      <c r="AB304" s="49">
        <v>0</v>
      </c>
      <c r="AD304" s="50">
        <f t="shared" ca="1" si="186"/>
        <v>0.80890557474785685</v>
      </c>
      <c r="AE304" s="8">
        <v>1</v>
      </c>
      <c r="AF304" s="49">
        <v>0</v>
      </c>
      <c r="AH304" s="50">
        <f t="shared" ca="1" si="187"/>
        <v>0.43955236842860923</v>
      </c>
      <c r="AI304" s="8">
        <v>1</v>
      </c>
      <c r="AJ304" s="49">
        <v>0</v>
      </c>
      <c r="AL304" s="50">
        <f t="shared" ca="1" si="188"/>
        <v>0.24645272533647677</v>
      </c>
      <c r="AM304" s="8">
        <v>1</v>
      </c>
      <c r="AN304" s="49">
        <v>0</v>
      </c>
      <c r="AP304" s="50">
        <f t="shared" ca="1" si="189"/>
        <v>4.4594162756530165E-2</v>
      </c>
      <c r="AQ304" s="8">
        <v>1</v>
      </c>
      <c r="AR304" s="49">
        <v>0</v>
      </c>
      <c r="AT304" s="50">
        <f t="shared" ca="1" si="190"/>
        <v>0.81457029106078616</v>
      </c>
      <c r="AU304" s="8">
        <v>1</v>
      </c>
      <c r="AV304" s="49">
        <v>0</v>
      </c>
      <c r="AX304" s="50">
        <f t="shared" ca="1" si="191"/>
        <v>0.65376211631695635</v>
      </c>
      <c r="AY304" s="8">
        <v>1</v>
      </c>
      <c r="AZ304" s="49">
        <v>0</v>
      </c>
      <c r="BB304" s="50">
        <f t="shared" ca="1" si="192"/>
        <v>0.20002153799126199</v>
      </c>
      <c r="BC304" s="8">
        <v>1</v>
      </c>
      <c r="BD304" s="49">
        <v>0</v>
      </c>
      <c r="BF304" s="50">
        <f t="shared" ca="1" si="193"/>
        <v>0.54122153037111664</v>
      </c>
      <c r="BG304" s="8">
        <v>1</v>
      </c>
      <c r="BH304" s="49">
        <v>0</v>
      </c>
      <c r="BJ304" s="50">
        <f t="shared" ca="1" si="194"/>
        <v>0.1394503556025789</v>
      </c>
      <c r="BK304" s="8">
        <v>1</v>
      </c>
      <c r="BL304" s="49">
        <v>0</v>
      </c>
      <c r="BN304" s="50">
        <f t="shared" ca="1" si="195"/>
        <v>0.64434595213894919</v>
      </c>
      <c r="BO304" s="8">
        <v>1</v>
      </c>
      <c r="BP304" s="49">
        <v>0</v>
      </c>
      <c r="BR304" s="50">
        <f t="shared" ca="1" si="196"/>
        <v>0.9416197017347524</v>
      </c>
      <c r="BS304" s="8">
        <v>1</v>
      </c>
      <c r="BT304" s="49">
        <v>0</v>
      </c>
    </row>
    <row r="305" spans="1:72" x14ac:dyDescent="0.2">
      <c r="A305" s="22">
        <v>44852</v>
      </c>
      <c r="B305" s="50">
        <f t="shared" ca="1" si="179"/>
        <v>0.27407819997152849</v>
      </c>
      <c r="C305" s="8">
        <v>1</v>
      </c>
      <c r="D305" s="49">
        <v>0</v>
      </c>
      <c r="F305" s="50">
        <f t="shared" ca="1" si="180"/>
        <v>0.99569709640222082</v>
      </c>
      <c r="G305" s="8">
        <v>1</v>
      </c>
      <c r="H305" s="49">
        <v>0</v>
      </c>
      <c r="J305" s="50">
        <f t="shared" ca="1" si="181"/>
        <v>0.24405155968094161</v>
      </c>
      <c r="K305" s="8">
        <v>1</v>
      </c>
      <c r="L305" s="49">
        <v>0</v>
      </c>
      <c r="N305" s="50">
        <f t="shared" ca="1" si="182"/>
        <v>0.98668362591456915</v>
      </c>
      <c r="O305" s="8">
        <v>1</v>
      </c>
      <c r="P305" s="49">
        <v>0</v>
      </c>
      <c r="R305" s="50">
        <f t="shared" ca="1" si="183"/>
        <v>0.71920601261610173</v>
      </c>
      <c r="S305" s="8">
        <v>1</v>
      </c>
      <c r="T305" s="49">
        <v>0</v>
      </c>
      <c r="V305" s="50">
        <f t="shared" ca="1" si="184"/>
        <v>0.57866793322305421</v>
      </c>
      <c r="W305" s="8">
        <v>1</v>
      </c>
      <c r="X305" s="49">
        <v>0</v>
      </c>
      <c r="Z305" s="50">
        <f t="shared" ca="1" si="185"/>
        <v>3.0026500321039817E-2</v>
      </c>
      <c r="AA305" s="8">
        <v>1</v>
      </c>
      <c r="AB305" s="49">
        <v>0</v>
      </c>
      <c r="AD305" s="50">
        <f t="shared" ca="1" si="186"/>
        <v>3.1145075277578926E-2</v>
      </c>
      <c r="AE305" s="8">
        <v>1</v>
      </c>
      <c r="AF305" s="49">
        <v>0</v>
      </c>
      <c r="AH305" s="50">
        <f t="shared" ca="1" si="187"/>
        <v>0.68853985656302441</v>
      </c>
      <c r="AI305" s="8">
        <v>1</v>
      </c>
      <c r="AJ305" s="49">
        <v>0</v>
      </c>
      <c r="AL305" s="50">
        <f t="shared" ca="1" si="188"/>
        <v>0.73692669545021749</v>
      </c>
      <c r="AM305" s="8">
        <v>1</v>
      </c>
      <c r="AN305" s="49">
        <v>0</v>
      </c>
      <c r="AP305" s="50">
        <f t="shared" ca="1" si="189"/>
        <v>0.97784334917199345</v>
      </c>
      <c r="AQ305" s="8">
        <v>1</v>
      </c>
      <c r="AR305" s="49">
        <v>0</v>
      </c>
      <c r="AT305" s="50">
        <f t="shared" ca="1" si="190"/>
        <v>0.8948906203143302</v>
      </c>
      <c r="AU305" s="8">
        <v>1</v>
      </c>
      <c r="AV305" s="49">
        <v>0</v>
      </c>
      <c r="AX305" s="50">
        <f t="shared" ca="1" si="191"/>
        <v>0.80203610292041139</v>
      </c>
      <c r="AY305" s="8">
        <v>1</v>
      </c>
      <c r="AZ305" s="49">
        <v>0</v>
      </c>
      <c r="BB305" s="50">
        <f t="shared" ca="1" si="192"/>
        <v>0.84199314814218462</v>
      </c>
      <c r="BC305" s="8">
        <v>1</v>
      </c>
      <c r="BD305" s="49">
        <v>0</v>
      </c>
      <c r="BF305" s="50">
        <f t="shared" ca="1" si="193"/>
        <v>6.6371443218694925E-2</v>
      </c>
      <c r="BG305" s="8">
        <v>1</v>
      </c>
      <c r="BH305" s="49">
        <v>0</v>
      </c>
      <c r="BJ305" s="50">
        <f t="shared" ca="1" si="194"/>
        <v>1.5065071805069663E-2</v>
      </c>
      <c r="BK305" s="8">
        <v>1</v>
      </c>
      <c r="BL305" s="49">
        <v>0</v>
      </c>
      <c r="BN305" s="50">
        <f t="shared" ca="1" si="195"/>
        <v>0.26596348949340409</v>
      </c>
      <c r="BO305" s="8">
        <v>1</v>
      </c>
      <c r="BP305" s="49">
        <v>0</v>
      </c>
      <c r="BR305" s="50">
        <f t="shared" ca="1" si="196"/>
        <v>0.5101571018757487</v>
      </c>
      <c r="BS305" s="8">
        <v>1</v>
      </c>
      <c r="BT305" s="49">
        <v>0</v>
      </c>
    </row>
    <row r="306" spans="1:72" x14ac:dyDescent="0.2">
      <c r="A306" s="22">
        <v>44853</v>
      </c>
      <c r="B306" s="50">
        <f t="shared" ca="1" si="179"/>
        <v>6.4567699982079896E-2</v>
      </c>
      <c r="C306" s="8">
        <v>1</v>
      </c>
      <c r="D306" s="49">
        <v>0</v>
      </c>
      <c r="F306" s="50">
        <f t="shared" ca="1" si="180"/>
        <v>0.65135680588763789</v>
      </c>
      <c r="G306" s="8">
        <v>1</v>
      </c>
      <c r="H306" s="49">
        <v>0</v>
      </c>
      <c r="J306" s="50">
        <f t="shared" ca="1" si="181"/>
        <v>0.37932878154031691</v>
      </c>
      <c r="K306" s="8">
        <v>1</v>
      </c>
      <c r="L306" s="49">
        <v>0</v>
      </c>
      <c r="N306" s="50">
        <f t="shared" ca="1" si="182"/>
        <v>0.76585852402168453</v>
      </c>
      <c r="O306" s="8">
        <v>1</v>
      </c>
      <c r="P306" s="49">
        <v>0</v>
      </c>
      <c r="R306" s="50">
        <f t="shared" ca="1" si="183"/>
        <v>0.20102707644003714</v>
      </c>
      <c r="S306" s="8">
        <v>1</v>
      </c>
      <c r="T306" s="49">
        <v>0</v>
      </c>
      <c r="V306" s="50">
        <f t="shared" ca="1" si="184"/>
        <v>0.12614348670889952</v>
      </c>
      <c r="W306" s="8">
        <v>1</v>
      </c>
      <c r="X306" s="49">
        <v>0</v>
      </c>
      <c r="Z306" s="50">
        <f t="shared" ca="1" si="185"/>
        <v>4.165586189797843E-2</v>
      </c>
      <c r="AA306" s="8">
        <v>1</v>
      </c>
      <c r="AB306" s="49">
        <v>0</v>
      </c>
      <c r="AD306" s="50">
        <f t="shared" ca="1" si="186"/>
        <v>0.84310275032494719</v>
      </c>
      <c r="AE306" s="8">
        <v>1</v>
      </c>
      <c r="AF306" s="49">
        <v>0</v>
      </c>
      <c r="AH306" s="50">
        <f t="shared" ca="1" si="187"/>
        <v>0.87986284404390613</v>
      </c>
      <c r="AI306" s="8">
        <v>1</v>
      </c>
      <c r="AJ306" s="49">
        <v>0</v>
      </c>
      <c r="AL306" s="50">
        <f t="shared" ca="1" si="188"/>
        <v>0.95731304763038294</v>
      </c>
      <c r="AM306" s="8">
        <v>1</v>
      </c>
      <c r="AN306" s="49">
        <v>0</v>
      </c>
      <c r="AP306" s="50">
        <f t="shared" ca="1" si="189"/>
        <v>0.82159865013996436</v>
      </c>
      <c r="AQ306" s="8">
        <v>1</v>
      </c>
      <c r="AR306" s="49">
        <v>0</v>
      </c>
      <c r="AT306" s="50">
        <f t="shared" ca="1" si="190"/>
        <v>1.4247954775521099E-2</v>
      </c>
      <c r="AU306" s="8">
        <v>1</v>
      </c>
      <c r="AV306" s="49">
        <v>0</v>
      </c>
      <c r="AX306" s="50">
        <f t="shared" ca="1" si="191"/>
        <v>0.46410736032133781</v>
      </c>
      <c r="AY306" s="8">
        <v>1</v>
      </c>
      <c r="AZ306" s="49">
        <v>0</v>
      </c>
      <c r="BB306" s="50">
        <f t="shared" ca="1" si="192"/>
        <v>9.009306822892249E-2</v>
      </c>
      <c r="BC306" s="8">
        <v>1</v>
      </c>
      <c r="BD306" s="49">
        <v>0</v>
      </c>
      <c r="BF306" s="50">
        <f t="shared" ca="1" si="193"/>
        <v>0.60296687476240163</v>
      </c>
      <c r="BG306" s="8">
        <v>1</v>
      </c>
      <c r="BH306" s="49">
        <v>0</v>
      </c>
      <c r="BJ306" s="50">
        <f t="shared" ca="1" si="194"/>
        <v>0.20185898379799172</v>
      </c>
      <c r="BK306" s="8">
        <v>1</v>
      </c>
      <c r="BL306" s="49">
        <v>0</v>
      </c>
      <c r="BN306" s="50">
        <f t="shared" ca="1" si="195"/>
        <v>0.90489165908885982</v>
      </c>
      <c r="BO306" s="8">
        <v>1</v>
      </c>
      <c r="BP306" s="49">
        <v>0</v>
      </c>
      <c r="BR306" s="50">
        <f t="shared" ca="1" si="196"/>
        <v>0.83016414509087966</v>
      </c>
      <c r="BS306" s="8">
        <v>1</v>
      </c>
      <c r="BT306" s="49">
        <v>0</v>
      </c>
    </row>
    <row r="307" spans="1:72" x14ac:dyDescent="0.2">
      <c r="A307" s="22">
        <v>44854</v>
      </c>
      <c r="B307" s="50">
        <f t="shared" ca="1" si="179"/>
        <v>0.38203290163822234</v>
      </c>
      <c r="C307" s="8">
        <v>1</v>
      </c>
      <c r="D307" s="49">
        <v>0</v>
      </c>
      <c r="F307" s="50">
        <f t="shared" ca="1" si="180"/>
        <v>2.126983271315086E-2</v>
      </c>
      <c r="G307" s="8">
        <v>1</v>
      </c>
      <c r="H307" s="49">
        <v>0</v>
      </c>
      <c r="J307" s="50">
        <f t="shared" ca="1" si="181"/>
        <v>0.80816564656207857</v>
      </c>
      <c r="K307" s="8">
        <v>1</v>
      </c>
      <c r="L307" s="49">
        <v>0</v>
      </c>
      <c r="N307" s="50">
        <f t="shared" ca="1" si="182"/>
        <v>0.51831051275829099</v>
      </c>
      <c r="O307" s="8">
        <v>1</v>
      </c>
      <c r="P307" s="49">
        <v>0</v>
      </c>
      <c r="R307" s="50">
        <f t="shared" ca="1" si="183"/>
        <v>0.42473662818485958</v>
      </c>
      <c r="S307" s="8">
        <v>1</v>
      </c>
      <c r="T307" s="49">
        <v>0</v>
      </c>
      <c r="V307" s="50">
        <f t="shared" ca="1" si="184"/>
        <v>0.99368700849788394</v>
      </c>
      <c r="W307" s="8">
        <v>1</v>
      </c>
      <c r="X307" s="49">
        <v>0</v>
      </c>
      <c r="Z307" s="50">
        <f t="shared" ca="1" si="185"/>
        <v>0.62076626307327998</v>
      </c>
      <c r="AA307" s="8">
        <v>1</v>
      </c>
      <c r="AB307" s="49">
        <v>0</v>
      </c>
      <c r="AD307" s="50">
        <f t="shared" ca="1" si="186"/>
        <v>0.24721216765552056</v>
      </c>
      <c r="AE307" s="8">
        <v>1</v>
      </c>
      <c r="AF307" s="49">
        <v>0</v>
      </c>
      <c r="AH307" s="50">
        <f t="shared" ca="1" si="187"/>
        <v>0.23316725621042911</v>
      </c>
      <c r="AI307" s="8">
        <v>1</v>
      </c>
      <c r="AJ307" s="49">
        <v>0</v>
      </c>
      <c r="AL307" s="50">
        <f t="shared" ca="1" si="188"/>
        <v>0.8573678899431223</v>
      </c>
      <c r="AM307" s="8">
        <v>1</v>
      </c>
      <c r="AN307" s="49">
        <v>0</v>
      </c>
      <c r="AP307" s="50">
        <f t="shared" ca="1" si="189"/>
        <v>0.4744565994203328</v>
      </c>
      <c r="AQ307" s="8">
        <v>1</v>
      </c>
      <c r="AR307" s="49">
        <v>0</v>
      </c>
      <c r="AT307" s="50">
        <f t="shared" ca="1" si="190"/>
        <v>0.590819271834371</v>
      </c>
      <c r="AU307" s="8">
        <v>1</v>
      </c>
      <c r="AV307" s="49">
        <v>0</v>
      </c>
      <c r="AX307" s="50">
        <f t="shared" ca="1" si="191"/>
        <v>0.92688588697380114</v>
      </c>
      <c r="AY307" s="8">
        <v>1</v>
      </c>
      <c r="AZ307" s="49">
        <v>0</v>
      </c>
      <c r="BB307" s="50">
        <f t="shared" ca="1" si="192"/>
        <v>0.28928185177476884</v>
      </c>
      <c r="BC307" s="8">
        <v>1</v>
      </c>
      <c r="BD307" s="49">
        <v>0</v>
      </c>
      <c r="BF307" s="50">
        <f t="shared" ca="1" si="193"/>
        <v>0.13865241584683741</v>
      </c>
      <c r="BG307" s="8">
        <v>1</v>
      </c>
      <c r="BH307" s="49">
        <v>0</v>
      </c>
      <c r="BJ307" s="50">
        <f t="shared" ca="1" si="194"/>
        <v>0.51560396216427462</v>
      </c>
      <c r="BK307" s="8">
        <v>1</v>
      </c>
      <c r="BL307" s="49">
        <v>0</v>
      </c>
      <c r="BN307" s="50">
        <f t="shared" ca="1" si="195"/>
        <v>0.25211803907708652</v>
      </c>
      <c r="BO307" s="8">
        <v>1</v>
      </c>
      <c r="BP307" s="49">
        <v>0</v>
      </c>
      <c r="BR307" s="50">
        <f t="shared" ca="1" si="196"/>
        <v>0.67541486511821569</v>
      </c>
      <c r="BS307" s="8">
        <v>1</v>
      </c>
      <c r="BT307" s="49">
        <v>0</v>
      </c>
    </row>
    <row r="308" spans="1:72" x14ac:dyDescent="0.2">
      <c r="A308" s="22">
        <v>44855</v>
      </c>
      <c r="B308" s="50">
        <f t="shared" ca="1" si="179"/>
        <v>0.93464991909583872</v>
      </c>
      <c r="C308" s="8">
        <v>1</v>
      </c>
      <c r="D308" s="49">
        <v>0</v>
      </c>
      <c r="F308" s="50">
        <f t="shared" ca="1" si="180"/>
        <v>2.1712726377258074E-2</v>
      </c>
      <c r="G308" s="8">
        <v>1</v>
      </c>
      <c r="H308" s="49">
        <v>0</v>
      </c>
      <c r="J308" s="50">
        <f t="shared" ca="1" si="181"/>
        <v>0.28992880009884558</v>
      </c>
      <c r="K308" s="8">
        <v>1</v>
      </c>
      <c r="L308" s="49">
        <v>0</v>
      </c>
      <c r="N308" s="50">
        <f t="shared" ca="1" si="182"/>
        <v>0.72032608274693055</v>
      </c>
      <c r="O308" s="8">
        <v>1</v>
      </c>
      <c r="P308" s="49">
        <v>0</v>
      </c>
      <c r="R308" s="50">
        <f t="shared" ca="1" si="183"/>
        <v>0.12811458607546033</v>
      </c>
      <c r="S308" s="8">
        <v>1</v>
      </c>
      <c r="T308" s="49">
        <v>0</v>
      </c>
      <c r="V308" s="50">
        <f t="shared" ca="1" si="184"/>
        <v>0.50174127523437773</v>
      </c>
      <c r="W308" s="8">
        <v>1</v>
      </c>
      <c r="X308" s="49">
        <v>0</v>
      </c>
      <c r="Z308" s="50">
        <f t="shared" ca="1" si="185"/>
        <v>0.51464502358116204</v>
      </c>
      <c r="AA308" s="8">
        <v>1</v>
      </c>
      <c r="AB308" s="49">
        <v>0</v>
      </c>
      <c r="AD308" s="50">
        <f t="shared" ca="1" si="186"/>
        <v>6.2004363652529704E-2</v>
      </c>
      <c r="AE308" s="8">
        <v>1</v>
      </c>
      <c r="AF308" s="49">
        <v>0</v>
      </c>
      <c r="AH308" s="50">
        <f t="shared" ca="1" si="187"/>
        <v>0.26917774477848411</v>
      </c>
      <c r="AI308" s="8">
        <v>1</v>
      </c>
      <c r="AJ308" s="49">
        <v>0</v>
      </c>
      <c r="AL308" s="50">
        <f t="shared" ca="1" si="188"/>
        <v>0.64013140743103458</v>
      </c>
      <c r="AM308" s="8">
        <v>1</v>
      </c>
      <c r="AN308" s="49">
        <v>0</v>
      </c>
      <c r="AP308" s="50">
        <f t="shared" ca="1" si="189"/>
        <v>4.7211958503161067E-2</v>
      </c>
      <c r="AQ308" s="8">
        <v>1</v>
      </c>
      <c r="AR308" s="49">
        <v>0</v>
      </c>
      <c r="AT308" s="50">
        <f t="shared" ca="1" si="190"/>
        <v>0.67712500175702661</v>
      </c>
      <c r="AU308" s="8">
        <v>1</v>
      </c>
      <c r="AV308" s="49">
        <v>0</v>
      </c>
      <c r="AX308" s="50">
        <f t="shared" ca="1" si="191"/>
        <v>0.92809130948403484</v>
      </c>
      <c r="AY308" s="8">
        <v>1</v>
      </c>
      <c r="AZ308" s="49">
        <v>0</v>
      </c>
      <c r="BB308" s="50">
        <f t="shared" ca="1" si="192"/>
        <v>0.83359897615017897</v>
      </c>
      <c r="BC308" s="8">
        <v>1</v>
      </c>
      <c r="BD308" s="49">
        <v>0</v>
      </c>
      <c r="BF308" s="50">
        <f t="shared" ca="1" si="193"/>
        <v>4.4394618361392135E-2</v>
      </c>
      <c r="BG308" s="8">
        <v>1</v>
      </c>
      <c r="BH308" s="49">
        <v>0</v>
      </c>
      <c r="BJ308" s="50">
        <f t="shared" ca="1" si="194"/>
        <v>0.2393316228090171</v>
      </c>
      <c r="BK308" s="8">
        <v>1</v>
      </c>
      <c r="BL308" s="49">
        <v>0</v>
      </c>
      <c r="BN308" s="50">
        <f t="shared" ca="1" si="195"/>
        <v>0.713597021116682</v>
      </c>
      <c r="BO308" s="8">
        <v>1</v>
      </c>
      <c r="BP308" s="49">
        <v>0</v>
      </c>
      <c r="BR308" s="50">
        <f t="shared" ca="1" si="196"/>
        <v>0.54414520721359272</v>
      </c>
      <c r="BS308" s="8">
        <v>1</v>
      </c>
      <c r="BT308" s="49">
        <v>0</v>
      </c>
    </row>
    <row r="309" spans="1:72" x14ac:dyDescent="0.2">
      <c r="A309" s="22">
        <v>44856</v>
      </c>
      <c r="B309" s="50">
        <f t="shared" ca="1" si="179"/>
        <v>0.62453731605982687</v>
      </c>
      <c r="C309" s="8">
        <v>1</v>
      </c>
      <c r="D309" s="49">
        <v>0</v>
      </c>
      <c r="F309" s="50">
        <f t="shared" ca="1" si="180"/>
        <v>0.9722015817303401</v>
      </c>
      <c r="G309" s="8">
        <v>1</v>
      </c>
      <c r="H309" s="49">
        <v>0</v>
      </c>
      <c r="J309" s="50">
        <f t="shared" ca="1" si="181"/>
        <v>0.60955698334024877</v>
      </c>
      <c r="K309" s="8">
        <v>1</v>
      </c>
      <c r="L309" s="49">
        <v>0</v>
      </c>
      <c r="N309" s="50">
        <f t="shared" ca="1" si="182"/>
        <v>3.8963625599019225E-2</v>
      </c>
      <c r="O309" s="8">
        <v>1</v>
      </c>
      <c r="P309" s="49">
        <v>0</v>
      </c>
      <c r="R309" s="50">
        <f t="shared" ca="1" si="183"/>
        <v>0.20799294696403925</v>
      </c>
      <c r="S309" s="8">
        <v>1</v>
      </c>
      <c r="T309" s="49">
        <v>0</v>
      </c>
      <c r="V309" s="50">
        <f t="shared" ca="1" si="184"/>
        <v>0.65119224741387205</v>
      </c>
      <c r="W309" s="8">
        <v>1</v>
      </c>
      <c r="X309" s="49">
        <v>0</v>
      </c>
      <c r="Z309" s="50">
        <f t="shared" ca="1" si="185"/>
        <v>0.81005093397639027</v>
      </c>
      <c r="AA309" s="8">
        <v>1</v>
      </c>
      <c r="AB309" s="49">
        <v>0</v>
      </c>
      <c r="AD309" s="50">
        <f t="shared" ca="1" si="186"/>
        <v>0.61999507672915721</v>
      </c>
      <c r="AE309" s="8">
        <v>1</v>
      </c>
      <c r="AF309" s="49">
        <v>0</v>
      </c>
      <c r="AH309" s="50">
        <f t="shared" ca="1" si="187"/>
        <v>0.50486099045588984</v>
      </c>
      <c r="AI309" s="8">
        <v>1</v>
      </c>
      <c r="AJ309" s="49">
        <v>0</v>
      </c>
      <c r="AL309" s="50">
        <f t="shared" ca="1" si="188"/>
        <v>0.34393087674048606</v>
      </c>
      <c r="AM309" s="8">
        <v>1</v>
      </c>
      <c r="AN309" s="49">
        <v>0</v>
      </c>
      <c r="AP309" s="50">
        <f t="shared" ca="1" si="189"/>
        <v>0.23242303397253039</v>
      </c>
      <c r="AQ309" s="8">
        <v>1</v>
      </c>
      <c r="AR309" s="49">
        <v>0</v>
      </c>
      <c r="AT309" s="50">
        <f t="shared" ca="1" si="190"/>
        <v>0.91362109537993041</v>
      </c>
      <c r="AU309" s="8">
        <v>1</v>
      </c>
      <c r="AV309" s="49">
        <v>0</v>
      </c>
      <c r="AX309" s="50">
        <f t="shared" ca="1" si="191"/>
        <v>0.25253219657005366</v>
      </c>
      <c r="AY309" s="8">
        <v>1</v>
      </c>
      <c r="AZ309" s="49">
        <v>0</v>
      </c>
      <c r="BB309" s="50">
        <f t="shared" ca="1" si="192"/>
        <v>0.58139377863854591</v>
      </c>
      <c r="BC309" s="8">
        <v>1</v>
      </c>
      <c r="BD309" s="49">
        <v>0</v>
      </c>
      <c r="BF309" s="50">
        <f t="shared" ca="1" si="193"/>
        <v>0.78290494879511308</v>
      </c>
      <c r="BG309" s="8">
        <v>1</v>
      </c>
      <c r="BH309" s="49">
        <v>0</v>
      </c>
      <c r="BJ309" s="50">
        <f t="shared" ca="1" si="194"/>
        <v>3.4670409060251983E-2</v>
      </c>
      <c r="BK309" s="8">
        <v>1</v>
      </c>
      <c r="BL309" s="49">
        <v>0</v>
      </c>
      <c r="BN309" s="50">
        <f t="shared" ca="1" si="195"/>
        <v>0.26821066800245541</v>
      </c>
      <c r="BO309" s="8">
        <v>1</v>
      </c>
      <c r="BP309" s="49">
        <v>0</v>
      </c>
      <c r="BR309" s="50">
        <f t="shared" ca="1" si="196"/>
        <v>0.44787519763173489</v>
      </c>
      <c r="BS309" s="8">
        <v>1</v>
      </c>
      <c r="BT309" s="49">
        <v>0</v>
      </c>
    </row>
    <row r="310" spans="1:72" x14ac:dyDescent="0.2">
      <c r="A310" s="22">
        <v>44857</v>
      </c>
      <c r="B310" s="50">
        <f t="shared" ca="1" si="179"/>
        <v>0.66305206042684905</v>
      </c>
      <c r="C310" s="8">
        <v>1</v>
      </c>
      <c r="D310" s="49">
        <v>0</v>
      </c>
      <c r="F310" s="50">
        <f t="shared" ca="1" si="180"/>
        <v>0.80391448617824601</v>
      </c>
      <c r="G310" s="8">
        <v>1</v>
      </c>
      <c r="H310" s="49">
        <v>0</v>
      </c>
      <c r="J310" s="50">
        <f t="shared" ca="1" si="181"/>
        <v>1.7115948555100347E-2</v>
      </c>
      <c r="K310" s="8">
        <v>1</v>
      </c>
      <c r="L310" s="49">
        <v>0</v>
      </c>
      <c r="N310" s="50">
        <f t="shared" ca="1" si="182"/>
        <v>0.80167713005397745</v>
      </c>
      <c r="O310" s="8">
        <v>1</v>
      </c>
      <c r="P310" s="49">
        <v>0</v>
      </c>
      <c r="R310" s="50">
        <f t="shared" ca="1" si="183"/>
        <v>0.56462111384802693</v>
      </c>
      <c r="S310" s="8">
        <v>1</v>
      </c>
      <c r="T310" s="49">
        <v>0</v>
      </c>
      <c r="V310" s="50">
        <f t="shared" ca="1" si="184"/>
        <v>0.15543237928014431</v>
      </c>
      <c r="W310" s="8">
        <v>1</v>
      </c>
      <c r="X310" s="49">
        <v>0</v>
      </c>
      <c r="Z310" s="50">
        <f t="shared" ca="1" si="185"/>
        <v>0.95507812957853888</v>
      </c>
      <c r="AA310" s="8">
        <v>1</v>
      </c>
      <c r="AB310" s="49">
        <v>0</v>
      </c>
      <c r="AD310" s="50">
        <f t="shared" ca="1" si="186"/>
        <v>0.90255527211163122</v>
      </c>
      <c r="AE310" s="8">
        <v>1</v>
      </c>
      <c r="AF310" s="49">
        <v>0</v>
      </c>
      <c r="AH310" s="50">
        <f t="shared" ca="1" si="187"/>
        <v>0.34317326729126985</v>
      </c>
      <c r="AI310" s="8">
        <v>1</v>
      </c>
      <c r="AJ310" s="49">
        <v>0</v>
      </c>
      <c r="AL310" s="50">
        <f t="shared" ca="1" si="188"/>
        <v>0.62624763837423514</v>
      </c>
      <c r="AM310" s="8">
        <v>1</v>
      </c>
      <c r="AN310" s="49">
        <v>0</v>
      </c>
      <c r="AP310" s="50">
        <f t="shared" ca="1" si="189"/>
        <v>0.79530052791994499</v>
      </c>
      <c r="AQ310" s="8">
        <v>1</v>
      </c>
      <c r="AR310" s="49">
        <v>0</v>
      </c>
      <c r="AT310" s="50">
        <f t="shared" ca="1" si="190"/>
        <v>0.48671390816526594</v>
      </c>
      <c r="AU310" s="8">
        <v>1</v>
      </c>
      <c r="AV310" s="49">
        <v>0</v>
      </c>
      <c r="AX310" s="50">
        <f t="shared" ca="1" si="191"/>
        <v>0.9112610235764842</v>
      </c>
      <c r="AY310" s="8">
        <v>1</v>
      </c>
      <c r="AZ310" s="49">
        <v>0</v>
      </c>
      <c r="BB310" s="50">
        <f t="shared" ca="1" si="192"/>
        <v>0.31124308913306076</v>
      </c>
      <c r="BC310" s="8">
        <v>1</v>
      </c>
      <c r="BD310" s="49">
        <v>0</v>
      </c>
      <c r="BF310" s="50">
        <f t="shared" ca="1" si="193"/>
        <v>0.66704614408745233</v>
      </c>
      <c r="BG310" s="8">
        <v>1</v>
      </c>
      <c r="BH310" s="49">
        <v>0</v>
      </c>
      <c r="BJ310" s="50">
        <f t="shared" ca="1" si="194"/>
        <v>0.20339617377472263</v>
      </c>
      <c r="BK310" s="8">
        <v>1</v>
      </c>
      <c r="BL310" s="49">
        <v>0</v>
      </c>
      <c r="BN310" s="50">
        <f t="shared" ca="1" si="195"/>
        <v>4.8895858981692353E-2</v>
      </c>
      <c r="BO310" s="8">
        <v>1</v>
      </c>
      <c r="BP310" s="49">
        <v>0</v>
      </c>
      <c r="BR310" s="50">
        <f t="shared" ca="1" si="196"/>
        <v>4.8027083044381857E-2</v>
      </c>
      <c r="BS310" s="8">
        <v>1</v>
      </c>
      <c r="BT310" s="49">
        <v>0</v>
      </c>
    </row>
    <row r="311" spans="1:72" x14ac:dyDescent="0.2">
      <c r="A311" s="22">
        <v>44858</v>
      </c>
      <c r="B311" s="50">
        <f t="shared" ca="1" si="179"/>
        <v>1.3608690470996443E-3</v>
      </c>
      <c r="C311" s="8">
        <v>1</v>
      </c>
      <c r="D311" s="49">
        <v>0</v>
      </c>
      <c r="F311" s="50">
        <f t="shared" ca="1" si="180"/>
        <v>0.16132166103868883</v>
      </c>
      <c r="G311" s="8">
        <v>1</v>
      </c>
      <c r="H311" s="49">
        <v>0</v>
      </c>
      <c r="J311" s="50">
        <f t="shared" ca="1" si="181"/>
        <v>0.74101504674223773</v>
      </c>
      <c r="K311" s="8">
        <v>1</v>
      </c>
      <c r="L311" s="49">
        <v>0</v>
      </c>
      <c r="N311" s="50">
        <f t="shared" ca="1" si="182"/>
        <v>0.2322583671224715</v>
      </c>
      <c r="O311" s="8">
        <v>1</v>
      </c>
      <c r="P311" s="49">
        <v>0</v>
      </c>
      <c r="R311" s="50">
        <f t="shared" ca="1" si="183"/>
        <v>0.39328101449702146</v>
      </c>
      <c r="S311" s="8">
        <v>1</v>
      </c>
      <c r="T311" s="49">
        <v>0</v>
      </c>
      <c r="V311" s="50">
        <f t="shared" ca="1" si="184"/>
        <v>0.11745716441957699</v>
      </c>
      <c r="W311" s="8">
        <v>1</v>
      </c>
      <c r="X311" s="49">
        <v>0</v>
      </c>
      <c r="Z311" s="50">
        <f t="shared" ca="1" si="185"/>
        <v>0.81658405338426698</v>
      </c>
      <c r="AA311" s="8">
        <v>1</v>
      </c>
      <c r="AB311" s="49">
        <v>0</v>
      </c>
      <c r="AD311" s="50">
        <f t="shared" ca="1" si="186"/>
        <v>0.58180030596438459</v>
      </c>
      <c r="AE311" s="8">
        <v>1</v>
      </c>
      <c r="AF311" s="49">
        <v>0</v>
      </c>
      <c r="AH311" s="50">
        <f t="shared" ca="1" si="187"/>
        <v>0.35383916506057067</v>
      </c>
      <c r="AI311" s="8">
        <v>1</v>
      </c>
      <c r="AJ311" s="49">
        <v>0</v>
      </c>
      <c r="AL311" s="50">
        <f t="shared" ca="1" si="188"/>
        <v>0.35739707177099367</v>
      </c>
      <c r="AM311" s="8">
        <v>1</v>
      </c>
      <c r="AN311" s="49">
        <v>0</v>
      </c>
      <c r="AP311" s="50">
        <f t="shared" ca="1" si="189"/>
        <v>0.9309740879114623</v>
      </c>
      <c r="AQ311" s="8">
        <v>1</v>
      </c>
      <c r="AR311" s="49">
        <v>0</v>
      </c>
      <c r="AT311" s="50">
        <f t="shared" ca="1" si="190"/>
        <v>0.9298961974765847</v>
      </c>
      <c r="AU311" s="8">
        <v>1</v>
      </c>
      <c r="AV311" s="49">
        <v>0</v>
      </c>
      <c r="AX311" s="50">
        <f t="shared" ca="1" si="191"/>
        <v>0.12128564570552225</v>
      </c>
      <c r="AY311" s="8">
        <v>1</v>
      </c>
      <c r="AZ311" s="49">
        <v>0</v>
      </c>
      <c r="BB311" s="50">
        <f t="shared" ca="1" si="192"/>
        <v>0.19530018548750339</v>
      </c>
      <c r="BC311" s="8">
        <v>1</v>
      </c>
      <c r="BD311" s="49">
        <v>0</v>
      </c>
      <c r="BF311" s="50">
        <f t="shared" ca="1" si="193"/>
        <v>0.57489779983893363</v>
      </c>
      <c r="BG311" s="8">
        <v>1</v>
      </c>
      <c r="BH311" s="49">
        <v>0</v>
      </c>
      <c r="BJ311" s="50">
        <f t="shared" ca="1" si="194"/>
        <v>0.80729917285354036</v>
      </c>
      <c r="BK311" s="8">
        <v>1</v>
      </c>
      <c r="BL311" s="49">
        <v>0</v>
      </c>
      <c r="BN311" s="50">
        <f t="shared" ca="1" si="195"/>
        <v>0.18105776498379778</v>
      </c>
      <c r="BO311" s="8">
        <v>1</v>
      </c>
      <c r="BP311" s="49">
        <v>0</v>
      </c>
      <c r="BR311" s="50">
        <f t="shared" ca="1" si="196"/>
        <v>0.26012384968046853</v>
      </c>
      <c r="BS311" s="8">
        <v>1</v>
      </c>
      <c r="BT311" s="49">
        <v>0</v>
      </c>
    </row>
    <row r="312" spans="1:72" x14ac:dyDescent="0.2">
      <c r="A312" s="22">
        <v>44859</v>
      </c>
      <c r="B312" s="50">
        <f t="shared" ca="1" si="179"/>
        <v>0.41323688286678206</v>
      </c>
      <c r="C312" s="8">
        <v>1</v>
      </c>
      <c r="D312" s="49">
        <v>0</v>
      </c>
      <c r="F312" s="50">
        <f t="shared" ca="1" si="180"/>
        <v>0.46685813627595363</v>
      </c>
      <c r="G312" s="8">
        <v>1</v>
      </c>
      <c r="H312" s="49">
        <v>0</v>
      </c>
      <c r="J312" s="50">
        <f t="shared" ca="1" si="181"/>
        <v>0.57587308810920557</v>
      </c>
      <c r="K312" s="8">
        <v>1</v>
      </c>
      <c r="L312" s="49">
        <v>0</v>
      </c>
      <c r="N312" s="50">
        <f t="shared" ca="1" si="182"/>
        <v>0.46635146223267554</v>
      </c>
      <c r="O312" s="8">
        <v>1</v>
      </c>
      <c r="P312" s="49">
        <v>0</v>
      </c>
      <c r="R312" s="50">
        <f t="shared" ca="1" si="183"/>
        <v>0.95007634502872229</v>
      </c>
      <c r="S312" s="8">
        <v>1</v>
      </c>
      <c r="T312" s="49">
        <v>0</v>
      </c>
      <c r="V312" s="50">
        <f t="shared" ca="1" si="184"/>
        <v>0.33407069332879058</v>
      </c>
      <c r="W312" s="8">
        <v>1</v>
      </c>
      <c r="X312" s="49">
        <v>0</v>
      </c>
      <c r="Z312" s="50">
        <f t="shared" ca="1" si="185"/>
        <v>0.86347668979166958</v>
      </c>
      <c r="AA312" s="8">
        <v>1</v>
      </c>
      <c r="AB312" s="49">
        <v>0</v>
      </c>
      <c r="AD312" s="50">
        <f t="shared" ca="1" si="186"/>
        <v>0.92607171408483724</v>
      </c>
      <c r="AE312" s="8">
        <v>1</v>
      </c>
      <c r="AF312" s="49">
        <v>0</v>
      </c>
      <c r="AH312" s="50">
        <f t="shared" ca="1" si="187"/>
        <v>0.27821197557341604</v>
      </c>
      <c r="AI312" s="8">
        <v>1</v>
      </c>
      <c r="AJ312" s="49">
        <v>0</v>
      </c>
      <c r="AL312" s="50">
        <f t="shared" ca="1" si="188"/>
        <v>0.96951515197151117</v>
      </c>
      <c r="AM312" s="8">
        <v>1</v>
      </c>
      <c r="AN312" s="49">
        <v>0</v>
      </c>
      <c r="AP312" s="50">
        <f t="shared" ca="1" si="189"/>
        <v>0.41275372713579095</v>
      </c>
      <c r="AQ312" s="8">
        <v>1</v>
      </c>
      <c r="AR312" s="49">
        <v>0</v>
      </c>
      <c r="AT312" s="50">
        <f t="shared" ca="1" si="190"/>
        <v>0.47615142970624524</v>
      </c>
      <c r="AU312" s="8">
        <v>1</v>
      </c>
      <c r="AV312" s="49">
        <v>0</v>
      </c>
      <c r="AX312" s="50">
        <f t="shared" ca="1" si="191"/>
        <v>0.88623945492472966</v>
      </c>
      <c r="AY312" s="8">
        <v>1</v>
      </c>
      <c r="AZ312" s="49">
        <v>0</v>
      </c>
      <c r="BB312" s="50">
        <f t="shared" ca="1" si="192"/>
        <v>0.446541330659185</v>
      </c>
      <c r="BC312" s="8">
        <v>1</v>
      </c>
      <c r="BD312" s="49">
        <v>0</v>
      </c>
      <c r="BF312" s="50">
        <f t="shared" ca="1" si="193"/>
        <v>0.86791854200702634</v>
      </c>
      <c r="BG312" s="8">
        <v>1</v>
      </c>
      <c r="BH312" s="49">
        <v>0</v>
      </c>
      <c r="BJ312" s="50">
        <f t="shared" ca="1" si="194"/>
        <v>0.79274897276928336</v>
      </c>
      <c r="BK312" s="8">
        <v>1</v>
      </c>
      <c r="BL312" s="49">
        <v>0</v>
      </c>
      <c r="BN312" s="50">
        <f t="shared" ca="1" si="195"/>
        <v>2.7909028416300163E-2</v>
      </c>
      <c r="BO312" s="8">
        <v>1</v>
      </c>
      <c r="BP312" s="49">
        <v>0</v>
      </c>
      <c r="BR312" s="50">
        <f t="shared" ca="1" si="196"/>
        <v>0.45271130372219415</v>
      </c>
      <c r="BS312" s="8">
        <v>1</v>
      </c>
      <c r="BT312" s="49">
        <v>0</v>
      </c>
    </row>
    <row r="313" spans="1:72" x14ac:dyDescent="0.2">
      <c r="A313" s="22">
        <v>44860</v>
      </c>
      <c r="B313" s="50">
        <f t="shared" ca="1" si="179"/>
        <v>0.67983560881255478</v>
      </c>
      <c r="C313" s="8">
        <v>1</v>
      </c>
      <c r="D313" s="49">
        <f t="shared" ref="D313:D366" ca="1" si="197">ROUNDUP(_xlfn.NORM.INV(B313,C$4*C313,C$6*C313),0)</f>
        <v>110</v>
      </c>
      <c r="F313" s="50">
        <f t="shared" ca="1" si="180"/>
        <v>0.91380648837874134</v>
      </c>
      <c r="G313" s="8">
        <v>1</v>
      </c>
      <c r="H313" s="49">
        <f t="shared" ref="H313:H366" ca="1" si="198">ROUNDUP(_xlfn.NORM.INV(F313,G$4*G313,G$6*G313),0)</f>
        <v>294</v>
      </c>
      <c r="J313" s="50">
        <f t="shared" ca="1" si="181"/>
        <v>0.49299822489496581</v>
      </c>
      <c r="K313" s="8">
        <v>1</v>
      </c>
      <c r="L313" s="49">
        <f t="shared" ref="L313:L366" ca="1" si="199">ROUNDUP(_xlfn.NORM.INV(J313,K$4*K313,K$6*K313),0)</f>
        <v>150</v>
      </c>
      <c r="N313" s="50">
        <f t="shared" ca="1" si="182"/>
        <v>0.26234464548694691</v>
      </c>
      <c r="O313" s="8">
        <v>1</v>
      </c>
      <c r="P313" s="49">
        <f t="shared" ref="P313:P366" ca="1" si="200">ROUNDUP(_xlfn.NORM.INV(N313,O$4*O313,O$6*O313),0)</f>
        <v>191</v>
      </c>
      <c r="R313" s="50">
        <f t="shared" ca="1" si="183"/>
        <v>0.78895606123733264</v>
      </c>
      <c r="S313" s="8">
        <v>1</v>
      </c>
      <c r="T313" s="49">
        <f t="shared" ref="T313:T366" ca="1" si="201">ROUNDUP(_xlfn.NORM.INV(R313,S$4*S313,S$6*S313),0)</f>
        <v>169</v>
      </c>
      <c r="V313" s="50">
        <f t="shared" ca="1" si="184"/>
        <v>0.82080991224315136</v>
      </c>
      <c r="W313" s="8">
        <v>1</v>
      </c>
      <c r="X313" s="49">
        <f t="shared" ref="X313:X366" ca="1" si="202">ROUNDUP(_xlfn.NORM.INV(V313,W$4*W313,W$6*W313),0)</f>
        <v>281</v>
      </c>
      <c r="Z313" s="50">
        <f t="shared" ca="1" si="185"/>
        <v>1.0900853368238539E-2</v>
      </c>
      <c r="AA313" s="8">
        <v>1</v>
      </c>
      <c r="AB313" s="49">
        <f t="shared" ref="AB313:AB366" ca="1" si="203">ROUNDUP(_xlfn.NORM.INV(Z313,AA$4*AA313,AA$6*AA313),0)</f>
        <v>105</v>
      </c>
      <c r="AD313" s="50">
        <f t="shared" ca="1" si="186"/>
        <v>0.4085771185249385</v>
      </c>
      <c r="AE313" s="8">
        <v>1</v>
      </c>
      <c r="AF313" s="49">
        <f t="shared" ref="AF313:AF366" ca="1" si="204">ROUNDUP(_xlfn.NORM.INV(AD313,AE$4*AE313,AE$6*AE313),0)</f>
        <v>307</v>
      </c>
      <c r="AH313" s="50">
        <f t="shared" ca="1" si="187"/>
        <v>0.91442184786906922</v>
      </c>
      <c r="AI313" s="8">
        <v>1</v>
      </c>
      <c r="AJ313" s="49">
        <f t="shared" ref="AJ313:AJ366" ca="1" si="205">ROUNDUP(_xlfn.NORM.INV(AH313,AI$4*AI313,AI$6*AI313),0)</f>
        <v>246</v>
      </c>
      <c r="AL313" s="50">
        <f t="shared" ca="1" si="188"/>
        <v>0.10293353497607938</v>
      </c>
      <c r="AM313" s="8">
        <v>1</v>
      </c>
      <c r="AN313" s="49">
        <f t="shared" ref="AN313:AN366" ca="1" si="206">ROUNDUP(_xlfn.NORM.INV(AL313,AM$4*AM313,AM$6*AM313),0)</f>
        <v>98</v>
      </c>
      <c r="AP313" s="50">
        <f t="shared" ca="1" si="189"/>
        <v>0.1068954490941586</v>
      </c>
      <c r="AQ313" s="8">
        <v>1</v>
      </c>
      <c r="AR313" s="49">
        <f t="shared" ref="AR313:AR366" ca="1" si="207">ROUNDUP(_xlfn.NORM.INV(AP313,AQ$4*AQ313,AQ$6*AQ313),0)</f>
        <v>145</v>
      </c>
      <c r="AT313" s="50">
        <f t="shared" ca="1" si="190"/>
        <v>0.71375026326622437</v>
      </c>
      <c r="AU313" s="8">
        <v>1</v>
      </c>
      <c r="AV313" s="49">
        <f t="shared" ref="AV313:AV366" ca="1" si="208">ROUNDUP(_xlfn.NORM.INV(AT313,AU$4*AU313,AU$6*AU313),0)</f>
        <v>221</v>
      </c>
      <c r="AX313" s="50">
        <f t="shared" ca="1" si="191"/>
        <v>0.93324146593639445</v>
      </c>
      <c r="AY313" s="8">
        <v>1</v>
      </c>
      <c r="AZ313" s="49">
        <f t="shared" ref="AZ313:AZ366" ca="1" si="209">ROUNDUP(_xlfn.NORM.INV(AX313,AY$4*AY313,AY$6*AY313),0)</f>
        <v>252</v>
      </c>
      <c r="BB313" s="50">
        <f t="shared" ca="1" si="192"/>
        <v>0.85903014998734495</v>
      </c>
      <c r="BC313" s="8">
        <v>1</v>
      </c>
      <c r="BD313" s="49">
        <f t="shared" ref="BD313:BD366" ca="1" si="210">ROUNDUP(_xlfn.NORM.INV(BB313,BC$4*BC313,BC$6*BC313),0)</f>
        <v>206</v>
      </c>
      <c r="BF313" s="50">
        <f t="shared" ca="1" si="193"/>
        <v>0.84407635387574953</v>
      </c>
      <c r="BG313" s="8">
        <v>1</v>
      </c>
      <c r="BH313" s="49">
        <f t="shared" ref="BH313:BH366" ca="1" si="211">ROUNDUP(_xlfn.NORM.INV(BF313,BG$4*BG313,BG$6*BG313),0)</f>
        <v>209</v>
      </c>
      <c r="BJ313" s="50">
        <f t="shared" ca="1" si="194"/>
        <v>0.58327599277994635</v>
      </c>
      <c r="BK313" s="8">
        <v>1</v>
      </c>
      <c r="BL313" s="49">
        <f t="shared" ref="BL313:BL366" ca="1" si="212">ROUNDUP(_xlfn.NORM.INV(BJ313,BK$4*BK313,BK$6*BK313),0)</f>
        <v>139</v>
      </c>
      <c r="BN313" s="50">
        <f t="shared" ca="1" si="195"/>
        <v>0.13014435290997028</v>
      </c>
      <c r="BO313" s="8">
        <v>1</v>
      </c>
      <c r="BP313" s="49">
        <f t="shared" ref="BP313:BP366" ca="1" si="213">ROUNDUP(_xlfn.NORM.INV(BN313,BO$4*BO313,BO$6*BO313),0)</f>
        <v>122</v>
      </c>
      <c r="BR313" s="50">
        <f t="shared" ca="1" si="196"/>
        <v>0.91824427679968101</v>
      </c>
      <c r="BS313" s="8">
        <v>1</v>
      </c>
      <c r="BT313" s="49">
        <f t="shared" ref="BT313:BT366" ca="1" si="214">ROUNDUP(_xlfn.NORM.INV(BR313,BS$4*BS313,BS$6*BS313),0)</f>
        <v>252</v>
      </c>
    </row>
    <row r="314" spans="1:72" x14ac:dyDescent="0.2">
      <c r="A314" s="22">
        <v>44861</v>
      </c>
      <c r="B314" s="50">
        <f t="shared" ca="1" si="179"/>
        <v>9.696304938764877E-2</v>
      </c>
      <c r="C314" s="8">
        <v>1</v>
      </c>
      <c r="D314" s="49">
        <f t="shared" ca="1" si="197"/>
        <v>75</v>
      </c>
      <c r="F314" s="50">
        <f t="shared" ca="1" si="180"/>
        <v>0.86560271475886241</v>
      </c>
      <c r="G314" s="8">
        <v>1</v>
      </c>
      <c r="H314" s="49">
        <f t="shared" ca="1" si="198"/>
        <v>279</v>
      </c>
      <c r="J314" s="50">
        <f t="shared" ca="1" si="181"/>
        <v>0.51588326906396642</v>
      </c>
      <c r="K314" s="8">
        <v>1</v>
      </c>
      <c r="L314" s="49">
        <f t="shared" ca="1" si="199"/>
        <v>152</v>
      </c>
      <c r="N314" s="50">
        <f t="shared" ca="1" si="182"/>
        <v>0.11692580788871776</v>
      </c>
      <c r="O314" s="8">
        <v>1</v>
      </c>
      <c r="P314" s="49">
        <f t="shared" ca="1" si="200"/>
        <v>157</v>
      </c>
      <c r="R314" s="50">
        <f t="shared" ca="1" si="183"/>
        <v>8.9302451534970295E-2</v>
      </c>
      <c r="S314" s="8">
        <v>1</v>
      </c>
      <c r="T314" s="49">
        <f t="shared" ca="1" si="201"/>
        <v>89</v>
      </c>
      <c r="V314" s="50">
        <f t="shared" ca="1" si="184"/>
        <v>0.65449737922479878</v>
      </c>
      <c r="W314" s="8">
        <v>1</v>
      </c>
      <c r="X314" s="49">
        <f t="shared" ca="1" si="202"/>
        <v>249</v>
      </c>
      <c r="Z314" s="50">
        <f t="shared" ca="1" si="185"/>
        <v>0.92009582047102856</v>
      </c>
      <c r="AA314" s="8">
        <v>1</v>
      </c>
      <c r="AB314" s="49">
        <f t="shared" ca="1" si="203"/>
        <v>372</v>
      </c>
      <c r="AD314" s="50">
        <f t="shared" ca="1" si="186"/>
        <v>0.94382312702470161</v>
      </c>
      <c r="AE314" s="8">
        <v>1</v>
      </c>
      <c r="AF314" s="49">
        <f t="shared" ca="1" si="204"/>
        <v>466</v>
      </c>
      <c r="AH314" s="50">
        <f t="shared" ca="1" si="187"/>
        <v>0.83133501718173053</v>
      </c>
      <c r="AI314" s="8">
        <v>1</v>
      </c>
      <c r="AJ314" s="49">
        <f t="shared" ca="1" si="205"/>
        <v>226</v>
      </c>
      <c r="AL314" s="50">
        <f t="shared" ca="1" si="188"/>
        <v>0.37162026791901281</v>
      </c>
      <c r="AM314" s="8">
        <v>1</v>
      </c>
      <c r="AN314" s="49">
        <f t="shared" ca="1" si="206"/>
        <v>135</v>
      </c>
      <c r="AP314" s="50">
        <f t="shared" ca="1" si="189"/>
        <v>0.39917477657484146</v>
      </c>
      <c r="AQ314" s="8">
        <v>1</v>
      </c>
      <c r="AR314" s="49">
        <f t="shared" ca="1" si="207"/>
        <v>202</v>
      </c>
      <c r="AT314" s="50">
        <f t="shared" ca="1" si="190"/>
        <v>0.79042621736882146</v>
      </c>
      <c r="AU314" s="8">
        <v>1</v>
      </c>
      <c r="AV314" s="49">
        <f t="shared" ca="1" si="208"/>
        <v>233</v>
      </c>
      <c r="AX314" s="50">
        <f t="shared" ca="1" si="191"/>
        <v>0.53052414945945015</v>
      </c>
      <c r="AY314" s="8">
        <v>1</v>
      </c>
      <c r="AZ314" s="49">
        <f t="shared" ca="1" si="209"/>
        <v>184</v>
      </c>
      <c r="BB314" s="50">
        <f t="shared" ca="1" si="192"/>
        <v>0.47589417331375006</v>
      </c>
      <c r="BC314" s="8">
        <v>1</v>
      </c>
      <c r="BD314" s="49">
        <f t="shared" ca="1" si="210"/>
        <v>158</v>
      </c>
      <c r="BF314" s="50">
        <f t="shared" ca="1" si="193"/>
        <v>0.1390605108930536</v>
      </c>
      <c r="BG314" s="8">
        <v>1</v>
      </c>
      <c r="BH314" s="49">
        <f t="shared" ca="1" si="211"/>
        <v>117</v>
      </c>
      <c r="BJ314" s="50">
        <f t="shared" ca="1" si="194"/>
        <v>0.80733609908950277</v>
      </c>
      <c r="BK314" s="8">
        <v>1</v>
      </c>
      <c r="BL314" s="49">
        <f t="shared" ca="1" si="212"/>
        <v>162</v>
      </c>
      <c r="BN314" s="50">
        <f t="shared" ca="1" si="195"/>
        <v>0.48335640243645139</v>
      </c>
      <c r="BO314" s="8">
        <v>1</v>
      </c>
      <c r="BP314" s="49">
        <f t="shared" ca="1" si="213"/>
        <v>172</v>
      </c>
      <c r="BR314" s="50">
        <f t="shared" ca="1" si="196"/>
        <v>2.1739374353626384E-2</v>
      </c>
      <c r="BS314" s="8">
        <v>1</v>
      </c>
      <c r="BT314" s="49">
        <f t="shared" ca="1" si="214"/>
        <v>85</v>
      </c>
    </row>
    <row r="315" spans="1:72" x14ac:dyDescent="0.2">
      <c r="A315" s="22">
        <v>44862</v>
      </c>
      <c r="B315" s="50">
        <f t="shared" ca="1" si="179"/>
        <v>0.32939674672588892</v>
      </c>
      <c r="C315" s="8">
        <v>1</v>
      </c>
      <c r="D315" s="49">
        <f t="shared" ca="1" si="197"/>
        <v>92</v>
      </c>
      <c r="F315" s="50">
        <f t="shared" ca="1" si="180"/>
        <v>0.20016362403923782</v>
      </c>
      <c r="G315" s="8">
        <v>1</v>
      </c>
      <c r="H315" s="49">
        <f t="shared" ca="1" si="198"/>
        <v>168</v>
      </c>
      <c r="J315" s="50">
        <f t="shared" ca="1" si="181"/>
        <v>6.4397298077518039E-2</v>
      </c>
      <c r="K315" s="8">
        <v>1</v>
      </c>
      <c r="L315" s="49">
        <f t="shared" ca="1" si="199"/>
        <v>90</v>
      </c>
      <c r="N315" s="50">
        <f t="shared" ca="1" si="182"/>
        <v>0.92782667750286596</v>
      </c>
      <c r="O315" s="8">
        <v>1</v>
      </c>
      <c r="P315" s="49">
        <f t="shared" ca="1" si="200"/>
        <v>319</v>
      </c>
      <c r="R315" s="50">
        <f t="shared" ca="1" si="183"/>
        <v>0.24356691020225552</v>
      </c>
      <c r="S315" s="8">
        <v>1</v>
      </c>
      <c r="T315" s="49">
        <f t="shared" ca="1" si="201"/>
        <v>114</v>
      </c>
      <c r="V315" s="50">
        <f t="shared" ca="1" si="184"/>
        <v>0.22534723981136484</v>
      </c>
      <c r="W315" s="8">
        <v>1</v>
      </c>
      <c r="X315" s="49">
        <f t="shared" ca="1" si="202"/>
        <v>180</v>
      </c>
      <c r="Z315" s="50">
        <f t="shared" ca="1" si="185"/>
        <v>0.94980665440581091</v>
      </c>
      <c r="AA315" s="8">
        <v>1</v>
      </c>
      <c r="AB315" s="49">
        <f t="shared" ca="1" si="203"/>
        <v>389</v>
      </c>
      <c r="AD315" s="50">
        <f t="shared" ca="1" si="186"/>
        <v>0.84536507693723983</v>
      </c>
      <c r="AE315" s="8">
        <v>1</v>
      </c>
      <c r="AF315" s="49">
        <f t="shared" ca="1" si="204"/>
        <v>416</v>
      </c>
      <c r="AH315" s="50">
        <f t="shared" ca="1" si="187"/>
        <v>0.71426013614452133</v>
      </c>
      <c r="AI315" s="8">
        <v>1</v>
      </c>
      <c r="AJ315" s="49">
        <f t="shared" ca="1" si="205"/>
        <v>207</v>
      </c>
      <c r="AL315" s="50">
        <f t="shared" ca="1" si="188"/>
        <v>0.64196533152798108</v>
      </c>
      <c r="AM315" s="8">
        <v>1</v>
      </c>
      <c r="AN315" s="49">
        <f t="shared" ca="1" si="206"/>
        <v>162</v>
      </c>
      <c r="AP315" s="50">
        <f t="shared" ca="1" si="189"/>
        <v>0.61411497715758168</v>
      </c>
      <c r="AQ315" s="8">
        <v>1</v>
      </c>
      <c r="AR315" s="49">
        <f t="shared" ca="1" si="207"/>
        <v>234</v>
      </c>
      <c r="AT315" s="50">
        <f t="shared" ca="1" si="190"/>
        <v>0.58953893178986372</v>
      </c>
      <c r="AU315" s="8">
        <v>1</v>
      </c>
      <c r="AV315" s="49">
        <f t="shared" ca="1" si="208"/>
        <v>204</v>
      </c>
      <c r="AX315" s="50">
        <f t="shared" ca="1" si="191"/>
        <v>8.266129651706422E-2</v>
      </c>
      <c r="AY315" s="8">
        <v>1</v>
      </c>
      <c r="AZ315" s="49">
        <f t="shared" ca="1" si="209"/>
        <v>114</v>
      </c>
      <c r="BB315" s="50">
        <f t="shared" ca="1" si="192"/>
        <v>0.69579955679048933</v>
      </c>
      <c r="BC315" s="8">
        <v>1</v>
      </c>
      <c r="BD315" s="49">
        <f t="shared" ca="1" si="210"/>
        <v>182</v>
      </c>
      <c r="BF315" s="50">
        <f t="shared" ca="1" si="193"/>
        <v>0.46205045576539117</v>
      </c>
      <c r="BG315" s="8">
        <v>1</v>
      </c>
      <c r="BH315" s="49">
        <f t="shared" ca="1" si="211"/>
        <v>161</v>
      </c>
      <c r="BJ315" s="50">
        <f t="shared" ca="1" si="194"/>
        <v>0.20711131794129067</v>
      </c>
      <c r="BK315" s="8">
        <v>1</v>
      </c>
      <c r="BL315" s="49">
        <f t="shared" ca="1" si="212"/>
        <v>103</v>
      </c>
      <c r="BN315" s="50">
        <f t="shared" ca="1" si="195"/>
        <v>0.88070375713865057</v>
      </c>
      <c r="BO315" s="8">
        <v>1</v>
      </c>
      <c r="BP315" s="49">
        <f t="shared" ca="1" si="213"/>
        <v>229</v>
      </c>
      <c r="BR315" s="50">
        <f t="shared" ca="1" si="196"/>
        <v>0.23569353109151758</v>
      </c>
      <c r="BS315" s="8">
        <v>1</v>
      </c>
      <c r="BT315" s="49">
        <f t="shared" ca="1" si="214"/>
        <v>149</v>
      </c>
    </row>
    <row r="316" spans="1:72" x14ac:dyDescent="0.2">
      <c r="A316" s="22">
        <v>44863</v>
      </c>
      <c r="B316" s="50">
        <f t="shared" ca="1" si="179"/>
        <v>0.9705830421793824</v>
      </c>
      <c r="C316" s="8">
        <v>1</v>
      </c>
      <c r="D316" s="49">
        <f t="shared" ca="1" si="197"/>
        <v>138</v>
      </c>
      <c r="F316" s="50">
        <f t="shared" ca="1" si="180"/>
        <v>0.66063659114701334</v>
      </c>
      <c r="G316" s="8">
        <v>1</v>
      </c>
      <c r="H316" s="49">
        <f t="shared" ca="1" si="198"/>
        <v>240</v>
      </c>
      <c r="J316" s="50">
        <f t="shared" ca="1" si="181"/>
        <v>0.70726872631630222</v>
      </c>
      <c r="K316" s="8">
        <v>1</v>
      </c>
      <c r="L316" s="49">
        <f t="shared" ca="1" si="199"/>
        <v>172</v>
      </c>
      <c r="N316" s="50">
        <f t="shared" ca="1" si="182"/>
        <v>0.12541527915859274</v>
      </c>
      <c r="O316" s="8">
        <v>1</v>
      </c>
      <c r="P316" s="49">
        <f t="shared" ca="1" si="200"/>
        <v>160</v>
      </c>
      <c r="R316" s="50">
        <f t="shared" ca="1" si="183"/>
        <v>0.98115048853105069</v>
      </c>
      <c r="S316" s="8">
        <v>1</v>
      </c>
      <c r="T316" s="49">
        <f t="shared" ca="1" si="201"/>
        <v>216</v>
      </c>
      <c r="V316" s="50">
        <f t="shared" ca="1" si="184"/>
        <v>0.76214438535795115</v>
      </c>
      <c r="W316" s="8">
        <v>1</v>
      </c>
      <c r="X316" s="49">
        <f t="shared" ca="1" si="202"/>
        <v>268</v>
      </c>
      <c r="Z316" s="50">
        <f t="shared" ca="1" si="185"/>
        <v>0.35865140340255175</v>
      </c>
      <c r="AA316" s="8">
        <v>1</v>
      </c>
      <c r="AB316" s="49">
        <f t="shared" ca="1" si="203"/>
        <v>244</v>
      </c>
      <c r="AD316" s="50">
        <f t="shared" ca="1" si="186"/>
        <v>0.25778846217996165</v>
      </c>
      <c r="AE316" s="8">
        <v>1</v>
      </c>
      <c r="AF316" s="49">
        <f t="shared" ca="1" si="204"/>
        <v>271</v>
      </c>
      <c r="AH316" s="50">
        <f t="shared" ca="1" si="187"/>
        <v>0.96923672410169193</v>
      </c>
      <c r="AI316" s="8">
        <v>1</v>
      </c>
      <c r="AJ316" s="49">
        <f t="shared" ca="1" si="205"/>
        <v>270</v>
      </c>
      <c r="AL316" s="50">
        <f t="shared" ca="1" si="188"/>
        <v>0.70345218387047947</v>
      </c>
      <c r="AM316" s="8">
        <v>1</v>
      </c>
      <c r="AN316" s="49">
        <f t="shared" ca="1" si="206"/>
        <v>169</v>
      </c>
      <c r="AP316" s="50">
        <f t="shared" ca="1" si="189"/>
        <v>0.45273053523703488</v>
      </c>
      <c r="AQ316" s="8">
        <v>1</v>
      </c>
      <c r="AR316" s="49">
        <f t="shared" ca="1" si="207"/>
        <v>210</v>
      </c>
      <c r="AT316" s="50">
        <f t="shared" ca="1" si="190"/>
        <v>0.53248655576076709</v>
      </c>
      <c r="AU316" s="8">
        <v>1</v>
      </c>
      <c r="AV316" s="49">
        <f t="shared" ca="1" si="208"/>
        <v>196</v>
      </c>
      <c r="AX316" s="50">
        <f t="shared" ca="1" si="191"/>
        <v>0.81647915003429583</v>
      </c>
      <c r="AY316" s="8">
        <v>1</v>
      </c>
      <c r="AZ316" s="49">
        <f t="shared" ca="1" si="209"/>
        <v>224</v>
      </c>
      <c r="BB316" s="50">
        <f t="shared" ca="1" si="192"/>
        <v>0.64929017085005303</v>
      </c>
      <c r="BC316" s="8">
        <v>1</v>
      </c>
      <c r="BD316" s="49">
        <f t="shared" ca="1" si="210"/>
        <v>176</v>
      </c>
      <c r="BF316" s="50">
        <f t="shared" ca="1" si="193"/>
        <v>0.8242594525915945</v>
      </c>
      <c r="BG316" s="8">
        <v>1</v>
      </c>
      <c r="BH316" s="49">
        <f t="shared" ca="1" si="211"/>
        <v>206</v>
      </c>
      <c r="BJ316" s="50">
        <f t="shared" ca="1" si="194"/>
        <v>0.79380194515224334</v>
      </c>
      <c r="BK316" s="8">
        <v>1</v>
      </c>
      <c r="BL316" s="49">
        <f t="shared" ca="1" si="212"/>
        <v>160</v>
      </c>
      <c r="BN316" s="50">
        <f t="shared" ca="1" si="195"/>
        <v>0.33092006371950078</v>
      </c>
      <c r="BO316" s="8">
        <v>1</v>
      </c>
      <c r="BP316" s="49">
        <f t="shared" ca="1" si="213"/>
        <v>154</v>
      </c>
      <c r="BR316" s="50">
        <f t="shared" ca="1" si="196"/>
        <v>0.8930656709839313</v>
      </c>
      <c r="BS316" s="8">
        <v>1</v>
      </c>
      <c r="BT316" s="49">
        <f t="shared" ca="1" si="214"/>
        <v>245</v>
      </c>
    </row>
    <row r="317" spans="1:72" x14ac:dyDescent="0.2">
      <c r="A317" s="22">
        <v>44864</v>
      </c>
      <c r="B317" s="50">
        <f t="shared" ca="1" si="179"/>
        <v>0.15199648811714517</v>
      </c>
      <c r="C317" s="8">
        <v>1</v>
      </c>
      <c r="D317" s="49">
        <f t="shared" ca="1" si="197"/>
        <v>80</v>
      </c>
      <c r="F317" s="50">
        <f t="shared" ca="1" si="180"/>
        <v>0.54488459482267071</v>
      </c>
      <c r="G317" s="8">
        <v>1</v>
      </c>
      <c r="H317" s="49">
        <f t="shared" ca="1" si="198"/>
        <v>222</v>
      </c>
      <c r="J317" s="50">
        <f t="shared" ca="1" si="181"/>
        <v>0.19974237199306444</v>
      </c>
      <c r="K317" s="8">
        <v>1</v>
      </c>
      <c r="L317" s="49">
        <f t="shared" ca="1" si="199"/>
        <v>117</v>
      </c>
      <c r="N317" s="50">
        <f t="shared" ca="1" si="182"/>
        <v>0.63824200745023096</v>
      </c>
      <c r="O317" s="8">
        <v>1</v>
      </c>
      <c r="P317" s="49">
        <f t="shared" ca="1" si="200"/>
        <v>251</v>
      </c>
      <c r="R317" s="50">
        <f t="shared" ca="1" si="183"/>
        <v>0.12776238239853532</v>
      </c>
      <c r="S317" s="8">
        <v>1</v>
      </c>
      <c r="T317" s="49">
        <f t="shared" ca="1" si="201"/>
        <v>97</v>
      </c>
      <c r="V317" s="50">
        <f t="shared" ca="1" si="184"/>
        <v>0.65330652205141715</v>
      </c>
      <c r="W317" s="8">
        <v>1</v>
      </c>
      <c r="X317" s="49">
        <f t="shared" ca="1" si="202"/>
        <v>249</v>
      </c>
      <c r="Z317" s="50">
        <f t="shared" ca="1" si="185"/>
        <v>0.32097822276519727</v>
      </c>
      <c r="AA317" s="8">
        <v>1</v>
      </c>
      <c r="AB317" s="49">
        <f t="shared" ca="1" si="203"/>
        <v>237</v>
      </c>
      <c r="AD317" s="50">
        <f t="shared" ca="1" si="186"/>
        <v>0.54575421960275128</v>
      </c>
      <c r="AE317" s="8">
        <v>1</v>
      </c>
      <c r="AF317" s="49">
        <f t="shared" ca="1" si="204"/>
        <v>338</v>
      </c>
      <c r="AH317" s="50">
        <f t="shared" ca="1" si="187"/>
        <v>0.13036163186083682</v>
      </c>
      <c r="AI317" s="8">
        <v>1</v>
      </c>
      <c r="AJ317" s="49">
        <f t="shared" ca="1" si="205"/>
        <v>126</v>
      </c>
      <c r="AL317" s="50">
        <f t="shared" ca="1" si="188"/>
        <v>0.37515175334717343</v>
      </c>
      <c r="AM317" s="8">
        <v>1</v>
      </c>
      <c r="AN317" s="49">
        <f t="shared" ca="1" si="206"/>
        <v>135</v>
      </c>
      <c r="AP317" s="50">
        <f t="shared" ca="1" si="189"/>
        <v>8.9882627114774793E-2</v>
      </c>
      <c r="AQ317" s="8">
        <v>1</v>
      </c>
      <c r="AR317" s="49">
        <f t="shared" ca="1" si="207"/>
        <v>140</v>
      </c>
      <c r="AT317" s="50">
        <f t="shared" ca="1" si="190"/>
        <v>0.69979693887750338</v>
      </c>
      <c r="AU317" s="8">
        <v>1</v>
      </c>
      <c r="AV317" s="49">
        <f t="shared" ca="1" si="208"/>
        <v>219</v>
      </c>
      <c r="AX317" s="50">
        <f t="shared" ca="1" si="191"/>
        <v>0.79156739383151142</v>
      </c>
      <c r="AY317" s="8">
        <v>1</v>
      </c>
      <c r="AZ317" s="49">
        <f t="shared" ca="1" si="209"/>
        <v>219</v>
      </c>
      <c r="BB317" s="50">
        <f t="shared" ca="1" si="192"/>
        <v>0.32858591196930476</v>
      </c>
      <c r="BC317" s="8">
        <v>1</v>
      </c>
      <c r="BD317" s="49">
        <f t="shared" ca="1" si="210"/>
        <v>141</v>
      </c>
      <c r="BF317" s="50">
        <f t="shared" ca="1" si="193"/>
        <v>0.51433466227008229</v>
      </c>
      <c r="BG317" s="8">
        <v>1</v>
      </c>
      <c r="BH317" s="49">
        <f t="shared" ca="1" si="211"/>
        <v>167</v>
      </c>
      <c r="BJ317" s="50">
        <f t="shared" ca="1" si="194"/>
        <v>0.30574221513262978</v>
      </c>
      <c r="BK317" s="8">
        <v>1</v>
      </c>
      <c r="BL317" s="49">
        <f t="shared" ca="1" si="212"/>
        <v>114</v>
      </c>
      <c r="BN317" s="50">
        <f t="shared" ca="1" si="195"/>
        <v>0.18038508308880763</v>
      </c>
      <c r="BO317" s="8">
        <v>1</v>
      </c>
      <c r="BP317" s="49">
        <f t="shared" ca="1" si="213"/>
        <v>132</v>
      </c>
      <c r="BR317" s="50">
        <f t="shared" ca="1" si="196"/>
        <v>0.9118667903454073</v>
      </c>
      <c r="BS317" s="8">
        <v>1</v>
      </c>
      <c r="BT317" s="49">
        <f t="shared" ca="1" si="214"/>
        <v>250</v>
      </c>
    </row>
    <row r="318" spans="1:72" x14ac:dyDescent="0.2">
      <c r="A318" s="22">
        <v>44865</v>
      </c>
      <c r="B318" s="50">
        <f t="shared" ca="1" si="179"/>
        <v>0.28993616667807043</v>
      </c>
      <c r="C318" s="8">
        <v>1</v>
      </c>
      <c r="D318" s="49">
        <f t="shared" ca="1" si="197"/>
        <v>89</v>
      </c>
      <c r="F318" s="50">
        <f t="shared" ca="1" si="180"/>
        <v>0.46965752384390747</v>
      </c>
      <c r="G318" s="8">
        <v>1</v>
      </c>
      <c r="H318" s="49">
        <f t="shared" ca="1" si="198"/>
        <v>212</v>
      </c>
      <c r="J318" s="50">
        <f t="shared" ca="1" si="181"/>
        <v>0.65547498709420859</v>
      </c>
      <c r="K318" s="8">
        <v>1</v>
      </c>
      <c r="L318" s="49">
        <f t="shared" ca="1" si="199"/>
        <v>167</v>
      </c>
      <c r="N318" s="50">
        <f t="shared" ca="1" si="182"/>
        <v>0.65164555142184333</v>
      </c>
      <c r="O318" s="8">
        <v>1</v>
      </c>
      <c r="P318" s="49">
        <f t="shared" ca="1" si="200"/>
        <v>254</v>
      </c>
      <c r="R318" s="50">
        <f t="shared" ca="1" si="183"/>
        <v>0.79162141435220501</v>
      </c>
      <c r="S318" s="8">
        <v>1</v>
      </c>
      <c r="T318" s="49">
        <f t="shared" ca="1" si="201"/>
        <v>169</v>
      </c>
      <c r="V318" s="50">
        <f t="shared" ca="1" si="184"/>
        <v>0.36959683641064422</v>
      </c>
      <c r="W318" s="8">
        <v>1</v>
      </c>
      <c r="X318" s="49">
        <f t="shared" ca="1" si="202"/>
        <v>206</v>
      </c>
      <c r="Z318" s="50">
        <f t="shared" ca="1" si="185"/>
        <v>0.2046986082197928</v>
      </c>
      <c r="AA318" s="8">
        <v>1</v>
      </c>
      <c r="AB318" s="49">
        <f t="shared" ca="1" si="203"/>
        <v>211</v>
      </c>
      <c r="AD318" s="50">
        <f t="shared" ca="1" si="186"/>
        <v>0.17080967182756268</v>
      </c>
      <c r="AE318" s="8">
        <v>1</v>
      </c>
      <c r="AF318" s="49">
        <f t="shared" ca="1" si="204"/>
        <v>245</v>
      </c>
      <c r="AH318" s="50">
        <f t="shared" ca="1" si="187"/>
        <v>0.42751211172859416</v>
      </c>
      <c r="AI318" s="8">
        <v>1</v>
      </c>
      <c r="AJ318" s="49">
        <f t="shared" ca="1" si="205"/>
        <v>172</v>
      </c>
      <c r="AL318" s="50">
        <f t="shared" ca="1" si="188"/>
        <v>0.78268981966199813</v>
      </c>
      <c r="AM318" s="8">
        <v>1</v>
      </c>
      <c r="AN318" s="49">
        <f t="shared" ca="1" si="206"/>
        <v>178</v>
      </c>
      <c r="AP318" s="50">
        <f t="shared" ca="1" si="189"/>
        <v>4.728903101404236E-2</v>
      </c>
      <c r="AQ318" s="8">
        <v>1</v>
      </c>
      <c r="AR318" s="49">
        <f t="shared" ca="1" si="207"/>
        <v>121</v>
      </c>
      <c r="AT318" s="50">
        <f t="shared" ca="1" si="190"/>
        <v>0.71300255615218699</v>
      </c>
      <c r="AU318" s="8">
        <v>1</v>
      </c>
      <c r="AV318" s="49">
        <f t="shared" ca="1" si="208"/>
        <v>221</v>
      </c>
      <c r="AX318" s="50">
        <f t="shared" ca="1" si="191"/>
        <v>0.4258559216102249</v>
      </c>
      <c r="AY318" s="8">
        <v>1</v>
      </c>
      <c r="AZ318" s="49">
        <f t="shared" ca="1" si="209"/>
        <v>171</v>
      </c>
      <c r="BB318" s="50">
        <f t="shared" ca="1" si="192"/>
        <v>0.83967878389433581</v>
      </c>
      <c r="BC318" s="8">
        <v>1</v>
      </c>
      <c r="BD318" s="49">
        <f t="shared" ca="1" si="210"/>
        <v>202</v>
      </c>
      <c r="BF318" s="50">
        <f t="shared" ca="1" si="193"/>
        <v>0.96532571831898883</v>
      </c>
      <c r="BG318" s="8">
        <v>1</v>
      </c>
      <c r="BH318" s="49">
        <f t="shared" ca="1" si="211"/>
        <v>245</v>
      </c>
      <c r="BJ318" s="50">
        <f t="shared" ca="1" si="194"/>
        <v>0.89785962115507534</v>
      </c>
      <c r="BK318" s="8">
        <v>1</v>
      </c>
      <c r="BL318" s="49">
        <f t="shared" ca="1" si="212"/>
        <v>176</v>
      </c>
      <c r="BN318" s="50">
        <f t="shared" ca="1" si="195"/>
        <v>0.61485748502981874</v>
      </c>
      <c r="BO318" s="8">
        <v>1</v>
      </c>
      <c r="BP318" s="49">
        <f t="shared" ca="1" si="213"/>
        <v>188</v>
      </c>
      <c r="BR318" s="50">
        <f t="shared" ca="1" si="196"/>
        <v>0.81981879772408928</v>
      </c>
      <c r="BS318" s="8">
        <v>1</v>
      </c>
      <c r="BT318" s="49">
        <f t="shared" ca="1" si="214"/>
        <v>229</v>
      </c>
    </row>
    <row r="319" spans="1:72" x14ac:dyDescent="0.2">
      <c r="A319" s="22">
        <v>44866</v>
      </c>
      <c r="B319" s="50">
        <f t="shared" ca="1" si="179"/>
        <v>0.39161838856881681</v>
      </c>
      <c r="C319" s="8">
        <v>1</v>
      </c>
      <c r="D319" s="49">
        <f t="shared" ca="1" si="197"/>
        <v>95</v>
      </c>
      <c r="F319" s="50">
        <f t="shared" ca="1" si="180"/>
        <v>0.3266983235655192</v>
      </c>
      <c r="G319" s="8">
        <v>1</v>
      </c>
      <c r="H319" s="49">
        <f t="shared" ca="1" si="198"/>
        <v>190</v>
      </c>
      <c r="J319" s="50">
        <f t="shared" ca="1" si="181"/>
        <v>9.0672299075853391E-2</v>
      </c>
      <c r="K319" s="8">
        <v>1</v>
      </c>
      <c r="L319" s="49">
        <f t="shared" ca="1" si="199"/>
        <v>97</v>
      </c>
      <c r="N319" s="50">
        <f t="shared" ca="1" si="182"/>
        <v>0.6888881304314266</v>
      </c>
      <c r="O319" s="8">
        <v>1</v>
      </c>
      <c r="P319" s="49">
        <f t="shared" ca="1" si="200"/>
        <v>260</v>
      </c>
      <c r="R319" s="50">
        <f t="shared" ca="1" si="183"/>
        <v>0.68540544147762217</v>
      </c>
      <c r="S319" s="8">
        <v>1</v>
      </c>
      <c r="T319" s="49">
        <f t="shared" ca="1" si="201"/>
        <v>157</v>
      </c>
      <c r="V319" s="50">
        <f t="shared" ca="1" si="184"/>
        <v>0.43738789729985761</v>
      </c>
      <c r="W319" s="8">
        <v>1</v>
      </c>
      <c r="X319" s="49">
        <f t="shared" ca="1" si="202"/>
        <v>216</v>
      </c>
      <c r="Z319" s="50">
        <f t="shared" ca="1" si="185"/>
        <v>6.1572971086180761E-2</v>
      </c>
      <c r="AA319" s="8">
        <v>1</v>
      </c>
      <c r="AB319" s="49">
        <f t="shared" ca="1" si="203"/>
        <v>159</v>
      </c>
      <c r="AD319" s="50">
        <f t="shared" ca="1" si="186"/>
        <v>0.42552088194234317</v>
      </c>
      <c r="AE319" s="8">
        <v>1</v>
      </c>
      <c r="AF319" s="49">
        <f t="shared" ca="1" si="204"/>
        <v>311</v>
      </c>
      <c r="AH319" s="50">
        <f t="shared" ca="1" si="187"/>
        <v>0.47891655471099615</v>
      </c>
      <c r="AI319" s="8">
        <v>1</v>
      </c>
      <c r="AJ319" s="49">
        <f t="shared" ca="1" si="205"/>
        <v>178</v>
      </c>
      <c r="AL319" s="50">
        <f t="shared" ca="1" si="188"/>
        <v>0.10451617325341367</v>
      </c>
      <c r="AM319" s="8">
        <v>1</v>
      </c>
      <c r="AN319" s="49">
        <f t="shared" ca="1" si="206"/>
        <v>98</v>
      </c>
      <c r="AP319" s="50">
        <f t="shared" ca="1" si="189"/>
        <v>0.7795127174271721</v>
      </c>
      <c r="AQ319" s="8">
        <v>1</v>
      </c>
      <c r="AR319" s="49">
        <f t="shared" ca="1" si="207"/>
        <v>262</v>
      </c>
      <c r="AT319" s="50">
        <f t="shared" ca="1" si="190"/>
        <v>0.22677336242838309</v>
      </c>
      <c r="AU319" s="8">
        <v>1</v>
      </c>
      <c r="AV319" s="49">
        <f t="shared" ca="1" si="208"/>
        <v>154</v>
      </c>
      <c r="AX319" s="50">
        <f t="shared" ca="1" si="191"/>
        <v>0.30022326967468804</v>
      </c>
      <c r="AY319" s="8">
        <v>1</v>
      </c>
      <c r="AZ319" s="49">
        <f t="shared" ca="1" si="209"/>
        <v>155</v>
      </c>
      <c r="BB319" s="50">
        <f t="shared" ca="1" si="192"/>
        <v>9.8803268069779682E-2</v>
      </c>
      <c r="BC319" s="8">
        <v>1</v>
      </c>
      <c r="BD319" s="49">
        <f t="shared" ca="1" si="210"/>
        <v>105</v>
      </c>
      <c r="BF319" s="50">
        <f t="shared" ca="1" si="193"/>
        <v>0.5786659431330331</v>
      </c>
      <c r="BG319" s="8">
        <v>1</v>
      </c>
      <c r="BH319" s="49">
        <f t="shared" ca="1" si="211"/>
        <v>174</v>
      </c>
      <c r="BJ319" s="50">
        <f t="shared" ca="1" si="194"/>
        <v>0.15759241946526947</v>
      </c>
      <c r="BK319" s="8">
        <v>1</v>
      </c>
      <c r="BL319" s="49">
        <f t="shared" ca="1" si="212"/>
        <v>96</v>
      </c>
      <c r="BN319" s="50">
        <f t="shared" ca="1" si="195"/>
        <v>0.52384217737653538</v>
      </c>
      <c r="BO319" s="8">
        <v>1</v>
      </c>
      <c r="BP319" s="49">
        <f t="shared" ca="1" si="213"/>
        <v>177</v>
      </c>
      <c r="BR319" s="50">
        <f t="shared" ca="1" si="196"/>
        <v>0.26533052743541186</v>
      </c>
      <c r="BS319" s="8">
        <v>1</v>
      </c>
      <c r="BT319" s="49">
        <f t="shared" ca="1" si="214"/>
        <v>153</v>
      </c>
    </row>
    <row r="320" spans="1:72" x14ac:dyDescent="0.2">
      <c r="A320" s="22">
        <v>44867</v>
      </c>
      <c r="B320" s="50">
        <f t="shared" ca="1" si="179"/>
        <v>0.31469012613652225</v>
      </c>
      <c r="C320" s="8">
        <v>1</v>
      </c>
      <c r="D320" s="49">
        <f t="shared" ca="1" si="197"/>
        <v>91</v>
      </c>
      <c r="F320" s="50">
        <f t="shared" ca="1" si="180"/>
        <v>1.6625095452847405E-2</v>
      </c>
      <c r="G320" s="8">
        <v>1</v>
      </c>
      <c r="H320" s="49">
        <f t="shared" ca="1" si="198"/>
        <v>94</v>
      </c>
      <c r="J320" s="50">
        <f t="shared" ca="1" si="181"/>
        <v>6.729084417628306E-2</v>
      </c>
      <c r="K320" s="8">
        <v>1</v>
      </c>
      <c r="L320" s="49">
        <f t="shared" ca="1" si="199"/>
        <v>91</v>
      </c>
      <c r="N320" s="50">
        <f t="shared" ca="1" si="182"/>
        <v>0.58889573967573794</v>
      </c>
      <c r="O320" s="8">
        <v>1</v>
      </c>
      <c r="P320" s="49">
        <f t="shared" ca="1" si="200"/>
        <v>244</v>
      </c>
      <c r="R320" s="50">
        <f t="shared" ca="1" si="183"/>
        <v>0.32607378493041062</v>
      </c>
      <c r="S320" s="8">
        <v>1</v>
      </c>
      <c r="T320" s="49">
        <f t="shared" ca="1" si="201"/>
        <v>123</v>
      </c>
      <c r="V320" s="50">
        <f t="shared" ca="1" si="184"/>
        <v>0.26944505342371616</v>
      </c>
      <c r="W320" s="8">
        <v>1</v>
      </c>
      <c r="X320" s="49">
        <f t="shared" ca="1" si="202"/>
        <v>189</v>
      </c>
      <c r="Z320" s="50">
        <f t="shared" ca="1" si="185"/>
        <v>0.75062553184727998</v>
      </c>
      <c r="AA320" s="8">
        <v>1</v>
      </c>
      <c r="AB320" s="49">
        <f t="shared" ca="1" si="203"/>
        <v>319</v>
      </c>
      <c r="AD320" s="50">
        <f t="shared" ca="1" si="186"/>
        <v>8.5345512275114555E-3</v>
      </c>
      <c r="AE320" s="8">
        <v>1</v>
      </c>
      <c r="AF320" s="49">
        <f t="shared" ca="1" si="204"/>
        <v>120</v>
      </c>
      <c r="AH320" s="50">
        <f t="shared" ca="1" si="187"/>
        <v>0.70395395885213874</v>
      </c>
      <c r="AI320" s="8">
        <v>1</v>
      </c>
      <c r="AJ320" s="49">
        <f t="shared" ca="1" si="205"/>
        <v>206</v>
      </c>
      <c r="AL320" s="50">
        <f t="shared" ca="1" si="188"/>
        <v>0.26245902673458787</v>
      </c>
      <c r="AM320" s="8">
        <v>1</v>
      </c>
      <c r="AN320" s="49">
        <f t="shared" ca="1" si="206"/>
        <v>123</v>
      </c>
      <c r="AP320" s="50">
        <f t="shared" ca="1" si="189"/>
        <v>0.98800674385236342</v>
      </c>
      <c r="AQ320" s="8">
        <v>1</v>
      </c>
      <c r="AR320" s="49">
        <f t="shared" ca="1" si="207"/>
        <v>348</v>
      </c>
      <c r="AT320" s="50">
        <f t="shared" ca="1" si="190"/>
        <v>0.23924510628139251</v>
      </c>
      <c r="AU320" s="8">
        <v>1</v>
      </c>
      <c r="AV320" s="49">
        <f t="shared" ca="1" si="208"/>
        <v>156</v>
      </c>
      <c r="AX320" s="50">
        <f t="shared" ca="1" si="191"/>
        <v>0.58895275815426229</v>
      </c>
      <c r="AY320" s="8">
        <v>1</v>
      </c>
      <c r="AZ320" s="49">
        <f t="shared" ca="1" si="209"/>
        <v>191</v>
      </c>
      <c r="BB320" s="50">
        <f t="shared" ca="1" si="192"/>
        <v>0.5725550053016234</v>
      </c>
      <c r="BC320" s="8">
        <v>1</v>
      </c>
      <c r="BD320" s="49">
        <f t="shared" ca="1" si="210"/>
        <v>168</v>
      </c>
      <c r="BF320" s="50">
        <f t="shared" ca="1" si="193"/>
        <v>0.50918934772140467</v>
      </c>
      <c r="BG320" s="8">
        <v>1</v>
      </c>
      <c r="BH320" s="49">
        <f t="shared" ca="1" si="211"/>
        <v>166</v>
      </c>
      <c r="BJ320" s="50">
        <f t="shared" ca="1" si="194"/>
        <v>1.7711483444597387E-2</v>
      </c>
      <c r="BK320" s="8">
        <v>1</v>
      </c>
      <c r="BL320" s="49">
        <f t="shared" ca="1" si="212"/>
        <v>58</v>
      </c>
      <c r="BN320" s="50">
        <f t="shared" ca="1" si="195"/>
        <v>0.55163423881533358</v>
      </c>
      <c r="BO320" s="8">
        <v>1</v>
      </c>
      <c r="BP320" s="49">
        <f t="shared" ca="1" si="213"/>
        <v>180</v>
      </c>
      <c r="BR320" s="50">
        <f t="shared" ca="1" si="196"/>
        <v>0.79249628700446617</v>
      </c>
      <c r="BS320" s="8">
        <v>1</v>
      </c>
      <c r="BT320" s="49">
        <f t="shared" ca="1" si="214"/>
        <v>224</v>
      </c>
    </row>
    <row r="321" spans="1:72" x14ac:dyDescent="0.2">
      <c r="A321" s="22">
        <v>44868</v>
      </c>
      <c r="B321" s="50">
        <f t="shared" ca="1" si="179"/>
        <v>0.80975690465457872</v>
      </c>
      <c r="C321" s="8">
        <v>1</v>
      </c>
      <c r="D321" s="49">
        <f t="shared" ca="1" si="197"/>
        <v>118</v>
      </c>
      <c r="F321" s="50">
        <f t="shared" ca="1" si="180"/>
        <v>0.13858125298422197</v>
      </c>
      <c r="G321" s="8">
        <v>1</v>
      </c>
      <c r="H321" s="49">
        <f t="shared" ca="1" si="198"/>
        <v>153</v>
      </c>
      <c r="J321" s="50">
        <f t="shared" ca="1" si="181"/>
        <v>1.1374247378192703E-2</v>
      </c>
      <c r="K321" s="8">
        <v>1</v>
      </c>
      <c r="L321" s="49">
        <f t="shared" ca="1" si="199"/>
        <v>59</v>
      </c>
      <c r="N321" s="50">
        <f t="shared" ca="1" si="182"/>
        <v>0.40058987146492331</v>
      </c>
      <c r="O321" s="8">
        <v>1</v>
      </c>
      <c r="P321" s="49">
        <f t="shared" ca="1" si="200"/>
        <v>214</v>
      </c>
      <c r="R321" s="50">
        <f t="shared" ca="1" si="183"/>
        <v>0.81460616260903629</v>
      </c>
      <c r="S321" s="8">
        <v>1</v>
      </c>
      <c r="T321" s="49">
        <f t="shared" ca="1" si="201"/>
        <v>172</v>
      </c>
      <c r="V321" s="50">
        <f t="shared" ca="1" si="184"/>
        <v>9.579598223911856E-2</v>
      </c>
      <c r="W321" s="8">
        <v>1</v>
      </c>
      <c r="X321" s="49">
        <f t="shared" ca="1" si="202"/>
        <v>147</v>
      </c>
      <c r="Z321" s="50">
        <f t="shared" ca="1" si="185"/>
        <v>0.74931344564329905</v>
      </c>
      <c r="AA321" s="8">
        <v>1</v>
      </c>
      <c r="AB321" s="49">
        <f t="shared" ca="1" si="203"/>
        <v>319</v>
      </c>
      <c r="AD321" s="50">
        <f t="shared" ca="1" si="186"/>
        <v>3.8491931461168472E-2</v>
      </c>
      <c r="AE321" s="8">
        <v>1</v>
      </c>
      <c r="AF321" s="49">
        <f t="shared" ca="1" si="204"/>
        <v>173</v>
      </c>
      <c r="AH321" s="50">
        <f t="shared" ca="1" si="187"/>
        <v>0.46148048279021581</v>
      </c>
      <c r="AI321" s="8">
        <v>1</v>
      </c>
      <c r="AJ321" s="49">
        <f t="shared" ca="1" si="205"/>
        <v>176</v>
      </c>
      <c r="AL321" s="50">
        <f t="shared" ca="1" si="188"/>
        <v>0.96157839670323708</v>
      </c>
      <c r="AM321" s="8">
        <v>1</v>
      </c>
      <c r="AN321" s="49">
        <f t="shared" ca="1" si="206"/>
        <v>217</v>
      </c>
      <c r="AP321" s="50">
        <f t="shared" ca="1" si="189"/>
        <v>0.90509569890185182</v>
      </c>
      <c r="AQ321" s="8">
        <v>1</v>
      </c>
      <c r="AR321" s="49">
        <f t="shared" ca="1" si="207"/>
        <v>293</v>
      </c>
      <c r="AT321" s="50">
        <f t="shared" ca="1" si="190"/>
        <v>0.33687845298303376</v>
      </c>
      <c r="AU321" s="8">
        <v>1</v>
      </c>
      <c r="AV321" s="49">
        <f t="shared" ca="1" si="208"/>
        <v>171</v>
      </c>
      <c r="AX321" s="50">
        <f t="shared" ca="1" si="191"/>
        <v>0.78106738421039357</v>
      </c>
      <c r="AY321" s="8">
        <v>1</v>
      </c>
      <c r="AZ321" s="49">
        <f t="shared" ca="1" si="209"/>
        <v>218</v>
      </c>
      <c r="BB321" s="50">
        <f t="shared" ca="1" si="192"/>
        <v>0.99716726899119734</v>
      </c>
      <c r="BC321" s="8">
        <v>1</v>
      </c>
      <c r="BD321" s="49">
        <f t="shared" ca="1" si="210"/>
        <v>278</v>
      </c>
      <c r="BF321" s="50">
        <f t="shared" ca="1" si="193"/>
        <v>0.94834418597210512</v>
      </c>
      <c r="BG321" s="8">
        <v>1</v>
      </c>
      <c r="BH321" s="49">
        <f t="shared" ca="1" si="211"/>
        <v>237</v>
      </c>
      <c r="BJ321" s="50">
        <f t="shared" ca="1" si="194"/>
        <v>5.6133366041038579E-2</v>
      </c>
      <c r="BK321" s="8">
        <v>1</v>
      </c>
      <c r="BL321" s="49">
        <f t="shared" ca="1" si="212"/>
        <v>76</v>
      </c>
      <c r="BN321" s="50">
        <f t="shared" ca="1" si="195"/>
        <v>0.68972646244008673</v>
      </c>
      <c r="BO321" s="8">
        <v>1</v>
      </c>
      <c r="BP321" s="49">
        <f t="shared" ca="1" si="213"/>
        <v>197</v>
      </c>
      <c r="BR321" s="50">
        <f t="shared" ca="1" si="196"/>
        <v>0.59361823754430132</v>
      </c>
      <c r="BS321" s="8">
        <v>1</v>
      </c>
      <c r="BT321" s="49">
        <f t="shared" ca="1" si="214"/>
        <v>196</v>
      </c>
    </row>
    <row r="322" spans="1:72" x14ac:dyDescent="0.2">
      <c r="A322" s="22">
        <v>44869</v>
      </c>
      <c r="B322" s="50">
        <f t="shared" ca="1" si="179"/>
        <v>0.18880719403537005</v>
      </c>
      <c r="C322" s="8">
        <v>1</v>
      </c>
      <c r="D322" s="49">
        <f t="shared" ca="1" si="197"/>
        <v>83</v>
      </c>
      <c r="F322" s="50">
        <f t="shared" ca="1" si="180"/>
        <v>0.82061941289034768</v>
      </c>
      <c r="G322" s="8">
        <v>1</v>
      </c>
      <c r="H322" s="49">
        <f t="shared" ca="1" si="198"/>
        <v>269</v>
      </c>
      <c r="J322" s="50">
        <f t="shared" ca="1" si="181"/>
        <v>0.13767461702178607</v>
      </c>
      <c r="K322" s="8">
        <v>1</v>
      </c>
      <c r="L322" s="49">
        <f t="shared" ca="1" si="199"/>
        <v>107</v>
      </c>
      <c r="N322" s="50">
        <f t="shared" ca="1" si="182"/>
        <v>0.16389975667214174</v>
      </c>
      <c r="O322" s="8">
        <v>1</v>
      </c>
      <c r="P322" s="49">
        <f t="shared" ca="1" si="200"/>
        <v>170</v>
      </c>
      <c r="R322" s="50">
        <f t="shared" ca="1" si="183"/>
        <v>6.3288362547153976E-2</v>
      </c>
      <c r="S322" s="8">
        <v>1</v>
      </c>
      <c r="T322" s="49">
        <f t="shared" ca="1" si="201"/>
        <v>83</v>
      </c>
      <c r="V322" s="50">
        <f t="shared" ca="1" si="184"/>
        <v>0.93696066245056564</v>
      </c>
      <c r="W322" s="8">
        <v>1</v>
      </c>
      <c r="X322" s="49">
        <f t="shared" ca="1" si="202"/>
        <v>317</v>
      </c>
      <c r="Z322" s="50">
        <f t="shared" ca="1" si="185"/>
        <v>0.4027541886279058</v>
      </c>
      <c r="AA322" s="8">
        <v>1</v>
      </c>
      <c r="AB322" s="49">
        <f t="shared" ca="1" si="203"/>
        <v>253</v>
      </c>
      <c r="AD322" s="50">
        <f t="shared" ca="1" si="186"/>
        <v>0.37004963483633746</v>
      </c>
      <c r="AE322" s="8">
        <v>1</v>
      </c>
      <c r="AF322" s="49">
        <f t="shared" ca="1" si="204"/>
        <v>299</v>
      </c>
      <c r="AH322" s="50">
        <f t="shared" ca="1" si="187"/>
        <v>7.7117234291549375E-3</v>
      </c>
      <c r="AI322" s="8">
        <v>1</v>
      </c>
      <c r="AJ322" s="49">
        <f t="shared" ca="1" si="205"/>
        <v>64</v>
      </c>
      <c r="AL322" s="50">
        <f t="shared" ca="1" si="188"/>
        <v>0.29682927810044923</v>
      </c>
      <c r="AM322" s="8">
        <v>1</v>
      </c>
      <c r="AN322" s="49">
        <f t="shared" ca="1" si="206"/>
        <v>127</v>
      </c>
      <c r="AP322" s="50">
        <f t="shared" ca="1" si="189"/>
        <v>0.25959181274992316</v>
      </c>
      <c r="AQ322" s="8">
        <v>1</v>
      </c>
      <c r="AR322" s="49">
        <f t="shared" ca="1" si="207"/>
        <v>180</v>
      </c>
      <c r="AT322" s="50">
        <f t="shared" ca="1" si="190"/>
        <v>0.25457830586559083</v>
      </c>
      <c r="AU322" s="8">
        <v>1</v>
      </c>
      <c r="AV322" s="49">
        <f t="shared" ca="1" si="208"/>
        <v>158</v>
      </c>
      <c r="AX322" s="50">
        <f t="shared" ca="1" si="191"/>
        <v>0.33111556411746912</v>
      </c>
      <c r="AY322" s="8">
        <v>1</v>
      </c>
      <c r="AZ322" s="49">
        <f t="shared" ca="1" si="209"/>
        <v>159</v>
      </c>
      <c r="BB322" s="50">
        <f t="shared" ca="1" si="192"/>
        <v>0.17171897356908217</v>
      </c>
      <c r="BC322" s="8">
        <v>1</v>
      </c>
      <c r="BD322" s="49">
        <f t="shared" ca="1" si="210"/>
        <v>120</v>
      </c>
      <c r="BF322" s="50">
        <f t="shared" ca="1" si="193"/>
        <v>0.66166065412311104</v>
      </c>
      <c r="BG322" s="8">
        <v>1</v>
      </c>
      <c r="BH322" s="49">
        <f t="shared" ca="1" si="211"/>
        <v>183</v>
      </c>
      <c r="BJ322" s="50">
        <f t="shared" ca="1" si="194"/>
        <v>7.0706531784616056E-2</v>
      </c>
      <c r="BK322" s="8">
        <v>1</v>
      </c>
      <c r="BL322" s="49">
        <f t="shared" ca="1" si="212"/>
        <v>80</v>
      </c>
      <c r="BN322" s="50">
        <f t="shared" ca="1" si="195"/>
        <v>0.12418689207534495</v>
      </c>
      <c r="BO322" s="8">
        <v>1</v>
      </c>
      <c r="BP322" s="49">
        <f t="shared" ca="1" si="213"/>
        <v>121</v>
      </c>
      <c r="BR322" s="50">
        <f t="shared" ca="1" si="196"/>
        <v>0.79005689408075253</v>
      </c>
      <c r="BS322" s="8">
        <v>1</v>
      </c>
      <c r="BT322" s="49">
        <f t="shared" ca="1" si="214"/>
        <v>223</v>
      </c>
    </row>
    <row r="323" spans="1:72" x14ac:dyDescent="0.2">
      <c r="A323" s="22">
        <v>44870</v>
      </c>
      <c r="B323" s="50">
        <f t="shared" ca="1" si="179"/>
        <v>0.19347581057539076</v>
      </c>
      <c r="C323" s="8">
        <v>1</v>
      </c>
      <c r="D323" s="49">
        <f t="shared" ca="1" si="197"/>
        <v>83</v>
      </c>
      <c r="F323" s="50">
        <f t="shared" ca="1" si="180"/>
        <v>0.4910432245574371</v>
      </c>
      <c r="G323" s="8">
        <v>1</v>
      </c>
      <c r="H323" s="49">
        <f t="shared" ca="1" si="198"/>
        <v>215</v>
      </c>
      <c r="J323" s="50">
        <f t="shared" ca="1" si="181"/>
        <v>0.42292257446179371</v>
      </c>
      <c r="K323" s="8">
        <v>1</v>
      </c>
      <c r="L323" s="49">
        <f t="shared" ca="1" si="199"/>
        <v>143</v>
      </c>
      <c r="N323" s="50">
        <f t="shared" ca="1" si="182"/>
        <v>0.72049610781544549</v>
      </c>
      <c r="O323" s="8">
        <v>1</v>
      </c>
      <c r="P323" s="49">
        <f t="shared" ca="1" si="200"/>
        <v>266</v>
      </c>
      <c r="R323" s="50">
        <f t="shared" ca="1" si="183"/>
        <v>4.9492818274319839E-2</v>
      </c>
      <c r="S323" s="8">
        <v>1</v>
      </c>
      <c r="T323" s="49">
        <f t="shared" ca="1" si="201"/>
        <v>78</v>
      </c>
      <c r="V323" s="50">
        <f t="shared" ca="1" si="184"/>
        <v>0.3376906865721987</v>
      </c>
      <c r="W323" s="8">
        <v>1</v>
      </c>
      <c r="X323" s="49">
        <f t="shared" ca="1" si="202"/>
        <v>200</v>
      </c>
      <c r="Z323" s="50">
        <f t="shared" ca="1" si="185"/>
        <v>0.85914031697737825</v>
      </c>
      <c r="AA323" s="8">
        <v>1</v>
      </c>
      <c r="AB323" s="49">
        <f t="shared" ca="1" si="203"/>
        <v>348</v>
      </c>
      <c r="AD323" s="50">
        <f t="shared" ca="1" si="186"/>
        <v>0.46007570916077478</v>
      </c>
      <c r="AE323" s="8">
        <v>1</v>
      </c>
      <c r="AF323" s="49">
        <f t="shared" ca="1" si="204"/>
        <v>319</v>
      </c>
      <c r="AH323" s="50">
        <f t="shared" ca="1" si="187"/>
        <v>0.5910695980663554</v>
      </c>
      <c r="AI323" s="8">
        <v>1</v>
      </c>
      <c r="AJ323" s="49">
        <f t="shared" ca="1" si="205"/>
        <v>191</v>
      </c>
      <c r="AL323" s="50">
        <f t="shared" ca="1" si="188"/>
        <v>0.31848176977665421</v>
      </c>
      <c r="AM323" s="8">
        <v>1</v>
      </c>
      <c r="AN323" s="49">
        <f t="shared" ca="1" si="206"/>
        <v>129</v>
      </c>
      <c r="AP323" s="50">
        <f t="shared" ca="1" si="189"/>
        <v>0.56108462308588136</v>
      </c>
      <c r="AQ323" s="8">
        <v>1</v>
      </c>
      <c r="AR323" s="49">
        <f t="shared" ca="1" si="207"/>
        <v>226</v>
      </c>
      <c r="AT323" s="50">
        <f t="shared" ca="1" si="190"/>
        <v>0.84340292322065635</v>
      </c>
      <c r="AU323" s="8">
        <v>1</v>
      </c>
      <c r="AV323" s="49">
        <f t="shared" ca="1" si="208"/>
        <v>244</v>
      </c>
      <c r="AX323" s="50">
        <f t="shared" ca="1" si="191"/>
        <v>0.4289996226571865</v>
      </c>
      <c r="AY323" s="8">
        <v>1</v>
      </c>
      <c r="AZ323" s="49">
        <f t="shared" ca="1" si="209"/>
        <v>172</v>
      </c>
      <c r="BB323" s="50">
        <f t="shared" ca="1" si="192"/>
        <v>0.52792477358091938</v>
      </c>
      <c r="BC323" s="8">
        <v>1</v>
      </c>
      <c r="BD323" s="49">
        <f t="shared" ca="1" si="210"/>
        <v>163</v>
      </c>
      <c r="BF323" s="50">
        <f t="shared" ca="1" si="193"/>
        <v>0.65616314311951385</v>
      </c>
      <c r="BG323" s="8">
        <v>1</v>
      </c>
      <c r="BH323" s="49">
        <f t="shared" ca="1" si="211"/>
        <v>183</v>
      </c>
      <c r="BJ323" s="50">
        <f t="shared" ca="1" si="194"/>
        <v>0.73754772111406208</v>
      </c>
      <c r="BK323" s="8">
        <v>1</v>
      </c>
      <c r="BL323" s="49">
        <f t="shared" ca="1" si="212"/>
        <v>154</v>
      </c>
      <c r="BN323" s="50">
        <f t="shared" ca="1" si="195"/>
        <v>0.67316259884762553</v>
      </c>
      <c r="BO323" s="8">
        <v>1</v>
      </c>
      <c r="BP323" s="49">
        <f t="shared" ca="1" si="213"/>
        <v>195</v>
      </c>
      <c r="BR323" s="50">
        <f t="shared" ca="1" si="196"/>
        <v>0.30844195988947454</v>
      </c>
      <c r="BS323" s="8">
        <v>1</v>
      </c>
      <c r="BT323" s="49">
        <f t="shared" ca="1" si="214"/>
        <v>159</v>
      </c>
    </row>
    <row r="324" spans="1:72" x14ac:dyDescent="0.2">
      <c r="A324" s="22">
        <v>44871</v>
      </c>
      <c r="B324" s="50">
        <f t="shared" ca="1" si="179"/>
        <v>0.37715859262547846</v>
      </c>
      <c r="C324" s="8">
        <v>1</v>
      </c>
      <c r="D324" s="49">
        <f t="shared" ca="1" si="197"/>
        <v>94</v>
      </c>
      <c r="F324" s="50">
        <f t="shared" ca="1" si="180"/>
        <v>0.70835193098131699</v>
      </c>
      <c r="G324" s="8">
        <v>1</v>
      </c>
      <c r="H324" s="49">
        <f t="shared" ca="1" si="198"/>
        <v>247</v>
      </c>
      <c r="J324" s="50">
        <f t="shared" ca="1" si="181"/>
        <v>0.60135176464447382</v>
      </c>
      <c r="K324" s="8">
        <v>1</v>
      </c>
      <c r="L324" s="49">
        <f t="shared" ca="1" si="199"/>
        <v>161</v>
      </c>
      <c r="N324" s="50">
        <f t="shared" ca="1" si="182"/>
        <v>7.6534438855010545E-2</v>
      </c>
      <c r="O324" s="8">
        <v>1</v>
      </c>
      <c r="P324" s="49">
        <f t="shared" ca="1" si="200"/>
        <v>142</v>
      </c>
      <c r="R324" s="50">
        <f t="shared" ca="1" si="183"/>
        <v>0.16508109828276663</v>
      </c>
      <c r="S324" s="8">
        <v>1</v>
      </c>
      <c r="T324" s="49">
        <f t="shared" ca="1" si="201"/>
        <v>103</v>
      </c>
      <c r="V324" s="50">
        <f t="shared" ca="1" si="184"/>
        <v>0.62504325922434345</v>
      </c>
      <c r="W324" s="8">
        <v>1</v>
      </c>
      <c r="X324" s="49">
        <f t="shared" ca="1" si="202"/>
        <v>245</v>
      </c>
      <c r="Z324" s="50">
        <f t="shared" ca="1" si="185"/>
        <v>0.98969406026086382</v>
      </c>
      <c r="AA324" s="8">
        <v>1</v>
      </c>
      <c r="AB324" s="49">
        <f t="shared" ca="1" si="203"/>
        <v>437</v>
      </c>
      <c r="AD324" s="50">
        <f t="shared" ca="1" si="186"/>
        <v>0.3639060647074478</v>
      </c>
      <c r="AE324" s="8">
        <v>1</v>
      </c>
      <c r="AF324" s="49">
        <f t="shared" ca="1" si="204"/>
        <v>297</v>
      </c>
      <c r="AH324" s="50">
        <f t="shared" ca="1" si="187"/>
        <v>0.50597393701559579</v>
      </c>
      <c r="AI324" s="8">
        <v>1</v>
      </c>
      <c r="AJ324" s="49">
        <f t="shared" ca="1" si="205"/>
        <v>181</v>
      </c>
      <c r="AL324" s="50">
        <f t="shared" ca="1" si="188"/>
        <v>0.51363563078373553</v>
      </c>
      <c r="AM324" s="8">
        <v>1</v>
      </c>
      <c r="AN324" s="49">
        <f t="shared" ca="1" si="206"/>
        <v>149</v>
      </c>
      <c r="AP324" s="50">
        <f t="shared" ca="1" si="189"/>
        <v>0.72783504840206881</v>
      </c>
      <c r="AQ324" s="8">
        <v>1</v>
      </c>
      <c r="AR324" s="49">
        <f t="shared" ca="1" si="207"/>
        <v>252</v>
      </c>
      <c r="AT324" s="50">
        <f t="shared" ca="1" si="190"/>
        <v>1.9829468527947758E-2</v>
      </c>
      <c r="AU324" s="8">
        <v>1</v>
      </c>
      <c r="AV324" s="49">
        <f t="shared" ca="1" si="208"/>
        <v>87</v>
      </c>
      <c r="AX324" s="50">
        <f t="shared" ca="1" si="191"/>
        <v>5.7742181302787854E-2</v>
      </c>
      <c r="AY324" s="8">
        <v>1</v>
      </c>
      <c r="AZ324" s="49">
        <f t="shared" ca="1" si="209"/>
        <v>105</v>
      </c>
      <c r="BB324" s="50">
        <f t="shared" ca="1" si="192"/>
        <v>0.17392387732837766</v>
      </c>
      <c r="BC324" s="8">
        <v>1</v>
      </c>
      <c r="BD324" s="49">
        <f t="shared" ca="1" si="210"/>
        <v>120</v>
      </c>
      <c r="BF324" s="50">
        <f t="shared" ca="1" si="193"/>
        <v>0.24431907462697577</v>
      </c>
      <c r="BG324" s="8">
        <v>1</v>
      </c>
      <c r="BH324" s="49">
        <f t="shared" ca="1" si="211"/>
        <v>135</v>
      </c>
      <c r="BJ324" s="50">
        <f t="shared" ca="1" si="194"/>
        <v>0.99857476602119954</v>
      </c>
      <c r="BK324" s="8">
        <v>1</v>
      </c>
      <c r="BL324" s="49">
        <f t="shared" ca="1" si="212"/>
        <v>236</v>
      </c>
      <c r="BN324" s="50">
        <f t="shared" ca="1" si="195"/>
        <v>0.58575518254428782</v>
      </c>
      <c r="BO324" s="8">
        <v>1</v>
      </c>
      <c r="BP324" s="49">
        <f t="shared" ca="1" si="213"/>
        <v>184</v>
      </c>
      <c r="BR324" s="50">
        <f t="shared" ca="1" si="196"/>
        <v>0.9344505983594269</v>
      </c>
      <c r="BS324" s="8">
        <v>1</v>
      </c>
      <c r="BT324" s="49">
        <f t="shared" ca="1" si="214"/>
        <v>258</v>
      </c>
    </row>
    <row r="325" spans="1:72" x14ac:dyDescent="0.2">
      <c r="A325" s="22">
        <v>44872</v>
      </c>
      <c r="B325" s="50">
        <f t="shared" ca="1" si="179"/>
        <v>0.4411362476098537</v>
      </c>
      <c r="C325" s="8">
        <v>1</v>
      </c>
      <c r="D325" s="49">
        <f t="shared" ca="1" si="197"/>
        <v>98</v>
      </c>
      <c r="F325" s="50">
        <f t="shared" ca="1" si="180"/>
        <v>0.71300534820260408</v>
      </c>
      <c r="G325" s="8">
        <v>1</v>
      </c>
      <c r="H325" s="49">
        <f t="shared" ca="1" si="198"/>
        <v>248</v>
      </c>
      <c r="J325" s="50">
        <f t="shared" ca="1" si="181"/>
        <v>0.91966314536131055</v>
      </c>
      <c r="K325" s="8">
        <v>1</v>
      </c>
      <c r="L325" s="49">
        <f t="shared" ca="1" si="199"/>
        <v>207</v>
      </c>
      <c r="N325" s="50">
        <f t="shared" ca="1" si="182"/>
        <v>0.23184565309130367</v>
      </c>
      <c r="O325" s="8">
        <v>1</v>
      </c>
      <c r="P325" s="49">
        <f t="shared" ca="1" si="200"/>
        <v>185</v>
      </c>
      <c r="R325" s="50">
        <f t="shared" ca="1" si="183"/>
        <v>0.68846439551488003</v>
      </c>
      <c r="S325" s="8">
        <v>1</v>
      </c>
      <c r="T325" s="49">
        <f t="shared" ca="1" si="201"/>
        <v>157</v>
      </c>
      <c r="V325" s="50">
        <f t="shared" ca="1" si="184"/>
        <v>0.9548123143627365</v>
      </c>
      <c r="W325" s="8">
        <v>1</v>
      </c>
      <c r="X325" s="49">
        <f t="shared" ca="1" si="202"/>
        <v>327</v>
      </c>
      <c r="Z325" s="50">
        <f t="shared" ca="1" si="185"/>
        <v>0.84179536673108624</v>
      </c>
      <c r="AA325" s="8">
        <v>1</v>
      </c>
      <c r="AB325" s="49">
        <f t="shared" ca="1" si="203"/>
        <v>343</v>
      </c>
      <c r="AD325" s="50">
        <f t="shared" ca="1" si="186"/>
        <v>0.87683453664481581</v>
      </c>
      <c r="AE325" s="8">
        <v>1</v>
      </c>
      <c r="AF325" s="49">
        <f t="shared" ca="1" si="204"/>
        <v>429</v>
      </c>
      <c r="AH325" s="50">
        <f t="shared" ca="1" si="187"/>
        <v>0.32706816754252066</v>
      </c>
      <c r="AI325" s="8">
        <v>1</v>
      </c>
      <c r="AJ325" s="49">
        <f t="shared" ca="1" si="205"/>
        <v>159</v>
      </c>
      <c r="AL325" s="50">
        <f t="shared" ca="1" si="188"/>
        <v>0.92173476582228187</v>
      </c>
      <c r="AM325" s="8">
        <v>1</v>
      </c>
      <c r="AN325" s="49">
        <f t="shared" ca="1" si="206"/>
        <v>203</v>
      </c>
      <c r="AP325" s="50">
        <f t="shared" ca="1" si="189"/>
        <v>0.2530404943063308</v>
      </c>
      <c r="AQ325" s="8">
        <v>1</v>
      </c>
      <c r="AR325" s="49">
        <f t="shared" ca="1" si="207"/>
        <v>179</v>
      </c>
      <c r="AT325" s="50">
        <f t="shared" ca="1" si="190"/>
        <v>0.54012100279643249</v>
      </c>
      <c r="AU325" s="8">
        <v>1</v>
      </c>
      <c r="AV325" s="49">
        <f t="shared" ca="1" si="208"/>
        <v>197</v>
      </c>
      <c r="AX325" s="50">
        <f t="shared" ca="1" si="191"/>
        <v>0.34811759084682636</v>
      </c>
      <c r="AY325" s="8">
        <v>1</v>
      </c>
      <c r="AZ325" s="49">
        <f t="shared" ca="1" si="209"/>
        <v>162</v>
      </c>
      <c r="BB325" s="50">
        <f t="shared" ca="1" si="192"/>
        <v>0.83622360878890512</v>
      </c>
      <c r="BC325" s="8">
        <v>1</v>
      </c>
      <c r="BD325" s="49">
        <f t="shared" ca="1" si="210"/>
        <v>202</v>
      </c>
      <c r="BF325" s="50">
        <f t="shared" ca="1" si="193"/>
        <v>0.12590321292312967</v>
      </c>
      <c r="BG325" s="8">
        <v>1</v>
      </c>
      <c r="BH325" s="49">
        <f t="shared" ca="1" si="211"/>
        <v>115</v>
      </c>
      <c r="BJ325" s="50">
        <f t="shared" ca="1" si="194"/>
        <v>0.40251496063352177</v>
      </c>
      <c r="BK325" s="8">
        <v>1</v>
      </c>
      <c r="BL325" s="49">
        <f t="shared" ca="1" si="212"/>
        <v>123</v>
      </c>
      <c r="BN325" s="50">
        <f t="shared" ca="1" si="195"/>
        <v>3.4858484547315438E-2</v>
      </c>
      <c r="BO325" s="8">
        <v>1</v>
      </c>
      <c r="BP325" s="49">
        <f t="shared" ca="1" si="213"/>
        <v>90</v>
      </c>
      <c r="BR325" s="50">
        <f t="shared" ca="1" si="196"/>
        <v>0.97324924063365792</v>
      </c>
      <c r="BS325" s="8">
        <v>1</v>
      </c>
      <c r="BT325" s="49">
        <f t="shared" ca="1" si="214"/>
        <v>278</v>
      </c>
    </row>
    <row r="326" spans="1:72" x14ac:dyDescent="0.2">
      <c r="A326" s="22">
        <v>44873</v>
      </c>
      <c r="B326" s="50">
        <f t="shared" ca="1" si="179"/>
        <v>0.39138324122401036</v>
      </c>
      <c r="C326" s="8">
        <v>1</v>
      </c>
      <c r="D326" s="49">
        <f t="shared" ca="1" si="197"/>
        <v>95</v>
      </c>
      <c r="F326" s="50">
        <f t="shared" ca="1" si="180"/>
        <v>0.30823924494934973</v>
      </c>
      <c r="G326" s="8">
        <v>1</v>
      </c>
      <c r="H326" s="49">
        <f t="shared" ca="1" si="198"/>
        <v>187</v>
      </c>
      <c r="J326" s="50">
        <f t="shared" ca="1" si="181"/>
        <v>5.8216696516310562E-2</v>
      </c>
      <c r="K326" s="8">
        <v>1</v>
      </c>
      <c r="L326" s="49">
        <f t="shared" ca="1" si="199"/>
        <v>88</v>
      </c>
      <c r="N326" s="50">
        <f t="shared" ca="1" si="182"/>
        <v>0.74555360428790818</v>
      </c>
      <c r="O326" s="8">
        <v>1</v>
      </c>
      <c r="P326" s="49">
        <f t="shared" ca="1" si="200"/>
        <v>270</v>
      </c>
      <c r="R326" s="50">
        <f t="shared" ca="1" si="183"/>
        <v>0.81108473281197113</v>
      </c>
      <c r="S326" s="8">
        <v>1</v>
      </c>
      <c r="T326" s="49">
        <f t="shared" ca="1" si="201"/>
        <v>172</v>
      </c>
      <c r="V326" s="50">
        <f t="shared" ca="1" si="184"/>
        <v>0.6211712804338797</v>
      </c>
      <c r="W326" s="8">
        <v>1</v>
      </c>
      <c r="X326" s="49">
        <f t="shared" ca="1" si="202"/>
        <v>244</v>
      </c>
      <c r="Z326" s="50">
        <f t="shared" ca="1" si="185"/>
        <v>4.626935506105434E-2</v>
      </c>
      <c r="AA326" s="8">
        <v>1</v>
      </c>
      <c r="AB326" s="49">
        <f t="shared" ca="1" si="203"/>
        <v>149</v>
      </c>
      <c r="AD326" s="50">
        <f t="shared" ca="1" si="186"/>
        <v>0.78201162036979399</v>
      </c>
      <c r="AE326" s="8">
        <v>1</v>
      </c>
      <c r="AF326" s="49">
        <f t="shared" ca="1" si="204"/>
        <v>395</v>
      </c>
      <c r="AH326" s="50">
        <f t="shared" ca="1" si="187"/>
        <v>0.45830484694713736</v>
      </c>
      <c r="AI326" s="8">
        <v>1</v>
      </c>
      <c r="AJ326" s="49">
        <f t="shared" ca="1" si="205"/>
        <v>175</v>
      </c>
      <c r="AL326" s="50">
        <f t="shared" ca="1" si="188"/>
        <v>0.72715553637897845</v>
      </c>
      <c r="AM326" s="8">
        <v>1</v>
      </c>
      <c r="AN326" s="49">
        <f t="shared" ca="1" si="206"/>
        <v>171</v>
      </c>
      <c r="AP326" s="50">
        <f t="shared" ca="1" si="189"/>
        <v>0.82774361481272463</v>
      </c>
      <c r="AQ326" s="8">
        <v>1</v>
      </c>
      <c r="AR326" s="49">
        <f t="shared" ca="1" si="207"/>
        <v>272</v>
      </c>
      <c r="AT326" s="50">
        <f t="shared" ca="1" si="190"/>
        <v>0.64946354702803066</v>
      </c>
      <c r="AU326" s="8">
        <v>1</v>
      </c>
      <c r="AV326" s="49">
        <f t="shared" ca="1" si="208"/>
        <v>212</v>
      </c>
      <c r="AX326" s="50">
        <f t="shared" ca="1" si="191"/>
        <v>0.36610645131602315</v>
      </c>
      <c r="AY326" s="8">
        <v>1</v>
      </c>
      <c r="AZ326" s="49">
        <f t="shared" ca="1" si="209"/>
        <v>164</v>
      </c>
      <c r="BB326" s="50">
        <f t="shared" ca="1" si="192"/>
        <v>0.54051377354702801</v>
      </c>
      <c r="BC326" s="8">
        <v>1</v>
      </c>
      <c r="BD326" s="49">
        <f t="shared" ca="1" si="210"/>
        <v>164</v>
      </c>
      <c r="BF326" s="50">
        <f t="shared" ca="1" si="193"/>
        <v>3.1274865225487058E-2</v>
      </c>
      <c r="BG326" s="8">
        <v>1</v>
      </c>
      <c r="BH326" s="49">
        <f t="shared" ca="1" si="211"/>
        <v>83</v>
      </c>
      <c r="BJ326" s="50">
        <f t="shared" ca="1" si="194"/>
        <v>4.3383810274355783E-2</v>
      </c>
      <c r="BK326" s="8">
        <v>1</v>
      </c>
      <c r="BL326" s="49">
        <f t="shared" ca="1" si="212"/>
        <v>72</v>
      </c>
      <c r="BN326" s="50">
        <f t="shared" ca="1" si="195"/>
        <v>0.85277849129204752</v>
      </c>
      <c r="BO326" s="8">
        <v>1</v>
      </c>
      <c r="BP326" s="49">
        <f t="shared" ca="1" si="213"/>
        <v>223</v>
      </c>
      <c r="BR326" s="50">
        <f t="shared" ca="1" si="196"/>
        <v>0.76284758337346603</v>
      </c>
      <c r="BS326" s="8">
        <v>1</v>
      </c>
      <c r="BT326" s="49">
        <f t="shared" ca="1" si="214"/>
        <v>219</v>
      </c>
    </row>
    <row r="327" spans="1:72" x14ac:dyDescent="0.2">
      <c r="A327" s="22">
        <v>44874</v>
      </c>
      <c r="B327" s="50">
        <f t="shared" ca="1" si="179"/>
        <v>9.6141078463966578E-2</v>
      </c>
      <c r="C327" s="8">
        <v>1</v>
      </c>
      <c r="D327" s="49">
        <f t="shared" ca="1" si="197"/>
        <v>74</v>
      </c>
      <c r="F327" s="50">
        <f t="shared" ca="1" si="180"/>
        <v>0.39494079936574333</v>
      </c>
      <c r="G327" s="8">
        <v>1</v>
      </c>
      <c r="H327" s="49">
        <f t="shared" ca="1" si="198"/>
        <v>201</v>
      </c>
      <c r="J327" s="50">
        <f t="shared" ca="1" si="181"/>
        <v>0.81174784720622772</v>
      </c>
      <c r="K327" s="8">
        <v>1</v>
      </c>
      <c r="L327" s="49">
        <f t="shared" ca="1" si="199"/>
        <v>186</v>
      </c>
      <c r="N327" s="50">
        <f t="shared" ca="1" si="182"/>
        <v>0.63518135867180303</v>
      </c>
      <c r="O327" s="8">
        <v>1</v>
      </c>
      <c r="P327" s="49">
        <f t="shared" ca="1" si="200"/>
        <v>251</v>
      </c>
      <c r="R327" s="50">
        <f t="shared" ca="1" si="183"/>
        <v>8.875290984148565E-2</v>
      </c>
      <c r="S327" s="8">
        <v>1</v>
      </c>
      <c r="T327" s="49">
        <f t="shared" ca="1" si="201"/>
        <v>89</v>
      </c>
      <c r="V327" s="50">
        <f t="shared" ca="1" si="184"/>
        <v>0.62885194415074386</v>
      </c>
      <c r="W327" s="8">
        <v>1</v>
      </c>
      <c r="X327" s="49">
        <f t="shared" ca="1" si="202"/>
        <v>245</v>
      </c>
      <c r="Z327" s="50">
        <f t="shared" ca="1" si="185"/>
        <v>0.44238305865998062</v>
      </c>
      <c r="AA327" s="8">
        <v>1</v>
      </c>
      <c r="AB327" s="49">
        <f t="shared" ca="1" si="203"/>
        <v>260</v>
      </c>
      <c r="AD327" s="50">
        <f t="shared" ca="1" si="186"/>
        <v>0.7647943127431408</v>
      </c>
      <c r="AE327" s="8">
        <v>1</v>
      </c>
      <c r="AF327" s="49">
        <f t="shared" ca="1" si="204"/>
        <v>390</v>
      </c>
      <c r="AH327" s="50">
        <f t="shared" ca="1" si="187"/>
        <v>0.60102120759108713</v>
      </c>
      <c r="AI327" s="8">
        <v>1</v>
      </c>
      <c r="AJ327" s="49">
        <f t="shared" ca="1" si="205"/>
        <v>193</v>
      </c>
      <c r="AL327" s="50">
        <f t="shared" ca="1" si="188"/>
        <v>0.86295672396775303</v>
      </c>
      <c r="AM327" s="8">
        <v>1</v>
      </c>
      <c r="AN327" s="49">
        <f t="shared" ca="1" si="206"/>
        <v>191</v>
      </c>
      <c r="AP327" s="50">
        <f t="shared" ca="1" si="189"/>
        <v>0.23833769579854702</v>
      </c>
      <c r="AQ327" s="8">
        <v>1</v>
      </c>
      <c r="AR327" s="49">
        <f t="shared" ca="1" si="207"/>
        <v>176</v>
      </c>
      <c r="AT327" s="50">
        <f t="shared" ca="1" si="190"/>
        <v>0.12541258825888291</v>
      </c>
      <c r="AU327" s="8">
        <v>1</v>
      </c>
      <c r="AV327" s="49">
        <f t="shared" ca="1" si="208"/>
        <v>133</v>
      </c>
      <c r="AX327" s="50">
        <f t="shared" ca="1" si="191"/>
        <v>0.42889789358263719</v>
      </c>
      <c r="AY327" s="8">
        <v>1</v>
      </c>
      <c r="AZ327" s="49">
        <f t="shared" ca="1" si="209"/>
        <v>172</v>
      </c>
      <c r="BB327" s="50">
        <f t="shared" ca="1" si="192"/>
        <v>0.2741515795619468</v>
      </c>
      <c r="BC327" s="8">
        <v>1</v>
      </c>
      <c r="BD327" s="49">
        <f t="shared" ca="1" si="210"/>
        <v>135</v>
      </c>
      <c r="BF327" s="50">
        <f t="shared" ca="1" si="193"/>
        <v>0.14158180068726667</v>
      </c>
      <c r="BG327" s="8">
        <v>1</v>
      </c>
      <c r="BH327" s="49">
        <f t="shared" ca="1" si="211"/>
        <v>118</v>
      </c>
      <c r="BJ327" s="50">
        <f t="shared" ca="1" si="194"/>
        <v>0.48228329936647807</v>
      </c>
      <c r="BK327" s="8">
        <v>1</v>
      </c>
      <c r="BL327" s="49">
        <f t="shared" ca="1" si="212"/>
        <v>130</v>
      </c>
      <c r="BN327" s="50">
        <f t="shared" ca="1" si="195"/>
        <v>0.87545593553165035</v>
      </c>
      <c r="BO327" s="8">
        <v>1</v>
      </c>
      <c r="BP327" s="49">
        <f t="shared" ca="1" si="213"/>
        <v>227</v>
      </c>
      <c r="BR327" s="50">
        <f t="shared" ca="1" si="196"/>
        <v>0.68323227768912942</v>
      </c>
      <c r="BS327" s="8">
        <v>1</v>
      </c>
      <c r="BT327" s="49">
        <f t="shared" ca="1" si="214"/>
        <v>207</v>
      </c>
    </row>
    <row r="328" spans="1:72" x14ac:dyDescent="0.2">
      <c r="A328" s="22">
        <v>44875</v>
      </c>
      <c r="B328" s="50">
        <f t="shared" ca="1" si="179"/>
        <v>0.41322712715506482</v>
      </c>
      <c r="C328" s="8">
        <v>1</v>
      </c>
      <c r="D328" s="49">
        <f t="shared" ca="1" si="197"/>
        <v>96</v>
      </c>
      <c r="F328" s="50">
        <f t="shared" ca="1" si="180"/>
        <v>0.45205364195675135</v>
      </c>
      <c r="G328" s="8">
        <v>1</v>
      </c>
      <c r="H328" s="49">
        <f t="shared" ca="1" si="198"/>
        <v>209</v>
      </c>
      <c r="J328" s="50">
        <f t="shared" ca="1" si="181"/>
        <v>0.5406663610329604</v>
      </c>
      <c r="K328" s="8">
        <v>1</v>
      </c>
      <c r="L328" s="49">
        <f t="shared" ca="1" si="199"/>
        <v>155</v>
      </c>
      <c r="N328" s="50">
        <f t="shared" ca="1" si="182"/>
        <v>0.85626442986600593</v>
      </c>
      <c r="O328" s="8">
        <v>1</v>
      </c>
      <c r="P328" s="49">
        <f t="shared" ca="1" si="200"/>
        <v>295</v>
      </c>
      <c r="R328" s="50">
        <f t="shared" ca="1" si="183"/>
        <v>0.65442904667613999</v>
      </c>
      <c r="S328" s="8">
        <v>1</v>
      </c>
      <c r="T328" s="49">
        <f t="shared" ca="1" si="201"/>
        <v>154</v>
      </c>
      <c r="V328" s="50">
        <f t="shared" ca="1" si="184"/>
        <v>3.2328837636029784E-3</v>
      </c>
      <c r="W328" s="8">
        <v>1</v>
      </c>
      <c r="X328" s="49">
        <f t="shared" ca="1" si="202"/>
        <v>62</v>
      </c>
      <c r="Z328" s="50">
        <f t="shared" ca="1" si="185"/>
        <v>0.97260121924445031</v>
      </c>
      <c r="AA328" s="8">
        <v>1</v>
      </c>
      <c r="AB328" s="49">
        <f t="shared" ca="1" si="203"/>
        <v>409</v>
      </c>
      <c r="AD328" s="50">
        <f t="shared" ca="1" si="186"/>
        <v>0.98205053765650741</v>
      </c>
      <c r="AE328" s="8">
        <v>1</v>
      </c>
      <c r="AF328" s="49">
        <f t="shared" ca="1" si="204"/>
        <v>510</v>
      </c>
      <c r="AH328" s="50">
        <f t="shared" ca="1" si="187"/>
        <v>0.9870166987674639</v>
      </c>
      <c r="AI328" s="8">
        <v>1</v>
      </c>
      <c r="AJ328" s="49">
        <f t="shared" ca="1" si="205"/>
        <v>287</v>
      </c>
      <c r="AL328" s="50">
        <f t="shared" ca="1" si="188"/>
        <v>5.4761353998646012E-2</v>
      </c>
      <c r="AM328" s="8">
        <v>1</v>
      </c>
      <c r="AN328" s="49">
        <f t="shared" ca="1" si="206"/>
        <v>85</v>
      </c>
      <c r="AP328" s="50">
        <f t="shared" ca="1" si="189"/>
        <v>0.29916504102227504</v>
      </c>
      <c r="AQ328" s="8">
        <v>1</v>
      </c>
      <c r="AR328" s="49">
        <f t="shared" ca="1" si="207"/>
        <v>187</v>
      </c>
      <c r="AT328" s="50">
        <f t="shared" ca="1" si="190"/>
        <v>4.8782341437781596E-2</v>
      </c>
      <c r="AU328" s="8">
        <v>1</v>
      </c>
      <c r="AV328" s="49">
        <f t="shared" ca="1" si="208"/>
        <v>108</v>
      </c>
      <c r="AX328" s="50">
        <f t="shared" ca="1" si="191"/>
        <v>0.3531610991475056</v>
      </c>
      <c r="AY328" s="8">
        <v>1</v>
      </c>
      <c r="AZ328" s="49">
        <f t="shared" ca="1" si="209"/>
        <v>162</v>
      </c>
      <c r="BB328" s="50">
        <f t="shared" ca="1" si="192"/>
        <v>0.95040052970610034</v>
      </c>
      <c r="BC328" s="8">
        <v>1</v>
      </c>
      <c r="BD328" s="49">
        <f t="shared" ca="1" si="210"/>
        <v>230</v>
      </c>
      <c r="BF328" s="50">
        <f t="shared" ca="1" si="193"/>
        <v>0.54125006212379334</v>
      </c>
      <c r="BG328" s="8">
        <v>1</v>
      </c>
      <c r="BH328" s="49">
        <f t="shared" ca="1" si="211"/>
        <v>170</v>
      </c>
      <c r="BJ328" s="50">
        <f t="shared" ca="1" si="194"/>
        <v>0.93556723085203408</v>
      </c>
      <c r="BK328" s="8">
        <v>1</v>
      </c>
      <c r="BL328" s="49">
        <f t="shared" ca="1" si="212"/>
        <v>184</v>
      </c>
      <c r="BN328" s="50">
        <f t="shared" ca="1" si="195"/>
        <v>0.92170465606969276</v>
      </c>
      <c r="BO328" s="8">
        <v>1</v>
      </c>
      <c r="BP328" s="49">
        <f t="shared" ca="1" si="213"/>
        <v>240</v>
      </c>
      <c r="BR328" s="50">
        <f t="shared" ca="1" si="196"/>
        <v>0.95492821844303633</v>
      </c>
      <c r="BS328" s="8">
        <v>1</v>
      </c>
      <c r="BT328" s="49">
        <f t="shared" ca="1" si="214"/>
        <v>267</v>
      </c>
    </row>
    <row r="329" spans="1:72" x14ac:dyDescent="0.2">
      <c r="A329" s="22">
        <v>44876</v>
      </c>
      <c r="B329" s="50">
        <f t="shared" ca="1" si="179"/>
        <v>0.95337916016851998</v>
      </c>
      <c r="C329" s="8">
        <v>1</v>
      </c>
      <c r="D329" s="49">
        <f t="shared" ca="1" si="197"/>
        <v>134</v>
      </c>
      <c r="F329" s="50">
        <f t="shared" ca="1" si="180"/>
        <v>1.6354710704168496E-2</v>
      </c>
      <c r="G329" s="8">
        <v>1</v>
      </c>
      <c r="H329" s="49">
        <f t="shared" ca="1" si="198"/>
        <v>93</v>
      </c>
      <c r="J329" s="50">
        <f t="shared" ca="1" si="181"/>
        <v>0.21386444606306754</v>
      </c>
      <c r="K329" s="8">
        <v>1</v>
      </c>
      <c r="L329" s="49">
        <f t="shared" ca="1" si="199"/>
        <v>119</v>
      </c>
      <c r="N329" s="50">
        <f t="shared" ca="1" si="182"/>
        <v>0.88985290699147068</v>
      </c>
      <c r="O329" s="8">
        <v>1</v>
      </c>
      <c r="P329" s="49">
        <f t="shared" ca="1" si="200"/>
        <v>305</v>
      </c>
      <c r="R329" s="50">
        <f t="shared" ca="1" si="183"/>
        <v>0.50171352202905661</v>
      </c>
      <c r="S329" s="8">
        <v>1</v>
      </c>
      <c r="T329" s="49">
        <f t="shared" ca="1" si="201"/>
        <v>139</v>
      </c>
      <c r="V329" s="50">
        <f t="shared" ca="1" si="184"/>
        <v>0.2475330469229261</v>
      </c>
      <c r="W329" s="8">
        <v>1</v>
      </c>
      <c r="X329" s="49">
        <f t="shared" ca="1" si="202"/>
        <v>185</v>
      </c>
      <c r="Z329" s="50">
        <f t="shared" ca="1" si="185"/>
        <v>5.0027463471184919E-2</v>
      </c>
      <c r="AA329" s="8">
        <v>1</v>
      </c>
      <c r="AB329" s="49">
        <f t="shared" ca="1" si="203"/>
        <v>152</v>
      </c>
      <c r="AD329" s="50">
        <f t="shared" ca="1" si="186"/>
        <v>0.24987159092319633</v>
      </c>
      <c r="AE329" s="8">
        <v>1</v>
      </c>
      <c r="AF329" s="49">
        <f t="shared" ca="1" si="204"/>
        <v>269</v>
      </c>
      <c r="AH329" s="50">
        <f t="shared" ca="1" si="187"/>
        <v>0.44926764176430622</v>
      </c>
      <c r="AI329" s="8">
        <v>1</v>
      </c>
      <c r="AJ329" s="49">
        <f t="shared" ca="1" si="205"/>
        <v>174</v>
      </c>
      <c r="AL329" s="50">
        <f t="shared" ca="1" si="188"/>
        <v>0.29777630733374549</v>
      </c>
      <c r="AM329" s="8">
        <v>1</v>
      </c>
      <c r="AN329" s="49">
        <f t="shared" ca="1" si="206"/>
        <v>127</v>
      </c>
      <c r="AP329" s="50">
        <f t="shared" ca="1" si="189"/>
        <v>2.6660644595409622E-2</v>
      </c>
      <c r="AQ329" s="8">
        <v>1</v>
      </c>
      <c r="AR329" s="49">
        <f t="shared" ca="1" si="207"/>
        <v>106</v>
      </c>
      <c r="AT329" s="50">
        <f t="shared" ca="1" si="190"/>
        <v>0.34831133694685945</v>
      </c>
      <c r="AU329" s="8">
        <v>1</v>
      </c>
      <c r="AV329" s="49">
        <f t="shared" ca="1" si="208"/>
        <v>172</v>
      </c>
      <c r="AX329" s="50">
        <f t="shared" ca="1" si="191"/>
        <v>0.52179971620576504</v>
      </c>
      <c r="AY329" s="8">
        <v>1</v>
      </c>
      <c r="AZ329" s="49">
        <f t="shared" ca="1" si="209"/>
        <v>183</v>
      </c>
      <c r="BB329" s="50">
        <f t="shared" ca="1" si="192"/>
        <v>0.10779653056557648</v>
      </c>
      <c r="BC329" s="8">
        <v>1</v>
      </c>
      <c r="BD329" s="49">
        <f t="shared" ca="1" si="210"/>
        <v>107</v>
      </c>
      <c r="BF329" s="50">
        <f t="shared" ca="1" si="193"/>
        <v>0.3677750478061742</v>
      </c>
      <c r="BG329" s="8">
        <v>1</v>
      </c>
      <c r="BH329" s="49">
        <f t="shared" ca="1" si="211"/>
        <v>150</v>
      </c>
      <c r="BJ329" s="50">
        <f t="shared" ca="1" si="194"/>
        <v>0.66448068516281844</v>
      </c>
      <c r="BK329" s="8">
        <v>1</v>
      </c>
      <c r="BL329" s="49">
        <f t="shared" ca="1" si="212"/>
        <v>146</v>
      </c>
      <c r="BN329" s="50">
        <f t="shared" ca="1" si="195"/>
        <v>8.4596603229059819E-2</v>
      </c>
      <c r="BO329" s="8">
        <v>1</v>
      </c>
      <c r="BP329" s="49">
        <f t="shared" ca="1" si="213"/>
        <v>110</v>
      </c>
      <c r="BR329" s="50">
        <f t="shared" ca="1" si="196"/>
        <v>0.10321659567368402</v>
      </c>
      <c r="BS329" s="8">
        <v>1</v>
      </c>
      <c r="BT329" s="49">
        <f t="shared" ca="1" si="214"/>
        <v>122</v>
      </c>
    </row>
    <row r="330" spans="1:72" x14ac:dyDescent="0.2">
      <c r="A330" s="22">
        <v>44877</v>
      </c>
      <c r="B330" s="50">
        <f t="shared" ca="1" si="179"/>
        <v>0.67136834177036719</v>
      </c>
      <c r="C330" s="8">
        <v>1</v>
      </c>
      <c r="D330" s="49">
        <f t="shared" ca="1" si="197"/>
        <v>109</v>
      </c>
      <c r="F330" s="50">
        <f t="shared" ca="1" si="180"/>
        <v>0.88784561468553513</v>
      </c>
      <c r="G330" s="8">
        <v>1</v>
      </c>
      <c r="H330" s="49">
        <f t="shared" ca="1" si="198"/>
        <v>286</v>
      </c>
      <c r="J330" s="50">
        <f t="shared" ca="1" si="181"/>
        <v>0.40289725180856628</v>
      </c>
      <c r="K330" s="8">
        <v>1</v>
      </c>
      <c r="L330" s="49">
        <f t="shared" ca="1" si="199"/>
        <v>141</v>
      </c>
      <c r="N330" s="50">
        <f t="shared" ca="1" si="182"/>
        <v>0.89512208674572435</v>
      </c>
      <c r="O330" s="8">
        <v>1</v>
      </c>
      <c r="P330" s="49">
        <f t="shared" ca="1" si="200"/>
        <v>307</v>
      </c>
      <c r="R330" s="50">
        <f t="shared" ca="1" si="183"/>
        <v>0.34971575426635026</v>
      </c>
      <c r="S330" s="8">
        <v>1</v>
      </c>
      <c r="T330" s="49">
        <f t="shared" ca="1" si="201"/>
        <v>125</v>
      </c>
      <c r="V330" s="50">
        <f t="shared" ca="1" si="184"/>
        <v>0.11367069277376818</v>
      </c>
      <c r="W330" s="8">
        <v>1</v>
      </c>
      <c r="X330" s="49">
        <f t="shared" ca="1" si="202"/>
        <v>153</v>
      </c>
      <c r="Z330" s="50">
        <f t="shared" ca="1" si="185"/>
        <v>0.50378083301709742</v>
      </c>
      <c r="AA330" s="8">
        <v>1</v>
      </c>
      <c r="AB330" s="49">
        <f t="shared" ca="1" si="203"/>
        <v>271</v>
      </c>
      <c r="AD330" s="50">
        <f t="shared" ca="1" si="186"/>
        <v>0.98311411340423893</v>
      </c>
      <c r="AE330" s="8">
        <v>1</v>
      </c>
      <c r="AF330" s="49">
        <f t="shared" ca="1" si="204"/>
        <v>513</v>
      </c>
      <c r="AH330" s="50">
        <f t="shared" ca="1" si="187"/>
        <v>0.48278377266434835</v>
      </c>
      <c r="AI330" s="8">
        <v>1</v>
      </c>
      <c r="AJ330" s="49">
        <f t="shared" ca="1" si="205"/>
        <v>178</v>
      </c>
      <c r="AL330" s="50">
        <f t="shared" ca="1" si="188"/>
        <v>0.11554255844942884</v>
      </c>
      <c r="AM330" s="8">
        <v>1</v>
      </c>
      <c r="AN330" s="49">
        <f t="shared" ca="1" si="206"/>
        <v>101</v>
      </c>
      <c r="AP330" s="50">
        <f t="shared" ca="1" si="189"/>
        <v>0.23349289779587734</v>
      </c>
      <c r="AQ330" s="8">
        <v>1</v>
      </c>
      <c r="AR330" s="49">
        <f t="shared" ca="1" si="207"/>
        <v>175</v>
      </c>
      <c r="AT330" s="50">
        <f t="shared" ca="1" si="190"/>
        <v>0.14982574457989539</v>
      </c>
      <c r="AU330" s="8">
        <v>1</v>
      </c>
      <c r="AV330" s="49">
        <f t="shared" ca="1" si="208"/>
        <v>139</v>
      </c>
      <c r="AX330" s="50">
        <f t="shared" ca="1" si="191"/>
        <v>1.954333170061362E-2</v>
      </c>
      <c r="AY330" s="8">
        <v>1</v>
      </c>
      <c r="AZ330" s="49">
        <f t="shared" ca="1" si="209"/>
        <v>81</v>
      </c>
      <c r="BB330" s="50">
        <f t="shared" ca="1" si="192"/>
        <v>0.93437013010686609</v>
      </c>
      <c r="BC330" s="8">
        <v>1</v>
      </c>
      <c r="BD330" s="49">
        <f t="shared" ca="1" si="210"/>
        <v>224</v>
      </c>
      <c r="BF330" s="50">
        <f t="shared" ca="1" si="193"/>
        <v>0.5751539091206842</v>
      </c>
      <c r="BG330" s="8">
        <v>1</v>
      </c>
      <c r="BH330" s="49">
        <f t="shared" ca="1" si="211"/>
        <v>173</v>
      </c>
      <c r="BJ330" s="50">
        <f t="shared" ca="1" si="194"/>
        <v>0.86670360356100684</v>
      </c>
      <c r="BK330" s="8">
        <v>1</v>
      </c>
      <c r="BL330" s="49">
        <f t="shared" ca="1" si="212"/>
        <v>170</v>
      </c>
      <c r="BN330" s="50">
        <f t="shared" ca="1" si="195"/>
        <v>0.94448744825945541</v>
      </c>
      <c r="BO330" s="8">
        <v>1</v>
      </c>
      <c r="BP330" s="49">
        <f t="shared" ca="1" si="213"/>
        <v>248</v>
      </c>
      <c r="BR330" s="50">
        <f t="shared" ca="1" si="196"/>
        <v>0.81456223000191985</v>
      </c>
      <c r="BS330" s="8">
        <v>1</v>
      </c>
      <c r="BT330" s="49">
        <f t="shared" ca="1" si="214"/>
        <v>228</v>
      </c>
    </row>
    <row r="331" spans="1:72" x14ac:dyDescent="0.2">
      <c r="A331" s="22">
        <v>44878</v>
      </c>
      <c r="B331" s="50">
        <f t="shared" ca="1" si="179"/>
        <v>0.39956113304689178</v>
      </c>
      <c r="C331" s="8">
        <v>1</v>
      </c>
      <c r="D331" s="49">
        <f t="shared" ca="1" si="197"/>
        <v>95</v>
      </c>
      <c r="F331" s="50">
        <f t="shared" ca="1" si="180"/>
        <v>0.32505845951020185</v>
      </c>
      <c r="G331" s="8">
        <v>1</v>
      </c>
      <c r="H331" s="49">
        <f t="shared" ca="1" si="198"/>
        <v>190</v>
      </c>
      <c r="J331" s="50">
        <f t="shared" ca="1" si="181"/>
        <v>0.47365808711000801</v>
      </c>
      <c r="K331" s="8">
        <v>1</v>
      </c>
      <c r="L331" s="49">
        <f t="shared" ca="1" si="199"/>
        <v>148</v>
      </c>
      <c r="N331" s="50">
        <f t="shared" ca="1" si="182"/>
        <v>0.50094066189310382</v>
      </c>
      <c r="O331" s="8">
        <v>1</v>
      </c>
      <c r="P331" s="49">
        <f t="shared" ca="1" si="200"/>
        <v>230</v>
      </c>
      <c r="R331" s="50">
        <f t="shared" ca="1" si="183"/>
        <v>7.8519900454919189E-2</v>
      </c>
      <c r="S331" s="8">
        <v>1</v>
      </c>
      <c r="T331" s="49">
        <f t="shared" ca="1" si="201"/>
        <v>87</v>
      </c>
      <c r="V331" s="50">
        <f t="shared" ca="1" si="184"/>
        <v>0.21585502514677923</v>
      </c>
      <c r="W331" s="8">
        <v>1</v>
      </c>
      <c r="X331" s="49">
        <f t="shared" ca="1" si="202"/>
        <v>178</v>
      </c>
      <c r="Z331" s="50">
        <f t="shared" ca="1" si="185"/>
        <v>0.67432084873776721</v>
      </c>
      <c r="AA331" s="8">
        <v>1</v>
      </c>
      <c r="AB331" s="49">
        <f t="shared" ca="1" si="203"/>
        <v>303</v>
      </c>
      <c r="AD331" s="50">
        <f t="shared" ca="1" si="186"/>
        <v>0.26862894981894259</v>
      </c>
      <c r="AE331" s="8">
        <v>1</v>
      </c>
      <c r="AF331" s="49">
        <f t="shared" ca="1" si="204"/>
        <v>274</v>
      </c>
      <c r="AH331" s="50">
        <f t="shared" ca="1" si="187"/>
        <v>0.90077557198451674</v>
      </c>
      <c r="AI331" s="8">
        <v>1</v>
      </c>
      <c r="AJ331" s="49">
        <f t="shared" ca="1" si="205"/>
        <v>242</v>
      </c>
      <c r="AL331" s="50">
        <f t="shared" ca="1" si="188"/>
        <v>0.91914564360919926</v>
      </c>
      <c r="AM331" s="8">
        <v>1</v>
      </c>
      <c r="AN331" s="49">
        <f t="shared" ca="1" si="206"/>
        <v>203</v>
      </c>
      <c r="AP331" s="50">
        <f t="shared" ca="1" si="189"/>
        <v>0.68443749224126915</v>
      </c>
      <c r="AQ331" s="8">
        <v>1</v>
      </c>
      <c r="AR331" s="49">
        <f t="shared" ca="1" si="207"/>
        <v>245</v>
      </c>
      <c r="AT331" s="50">
        <f t="shared" ca="1" si="190"/>
        <v>0.3707822790256009</v>
      </c>
      <c r="AU331" s="8">
        <v>1</v>
      </c>
      <c r="AV331" s="49">
        <f t="shared" ca="1" si="208"/>
        <v>175</v>
      </c>
      <c r="AX331" s="50">
        <f t="shared" ca="1" si="191"/>
        <v>0.844523363110947</v>
      </c>
      <c r="AY331" s="8">
        <v>1</v>
      </c>
      <c r="AZ331" s="49">
        <f t="shared" ca="1" si="209"/>
        <v>229</v>
      </c>
      <c r="BB331" s="50">
        <f t="shared" ca="1" si="192"/>
        <v>0.83058890832931043</v>
      </c>
      <c r="BC331" s="8">
        <v>1</v>
      </c>
      <c r="BD331" s="49">
        <f t="shared" ca="1" si="210"/>
        <v>201</v>
      </c>
      <c r="BF331" s="50">
        <f t="shared" ca="1" si="193"/>
        <v>0.10530300583491092</v>
      </c>
      <c r="BG331" s="8">
        <v>1</v>
      </c>
      <c r="BH331" s="49">
        <f t="shared" ca="1" si="211"/>
        <v>110</v>
      </c>
      <c r="BJ331" s="50">
        <f t="shared" ca="1" si="194"/>
        <v>0.19016314059520811</v>
      </c>
      <c r="BK331" s="8">
        <v>1</v>
      </c>
      <c r="BL331" s="49">
        <f t="shared" ca="1" si="212"/>
        <v>101</v>
      </c>
      <c r="BN331" s="50">
        <f t="shared" ca="1" si="195"/>
        <v>6.4464975986881279E-2</v>
      </c>
      <c r="BO331" s="8">
        <v>1</v>
      </c>
      <c r="BP331" s="49">
        <f t="shared" ca="1" si="213"/>
        <v>104</v>
      </c>
      <c r="BR331" s="50">
        <f t="shared" ca="1" si="196"/>
        <v>0.66553263835502274</v>
      </c>
      <c r="BS331" s="8">
        <v>1</v>
      </c>
      <c r="BT331" s="49">
        <f t="shared" ca="1" si="214"/>
        <v>205</v>
      </c>
    </row>
    <row r="332" spans="1:72" x14ac:dyDescent="0.2">
      <c r="A332" s="22">
        <v>44879</v>
      </c>
      <c r="B332" s="50">
        <f t="shared" ca="1" si="179"/>
        <v>0.28768586561554332</v>
      </c>
      <c r="C332" s="8">
        <v>1</v>
      </c>
      <c r="D332" s="49">
        <f t="shared" ca="1" si="197"/>
        <v>89</v>
      </c>
      <c r="F332" s="50">
        <f t="shared" ca="1" si="180"/>
        <v>0.36233065870382408</v>
      </c>
      <c r="G332" s="8">
        <v>1</v>
      </c>
      <c r="H332" s="49">
        <f t="shared" ca="1" si="198"/>
        <v>196</v>
      </c>
      <c r="J332" s="50">
        <f t="shared" ca="1" si="181"/>
        <v>2.0375111179569028E-2</v>
      </c>
      <c r="K332" s="8">
        <v>1</v>
      </c>
      <c r="L332" s="49">
        <f t="shared" ca="1" si="199"/>
        <v>69</v>
      </c>
      <c r="N332" s="50">
        <f t="shared" ca="1" si="182"/>
        <v>0.94666687730710342</v>
      </c>
      <c r="O332" s="8">
        <v>1</v>
      </c>
      <c r="P332" s="49">
        <f t="shared" ca="1" si="200"/>
        <v>329</v>
      </c>
      <c r="R332" s="50">
        <f t="shared" ca="1" si="183"/>
        <v>0.45345183009340984</v>
      </c>
      <c r="S332" s="8">
        <v>1</v>
      </c>
      <c r="T332" s="49">
        <f t="shared" ca="1" si="201"/>
        <v>135</v>
      </c>
      <c r="V332" s="50">
        <f t="shared" ca="1" si="184"/>
        <v>0.11417181530367893</v>
      </c>
      <c r="W332" s="8">
        <v>1</v>
      </c>
      <c r="X332" s="49">
        <f t="shared" ca="1" si="202"/>
        <v>153</v>
      </c>
      <c r="Z332" s="50">
        <f t="shared" ca="1" si="185"/>
        <v>0.29616178275735683</v>
      </c>
      <c r="AA332" s="8">
        <v>1</v>
      </c>
      <c r="AB332" s="49">
        <f t="shared" ca="1" si="203"/>
        <v>232</v>
      </c>
      <c r="AD332" s="50">
        <f t="shared" ca="1" si="186"/>
        <v>0.52995642077858429</v>
      </c>
      <c r="AE332" s="8">
        <v>1</v>
      </c>
      <c r="AF332" s="49">
        <f t="shared" ca="1" si="204"/>
        <v>334</v>
      </c>
      <c r="AH332" s="50">
        <f t="shared" ca="1" si="187"/>
        <v>0.74348945172517833</v>
      </c>
      <c r="AI332" s="8">
        <v>1</v>
      </c>
      <c r="AJ332" s="49">
        <f t="shared" ca="1" si="205"/>
        <v>212</v>
      </c>
      <c r="AL332" s="50">
        <f t="shared" ca="1" si="188"/>
        <v>0.58371947692506554</v>
      </c>
      <c r="AM332" s="8">
        <v>1</v>
      </c>
      <c r="AN332" s="49">
        <f t="shared" ca="1" si="206"/>
        <v>156</v>
      </c>
      <c r="AP332" s="50">
        <f t="shared" ca="1" si="189"/>
        <v>0.11245787462803558</v>
      </c>
      <c r="AQ332" s="8">
        <v>1</v>
      </c>
      <c r="AR332" s="49">
        <f t="shared" ca="1" si="207"/>
        <v>147</v>
      </c>
      <c r="AT332" s="50">
        <f t="shared" ca="1" si="190"/>
        <v>0.48663738389092792</v>
      </c>
      <c r="AU332" s="8">
        <v>1</v>
      </c>
      <c r="AV332" s="49">
        <f t="shared" ca="1" si="208"/>
        <v>190</v>
      </c>
      <c r="AX332" s="50">
        <f t="shared" ca="1" si="191"/>
        <v>0.65836938955638513</v>
      </c>
      <c r="AY332" s="8">
        <v>1</v>
      </c>
      <c r="AZ332" s="49">
        <f t="shared" ca="1" si="209"/>
        <v>200</v>
      </c>
      <c r="BB332" s="50">
        <f t="shared" ca="1" si="192"/>
        <v>0.39241548859533237</v>
      </c>
      <c r="BC332" s="8">
        <v>1</v>
      </c>
      <c r="BD332" s="49">
        <f t="shared" ca="1" si="210"/>
        <v>148</v>
      </c>
      <c r="BF332" s="50">
        <f t="shared" ca="1" si="193"/>
        <v>0.91343435520478478</v>
      </c>
      <c r="BG332" s="8">
        <v>1</v>
      </c>
      <c r="BH332" s="49">
        <f t="shared" ca="1" si="211"/>
        <v>225</v>
      </c>
      <c r="BJ332" s="50">
        <f t="shared" ca="1" si="194"/>
        <v>8.5208761325031523E-2</v>
      </c>
      <c r="BK332" s="8">
        <v>1</v>
      </c>
      <c r="BL332" s="49">
        <f t="shared" ca="1" si="212"/>
        <v>84</v>
      </c>
      <c r="BN332" s="50">
        <f t="shared" ca="1" si="195"/>
        <v>0.30337209127657372</v>
      </c>
      <c r="BO332" s="8">
        <v>1</v>
      </c>
      <c r="BP332" s="49">
        <f t="shared" ca="1" si="213"/>
        <v>150</v>
      </c>
      <c r="BR332" s="50">
        <f t="shared" ca="1" si="196"/>
        <v>5.5847063194694346E-2</v>
      </c>
      <c r="BS332" s="8">
        <v>1</v>
      </c>
      <c r="BT332" s="49">
        <f t="shared" ca="1" si="214"/>
        <v>106</v>
      </c>
    </row>
    <row r="333" spans="1:72" x14ac:dyDescent="0.2">
      <c r="A333" s="22">
        <v>44880</v>
      </c>
      <c r="B333" s="50">
        <f t="shared" ca="1" si="179"/>
        <v>0.72002641915952525</v>
      </c>
      <c r="C333" s="8">
        <v>1</v>
      </c>
      <c r="D333" s="49">
        <f t="shared" ca="1" si="197"/>
        <v>112</v>
      </c>
      <c r="F333" s="50">
        <f t="shared" ca="1" si="180"/>
        <v>0.70537660825161475</v>
      </c>
      <c r="G333" s="8">
        <v>1</v>
      </c>
      <c r="H333" s="49">
        <f t="shared" ca="1" si="198"/>
        <v>247</v>
      </c>
      <c r="J333" s="50">
        <f t="shared" ca="1" si="181"/>
        <v>0.91884444566213086</v>
      </c>
      <c r="K333" s="8">
        <v>1</v>
      </c>
      <c r="L333" s="49">
        <f t="shared" ca="1" si="199"/>
        <v>206</v>
      </c>
      <c r="N333" s="50">
        <f t="shared" ca="1" si="182"/>
        <v>0.74361981655912057</v>
      </c>
      <c r="O333" s="8">
        <v>1</v>
      </c>
      <c r="P333" s="49">
        <f t="shared" ca="1" si="200"/>
        <v>270</v>
      </c>
      <c r="R333" s="50">
        <f t="shared" ca="1" si="183"/>
        <v>0.23828890818110537</v>
      </c>
      <c r="S333" s="8">
        <v>1</v>
      </c>
      <c r="T333" s="49">
        <f t="shared" ca="1" si="201"/>
        <v>113</v>
      </c>
      <c r="V333" s="50">
        <f t="shared" ca="1" si="184"/>
        <v>1.9186799375274011E-2</v>
      </c>
      <c r="W333" s="8">
        <v>1</v>
      </c>
      <c r="X333" s="49">
        <f t="shared" ca="1" si="202"/>
        <v>101</v>
      </c>
      <c r="Z333" s="50">
        <f t="shared" ca="1" si="185"/>
        <v>0.76014200869850002</v>
      </c>
      <c r="AA333" s="8">
        <v>1</v>
      </c>
      <c r="AB333" s="49">
        <f t="shared" ca="1" si="203"/>
        <v>321</v>
      </c>
      <c r="AD333" s="50">
        <f t="shared" ca="1" si="186"/>
        <v>8.9107250487469258E-2</v>
      </c>
      <c r="AE333" s="8">
        <v>1</v>
      </c>
      <c r="AF333" s="49">
        <f t="shared" ca="1" si="204"/>
        <v>210</v>
      </c>
      <c r="AH333" s="50">
        <f t="shared" ca="1" si="187"/>
        <v>0.9733534453481183</v>
      </c>
      <c r="AI333" s="8">
        <v>1</v>
      </c>
      <c r="AJ333" s="49">
        <f t="shared" ca="1" si="205"/>
        <v>273</v>
      </c>
      <c r="AL333" s="50">
        <f t="shared" ca="1" si="188"/>
        <v>0.99987944577586207</v>
      </c>
      <c r="AM333" s="8">
        <v>1</v>
      </c>
      <c r="AN333" s="49">
        <f t="shared" ca="1" si="206"/>
        <v>292</v>
      </c>
      <c r="AP333" s="50">
        <f t="shared" ca="1" si="189"/>
        <v>0.83401414052768419</v>
      </c>
      <c r="AQ333" s="8">
        <v>1</v>
      </c>
      <c r="AR333" s="49">
        <f t="shared" ca="1" si="207"/>
        <v>273</v>
      </c>
      <c r="AT333" s="50">
        <f t="shared" ca="1" si="190"/>
        <v>0.9419171791436548</v>
      </c>
      <c r="AU333" s="8">
        <v>1</v>
      </c>
      <c r="AV333" s="49">
        <f t="shared" ca="1" si="208"/>
        <v>273</v>
      </c>
      <c r="AX333" s="50">
        <f t="shared" ca="1" si="191"/>
        <v>0.597640861828721</v>
      </c>
      <c r="AY333" s="8">
        <v>1</v>
      </c>
      <c r="AZ333" s="49">
        <f t="shared" ca="1" si="209"/>
        <v>192</v>
      </c>
      <c r="BB333" s="50">
        <f t="shared" ca="1" si="192"/>
        <v>0.19177684187938149</v>
      </c>
      <c r="BC333" s="8">
        <v>1</v>
      </c>
      <c r="BD333" s="49">
        <f t="shared" ca="1" si="210"/>
        <v>123</v>
      </c>
      <c r="BF333" s="50">
        <f t="shared" ca="1" si="193"/>
        <v>1.6424584572305445E-3</v>
      </c>
      <c r="BG333" s="8">
        <v>1</v>
      </c>
      <c r="BH333" s="49">
        <f t="shared" ca="1" si="211"/>
        <v>36</v>
      </c>
      <c r="BJ333" s="50">
        <f t="shared" ca="1" si="194"/>
        <v>0.62476501244105187</v>
      </c>
      <c r="BK333" s="8">
        <v>1</v>
      </c>
      <c r="BL333" s="49">
        <f t="shared" ca="1" si="212"/>
        <v>143</v>
      </c>
      <c r="BN333" s="50">
        <f t="shared" ca="1" si="195"/>
        <v>0.86105497919527463</v>
      </c>
      <c r="BO333" s="8">
        <v>1</v>
      </c>
      <c r="BP333" s="49">
        <f t="shared" ca="1" si="213"/>
        <v>224</v>
      </c>
      <c r="BR333" s="50">
        <f t="shared" ca="1" si="196"/>
        <v>0.27833139558684483</v>
      </c>
      <c r="BS333" s="8">
        <v>1</v>
      </c>
      <c r="BT333" s="49">
        <f t="shared" ca="1" si="214"/>
        <v>155</v>
      </c>
    </row>
    <row r="334" spans="1:72" x14ac:dyDescent="0.2">
      <c r="A334" s="22">
        <v>44881</v>
      </c>
      <c r="B334" s="50">
        <f t="shared" ca="1" si="179"/>
        <v>0.60019281965843174</v>
      </c>
      <c r="C334" s="8">
        <v>1</v>
      </c>
      <c r="D334" s="49">
        <f t="shared" ca="1" si="197"/>
        <v>106</v>
      </c>
      <c r="F334" s="50">
        <f t="shared" ca="1" si="180"/>
        <v>0.19553424797456143</v>
      </c>
      <c r="G334" s="8">
        <v>1</v>
      </c>
      <c r="H334" s="49">
        <f t="shared" ca="1" si="198"/>
        <v>167</v>
      </c>
      <c r="J334" s="50">
        <f t="shared" ca="1" si="181"/>
        <v>0.59059868340069843</v>
      </c>
      <c r="K334" s="8">
        <v>1</v>
      </c>
      <c r="L334" s="49">
        <f t="shared" ca="1" si="199"/>
        <v>160</v>
      </c>
      <c r="N334" s="50">
        <f t="shared" ca="1" si="182"/>
        <v>0.93748885607186072</v>
      </c>
      <c r="O334" s="8">
        <v>1</v>
      </c>
      <c r="P334" s="49">
        <f t="shared" ca="1" si="200"/>
        <v>324</v>
      </c>
      <c r="R334" s="50">
        <f t="shared" ca="1" si="183"/>
        <v>0.81733381883963308</v>
      </c>
      <c r="S334" s="8">
        <v>1</v>
      </c>
      <c r="T334" s="49">
        <f t="shared" ca="1" si="201"/>
        <v>173</v>
      </c>
      <c r="V334" s="50">
        <f t="shared" ca="1" si="184"/>
        <v>0.85082476134581952</v>
      </c>
      <c r="W334" s="8">
        <v>1</v>
      </c>
      <c r="X334" s="49">
        <f t="shared" ca="1" si="202"/>
        <v>288</v>
      </c>
      <c r="Z334" s="50">
        <f t="shared" ca="1" si="185"/>
        <v>0.68246274421234843</v>
      </c>
      <c r="AA334" s="8">
        <v>1</v>
      </c>
      <c r="AB334" s="49">
        <f t="shared" ca="1" si="203"/>
        <v>305</v>
      </c>
      <c r="AD334" s="50">
        <f t="shared" ca="1" si="186"/>
        <v>0.20950589183102342</v>
      </c>
      <c r="AE334" s="8">
        <v>1</v>
      </c>
      <c r="AF334" s="49">
        <f t="shared" ca="1" si="204"/>
        <v>257</v>
      </c>
      <c r="AH334" s="50">
        <f t="shared" ca="1" si="187"/>
        <v>0.74994543982374606</v>
      </c>
      <c r="AI334" s="8">
        <v>1</v>
      </c>
      <c r="AJ334" s="49">
        <f t="shared" ca="1" si="205"/>
        <v>213</v>
      </c>
      <c r="AL334" s="50">
        <f t="shared" ca="1" si="188"/>
        <v>0.39827797324236791</v>
      </c>
      <c r="AM334" s="8">
        <v>1</v>
      </c>
      <c r="AN334" s="49">
        <f t="shared" ca="1" si="206"/>
        <v>138</v>
      </c>
      <c r="AP334" s="50">
        <f t="shared" ca="1" si="189"/>
        <v>3.6450957246491056E-3</v>
      </c>
      <c r="AQ334" s="8">
        <v>1</v>
      </c>
      <c r="AR334" s="49">
        <f t="shared" ca="1" si="207"/>
        <v>62</v>
      </c>
      <c r="AT334" s="50">
        <f t="shared" ca="1" si="190"/>
        <v>0.2417942691312045</v>
      </c>
      <c r="AU334" s="8">
        <v>1</v>
      </c>
      <c r="AV334" s="49">
        <f t="shared" ca="1" si="208"/>
        <v>156</v>
      </c>
      <c r="AX334" s="50">
        <f t="shared" ca="1" si="191"/>
        <v>0.74567076559040124</v>
      </c>
      <c r="AY334" s="8">
        <v>1</v>
      </c>
      <c r="AZ334" s="49">
        <f t="shared" ca="1" si="209"/>
        <v>212</v>
      </c>
      <c r="BB334" s="50">
        <f t="shared" ca="1" si="192"/>
        <v>0.90513930282470378</v>
      </c>
      <c r="BC334" s="8">
        <v>1</v>
      </c>
      <c r="BD334" s="49">
        <f t="shared" ca="1" si="210"/>
        <v>216</v>
      </c>
      <c r="BF334" s="50">
        <f t="shared" ca="1" si="193"/>
        <v>0.70407744555864704</v>
      </c>
      <c r="BG334" s="8">
        <v>1</v>
      </c>
      <c r="BH334" s="49">
        <f t="shared" ca="1" si="211"/>
        <v>189</v>
      </c>
      <c r="BJ334" s="50">
        <f t="shared" ca="1" si="194"/>
        <v>0.8167649741589289</v>
      </c>
      <c r="BK334" s="8">
        <v>1</v>
      </c>
      <c r="BL334" s="49">
        <f t="shared" ca="1" si="212"/>
        <v>163</v>
      </c>
      <c r="BN334" s="50">
        <f t="shared" ca="1" si="195"/>
        <v>0.68268538721768601</v>
      </c>
      <c r="BO334" s="8">
        <v>1</v>
      </c>
      <c r="BP334" s="49">
        <f t="shared" ca="1" si="213"/>
        <v>196</v>
      </c>
      <c r="BR334" s="50">
        <f t="shared" ca="1" si="196"/>
        <v>0.73452862069190128</v>
      </c>
      <c r="BS334" s="8">
        <v>1</v>
      </c>
      <c r="BT334" s="49">
        <f t="shared" ca="1" si="214"/>
        <v>215</v>
      </c>
    </row>
    <row r="335" spans="1:72" x14ac:dyDescent="0.2">
      <c r="A335" s="22">
        <v>44882</v>
      </c>
      <c r="B335" s="50">
        <f t="shared" ca="1" si="179"/>
        <v>0.80356919106959412</v>
      </c>
      <c r="C335" s="8">
        <v>1</v>
      </c>
      <c r="D335" s="49">
        <f t="shared" ca="1" si="197"/>
        <v>118</v>
      </c>
      <c r="F335" s="50">
        <f t="shared" ca="1" si="180"/>
        <v>4.6181635289058165E-2</v>
      </c>
      <c r="G335" s="8">
        <v>1</v>
      </c>
      <c r="H335" s="49">
        <f t="shared" ca="1" si="198"/>
        <v>119</v>
      </c>
      <c r="J335" s="50">
        <f t="shared" ca="1" si="181"/>
        <v>0.36036870854557368</v>
      </c>
      <c r="K335" s="8">
        <v>1</v>
      </c>
      <c r="L335" s="49">
        <f t="shared" ca="1" si="199"/>
        <v>136</v>
      </c>
      <c r="N335" s="50">
        <f t="shared" ca="1" si="182"/>
        <v>0.16041836555893951</v>
      </c>
      <c r="O335" s="8">
        <v>1</v>
      </c>
      <c r="P335" s="49">
        <f t="shared" ca="1" si="200"/>
        <v>169</v>
      </c>
      <c r="R335" s="50">
        <f t="shared" ca="1" si="183"/>
        <v>0.20887182326954767</v>
      </c>
      <c r="S335" s="8">
        <v>1</v>
      </c>
      <c r="T335" s="49">
        <f t="shared" ca="1" si="201"/>
        <v>109</v>
      </c>
      <c r="V335" s="50">
        <f t="shared" ca="1" si="184"/>
        <v>0.73015710147580704</v>
      </c>
      <c r="W335" s="8">
        <v>1</v>
      </c>
      <c r="X335" s="49">
        <f t="shared" ca="1" si="202"/>
        <v>262</v>
      </c>
      <c r="Z335" s="50">
        <f t="shared" ca="1" si="185"/>
        <v>0.34368462005497191</v>
      </c>
      <c r="AA335" s="8">
        <v>1</v>
      </c>
      <c r="AB335" s="49">
        <f t="shared" ca="1" si="203"/>
        <v>242</v>
      </c>
      <c r="AD335" s="50">
        <f t="shared" ca="1" si="186"/>
        <v>0.13490066861086603</v>
      </c>
      <c r="AE335" s="8">
        <v>1</v>
      </c>
      <c r="AF335" s="49">
        <f t="shared" ca="1" si="204"/>
        <v>231</v>
      </c>
      <c r="AH335" s="50">
        <f t="shared" ca="1" si="187"/>
        <v>0.27130131929412404</v>
      </c>
      <c r="AI335" s="8">
        <v>1</v>
      </c>
      <c r="AJ335" s="49">
        <f t="shared" ca="1" si="205"/>
        <v>151</v>
      </c>
      <c r="AL335" s="50">
        <f t="shared" ca="1" si="188"/>
        <v>0.34384111912396864</v>
      </c>
      <c r="AM335" s="8">
        <v>1</v>
      </c>
      <c r="AN335" s="49">
        <f t="shared" ca="1" si="206"/>
        <v>132</v>
      </c>
      <c r="AP335" s="50">
        <f t="shared" ca="1" si="189"/>
        <v>0.10782221482325693</v>
      </c>
      <c r="AQ335" s="8">
        <v>1</v>
      </c>
      <c r="AR335" s="49">
        <f t="shared" ca="1" si="207"/>
        <v>146</v>
      </c>
      <c r="AT335" s="50">
        <f t="shared" ca="1" si="190"/>
        <v>0.80916280422046449</v>
      </c>
      <c r="AU335" s="8">
        <v>1</v>
      </c>
      <c r="AV335" s="49">
        <f t="shared" ca="1" si="208"/>
        <v>237</v>
      </c>
      <c r="AX335" s="50">
        <f t="shared" ca="1" si="191"/>
        <v>0.48326193365866787</v>
      </c>
      <c r="AY335" s="8">
        <v>1</v>
      </c>
      <c r="AZ335" s="49">
        <f t="shared" ca="1" si="209"/>
        <v>178</v>
      </c>
      <c r="BB335" s="50">
        <f t="shared" ca="1" si="192"/>
        <v>0.9306407817903497</v>
      </c>
      <c r="BC335" s="8">
        <v>1</v>
      </c>
      <c r="BD335" s="49">
        <f t="shared" ca="1" si="210"/>
        <v>223</v>
      </c>
      <c r="BF335" s="50">
        <f t="shared" ca="1" si="193"/>
        <v>0.67871737667696252</v>
      </c>
      <c r="BG335" s="8">
        <v>1</v>
      </c>
      <c r="BH335" s="49">
        <f t="shared" ca="1" si="211"/>
        <v>185</v>
      </c>
      <c r="BJ335" s="50">
        <f t="shared" ca="1" si="194"/>
        <v>0.38297075341544329</v>
      </c>
      <c r="BK335" s="8">
        <v>1</v>
      </c>
      <c r="BL335" s="49">
        <f t="shared" ca="1" si="212"/>
        <v>121</v>
      </c>
      <c r="BN335" s="50">
        <f t="shared" ca="1" si="195"/>
        <v>0.20003595667096863</v>
      </c>
      <c r="BO335" s="8">
        <v>1</v>
      </c>
      <c r="BP335" s="49">
        <f t="shared" ca="1" si="213"/>
        <v>135</v>
      </c>
      <c r="BR335" s="50">
        <f t="shared" ca="1" si="196"/>
        <v>0.80687858339406027</v>
      </c>
      <c r="BS335" s="8">
        <v>1</v>
      </c>
      <c r="BT335" s="49">
        <f t="shared" ca="1" si="214"/>
        <v>226</v>
      </c>
    </row>
    <row r="336" spans="1:72" x14ac:dyDescent="0.2">
      <c r="A336" s="22">
        <v>44883</v>
      </c>
      <c r="B336" s="50">
        <f t="shared" ca="1" si="179"/>
        <v>0.41416886095090655</v>
      </c>
      <c r="C336" s="8">
        <v>1</v>
      </c>
      <c r="D336" s="49">
        <f t="shared" ca="1" si="197"/>
        <v>96</v>
      </c>
      <c r="F336" s="50">
        <f t="shared" ca="1" si="180"/>
        <v>0.42219540968365199</v>
      </c>
      <c r="G336" s="8">
        <v>1</v>
      </c>
      <c r="H336" s="49">
        <f t="shared" ca="1" si="198"/>
        <v>205</v>
      </c>
      <c r="J336" s="50">
        <f t="shared" ca="1" si="181"/>
        <v>0.56495799749188225</v>
      </c>
      <c r="K336" s="8">
        <v>1</v>
      </c>
      <c r="L336" s="49">
        <f t="shared" ca="1" si="199"/>
        <v>157</v>
      </c>
      <c r="N336" s="50">
        <f t="shared" ca="1" si="182"/>
        <v>0.55012015152239413</v>
      </c>
      <c r="O336" s="8">
        <v>1</v>
      </c>
      <c r="P336" s="49">
        <f t="shared" ca="1" si="200"/>
        <v>238</v>
      </c>
      <c r="R336" s="50">
        <f t="shared" ca="1" si="183"/>
        <v>0.42306851127286005</v>
      </c>
      <c r="S336" s="8">
        <v>1</v>
      </c>
      <c r="T336" s="49">
        <f t="shared" ca="1" si="201"/>
        <v>132</v>
      </c>
      <c r="V336" s="50">
        <f t="shared" ca="1" si="184"/>
        <v>0.76970891043026834</v>
      </c>
      <c r="W336" s="8">
        <v>1</v>
      </c>
      <c r="X336" s="49">
        <f t="shared" ca="1" si="202"/>
        <v>270</v>
      </c>
      <c r="Z336" s="50">
        <f t="shared" ca="1" si="185"/>
        <v>0.51727200122760442</v>
      </c>
      <c r="AA336" s="8">
        <v>1</v>
      </c>
      <c r="AB336" s="49">
        <f t="shared" ca="1" si="203"/>
        <v>274</v>
      </c>
      <c r="AD336" s="50">
        <f t="shared" ca="1" si="186"/>
        <v>0.19741545648884729</v>
      </c>
      <c r="AE336" s="8">
        <v>1</v>
      </c>
      <c r="AF336" s="49">
        <f t="shared" ca="1" si="204"/>
        <v>253</v>
      </c>
      <c r="AH336" s="50">
        <f t="shared" ca="1" si="187"/>
        <v>0.70549291357338084</v>
      </c>
      <c r="AI336" s="8">
        <v>1</v>
      </c>
      <c r="AJ336" s="49">
        <f t="shared" ca="1" si="205"/>
        <v>206</v>
      </c>
      <c r="AL336" s="50">
        <f t="shared" ca="1" si="188"/>
        <v>4.594329511526607E-3</v>
      </c>
      <c r="AM336" s="8">
        <v>1</v>
      </c>
      <c r="AN336" s="49">
        <f t="shared" ca="1" si="206"/>
        <v>45</v>
      </c>
      <c r="AP336" s="50">
        <f t="shared" ca="1" si="189"/>
        <v>0.85097197507029065</v>
      </c>
      <c r="AQ336" s="8">
        <v>1</v>
      </c>
      <c r="AR336" s="49">
        <f t="shared" ca="1" si="207"/>
        <v>277</v>
      </c>
      <c r="AT336" s="50">
        <f t="shared" ca="1" si="190"/>
        <v>0.63378373688243272</v>
      </c>
      <c r="AU336" s="8">
        <v>1</v>
      </c>
      <c r="AV336" s="49">
        <f t="shared" ca="1" si="208"/>
        <v>210</v>
      </c>
      <c r="AX336" s="50">
        <f t="shared" ca="1" si="191"/>
        <v>0.31588177483510282</v>
      </c>
      <c r="AY336" s="8">
        <v>1</v>
      </c>
      <c r="AZ336" s="49">
        <f t="shared" ca="1" si="209"/>
        <v>157</v>
      </c>
      <c r="BB336" s="50">
        <f t="shared" ca="1" si="192"/>
        <v>0.42175367724899004</v>
      </c>
      <c r="BC336" s="8">
        <v>1</v>
      </c>
      <c r="BD336" s="49">
        <f t="shared" ca="1" si="210"/>
        <v>152</v>
      </c>
      <c r="BF336" s="50">
        <f t="shared" ca="1" si="193"/>
        <v>0.48937238411763184</v>
      </c>
      <c r="BG336" s="8">
        <v>1</v>
      </c>
      <c r="BH336" s="49">
        <f t="shared" ca="1" si="211"/>
        <v>164</v>
      </c>
      <c r="BJ336" s="50">
        <f t="shared" ca="1" si="194"/>
        <v>0.61983086722410496</v>
      </c>
      <c r="BK336" s="8">
        <v>1</v>
      </c>
      <c r="BL336" s="49">
        <f t="shared" ca="1" si="212"/>
        <v>142</v>
      </c>
      <c r="BN336" s="50">
        <f t="shared" ca="1" si="195"/>
        <v>0.69161060816401077</v>
      </c>
      <c r="BO336" s="8">
        <v>1</v>
      </c>
      <c r="BP336" s="49">
        <f t="shared" ca="1" si="213"/>
        <v>197</v>
      </c>
      <c r="BR336" s="50">
        <f t="shared" ca="1" si="196"/>
        <v>0.45506832514915119</v>
      </c>
      <c r="BS336" s="8">
        <v>1</v>
      </c>
      <c r="BT336" s="49">
        <f t="shared" ca="1" si="214"/>
        <v>178</v>
      </c>
    </row>
    <row r="337" spans="1:72" x14ac:dyDescent="0.2">
      <c r="A337" s="22">
        <v>44884</v>
      </c>
      <c r="B337" s="50">
        <f t="shared" ca="1" si="179"/>
        <v>0.18105885337566485</v>
      </c>
      <c r="C337" s="8">
        <v>1</v>
      </c>
      <c r="D337" s="49">
        <f t="shared" ca="1" si="197"/>
        <v>82</v>
      </c>
      <c r="F337" s="50">
        <f t="shared" ca="1" si="180"/>
        <v>0.4719053640163049</v>
      </c>
      <c r="G337" s="8">
        <v>1</v>
      </c>
      <c r="H337" s="49">
        <f t="shared" ca="1" si="198"/>
        <v>212</v>
      </c>
      <c r="J337" s="50">
        <f t="shared" ca="1" si="181"/>
        <v>0.21498609484022602</v>
      </c>
      <c r="K337" s="8">
        <v>1</v>
      </c>
      <c r="L337" s="49">
        <f t="shared" ca="1" si="199"/>
        <v>119</v>
      </c>
      <c r="N337" s="50">
        <f t="shared" ca="1" si="182"/>
        <v>0.94858395234235682</v>
      </c>
      <c r="O337" s="8">
        <v>1</v>
      </c>
      <c r="P337" s="49">
        <f t="shared" ca="1" si="200"/>
        <v>330</v>
      </c>
      <c r="R337" s="50">
        <f t="shared" ca="1" si="183"/>
        <v>0.22424360866770832</v>
      </c>
      <c r="S337" s="8">
        <v>1</v>
      </c>
      <c r="T337" s="49">
        <f t="shared" ca="1" si="201"/>
        <v>111</v>
      </c>
      <c r="V337" s="50">
        <f t="shared" ca="1" si="184"/>
        <v>0.50612424348384699</v>
      </c>
      <c r="W337" s="8">
        <v>1</v>
      </c>
      <c r="X337" s="49">
        <f t="shared" ca="1" si="202"/>
        <v>226</v>
      </c>
      <c r="Z337" s="50">
        <f t="shared" ca="1" si="185"/>
        <v>0.28647673753562042</v>
      </c>
      <c r="AA337" s="8">
        <v>1</v>
      </c>
      <c r="AB337" s="49">
        <f t="shared" ca="1" si="203"/>
        <v>230</v>
      </c>
      <c r="AD337" s="50">
        <f t="shared" ca="1" si="186"/>
        <v>0.84112083312879549</v>
      </c>
      <c r="AE337" s="8">
        <v>1</v>
      </c>
      <c r="AF337" s="49">
        <f t="shared" ca="1" si="204"/>
        <v>415</v>
      </c>
      <c r="AH337" s="50">
        <f t="shared" ca="1" si="187"/>
        <v>0.14685464174260787</v>
      </c>
      <c r="AI337" s="8">
        <v>1</v>
      </c>
      <c r="AJ337" s="49">
        <f t="shared" ca="1" si="205"/>
        <v>130</v>
      </c>
      <c r="AL337" s="50">
        <f t="shared" ca="1" si="188"/>
        <v>0.28467983494134308</v>
      </c>
      <c r="AM337" s="8">
        <v>1</v>
      </c>
      <c r="AN337" s="49">
        <f t="shared" ca="1" si="206"/>
        <v>125</v>
      </c>
      <c r="AP337" s="50">
        <f t="shared" ca="1" si="189"/>
        <v>0.69735165389723275</v>
      </c>
      <c r="AQ337" s="8">
        <v>1</v>
      </c>
      <c r="AR337" s="49">
        <f t="shared" ca="1" si="207"/>
        <v>247</v>
      </c>
      <c r="AT337" s="50">
        <f t="shared" ca="1" si="190"/>
        <v>5.5067666930034287E-2</v>
      </c>
      <c r="AU337" s="8">
        <v>1</v>
      </c>
      <c r="AV337" s="49">
        <f t="shared" ca="1" si="208"/>
        <v>111</v>
      </c>
      <c r="AX337" s="50">
        <f t="shared" ca="1" si="191"/>
        <v>0.18670559755803851</v>
      </c>
      <c r="AY337" s="8">
        <v>1</v>
      </c>
      <c r="AZ337" s="49">
        <f t="shared" ca="1" si="209"/>
        <v>138</v>
      </c>
      <c r="BB337" s="50">
        <f t="shared" ca="1" si="192"/>
        <v>0.1978894710272453</v>
      </c>
      <c r="BC337" s="8">
        <v>1</v>
      </c>
      <c r="BD337" s="49">
        <f t="shared" ca="1" si="210"/>
        <v>124</v>
      </c>
      <c r="BF337" s="50">
        <f t="shared" ca="1" si="193"/>
        <v>0.48695648196746277</v>
      </c>
      <c r="BG337" s="8">
        <v>1</v>
      </c>
      <c r="BH337" s="49">
        <f t="shared" ca="1" si="211"/>
        <v>164</v>
      </c>
      <c r="BJ337" s="50">
        <f t="shared" ca="1" si="194"/>
        <v>0.14052752320188311</v>
      </c>
      <c r="BK337" s="8">
        <v>1</v>
      </c>
      <c r="BL337" s="49">
        <f t="shared" ca="1" si="212"/>
        <v>94</v>
      </c>
      <c r="BN337" s="50">
        <f t="shared" ca="1" si="195"/>
        <v>0.50197798057467391</v>
      </c>
      <c r="BO337" s="8">
        <v>1</v>
      </c>
      <c r="BP337" s="49">
        <f t="shared" ca="1" si="213"/>
        <v>174</v>
      </c>
      <c r="BR337" s="50">
        <f t="shared" ca="1" si="196"/>
        <v>0.49195169061716104</v>
      </c>
      <c r="BS337" s="8">
        <v>1</v>
      </c>
      <c r="BT337" s="49">
        <f t="shared" ca="1" si="214"/>
        <v>183</v>
      </c>
    </row>
    <row r="338" spans="1:72" x14ac:dyDescent="0.2">
      <c r="A338" s="22">
        <v>44885</v>
      </c>
      <c r="B338" s="50">
        <f t="shared" ca="1" si="179"/>
        <v>0.46646483243432457</v>
      </c>
      <c r="C338" s="8">
        <v>1</v>
      </c>
      <c r="D338" s="49">
        <f t="shared" ca="1" si="197"/>
        <v>99</v>
      </c>
      <c r="F338" s="50">
        <f t="shared" ca="1" si="180"/>
        <v>0.9161254662117021</v>
      </c>
      <c r="G338" s="8">
        <v>1</v>
      </c>
      <c r="H338" s="49">
        <f t="shared" ca="1" si="198"/>
        <v>295</v>
      </c>
      <c r="J338" s="50">
        <f t="shared" ca="1" si="181"/>
        <v>0.51652980805921234</v>
      </c>
      <c r="K338" s="8">
        <v>1</v>
      </c>
      <c r="L338" s="49">
        <f t="shared" ca="1" si="199"/>
        <v>152</v>
      </c>
      <c r="N338" s="50">
        <f t="shared" ca="1" si="182"/>
        <v>0.95878665869541146</v>
      </c>
      <c r="O338" s="8">
        <v>1</v>
      </c>
      <c r="P338" s="49">
        <f t="shared" ca="1" si="200"/>
        <v>336</v>
      </c>
      <c r="R338" s="50">
        <f t="shared" ca="1" si="183"/>
        <v>0.44462735601441294</v>
      </c>
      <c r="S338" s="8">
        <v>1</v>
      </c>
      <c r="T338" s="49">
        <f t="shared" ca="1" si="201"/>
        <v>134</v>
      </c>
      <c r="V338" s="50">
        <f t="shared" ca="1" si="184"/>
        <v>0.54715430463133308</v>
      </c>
      <c r="W338" s="8">
        <v>1</v>
      </c>
      <c r="X338" s="49">
        <f t="shared" ca="1" si="202"/>
        <v>233</v>
      </c>
      <c r="Z338" s="50">
        <f t="shared" ca="1" si="185"/>
        <v>0.42191505101404048</v>
      </c>
      <c r="AA338" s="8">
        <v>1</v>
      </c>
      <c r="AB338" s="49">
        <f t="shared" ca="1" si="203"/>
        <v>256</v>
      </c>
      <c r="AD338" s="50">
        <f t="shared" ca="1" si="186"/>
        <v>7.0505524217755133E-2</v>
      </c>
      <c r="AE338" s="8">
        <v>1</v>
      </c>
      <c r="AF338" s="49">
        <f t="shared" ca="1" si="204"/>
        <v>199</v>
      </c>
      <c r="AH338" s="50">
        <f t="shared" ca="1" si="187"/>
        <v>0.38416029813928909</v>
      </c>
      <c r="AI338" s="8">
        <v>1</v>
      </c>
      <c r="AJ338" s="49">
        <f t="shared" ca="1" si="205"/>
        <v>166</v>
      </c>
      <c r="AL338" s="50">
        <f t="shared" ca="1" si="188"/>
        <v>0.65473226734047107</v>
      </c>
      <c r="AM338" s="8">
        <v>1</v>
      </c>
      <c r="AN338" s="49">
        <f t="shared" ca="1" si="206"/>
        <v>163</v>
      </c>
      <c r="AP338" s="50">
        <f t="shared" ca="1" si="189"/>
        <v>0.60821804543937208</v>
      </c>
      <c r="AQ338" s="8">
        <v>1</v>
      </c>
      <c r="AR338" s="49">
        <f t="shared" ca="1" si="207"/>
        <v>233</v>
      </c>
      <c r="AT338" s="50">
        <f t="shared" ca="1" si="190"/>
        <v>3.4564211948349577E-2</v>
      </c>
      <c r="AU338" s="8">
        <v>1</v>
      </c>
      <c r="AV338" s="49">
        <f t="shared" ca="1" si="208"/>
        <v>99</v>
      </c>
      <c r="AX338" s="50">
        <f t="shared" ca="1" si="191"/>
        <v>0.12570099020887193</v>
      </c>
      <c r="AY338" s="8">
        <v>1</v>
      </c>
      <c r="AZ338" s="49">
        <f t="shared" ca="1" si="209"/>
        <v>125</v>
      </c>
      <c r="BB338" s="50">
        <f t="shared" ca="1" si="192"/>
        <v>0.44533990184693006</v>
      </c>
      <c r="BC338" s="8">
        <v>1</v>
      </c>
      <c r="BD338" s="49">
        <f t="shared" ca="1" si="210"/>
        <v>154</v>
      </c>
      <c r="BF338" s="50">
        <f t="shared" ca="1" si="193"/>
        <v>0.90025004307068401</v>
      </c>
      <c r="BG338" s="8">
        <v>1</v>
      </c>
      <c r="BH338" s="49">
        <f t="shared" ca="1" si="211"/>
        <v>221</v>
      </c>
      <c r="BJ338" s="50">
        <f t="shared" ca="1" si="194"/>
        <v>0.90724916912561004</v>
      </c>
      <c r="BK338" s="8">
        <v>1</v>
      </c>
      <c r="BL338" s="49">
        <f t="shared" ca="1" si="212"/>
        <v>178</v>
      </c>
      <c r="BN338" s="50">
        <f t="shared" ca="1" si="195"/>
        <v>0.3377909162201902</v>
      </c>
      <c r="BO338" s="8">
        <v>1</v>
      </c>
      <c r="BP338" s="49">
        <f t="shared" ca="1" si="213"/>
        <v>155</v>
      </c>
      <c r="BR338" s="50">
        <f t="shared" ca="1" si="196"/>
        <v>0.20630897830989892</v>
      </c>
      <c r="BS338" s="8">
        <v>1</v>
      </c>
      <c r="BT338" s="49">
        <f t="shared" ca="1" si="214"/>
        <v>144</v>
      </c>
    </row>
    <row r="339" spans="1:72" x14ac:dyDescent="0.2">
      <c r="A339" s="22">
        <v>44886</v>
      </c>
      <c r="B339" s="50">
        <f t="shared" ca="1" si="179"/>
        <v>0.73719807035507889</v>
      </c>
      <c r="C339" s="8">
        <v>1</v>
      </c>
      <c r="D339" s="49">
        <f t="shared" ca="1" si="197"/>
        <v>113</v>
      </c>
      <c r="F339" s="50">
        <f t="shared" ca="1" si="180"/>
        <v>0.33595064627421134</v>
      </c>
      <c r="G339" s="8">
        <v>1</v>
      </c>
      <c r="H339" s="49">
        <f t="shared" ca="1" si="198"/>
        <v>192</v>
      </c>
      <c r="J339" s="50">
        <f t="shared" ca="1" si="181"/>
        <v>0.93713192568686399</v>
      </c>
      <c r="K339" s="8">
        <v>1</v>
      </c>
      <c r="L339" s="49">
        <f t="shared" ca="1" si="199"/>
        <v>212</v>
      </c>
      <c r="N339" s="50">
        <f t="shared" ca="1" si="182"/>
        <v>0.62024980510780336</v>
      </c>
      <c r="O339" s="8">
        <v>1</v>
      </c>
      <c r="P339" s="49">
        <f t="shared" ca="1" si="200"/>
        <v>249</v>
      </c>
      <c r="R339" s="50">
        <f t="shared" ca="1" si="183"/>
        <v>0.21173630524334297</v>
      </c>
      <c r="S339" s="8">
        <v>1</v>
      </c>
      <c r="T339" s="49">
        <f t="shared" ca="1" si="201"/>
        <v>110</v>
      </c>
      <c r="V339" s="50">
        <f t="shared" ca="1" si="184"/>
        <v>0.19851367492793082</v>
      </c>
      <c r="W339" s="8">
        <v>1</v>
      </c>
      <c r="X339" s="49">
        <f t="shared" ca="1" si="202"/>
        <v>175</v>
      </c>
      <c r="Z339" s="50">
        <f t="shared" ca="1" si="185"/>
        <v>0.85889179396792492</v>
      </c>
      <c r="AA339" s="8">
        <v>1</v>
      </c>
      <c r="AB339" s="49">
        <f t="shared" ca="1" si="203"/>
        <v>348</v>
      </c>
      <c r="AD339" s="50">
        <f t="shared" ca="1" si="186"/>
        <v>0.38770971136394983</v>
      </c>
      <c r="AE339" s="8">
        <v>1</v>
      </c>
      <c r="AF339" s="49">
        <f t="shared" ca="1" si="204"/>
        <v>303</v>
      </c>
      <c r="AH339" s="50">
        <f t="shared" ca="1" si="187"/>
        <v>0.42487495193363767</v>
      </c>
      <c r="AI339" s="8">
        <v>1</v>
      </c>
      <c r="AJ339" s="49">
        <f t="shared" ca="1" si="205"/>
        <v>171</v>
      </c>
      <c r="AL339" s="50">
        <f t="shared" ca="1" si="188"/>
        <v>0.20451766019207529</v>
      </c>
      <c r="AM339" s="8">
        <v>1</v>
      </c>
      <c r="AN339" s="49">
        <f t="shared" ca="1" si="206"/>
        <v>115</v>
      </c>
      <c r="AP339" s="50">
        <f t="shared" ca="1" si="189"/>
        <v>0.92326003186328198</v>
      </c>
      <c r="AQ339" s="8">
        <v>1</v>
      </c>
      <c r="AR339" s="49">
        <f t="shared" ca="1" si="207"/>
        <v>300</v>
      </c>
      <c r="AT339" s="50">
        <f t="shared" ca="1" si="190"/>
        <v>0.35272333246202359</v>
      </c>
      <c r="AU339" s="8">
        <v>1</v>
      </c>
      <c r="AV339" s="49">
        <f t="shared" ca="1" si="208"/>
        <v>173</v>
      </c>
      <c r="AX339" s="50">
        <f t="shared" ca="1" si="191"/>
        <v>0.38035588344168425</v>
      </c>
      <c r="AY339" s="8">
        <v>1</v>
      </c>
      <c r="AZ339" s="49">
        <f t="shared" ca="1" si="209"/>
        <v>166</v>
      </c>
      <c r="BB339" s="50">
        <f t="shared" ca="1" si="192"/>
        <v>0.22694078874447876</v>
      </c>
      <c r="BC339" s="8">
        <v>1</v>
      </c>
      <c r="BD339" s="49">
        <f t="shared" ca="1" si="210"/>
        <v>128</v>
      </c>
      <c r="BF339" s="50">
        <f t="shared" ca="1" si="193"/>
        <v>0.35616114301585544</v>
      </c>
      <c r="BG339" s="8">
        <v>1</v>
      </c>
      <c r="BH339" s="49">
        <f t="shared" ca="1" si="211"/>
        <v>149</v>
      </c>
      <c r="BJ339" s="50">
        <f t="shared" ca="1" si="194"/>
        <v>0.45239141870358635</v>
      </c>
      <c r="BK339" s="8">
        <v>1</v>
      </c>
      <c r="BL339" s="49">
        <f t="shared" ca="1" si="212"/>
        <v>127</v>
      </c>
      <c r="BN339" s="50">
        <f t="shared" ca="1" si="195"/>
        <v>0.5950082977944452</v>
      </c>
      <c r="BO339" s="8">
        <v>1</v>
      </c>
      <c r="BP339" s="49">
        <f t="shared" ca="1" si="213"/>
        <v>185</v>
      </c>
      <c r="BR339" s="50">
        <f t="shared" ca="1" si="196"/>
        <v>0.63373662172161571</v>
      </c>
      <c r="BS339" s="8">
        <v>1</v>
      </c>
      <c r="BT339" s="49">
        <f t="shared" ca="1" si="214"/>
        <v>201</v>
      </c>
    </row>
    <row r="340" spans="1:72" x14ac:dyDescent="0.2">
      <c r="A340" s="22">
        <v>44887</v>
      </c>
      <c r="B340" s="50">
        <f t="shared" ca="1" si="179"/>
        <v>0.49650996131359737</v>
      </c>
      <c r="C340" s="8">
        <v>1</v>
      </c>
      <c r="D340" s="49">
        <f t="shared" ca="1" si="197"/>
        <v>100</v>
      </c>
      <c r="F340" s="50">
        <f t="shared" ca="1" si="180"/>
        <v>0.71698886553289598</v>
      </c>
      <c r="G340" s="8">
        <v>1</v>
      </c>
      <c r="H340" s="49">
        <f t="shared" ca="1" si="198"/>
        <v>249</v>
      </c>
      <c r="J340" s="50">
        <f t="shared" ca="1" si="181"/>
        <v>0.77358385925612727</v>
      </c>
      <c r="K340" s="8">
        <v>1</v>
      </c>
      <c r="L340" s="49">
        <f t="shared" ca="1" si="199"/>
        <v>181</v>
      </c>
      <c r="N340" s="50">
        <f t="shared" ca="1" si="182"/>
        <v>0.39545755899132662</v>
      </c>
      <c r="O340" s="8">
        <v>1</v>
      </c>
      <c r="P340" s="49">
        <f t="shared" ca="1" si="200"/>
        <v>214</v>
      </c>
      <c r="R340" s="50">
        <f t="shared" ca="1" si="183"/>
        <v>0.45735396061163036</v>
      </c>
      <c r="S340" s="8">
        <v>1</v>
      </c>
      <c r="T340" s="49">
        <f t="shared" ca="1" si="201"/>
        <v>135</v>
      </c>
      <c r="V340" s="50">
        <f t="shared" ca="1" si="184"/>
        <v>2.5092824829683891E-2</v>
      </c>
      <c r="W340" s="8">
        <v>1</v>
      </c>
      <c r="X340" s="49">
        <f t="shared" ca="1" si="202"/>
        <v>108</v>
      </c>
      <c r="Z340" s="50">
        <f t="shared" ca="1" si="185"/>
        <v>0.73725173882574235</v>
      </c>
      <c r="AA340" s="8">
        <v>1</v>
      </c>
      <c r="AB340" s="49">
        <f t="shared" ca="1" si="203"/>
        <v>316</v>
      </c>
      <c r="AD340" s="50">
        <f t="shared" ca="1" si="186"/>
        <v>8.6005533975908266E-2</v>
      </c>
      <c r="AE340" s="8">
        <v>1</v>
      </c>
      <c r="AF340" s="49">
        <f t="shared" ca="1" si="204"/>
        <v>208</v>
      </c>
      <c r="AH340" s="50">
        <f t="shared" ca="1" si="187"/>
        <v>0.7969914573792326</v>
      </c>
      <c r="AI340" s="8">
        <v>1</v>
      </c>
      <c r="AJ340" s="49">
        <f t="shared" ca="1" si="205"/>
        <v>220</v>
      </c>
      <c r="AL340" s="50">
        <f t="shared" ca="1" si="188"/>
        <v>0.96435096728854364</v>
      </c>
      <c r="AM340" s="8">
        <v>1</v>
      </c>
      <c r="AN340" s="49">
        <f t="shared" ca="1" si="206"/>
        <v>218</v>
      </c>
      <c r="AP340" s="50">
        <f t="shared" ca="1" si="189"/>
        <v>3.3947439647010746E-2</v>
      </c>
      <c r="AQ340" s="8">
        <v>1</v>
      </c>
      <c r="AR340" s="49">
        <f t="shared" ca="1" si="207"/>
        <v>112</v>
      </c>
      <c r="AT340" s="50">
        <f t="shared" ca="1" si="190"/>
        <v>0.85607484168388948</v>
      </c>
      <c r="AU340" s="8">
        <v>1</v>
      </c>
      <c r="AV340" s="49">
        <f t="shared" ca="1" si="208"/>
        <v>247</v>
      </c>
      <c r="AX340" s="50">
        <f t="shared" ca="1" si="191"/>
        <v>0.87284968816441655</v>
      </c>
      <c r="AY340" s="8">
        <v>1</v>
      </c>
      <c r="AZ340" s="49">
        <f t="shared" ca="1" si="209"/>
        <v>235</v>
      </c>
      <c r="BB340" s="50">
        <f t="shared" ca="1" si="192"/>
        <v>0.72395202202809472</v>
      </c>
      <c r="BC340" s="8">
        <v>1</v>
      </c>
      <c r="BD340" s="49">
        <f t="shared" ca="1" si="210"/>
        <v>185</v>
      </c>
      <c r="BF340" s="50">
        <f t="shared" ca="1" si="193"/>
        <v>0.89032806979854884</v>
      </c>
      <c r="BG340" s="8">
        <v>1</v>
      </c>
      <c r="BH340" s="49">
        <f t="shared" ca="1" si="211"/>
        <v>219</v>
      </c>
      <c r="BJ340" s="50">
        <f t="shared" ca="1" si="194"/>
        <v>0.11487933902405456</v>
      </c>
      <c r="BK340" s="8">
        <v>1</v>
      </c>
      <c r="BL340" s="49">
        <f t="shared" ca="1" si="212"/>
        <v>90</v>
      </c>
      <c r="BN340" s="50">
        <f t="shared" ca="1" si="195"/>
        <v>0.35902090757072724</v>
      </c>
      <c r="BO340" s="8">
        <v>1</v>
      </c>
      <c r="BP340" s="49">
        <f t="shared" ca="1" si="213"/>
        <v>157</v>
      </c>
      <c r="BR340" s="50">
        <f t="shared" ca="1" si="196"/>
        <v>0.25317263448712135</v>
      </c>
      <c r="BS340" s="8">
        <v>1</v>
      </c>
      <c r="BT340" s="49">
        <f t="shared" ca="1" si="214"/>
        <v>151</v>
      </c>
    </row>
    <row r="341" spans="1:72" x14ac:dyDescent="0.2">
      <c r="A341" s="22">
        <v>44888</v>
      </c>
      <c r="B341" s="50">
        <f t="shared" ca="1" si="179"/>
        <v>0.64604461517826306</v>
      </c>
      <c r="C341" s="8">
        <v>1</v>
      </c>
      <c r="D341" s="49">
        <f t="shared" ca="1" si="197"/>
        <v>108</v>
      </c>
      <c r="F341" s="50">
        <f t="shared" ca="1" si="180"/>
        <v>0.60563164076696052</v>
      </c>
      <c r="G341" s="8">
        <v>1</v>
      </c>
      <c r="H341" s="49">
        <f t="shared" ca="1" si="198"/>
        <v>231</v>
      </c>
      <c r="J341" s="50">
        <f t="shared" ca="1" si="181"/>
        <v>0.47004966248655944</v>
      </c>
      <c r="K341" s="8">
        <v>1</v>
      </c>
      <c r="L341" s="49">
        <f t="shared" ca="1" si="199"/>
        <v>147</v>
      </c>
      <c r="N341" s="50">
        <f t="shared" ca="1" si="182"/>
        <v>0.94947330730351853</v>
      </c>
      <c r="O341" s="8">
        <v>1</v>
      </c>
      <c r="P341" s="49">
        <f t="shared" ca="1" si="200"/>
        <v>330</v>
      </c>
      <c r="R341" s="50">
        <f t="shared" ca="1" si="183"/>
        <v>2.3842755535112281E-2</v>
      </c>
      <c r="S341" s="8">
        <v>1</v>
      </c>
      <c r="T341" s="49">
        <f t="shared" ca="1" si="201"/>
        <v>66</v>
      </c>
      <c r="V341" s="50">
        <f t="shared" ca="1" si="184"/>
        <v>0.10797356246565926</v>
      </c>
      <c r="W341" s="8">
        <v>1</v>
      </c>
      <c r="X341" s="49">
        <f t="shared" ca="1" si="202"/>
        <v>151</v>
      </c>
      <c r="Z341" s="50">
        <f t="shared" ca="1" si="185"/>
        <v>0.59172532104267139</v>
      </c>
      <c r="AA341" s="8">
        <v>1</v>
      </c>
      <c r="AB341" s="49">
        <f t="shared" ca="1" si="203"/>
        <v>287</v>
      </c>
      <c r="AD341" s="50">
        <f t="shared" ca="1" si="186"/>
        <v>0.12310705834786495</v>
      </c>
      <c r="AE341" s="8">
        <v>1</v>
      </c>
      <c r="AF341" s="49">
        <f t="shared" ca="1" si="204"/>
        <v>226</v>
      </c>
      <c r="AH341" s="50">
        <f t="shared" ca="1" si="187"/>
        <v>0.31224300380226933</v>
      </c>
      <c r="AI341" s="8">
        <v>1</v>
      </c>
      <c r="AJ341" s="49">
        <f t="shared" ca="1" si="205"/>
        <v>157</v>
      </c>
      <c r="AL341" s="50">
        <f t="shared" ca="1" si="188"/>
        <v>9.4454643350339706E-2</v>
      </c>
      <c r="AM341" s="8">
        <v>1</v>
      </c>
      <c r="AN341" s="49">
        <f t="shared" ca="1" si="206"/>
        <v>96</v>
      </c>
      <c r="AP341" s="50">
        <f t="shared" ca="1" si="189"/>
        <v>0.43239375774550004</v>
      </c>
      <c r="AQ341" s="8">
        <v>1</v>
      </c>
      <c r="AR341" s="49">
        <f t="shared" ca="1" si="207"/>
        <v>207</v>
      </c>
      <c r="AT341" s="50">
        <f t="shared" ca="1" si="190"/>
        <v>0.39975183202637665</v>
      </c>
      <c r="AU341" s="8">
        <v>1</v>
      </c>
      <c r="AV341" s="49">
        <f t="shared" ca="1" si="208"/>
        <v>179</v>
      </c>
      <c r="AX341" s="50">
        <f t="shared" ca="1" si="191"/>
        <v>0.52524778720959941</v>
      </c>
      <c r="AY341" s="8">
        <v>1</v>
      </c>
      <c r="AZ341" s="49">
        <f t="shared" ca="1" si="209"/>
        <v>183</v>
      </c>
      <c r="BB341" s="50">
        <f t="shared" ca="1" si="192"/>
        <v>0.75932069222113707</v>
      </c>
      <c r="BC341" s="8">
        <v>1</v>
      </c>
      <c r="BD341" s="49">
        <f t="shared" ca="1" si="210"/>
        <v>190</v>
      </c>
      <c r="BF341" s="50">
        <f t="shared" ca="1" si="193"/>
        <v>9.8335498216274964E-2</v>
      </c>
      <c r="BG341" s="8">
        <v>1</v>
      </c>
      <c r="BH341" s="49">
        <f t="shared" ca="1" si="211"/>
        <v>108</v>
      </c>
      <c r="BJ341" s="50">
        <f t="shared" ca="1" si="194"/>
        <v>0.73372356751125978</v>
      </c>
      <c r="BK341" s="8">
        <v>1</v>
      </c>
      <c r="BL341" s="49">
        <f t="shared" ca="1" si="212"/>
        <v>153</v>
      </c>
      <c r="BN341" s="50">
        <f t="shared" ca="1" si="195"/>
        <v>0.99520554177338527</v>
      </c>
      <c r="BO341" s="8">
        <v>1</v>
      </c>
      <c r="BP341" s="49">
        <f t="shared" ca="1" si="213"/>
        <v>294</v>
      </c>
      <c r="BR341" s="50">
        <f t="shared" ca="1" si="196"/>
        <v>0.49081410617091636</v>
      </c>
      <c r="BS341" s="8">
        <v>1</v>
      </c>
      <c r="BT341" s="49">
        <f t="shared" ca="1" si="214"/>
        <v>183</v>
      </c>
    </row>
    <row r="342" spans="1:72" x14ac:dyDescent="0.2">
      <c r="A342" s="22">
        <v>44889</v>
      </c>
      <c r="B342" s="50">
        <f t="shared" ca="1" si="179"/>
        <v>0.87178503466888901</v>
      </c>
      <c r="C342" s="8">
        <v>1</v>
      </c>
      <c r="D342" s="49">
        <f t="shared" ca="1" si="197"/>
        <v>123</v>
      </c>
      <c r="F342" s="50">
        <f t="shared" ca="1" si="180"/>
        <v>0.73672671302779158</v>
      </c>
      <c r="G342" s="8">
        <v>1</v>
      </c>
      <c r="H342" s="49">
        <f t="shared" ca="1" si="198"/>
        <v>252</v>
      </c>
      <c r="J342" s="50">
        <f t="shared" ca="1" si="181"/>
        <v>0.33574402215562771</v>
      </c>
      <c r="K342" s="8">
        <v>1</v>
      </c>
      <c r="L342" s="49">
        <f t="shared" ca="1" si="199"/>
        <v>134</v>
      </c>
      <c r="N342" s="50">
        <f t="shared" ca="1" si="182"/>
        <v>0.77407393751866516</v>
      </c>
      <c r="O342" s="8">
        <v>1</v>
      </c>
      <c r="P342" s="49">
        <f t="shared" ca="1" si="200"/>
        <v>276</v>
      </c>
      <c r="R342" s="50">
        <f t="shared" ca="1" si="183"/>
        <v>0.97376096200155238</v>
      </c>
      <c r="S342" s="8">
        <v>1</v>
      </c>
      <c r="T342" s="49">
        <f t="shared" ca="1" si="201"/>
        <v>211</v>
      </c>
      <c r="V342" s="50">
        <f t="shared" ca="1" si="184"/>
        <v>0.52237162176499219</v>
      </c>
      <c r="W342" s="8">
        <v>1</v>
      </c>
      <c r="X342" s="49">
        <f t="shared" ca="1" si="202"/>
        <v>229</v>
      </c>
      <c r="Z342" s="50">
        <f t="shared" ca="1" si="185"/>
        <v>0.46736321577641904</v>
      </c>
      <c r="AA342" s="8">
        <v>1</v>
      </c>
      <c r="AB342" s="49">
        <f t="shared" ca="1" si="203"/>
        <v>265</v>
      </c>
      <c r="AD342" s="50">
        <f t="shared" ca="1" si="186"/>
        <v>0.20338807671710413</v>
      </c>
      <c r="AE342" s="8">
        <v>1</v>
      </c>
      <c r="AF342" s="49">
        <f t="shared" ca="1" si="204"/>
        <v>255</v>
      </c>
      <c r="AH342" s="50">
        <f t="shared" ca="1" si="187"/>
        <v>0.89250194085186174</v>
      </c>
      <c r="AI342" s="8">
        <v>1</v>
      </c>
      <c r="AJ342" s="49">
        <f t="shared" ca="1" si="205"/>
        <v>240</v>
      </c>
      <c r="AL342" s="50">
        <f t="shared" ca="1" si="188"/>
        <v>0.40478385827893404</v>
      </c>
      <c r="AM342" s="8">
        <v>1</v>
      </c>
      <c r="AN342" s="49">
        <f t="shared" ca="1" si="206"/>
        <v>138</v>
      </c>
      <c r="AP342" s="50">
        <f t="shared" ca="1" si="189"/>
        <v>7.2061479716598265E-2</v>
      </c>
      <c r="AQ342" s="8">
        <v>1</v>
      </c>
      <c r="AR342" s="49">
        <f t="shared" ca="1" si="207"/>
        <v>133</v>
      </c>
      <c r="AT342" s="50">
        <f t="shared" ca="1" si="190"/>
        <v>3.9802741844806588E-3</v>
      </c>
      <c r="AU342" s="8">
        <v>1</v>
      </c>
      <c r="AV342" s="49">
        <f t="shared" ca="1" si="208"/>
        <v>57</v>
      </c>
      <c r="AX342" s="50">
        <f t="shared" ca="1" si="191"/>
        <v>0.43790052179020245</v>
      </c>
      <c r="AY342" s="8">
        <v>1</v>
      </c>
      <c r="AZ342" s="49">
        <f t="shared" ca="1" si="209"/>
        <v>173</v>
      </c>
      <c r="BB342" s="50">
        <f t="shared" ca="1" si="192"/>
        <v>0.79006953208526476</v>
      </c>
      <c r="BC342" s="8">
        <v>1</v>
      </c>
      <c r="BD342" s="49">
        <f t="shared" ca="1" si="210"/>
        <v>194</v>
      </c>
      <c r="BF342" s="50">
        <f t="shared" ca="1" si="193"/>
        <v>0.53817929375353146</v>
      </c>
      <c r="BG342" s="8">
        <v>1</v>
      </c>
      <c r="BH342" s="49">
        <f t="shared" ca="1" si="211"/>
        <v>169</v>
      </c>
      <c r="BJ342" s="50">
        <f t="shared" ca="1" si="194"/>
        <v>0.42915118539315333</v>
      </c>
      <c r="BK342" s="8">
        <v>1</v>
      </c>
      <c r="BL342" s="49">
        <f t="shared" ca="1" si="212"/>
        <v>125</v>
      </c>
      <c r="BN342" s="50">
        <f t="shared" ca="1" si="195"/>
        <v>0.73569337086766262</v>
      </c>
      <c r="BO342" s="8">
        <v>1</v>
      </c>
      <c r="BP342" s="49">
        <f t="shared" ca="1" si="213"/>
        <v>203</v>
      </c>
      <c r="BR342" s="50">
        <f t="shared" ca="1" si="196"/>
        <v>0.99586325965370703</v>
      </c>
      <c r="BS342" s="8">
        <v>1</v>
      </c>
      <c r="BT342" s="49">
        <f t="shared" ca="1" si="214"/>
        <v>313</v>
      </c>
    </row>
    <row r="343" spans="1:72" x14ac:dyDescent="0.2">
      <c r="A343" s="22">
        <v>44890</v>
      </c>
      <c r="B343" s="50">
        <f t="shared" ca="1" si="179"/>
        <v>0.43797388232397194</v>
      </c>
      <c r="C343" s="8">
        <v>1</v>
      </c>
      <c r="D343" s="49">
        <f t="shared" ca="1" si="197"/>
        <v>97</v>
      </c>
      <c r="F343" s="50">
        <f t="shared" ca="1" si="180"/>
        <v>0.72618124460468647</v>
      </c>
      <c r="G343" s="8">
        <v>1</v>
      </c>
      <c r="H343" s="49">
        <f t="shared" ca="1" si="198"/>
        <v>250</v>
      </c>
      <c r="J343" s="50">
        <f t="shared" ca="1" si="181"/>
        <v>0.47022226457062621</v>
      </c>
      <c r="K343" s="8">
        <v>1</v>
      </c>
      <c r="L343" s="49">
        <f t="shared" ca="1" si="199"/>
        <v>148</v>
      </c>
      <c r="N343" s="50">
        <f t="shared" ca="1" si="182"/>
        <v>0.36446541210647088</v>
      </c>
      <c r="O343" s="8">
        <v>1</v>
      </c>
      <c r="P343" s="49">
        <f t="shared" ca="1" si="200"/>
        <v>209</v>
      </c>
      <c r="R343" s="50">
        <f t="shared" ca="1" si="183"/>
        <v>0.62982540064066983</v>
      </c>
      <c r="S343" s="8">
        <v>1</v>
      </c>
      <c r="T343" s="49">
        <f t="shared" ca="1" si="201"/>
        <v>152</v>
      </c>
      <c r="V343" s="50">
        <f t="shared" ca="1" si="184"/>
        <v>0.12898489397612223</v>
      </c>
      <c r="W343" s="8">
        <v>1</v>
      </c>
      <c r="X343" s="49">
        <f t="shared" ca="1" si="202"/>
        <v>158</v>
      </c>
      <c r="Z343" s="50">
        <f t="shared" ca="1" si="185"/>
        <v>0.93423386516094031</v>
      </c>
      <c r="AA343" s="8">
        <v>1</v>
      </c>
      <c r="AB343" s="49">
        <f t="shared" ca="1" si="203"/>
        <v>379</v>
      </c>
      <c r="AD343" s="50">
        <f t="shared" ca="1" si="186"/>
        <v>0.38544249349511106</v>
      </c>
      <c r="AE343" s="8">
        <v>1</v>
      </c>
      <c r="AF343" s="49">
        <f t="shared" ca="1" si="204"/>
        <v>302</v>
      </c>
      <c r="AH343" s="50">
        <f t="shared" ca="1" si="187"/>
        <v>0.21086249458045536</v>
      </c>
      <c r="AI343" s="8">
        <v>1</v>
      </c>
      <c r="AJ343" s="49">
        <f t="shared" ca="1" si="205"/>
        <v>142</v>
      </c>
      <c r="AL343" s="50">
        <f t="shared" ca="1" si="188"/>
        <v>0.87615286361558198</v>
      </c>
      <c r="AM343" s="8">
        <v>1</v>
      </c>
      <c r="AN343" s="49">
        <f t="shared" ca="1" si="206"/>
        <v>193</v>
      </c>
      <c r="AP343" s="50">
        <f t="shared" ca="1" si="189"/>
        <v>0.69015521058441875</v>
      </c>
      <c r="AQ343" s="8">
        <v>1</v>
      </c>
      <c r="AR343" s="49">
        <f t="shared" ca="1" si="207"/>
        <v>246</v>
      </c>
      <c r="AT343" s="50">
        <f t="shared" ca="1" si="190"/>
        <v>0.90107450670389844</v>
      </c>
      <c r="AU343" s="8">
        <v>1</v>
      </c>
      <c r="AV343" s="49">
        <f t="shared" ca="1" si="208"/>
        <v>258</v>
      </c>
      <c r="AX343" s="50">
        <f t="shared" ca="1" si="191"/>
        <v>0.26664501775230909</v>
      </c>
      <c r="AY343" s="8">
        <v>1</v>
      </c>
      <c r="AZ343" s="49">
        <f t="shared" ca="1" si="209"/>
        <v>150</v>
      </c>
      <c r="BB343" s="50">
        <f t="shared" ca="1" si="192"/>
        <v>0.79881783143494656</v>
      </c>
      <c r="BC343" s="8">
        <v>1</v>
      </c>
      <c r="BD343" s="49">
        <f t="shared" ca="1" si="210"/>
        <v>196</v>
      </c>
      <c r="BF343" s="50">
        <f t="shared" ca="1" si="193"/>
        <v>0.29615695344004733</v>
      </c>
      <c r="BG343" s="8">
        <v>1</v>
      </c>
      <c r="BH343" s="49">
        <f t="shared" ca="1" si="211"/>
        <v>142</v>
      </c>
      <c r="BJ343" s="50">
        <f t="shared" ca="1" si="194"/>
        <v>0.63550853467128909</v>
      </c>
      <c r="BK343" s="8">
        <v>1</v>
      </c>
      <c r="BL343" s="49">
        <f t="shared" ca="1" si="212"/>
        <v>144</v>
      </c>
      <c r="BN343" s="50">
        <f t="shared" ca="1" si="195"/>
        <v>0.96521502715371854</v>
      </c>
      <c r="BO343" s="8">
        <v>1</v>
      </c>
      <c r="BP343" s="49">
        <f t="shared" ca="1" si="213"/>
        <v>258</v>
      </c>
      <c r="BR343" s="50">
        <f t="shared" ca="1" si="196"/>
        <v>0.63555456121823806</v>
      </c>
      <c r="BS343" s="8">
        <v>1</v>
      </c>
      <c r="BT343" s="49">
        <f t="shared" ca="1" si="214"/>
        <v>201</v>
      </c>
    </row>
    <row r="344" spans="1:72" x14ac:dyDescent="0.2">
      <c r="A344" s="22">
        <v>44891</v>
      </c>
      <c r="B344" s="50">
        <f t="shared" ca="1" si="179"/>
        <v>0.941916284884462</v>
      </c>
      <c r="C344" s="8">
        <v>1</v>
      </c>
      <c r="D344" s="49">
        <f t="shared" ca="1" si="197"/>
        <v>132</v>
      </c>
      <c r="F344" s="50">
        <f t="shared" ca="1" si="180"/>
        <v>0.83113798685247608</v>
      </c>
      <c r="G344" s="8">
        <v>1</v>
      </c>
      <c r="H344" s="49">
        <f t="shared" ca="1" si="198"/>
        <v>271</v>
      </c>
      <c r="J344" s="50">
        <f t="shared" ca="1" si="181"/>
        <v>0.82971149009622769</v>
      </c>
      <c r="K344" s="8">
        <v>1</v>
      </c>
      <c r="L344" s="49">
        <f t="shared" ca="1" si="199"/>
        <v>189</v>
      </c>
      <c r="N344" s="50">
        <f t="shared" ca="1" si="182"/>
        <v>0.8602634468311936</v>
      </c>
      <c r="O344" s="8">
        <v>1</v>
      </c>
      <c r="P344" s="49">
        <f t="shared" ca="1" si="200"/>
        <v>296</v>
      </c>
      <c r="R344" s="50">
        <f t="shared" ca="1" si="183"/>
        <v>0.38200916412857955</v>
      </c>
      <c r="S344" s="8">
        <v>1</v>
      </c>
      <c r="T344" s="49">
        <f t="shared" ca="1" si="201"/>
        <v>128</v>
      </c>
      <c r="V344" s="50">
        <f t="shared" ca="1" si="184"/>
        <v>5.1669874260077964E-2</v>
      </c>
      <c r="W344" s="8">
        <v>1</v>
      </c>
      <c r="X344" s="49">
        <f t="shared" ca="1" si="202"/>
        <v>128</v>
      </c>
      <c r="Z344" s="50">
        <f t="shared" ca="1" si="185"/>
        <v>0.93365575413793123</v>
      </c>
      <c r="AA344" s="8">
        <v>1</v>
      </c>
      <c r="AB344" s="49">
        <f t="shared" ca="1" si="203"/>
        <v>379</v>
      </c>
      <c r="AD344" s="50">
        <f t="shared" ca="1" si="186"/>
        <v>0.92410245452682749</v>
      </c>
      <c r="AE344" s="8">
        <v>1</v>
      </c>
      <c r="AF344" s="49">
        <f t="shared" ca="1" si="204"/>
        <v>452</v>
      </c>
      <c r="AH344" s="50">
        <f t="shared" ca="1" si="187"/>
        <v>0.69069368074871262</v>
      </c>
      <c r="AI344" s="8">
        <v>1</v>
      </c>
      <c r="AJ344" s="49">
        <f t="shared" ca="1" si="205"/>
        <v>204</v>
      </c>
      <c r="AL344" s="50">
        <f t="shared" ca="1" si="188"/>
        <v>1.0420999613505177E-3</v>
      </c>
      <c r="AM344" s="8">
        <v>1</v>
      </c>
      <c r="AN344" s="49">
        <f t="shared" ca="1" si="206"/>
        <v>27</v>
      </c>
      <c r="AP344" s="50">
        <f t="shared" ca="1" si="189"/>
        <v>8.7486275676480596E-2</v>
      </c>
      <c r="AQ344" s="8">
        <v>1</v>
      </c>
      <c r="AR344" s="49">
        <f t="shared" ca="1" si="207"/>
        <v>139</v>
      </c>
      <c r="AT344" s="50">
        <f t="shared" ca="1" si="190"/>
        <v>0.46404838400419113</v>
      </c>
      <c r="AU344" s="8">
        <v>1</v>
      </c>
      <c r="AV344" s="49">
        <f t="shared" ca="1" si="208"/>
        <v>188</v>
      </c>
      <c r="AX344" s="50">
        <f t="shared" ca="1" si="191"/>
        <v>0.34649461908868795</v>
      </c>
      <c r="AY344" s="8">
        <v>1</v>
      </c>
      <c r="AZ344" s="49">
        <f t="shared" ca="1" si="209"/>
        <v>161</v>
      </c>
      <c r="BB344" s="50">
        <f t="shared" ca="1" si="192"/>
        <v>0.51030215325191797</v>
      </c>
      <c r="BC344" s="8">
        <v>1</v>
      </c>
      <c r="BD344" s="49">
        <f t="shared" ca="1" si="210"/>
        <v>161</v>
      </c>
      <c r="BF344" s="50">
        <f t="shared" ca="1" si="193"/>
        <v>0.40498727001190193</v>
      </c>
      <c r="BG344" s="8">
        <v>1</v>
      </c>
      <c r="BH344" s="49">
        <f t="shared" ca="1" si="211"/>
        <v>154</v>
      </c>
      <c r="BJ344" s="50">
        <f t="shared" ca="1" si="194"/>
        <v>0.19901949972492039</v>
      </c>
      <c r="BK344" s="8">
        <v>1</v>
      </c>
      <c r="BL344" s="49">
        <f t="shared" ca="1" si="212"/>
        <v>102</v>
      </c>
      <c r="BN344" s="50">
        <f t="shared" ca="1" si="195"/>
        <v>2.2319914002429164E-2</v>
      </c>
      <c r="BO344" s="8">
        <v>1</v>
      </c>
      <c r="BP344" s="49">
        <f t="shared" ca="1" si="213"/>
        <v>81</v>
      </c>
      <c r="BR344" s="50">
        <f t="shared" ca="1" si="196"/>
        <v>0.44433572315181624</v>
      </c>
      <c r="BS344" s="8">
        <v>1</v>
      </c>
      <c r="BT344" s="49">
        <f t="shared" ca="1" si="214"/>
        <v>177</v>
      </c>
    </row>
    <row r="345" spans="1:72" x14ac:dyDescent="0.2">
      <c r="A345" s="22">
        <v>44892</v>
      </c>
      <c r="B345" s="50">
        <f t="shared" ca="1" si="179"/>
        <v>0.43228627143137655</v>
      </c>
      <c r="C345" s="8">
        <v>1</v>
      </c>
      <c r="D345" s="49">
        <f t="shared" ca="1" si="197"/>
        <v>97</v>
      </c>
      <c r="F345" s="50">
        <f t="shared" ca="1" si="180"/>
        <v>9.2732776011194673E-2</v>
      </c>
      <c r="G345" s="8">
        <v>1</v>
      </c>
      <c r="H345" s="49">
        <f t="shared" ca="1" si="198"/>
        <v>140</v>
      </c>
      <c r="J345" s="50">
        <f t="shared" ca="1" si="181"/>
        <v>0.97734866812675791</v>
      </c>
      <c r="K345" s="8">
        <v>1</v>
      </c>
      <c r="L345" s="49">
        <f t="shared" ca="1" si="199"/>
        <v>231</v>
      </c>
      <c r="N345" s="50">
        <f t="shared" ca="1" si="182"/>
        <v>0.94709818023277992</v>
      </c>
      <c r="O345" s="8">
        <v>1</v>
      </c>
      <c r="P345" s="49">
        <f t="shared" ca="1" si="200"/>
        <v>329</v>
      </c>
      <c r="R345" s="50">
        <f t="shared" ca="1" si="183"/>
        <v>0.87848674364044965</v>
      </c>
      <c r="S345" s="8">
        <v>1</v>
      </c>
      <c r="T345" s="49">
        <f t="shared" ca="1" si="201"/>
        <v>182</v>
      </c>
      <c r="V345" s="50">
        <f t="shared" ca="1" si="184"/>
        <v>6.8003294951042959E-2</v>
      </c>
      <c r="W345" s="8">
        <v>1</v>
      </c>
      <c r="X345" s="49">
        <f t="shared" ca="1" si="202"/>
        <v>136</v>
      </c>
      <c r="Z345" s="50">
        <f t="shared" ca="1" si="185"/>
        <v>0.28830751658232789</v>
      </c>
      <c r="AA345" s="8">
        <v>1</v>
      </c>
      <c r="AB345" s="49">
        <f t="shared" ca="1" si="203"/>
        <v>230</v>
      </c>
      <c r="AD345" s="50">
        <f t="shared" ca="1" si="186"/>
        <v>4.9843601830419582E-2</v>
      </c>
      <c r="AE345" s="8">
        <v>1</v>
      </c>
      <c r="AF345" s="49">
        <f t="shared" ca="1" si="204"/>
        <v>184</v>
      </c>
      <c r="AH345" s="50">
        <f t="shared" ca="1" si="187"/>
        <v>9.5683836674108291E-2</v>
      </c>
      <c r="AI345" s="8">
        <v>1</v>
      </c>
      <c r="AJ345" s="49">
        <f t="shared" ca="1" si="205"/>
        <v>118</v>
      </c>
      <c r="AL345" s="50">
        <f t="shared" ca="1" si="188"/>
        <v>0.22537711242874259</v>
      </c>
      <c r="AM345" s="8">
        <v>1</v>
      </c>
      <c r="AN345" s="49">
        <f t="shared" ca="1" si="206"/>
        <v>118</v>
      </c>
      <c r="AP345" s="50">
        <f t="shared" ca="1" si="189"/>
        <v>3.4503546348914838E-2</v>
      </c>
      <c r="AQ345" s="8">
        <v>1</v>
      </c>
      <c r="AR345" s="49">
        <f t="shared" ca="1" si="207"/>
        <v>112</v>
      </c>
      <c r="AT345" s="50">
        <f t="shared" ca="1" si="190"/>
        <v>0.91004539275970964</v>
      </c>
      <c r="AU345" s="8">
        <v>1</v>
      </c>
      <c r="AV345" s="49">
        <f t="shared" ca="1" si="208"/>
        <v>261</v>
      </c>
      <c r="AX345" s="50">
        <f t="shared" ca="1" si="191"/>
        <v>0.4122217399164575</v>
      </c>
      <c r="AY345" s="8">
        <v>1</v>
      </c>
      <c r="AZ345" s="49">
        <f t="shared" ca="1" si="209"/>
        <v>170</v>
      </c>
      <c r="BB345" s="50">
        <f t="shared" ca="1" si="192"/>
        <v>0.55600403259427689</v>
      </c>
      <c r="BC345" s="8">
        <v>1</v>
      </c>
      <c r="BD345" s="49">
        <f t="shared" ca="1" si="210"/>
        <v>166</v>
      </c>
      <c r="BF345" s="50">
        <f t="shared" ca="1" si="193"/>
        <v>0.42954679637419058</v>
      </c>
      <c r="BG345" s="8">
        <v>1</v>
      </c>
      <c r="BH345" s="49">
        <f t="shared" ca="1" si="211"/>
        <v>157</v>
      </c>
      <c r="BJ345" s="50">
        <f t="shared" ca="1" si="194"/>
        <v>6.4496877832506128E-2</v>
      </c>
      <c r="BK345" s="8">
        <v>1</v>
      </c>
      <c r="BL345" s="49">
        <f t="shared" ca="1" si="212"/>
        <v>78</v>
      </c>
      <c r="BN345" s="50">
        <f t="shared" ca="1" si="195"/>
        <v>0.44091738772369415</v>
      </c>
      <c r="BO345" s="8">
        <v>1</v>
      </c>
      <c r="BP345" s="49">
        <f t="shared" ca="1" si="213"/>
        <v>167</v>
      </c>
      <c r="BR345" s="50">
        <f t="shared" ca="1" si="196"/>
        <v>0.73834623615188344</v>
      </c>
      <c r="BS345" s="8">
        <v>1</v>
      </c>
      <c r="BT345" s="49">
        <f t="shared" ca="1" si="214"/>
        <v>215</v>
      </c>
    </row>
    <row r="346" spans="1:72" x14ac:dyDescent="0.2">
      <c r="A346" s="22">
        <v>44893</v>
      </c>
      <c r="B346" s="50">
        <f t="shared" ca="1" si="179"/>
        <v>0.4656622102475646</v>
      </c>
      <c r="C346" s="8">
        <v>1</v>
      </c>
      <c r="D346" s="49">
        <f t="shared" ca="1" si="197"/>
        <v>99</v>
      </c>
      <c r="F346" s="50">
        <f t="shared" ca="1" si="180"/>
        <v>0.72811056817760911</v>
      </c>
      <c r="G346" s="8">
        <v>1</v>
      </c>
      <c r="H346" s="49">
        <f t="shared" ca="1" si="198"/>
        <v>251</v>
      </c>
      <c r="J346" s="50">
        <f t="shared" ca="1" si="181"/>
        <v>0.63016231947569323</v>
      </c>
      <c r="K346" s="8">
        <v>1</v>
      </c>
      <c r="L346" s="49">
        <f t="shared" ca="1" si="199"/>
        <v>164</v>
      </c>
      <c r="N346" s="50">
        <f t="shared" ca="1" si="182"/>
        <v>0.82889052335955893</v>
      </c>
      <c r="O346" s="8">
        <v>1</v>
      </c>
      <c r="P346" s="49">
        <f t="shared" ca="1" si="200"/>
        <v>288</v>
      </c>
      <c r="R346" s="50">
        <f t="shared" ca="1" si="183"/>
        <v>0.80405778849919374</v>
      </c>
      <c r="S346" s="8">
        <v>1</v>
      </c>
      <c r="T346" s="49">
        <f t="shared" ca="1" si="201"/>
        <v>171</v>
      </c>
      <c r="V346" s="50">
        <f t="shared" ca="1" si="184"/>
        <v>0.98115177592586844</v>
      </c>
      <c r="W346" s="8">
        <v>1</v>
      </c>
      <c r="X346" s="49">
        <f t="shared" ca="1" si="202"/>
        <v>350</v>
      </c>
      <c r="Z346" s="50">
        <f t="shared" ca="1" si="185"/>
        <v>0.47703407533595132</v>
      </c>
      <c r="AA346" s="8">
        <v>1</v>
      </c>
      <c r="AB346" s="49">
        <f t="shared" ca="1" si="203"/>
        <v>266</v>
      </c>
      <c r="AD346" s="50">
        <f t="shared" ca="1" si="186"/>
        <v>0.23584176932955581</v>
      </c>
      <c r="AE346" s="8">
        <v>1</v>
      </c>
      <c r="AF346" s="49">
        <f t="shared" ca="1" si="204"/>
        <v>265</v>
      </c>
      <c r="AH346" s="50">
        <f t="shared" ca="1" si="187"/>
        <v>0.22426529411207696</v>
      </c>
      <c r="AI346" s="8">
        <v>1</v>
      </c>
      <c r="AJ346" s="49">
        <f t="shared" ca="1" si="205"/>
        <v>144</v>
      </c>
      <c r="AL346" s="50">
        <f t="shared" ca="1" si="188"/>
        <v>0.80826114558945694</v>
      </c>
      <c r="AM346" s="8">
        <v>1</v>
      </c>
      <c r="AN346" s="49">
        <f t="shared" ca="1" si="206"/>
        <v>182</v>
      </c>
      <c r="AP346" s="50">
        <f t="shared" ca="1" si="189"/>
        <v>0.77957086264938613</v>
      </c>
      <c r="AQ346" s="8">
        <v>1</v>
      </c>
      <c r="AR346" s="49">
        <f t="shared" ca="1" si="207"/>
        <v>262</v>
      </c>
      <c r="AT346" s="50">
        <f t="shared" ca="1" si="190"/>
        <v>0.89174387256657917</v>
      </c>
      <c r="AU346" s="8">
        <v>1</v>
      </c>
      <c r="AV346" s="49">
        <f t="shared" ca="1" si="208"/>
        <v>255</v>
      </c>
      <c r="AX346" s="50">
        <f t="shared" ca="1" si="191"/>
        <v>0.77927475799567847</v>
      </c>
      <c r="AY346" s="8">
        <v>1</v>
      </c>
      <c r="AZ346" s="49">
        <f t="shared" ca="1" si="209"/>
        <v>217</v>
      </c>
      <c r="BB346" s="50">
        <f t="shared" ca="1" si="192"/>
        <v>0.62727784515231044</v>
      </c>
      <c r="BC346" s="8">
        <v>1</v>
      </c>
      <c r="BD346" s="49">
        <f t="shared" ca="1" si="210"/>
        <v>174</v>
      </c>
      <c r="BF346" s="50">
        <f t="shared" ca="1" si="193"/>
        <v>0.99850623748911671</v>
      </c>
      <c r="BG346" s="8">
        <v>1</v>
      </c>
      <c r="BH346" s="49">
        <f t="shared" ca="1" si="211"/>
        <v>295</v>
      </c>
      <c r="BJ346" s="50">
        <f t="shared" ca="1" si="194"/>
        <v>0.61206740384263869</v>
      </c>
      <c r="BK346" s="8">
        <v>1</v>
      </c>
      <c r="BL346" s="49">
        <f t="shared" ca="1" si="212"/>
        <v>141</v>
      </c>
      <c r="BN346" s="50">
        <f t="shared" ca="1" si="195"/>
        <v>0.53509116725872485</v>
      </c>
      <c r="BO346" s="8">
        <v>1</v>
      </c>
      <c r="BP346" s="49">
        <f t="shared" ca="1" si="213"/>
        <v>178</v>
      </c>
      <c r="BR346" s="50">
        <f t="shared" ca="1" si="196"/>
        <v>0.20297343867828388</v>
      </c>
      <c r="BS346" s="8">
        <v>1</v>
      </c>
      <c r="BT346" s="49">
        <f t="shared" ca="1" si="214"/>
        <v>143</v>
      </c>
    </row>
    <row r="347" spans="1:72" x14ac:dyDescent="0.2">
      <c r="A347" s="22">
        <v>44894</v>
      </c>
      <c r="B347" s="50">
        <f t="shared" ca="1" si="179"/>
        <v>0.89864357707585929</v>
      </c>
      <c r="C347" s="8">
        <v>1</v>
      </c>
      <c r="D347" s="49">
        <f t="shared" ca="1" si="197"/>
        <v>126</v>
      </c>
      <c r="F347" s="50">
        <f t="shared" ca="1" si="180"/>
        <v>0.27728062848853063</v>
      </c>
      <c r="G347" s="8">
        <v>1</v>
      </c>
      <c r="H347" s="49">
        <f t="shared" ca="1" si="198"/>
        <v>182</v>
      </c>
      <c r="J347" s="50">
        <f t="shared" ca="1" si="181"/>
        <v>0.68418926511369049</v>
      </c>
      <c r="K347" s="8">
        <v>1</v>
      </c>
      <c r="L347" s="49">
        <f t="shared" ca="1" si="199"/>
        <v>170</v>
      </c>
      <c r="N347" s="50">
        <f t="shared" ca="1" si="182"/>
        <v>0.27101377556800987</v>
      </c>
      <c r="O347" s="8">
        <v>1</v>
      </c>
      <c r="P347" s="49">
        <f t="shared" ca="1" si="200"/>
        <v>193</v>
      </c>
      <c r="R347" s="50">
        <f t="shared" ca="1" si="183"/>
        <v>0.64774011987928937</v>
      </c>
      <c r="S347" s="8">
        <v>1</v>
      </c>
      <c r="T347" s="49">
        <f t="shared" ca="1" si="201"/>
        <v>153</v>
      </c>
      <c r="V347" s="50">
        <f t="shared" ca="1" si="184"/>
        <v>0.2892863265616783</v>
      </c>
      <c r="W347" s="8">
        <v>1</v>
      </c>
      <c r="X347" s="49">
        <f t="shared" ca="1" si="202"/>
        <v>192</v>
      </c>
      <c r="Z347" s="50">
        <f t="shared" ca="1" si="185"/>
        <v>0.7562864790720697</v>
      </c>
      <c r="AA347" s="8">
        <v>1</v>
      </c>
      <c r="AB347" s="49">
        <f t="shared" ca="1" si="203"/>
        <v>320</v>
      </c>
      <c r="AD347" s="50">
        <f t="shared" ca="1" si="186"/>
        <v>0.85385340383546759</v>
      </c>
      <c r="AE347" s="8">
        <v>1</v>
      </c>
      <c r="AF347" s="49">
        <f t="shared" ca="1" si="204"/>
        <v>419</v>
      </c>
      <c r="AH347" s="50">
        <f t="shared" ca="1" si="187"/>
        <v>4.4193276594528097E-2</v>
      </c>
      <c r="AI347" s="8">
        <v>1</v>
      </c>
      <c r="AJ347" s="49">
        <f t="shared" ca="1" si="205"/>
        <v>99</v>
      </c>
      <c r="AL347" s="50">
        <f t="shared" ca="1" si="188"/>
        <v>0.56887971691986028</v>
      </c>
      <c r="AM347" s="8">
        <v>1</v>
      </c>
      <c r="AN347" s="49">
        <f t="shared" ca="1" si="206"/>
        <v>154</v>
      </c>
      <c r="AP347" s="50">
        <f t="shared" ca="1" si="189"/>
        <v>0.38256066507133768</v>
      </c>
      <c r="AQ347" s="8">
        <v>1</v>
      </c>
      <c r="AR347" s="49">
        <f t="shared" ca="1" si="207"/>
        <v>200</v>
      </c>
      <c r="AT347" s="50">
        <f t="shared" ca="1" si="190"/>
        <v>0.35240856022445533</v>
      </c>
      <c r="AU347" s="8">
        <v>1</v>
      </c>
      <c r="AV347" s="49">
        <f t="shared" ca="1" si="208"/>
        <v>173</v>
      </c>
      <c r="AX347" s="50">
        <f t="shared" ca="1" si="191"/>
        <v>0.35964288012440415</v>
      </c>
      <c r="AY347" s="8">
        <v>1</v>
      </c>
      <c r="AZ347" s="49">
        <f t="shared" ca="1" si="209"/>
        <v>163</v>
      </c>
      <c r="BB347" s="50">
        <f t="shared" ca="1" si="192"/>
        <v>0.62894779635351361</v>
      </c>
      <c r="BC347" s="8">
        <v>1</v>
      </c>
      <c r="BD347" s="49">
        <f t="shared" ca="1" si="210"/>
        <v>174</v>
      </c>
      <c r="BF347" s="50">
        <f t="shared" ca="1" si="193"/>
        <v>0.81250167551502539</v>
      </c>
      <c r="BG347" s="8">
        <v>1</v>
      </c>
      <c r="BH347" s="49">
        <f t="shared" ca="1" si="211"/>
        <v>204</v>
      </c>
      <c r="BJ347" s="50">
        <f t="shared" ca="1" si="194"/>
        <v>0.52095597375451741</v>
      </c>
      <c r="BK347" s="8">
        <v>1</v>
      </c>
      <c r="BL347" s="49">
        <f t="shared" ca="1" si="212"/>
        <v>133</v>
      </c>
      <c r="BN347" s="50">
        <f t="shared" ca="1" si="195"/>
        <v>0.8884919711879542</v>
      </c>
      <c r="BO347" s="8">
        <v>1</v>
      </c>
      <c r="BP347" s="49">
        <f t="shared" ca="1" si="213"/>
        <v>230</v>
      </c>
      <c r="BR347" s="50">
        <f t="shared" ca="1" si="196"/>
        <v>9.0500599154786365E-2</v>
      </c>
      <c r="BS347" s="8">
        <v>1</v>
      </c>
      <c r="BT347" s="49">
        <f t="shared" ca="1" si="214"/>
        <v>119</v>
      </c>
    </row>
    <row r="348" spans="1:72" x14ac:dyDescent="0.2">
      <c r="A348" s="22">
        <v>44895</v>
      </c>
      <c r="B348" s="50">
        <f t="shared" ca="1" si="179"/>
        <v>0.36546967786050666</v>
      </c>
      <c r="C348" s="8">
        <v>1</v>
      </c>
      <c r="D348" s="49">
        <f t="shared" ca="1" si="197"/>
        <v>94</v>
      </c>
      <c r="F348" s="50">
        <f t="shared" ca="1" si="180"/>
        <v>3.4326562235047486E-3</v>
      </c>
      <c r="G348" s="8">
        <v>1</v>
      </c>
      <c r="H348" s="49">
        <f t="shared" ca="1" si="198"/>
        <v>61</v>
      </c>
      <c r="J348" s="50">
        <f t="shared" ca="1" si="181"/>
        <v>0.188561262589657</v>
      </c>
      <c r="K348" s="8">
        <v>1</v>
      </c>
      <c r="L348" s="49">
        <f t="shared" ca="1" si="199"/>
        <v>115</v>
      </c>
      <c r="N348" s="50">
        <f t="shared" ca="1" si="182"/>
        <v>0.47999092496850593</v>
      </c>
      <c r="O348" s="8">
        <v>1</v>
      </c>
      <c r="P348" s="49">
        <f t="shared" ca="1" si="200"/>
        <v>227</v>
      </c>
      <c r="R348" s="50">
        <f t="shared" ca="1" si="183"/>
        <v>0.51070861374690801</v>
      </c>
      <c r="S348" s="8">
        <v>1</v>
      </c>
      <c r="T348" s="49">
        <f t="shared" ca="1" si="201"/>
        <v>140</v>
      </c>
      <c r="V348" s="50">
        <f t="shared" ca="1" si="184"/>
        <v>0.85417548597132231</v>
      </c>
      <c r="W348" s="8">
        <v>1</v>
      </c>
      <c r="X348" s="49">
        <f t="shared" ca="1" si="202"/>
        <v>289</v>
      </c>
      <c r="Z348" s="50">
        <f t="shared" ca="1" si="185"/>
        <v>0.15262717778104284</v>
      </c>
      <c r="AA348" s="8">
        <v>1</v>
      </c>
      <c r="AB348" s="49">
        <f t="shared" ca="1" si="203"/>
        <v>197</v>
      </c>
      <c r="AD348" s="50">
        <f t="shared" ca="1" si="186"/>
        <v>0.74830433710797351</v>
      </c>
      <c r="AE348" s="8">
        <v>1</v>
      </c>
      <c r="AF348" s="49">
        <f t="shared" ca="1" si="204"/>
        <v>386</v>
      </c>
      <c r="AH348" s="50">
        <f t="shared" ca="1" si="187"/>
        <v>0.56228183991846781</v>
      </c>
      <c r="AI348" s="8">
        <v>1</v>
      </c>
      <c r="AJ348" s="49">
        <f t="shared" ca="1" si="205"/>
        <v>188</v>
      </c>
      <c r="AL348" s="50">
        <f t="shared" ca="1" si="188"/>
        <v>0.97171948409898867</v>
      </c>
      <c r="AM348" s="8">
        <v>1</v>
      </c>
      <c r="AN348" s="49">
        <f t="shared" ca="1" si="206"/>
        <v>222</v>
      </c>
      <c r="AP348" s="50">
        <f t="shared" ca="1" si="189"/>
        <v>0.8135852598741925</v>
      </c>
      <c r="AQ348" s="8">
        <v>1</v>
      </c>
      <c r="AR348" s="49">
        <f t="shared" ca="1" si="207"/>
        <v>269</v>
      </c>
      <c r="AT348" s="50">
        <f t="shared" ca="1" si="190"/>
        <v>0.98540379605041339</v>
      </c>
      <c r="AU348" s="8">
        <v>1</v>
      </c>
      <c r="AV348" s="49">
        <f t="shared" ca="1" si="208"/>
        <v>304</v>
      </c>
      <c r="AX348" s="50">
        <f t="shared" ca="1" si="191"/>
        <v>0.69195146243371719</v>
      </c>
      <c r="AY348" s="8">
        <v>1</v>
      </c>
      <c r="AZ348" s="49">
        <f t="shared" ca="1" si="209"/>
        <v>204</v>
      </c>
      <c r="BB348" s="50">
        <f t="shared" ca="1" si="192"/>
        <v>0.67282896749074261</v>
      </c>
      <c r="BC348" s="8">
        <v>1</v>
      </c>
      <c r="BD348" s="49">
        <f t="shared" ca="1" si="210"/>
        <v>179</v>
      </c>
      <c r="BF348" s="50">
        <f t="shared" ca="1" si="193"/>
        <v>0.1030920604988308</v>
      </c>
      <c r="BG348" s="8">
        <v>1</v>
      </c>
      <c r="BH348" s="49">
        <f t="shared" ca="1" si="211"/>
        <v>110</v>
      </c>
      <c r="BJ348" s="50">
        <f t="shared" ca="1" si="194"/>
        <v>0.19331440960741497</v>
      </c>
      <c r="BK348" s="8">
        <v>1</v>
      </c>
      <c r="BL348" s="49">
        <f t="shared" ca="1" si="212"/>
        <v>101</v>
      </c>
      <c r="BN348" s="50">
        <f t="shared" ca="1" si="195"/>
        <v>0.88653581277218974</v>
      </c>
      <c r="BO348" s="8">
        <v>1</v>
      </c>
      <c r="BP348" s="49">
        <f t="shared" ca="1" si="213"/>
        <v>230</v>
      </c>
      <c r="BR348" s="50">
        <f t="shared" ca="1" si="196"/>
        <v>0.43539822708991371</v>
      </c>
      <c r="BS348" s="8">
        <v>1</v>
      </c>
      <c r="BT348" s="49">
        <f t="shared" ca="1" si="214"/>
        <v>176</v>
      </c>
    </row>
    <row r="349" spans="1:72" x14ac:dyDescent="0.2">
      <c r="A349" s="22">
        <v>44896</v>
      </c>
      <c r="B349" s="50">
        <f t="shared" ca="1" si="179"/>
        <v>0.81410931596069358</v>
      </c>
      <c r="C349" s="8">
        <v>1</v>
      </c>
      <c r="D349" s="49">
        <f t="shared" ca="1" si="197"/>
        <v>118</v>
      </c>
      <c r="F349" s="50">
        <f t="shared" ca="1" si="180"/>
        <v>0.76067047065966253</v>
      </c>
      <c r="G349" s="8">
        <v>1</v>
      </c>
      <c r="H349" s="49">
        <f t="shared" ca="1" si="198"/>
        <v>257</v>
      </c>
      <c r="J349" s="50">
        <f t="shared" ca="1" si="181"/>
        <v>0.32164440952447293</v>
      </c>
      <c r="K349" s="8">
        <v>1</v>
      </c>
      <c r="L349" s="49">
        <f t="shared" ca="1" si="199"/>
        <v>132</v>
      </c>
      <c r="N349" s="50">
        <f t="shared" ca="1" si="182"/>
        <v>0.88857538135258496</v>
      </c>
      <c r="O349" s="8">
        <v>1</v>
      </c>
      <c r="P349" s="49">
        <f t="shared" ca="1" si="200"/>
        <v>304</v>
      </c>
      <c r="R349" s="50">
        <f t="shared" ca="1" si="183"/>
        <v>0.64629543430935554</v>
      </c>
      <c r="S349" s="8">
        <v>1</v>
      </c>
      <c r="T349" s="49">
        <f t="shared" ca="1" si="201"/>
        <v>153</v>
      </c>
      <c r="V349" s="50">
        <f t="shared" ca="1" si="184"/>
        <v>0.70830575529850326</v>
      </c>
      <c r="W349" s="8">
        <v>1</v>
      </c>
      <c r="X349" s="49">
        <f t="shared" ca="1" si="202"/>
        <v>258</v>
      </c>
      <c r="Z349" s="50">
        <f t="shared" ca="1" si="185"/>
        <v>0.49189941754629207</v>
      </c>
      <c r="AA349" s="8">
        <v>1</v>
      </c>
      <c r="AB349" s="49">
        <f t="shared" ca="1" si="203"/>
        <v>269</v>
      </c>
      <c r="AD349" s="50">
        <f t="shared" ca="1" si="186"/>
        <v>0.6886632288269231</v>
      </c>
      <c r="AE349" s="8">
        <v>1</v>
      </c>
      <c r="AF349" s="49">
        <f t="shared" ca="1" si="204"/>
        <v>370</v>
      </c>
      <c r="AH349" s="50">
        <f t="shared" ca="1" si="187"/>
        <v>0.37837063858935194</v>
      </c>
      <c r="AI349" s="8">
        <v>1</v>
      </c>
      <c r="AJ349" s="49">
        <f t="shared" ca="1" si="205"/>
        <v>165</v>
      </c>
      <c r="AL349" s="50">
        <f t="shared" ca="1" si="188"/>
        <v>0.90028432620500765</v>
      </c>
      <c r="AM349" s="8">
        <v>1</v>
      </c>
      <c r="AN349" s="49">
        <f t="shared" ca="1" si="206"/>
        <v>198</v>
      </c>
      <c r="AP349" s="50">
        <f t="shared" ca="1" si="189"/>
        <v>0.58765158016553853</v>
      </c>
      <c r="AQ349" s="8">
        <v>1</v>
      </c>
      <c r="AR349" s="49">
        <f t="shared" ca="1" si="207"/>
        <v>230</v>
      </c>
      <c r="AT349" s="50">
        <f t="shared" ca="1" si="190"/>
        <v>0.98098144891914252</v>
      </c>
      <c r="AU349" s="8">
        <v>1</v>
      </c>
      <c r="AV349" s="49">
        <f t="shared" ca="1" si="208"/>
        <v>298</v>
      </c>
      <c r="AX349" s="50">
        <f t="shared" ca="1" si="191"/>
        <v>0.46380172252945162</v>
      </c>
      <c r="AY349" s="8">
        <v>1</v>
      </c>
      <c r="AZ349" s="49">
        <f t="shared" ca="1" si="209"/>
        <v>176</v>
      </c>
      <c r="BB349" s="50">
        <f t="shared" ca="1" si="192"/>
        <v>0.12244060542438973</v>
      </c>
      <c r="BC349" s="8">
        <v>1</v>
      </c>
      <c r="BD349" s="49">
        <f t="shared" ca="1" si="210"/>
        <v>111</v>
      </c>
      <c r="BF349" s="50">
        <f t="shared" ca="1" si="193"/>
        <v>0.74003612450922529</v>
      </c>
      <c r="BG349" s="8">
        <v>1</v>
      </c>
      <c r="BH349" s="49">
        <f t="shared" ca="1" si="211"/>
        <v>193</v>
      </c>
      <c r="BJ349" s="50">
        <f t="shared" ca="1" si="194"/>
        <v>0.17042693728719038</v>
      </c>
      <c r="BK349" s="8">
        <v>1</v>
      </c>
      <c r="BL349" s="49">
        <f t="shared" ca="1" si="212"/>
        <v>98</v>
      </c>
      <c r="BN349" s="50">
        <f t="shared" ca="1" si="195"/>
        <v>0.77444660921218078</v>
      </c>
      <c r="BO349" s="8">
        <v>1</v>
      </c>
      <c r="BP349" s="49">
        <f t="shared" ca="1" si="213"/>
        <v>209</v>
      </c>
      <c r="BR349" s="50">
        <f t="shared" ca="1" si="196"/>
        <v>0.11260119628525012</v>
      </c>
      <c r="BS349" s="8">
        <v>1</v>
      </c>
      <c r="BT349" s="49">
        <f t="shared" ca="1" si="214"/>
        <v>125</v>
      </c>
    </row>
    <row r="350" spans="1:72" x14ac:dyDescent="0.2">
      <c r="A350" s="22">
        <v>44897</v>
      </c>
      <c r="B350" s="50">
        <f t="shared" ca="1" si="179"/>
        <v>0.53157417092825054</v>
      </c>
      <c r="C350" s="8">
        <v>1</v>
      </c>
      <c r="D350" s="49">
        <f t="shared" ca="1" si="197"/>
        <v>102</v>
      </c>
      <c r="F350" s="50">
        <f t="shared" ca="1" si="180"/>
        <v>0.66373095466295562</v>
      </c>
      <c r="G350" s="8">
        <v>1</v>
      </c>
      <c r="H350" s="49">
        <f t="shared" ca="1" si="198"/>
        <v>240</v>
      </c>
      <c r="J350" s="50">
        <f t="shared" ca="1" si="181"/>
        <v>0.58532231182720762</v>
      </c>
      <c r="K350" s="8">
        <v>1</v>
      </c>
      <c r="L350" s="49">
        <f t="shared" ca="1" si="199"/>
        <v>159</v>
      </c>
      <c r="N350" s="50">
        <f t="shared" ca="1" si="182"/>
        <v>0.92426932028696041</v>
      </c>
      <c r="O350" s="8">
        <v>1</v>
      </c>
      <c r="P350" s="49">
        <f t="shared" ca="1" si="200"/>
        <v>318</v>
      </c>
      <c r="R350" s="50">
        <f t="shared" ca="1" si="183"/>
        <v>7.36818428622249E-2</v>
      </c>
      <c r="S350" s="8">
        <v>1</v>
      </c>
      <c r="T350" s="49">
        <f t="shared" ca="1" si="201"/>
        <v>86</v>
      </c>
      <c r="V350" s="50">
        <f t="shared" ca="1" si="184"/>
        <v>0.37780053629309573</v>
      </c>
      <c r="W350" s="8">
        <v>1</v>
      </c>
      <c r="X350" s="49">
        <f t="shared" ca="1" si="202"/>
        <v>207</v>
      </c>
      <c r="Z350" s="50">
        <f t="shared" ca="1" si="185"/>
        <v>7.156855787624794E-2</v>
      </c>
      <c r="AA350" s="8">
        <v>1</v>
      </c>
      <c r="AB350" s="49">
        <f t="shared" ca="1" si="203"/>
        <v>165</v>
      </c>
      <c r="AD350" s="50">
        <f t="shared" ca="1" si="186"/>
        <v>0.26227774643426893</v>
      </c>
      <c r="AE350" s="8">
        <v>1</v>
      </c>
      <c r="AF350" s="49">
        <f t="shared" ca="1" si="204"/>
        <v>272</v>
      </c>
      <c r="AH350" s="50">
        <f t="shared" ca="1" si="187"/>
        <v>0.27967810698429341</v>
      </c>
      <c r="AI350" s="8">
        <v>1</v>
      </c>
      <c r="AJ350" s="49">
        <f t="shared" ca="1" si="205"/>
        <v>152</v>
      </c>
      <c r="AL350" s="50">
        <f t="shared" ca="1" si="188"/>
        <v>0.7429924388602982</v>
      </c>
      <c r="AM350" s="8">
        <v>1</v>
      </c>
      <c r="AN350" s="49">
        <f t="shared" ca="1" si="206"/>
        <v>173</v>
      </c>
      <c r="AP350" s="50">
        <f t="shared" ca="1" si="189"/>
        <v>0.87389322582226459</v>
      </c>
      <c r="AQ350" s="8">
        <v>1</v>
      </c>
      <c r="AR350" s="49">
        <f t="shared" ca="1" si="207"/>
        <v>283</v>
      </c>
      <c r="AT350" s="50">
        <f t="shared" ca="1" si="190"/>
        <v>0.39595776401322647</v>
      </c>
      <c r="AU350" s="8">
        <v>1</v>
      </c>
      <c r="AV350" s="49">
        <f t="shared" ca="1" si="208"/>
        <v>179</v>
      </c>
      <c r="AX350" s="50">
        <f t="shared" ca="1" si="191"/>
        <v>0.82169548737726306</v>
      </c>
      <c r="AY350" s="8">
        <v>1</v>
      </c>
      <c r="AZ350" s="49">
        <f t="shared" ca="1" si="209"/>
        <v>225</v>
      </c>
      <c r="BB350" s="50">
        <f t="shared" ca="1" si="192"/>
        <v>0.63285548018205584</v>
      </c>
      <c r="BC350" s="8">
        <v>1</v>
      </c>
      <c r="BD350" s="49">
        <f t="shared" ca="1" si="210"/>
        <v>175</v>
      </c>
      <c r="BF350" s="50">
        <f t="shared" ca="1" si="193"/>
        <v>0.8573225397980665</v>
      </c>
      <c r="BG350" s="8">
        <v>1</v>
      </c>
      <c r="BH350" s="49">
        <f t="shared" ca="1" si="211"/>
        <v>212</v>
      </c>
      <c r="BJ350" s="50">
        <f t="shared" ca="1" si="194"/>
        <v>0.84282147053185619</v>
      </c>
      <c r="BK350" s="8">
        <v>1</v>
      </c>
      <c r="BL350" s="49">
        <f t="shared" ca="1" si="212"/>
        <v>167</v>
      </c>
      <c r="BN350" s="50">
        <f t="shared" ca="1" si="195"/>
        <v>0.13748724780802113</v>
      </c>
      <c r="BO350" s="8">
        <v>1</v>
      </c>
      <c r="BP350" s="49">
        <f t="shared" ca="1" si="213"/>
        <v>124</v>
      </c>
      <c r="BR350" s="50">
        <f t="shared" ca="1" si="196"/>
        <v>0.78831533455025637</v>
      </c>
      <c r="BS350" s="8">
        <v>1</v>
      </c>
      <c r="BT350" s="49">
        <f t="shared" ca="1" si="214"/>
        <v>223</v>
      </c>
    </row>
    <row r="351" spans="1:72" x14ac:dyDescent="0.2">
      <c r="A351" s="22">
        <v>44898</v>
      </c>
      <c r="B351" s="50">
        <f t="shared" ca="1" si="179"/>
        <v>0.14725624655685721</v>
      </c>
      <c r="C351" s="8">
        <v>1</v>
      </c>
      <c r="D351" s="49">
        <f t="shared" ca="1" si="197"/>
        <v>80</v>
      </c>
      <c r="F351" s="50">
        <f t="shared" ca="1" si="180"/>
        <v>0.27034827388569005</v>
      </c>
      <c r="G351" s="8">
        <v>1</v>
      </c>
      <c r="H351" s="49">
        <f t="shared" ca="1" si="198"/>
        <v>181</v>
      </c>
      <c r="J351" s="50">
        <f t="shared" ca="1" si="181"/>
        <v>0.59467829959398866</v>
      </c>
      <c r="K351" s="8">
        <v>1</v>
      </c>
      <c r="L351" s="49">
        <f t="shared" ca="1" si="199"/>
        <v>160</v>
      </c>
      <c r="N351" s="50">
        <f t="shared" ca="1" si="182"/>
        <v>0.43261510143710669</v>
      </c>
      <c r="O351" s="8">
        <v>1</v>
      </c>
      <c r="P351" s="49">
        <f t="shared" ca="1" si="200"/>
        <v>219</v>
      </c>
      <c r="R351" s="50">
        <f t="shared" ca="1" si="183"/>
        <v>0.25943272529015193</v>
      </c>
      <c r="S351" s="8">
        <v>1</v>
      </c>
      <c r="T351" s="49">
        <f t="shared" ca="1" si="201"/>
        <v>115</v>
      </c>
      <c r="V351" s="50">
        <f t="shared" ca="1" si="184"/>
        <v>0.63863626464752299</v>
      </c>
      <c r="W351" s="8">
        <v>1</v>
      </c>
      <c r="X351" s="49">
        <f t="shared" ca="1" si="202"/>
        <v>247</v>
      </c>
      <c r="Z351" s="50">
        <f t="shared" ca="1" si="185"/>
        <v>0.91197340729169907</v>
      </c>
      <c r="AA351" s="8">
        <v>1</v>
      </c>
      <c r="AB351" s="49">
        <f t="shared" ca="1" si="203"/>
        <v>368</v>
      </c>
      <c r="AD351" s="50">
        <f t="shared" ca="1" si="186"/>
        <v>0.38223955435183743</v>
      </c>
      <c r="AE351" s="8">
        <v>1</v>
      </c>
      <c r="AF351" s="49">
        <f t="shared" ca="1" si="204"/>
        <v>301</v>
      </c>
      <c r="AH351" s="50">
        <f t="shared" ca="1" si="187"/>
        <v>0.86618852274097036</v>
      </c>
      <c r="AI351" s="8">
        <v>1</v>
      </c>
      <c r="AJ351" s="49">
        <f t="shared" ca="1" si="205"/>
        <v>234</v>
      </c>
      <c r="AL351" s="50">
        <f t="shared" ca="1" si="188"/>
        <v>0.33019679012817227</v>
      </c>
      <c r="AM351" s="8">
        <v>1</v>
      </c>
      <c r="AN351" s="49">
        <f t="shared" ca="1" si="206"/>
        <v>130</v>
      </c>
      <c r="AP351" s="50">
        <f t="shared" ca="1" si="189"/>
        <v>0.7430524905339384</v>
      </c>
      <c r="AQ351" s="8">
        <v>1</v>
      </c>
      <c r="AR351" s="49">
        <f t="shared" ca="1" si="207"/>
        <v>255</v>
      </c>
      <c r="AT351" s="50">
        <f t="shared" ca="1" si="190"/>
        <v>0.60365239127514136</v>
      </c>
      <c r="AU351" s="8">
        <v>1</v>
      </c>
      <c r="AV351" s="49">
        <f t="shared" ca="1" si="208"/>
        <v>206</v>
      </c>
      <c r="AX351" s="50">
        <f t="shared" ca="1" si="191"/>
        <v>0.943160063787433</v>
      </c>
      <c r="AY351" s="8">
        <v>1</v>
      </c>
      <c r="AZ351" s="49">
        <f t="shared" ca="1" si="209"/>
        <v>256</v>
      </c>
      <c r="BB351" s="50">
        <f t="shared" ca="1" si="192"/>
        <v>0.75217503502925276</v>
      </c>
      <c r="BC351" s="8">
        <v>1</v>
      </c>
      <c r="BD351" s="49">
        <f t="shared" ca="1" si="210"/>
        <v>189</v>
      </c>
      <c r="BF351" s="50">
        <f t="shared" ca="1" si="193"/>
        <v>0.70540528868108721</v>
      </c>
      <c r="BG351" s="8">
        <v>1</v>
      </c>
      <c r="BH351" s="49">
        <f t="shared" ca="1" si="211"/>
        <v>189</v>
      </c>
      <c r="BJ351" s="50">
        <f t="shared" ca="1" si="194"/>
        <v>0.14723395809324524</v>
      </c>
      <c r="BK351" s="8">
        <v>1</v>
      </c>
      <c r="BL351" s="49">
        <f t="shared" ca="1" si="212"/>
        <v>95</v>
      </c>
      <c r="BN351" s="50">
        <f t="shared" ca="1" si="195"/>
        <v>0.32064799960224277</v>
      </c>
      <c r="BO351" s="8">
        <v>1</v>
      </c>
      <c r="BP351" s="49">
        <f t="shared" ca="1" si="213"/>
        <v>152</v>
      </c>
      <c r="BR351" s="50">
        <f t="shared" ca="1" si="196"/>
        <v>0.46750811963824912</v>
      </c>
      <c r="BS351" s="8">
        <v>1</v>
      </c>
      <c r="BT351" s="49">
        <f t="shared" ca="1" si="214"/>
        <v>180</v>
      </c>
    </row>
    <row r="352" spans="1:72" x14ac:dyDescent="0.2">
      <c r="A352" s="22">
        <v>44899</v>
      </c>
      <c r="B352" s="50">
        <f t="shared" ca="1" si="179"/>
        <v>0.34619832156715069</v>
      </c>
      <c r="C352" s="8">
        <v>1</v>
      </c>
      <c r="D352" s="49">
        <f t="shared" ca="1" si="197"/>
        <v>93</v>
      </c>
      <c r="F352" s="50">
        <f t="shared" ca="1" si="180"/>
        <v>0.49285923217426875</v>
      </c>
      <c r="G352" s="8">
        <v>1</v>
      </c>
      <c r="H352" s="49">
        <f t="shared" ca="1" si="198"/>
        <v>215</v>
      </c>
      <c r="J352" s="50">
        <f t="shared" ca="1" si="181"/>
        <v>3.3230854932765119E-2</v>
      </c>
      <c r="K352" s="8">
        <v>1</v>
      </c>
      <c r="L352" s="49">
        <f t="shared" ca="1" si="199"/>
        <v>77</v>
      </c>
      <c r="N352" s="50">
        <f t="shared" ca="1" si="182"/>
        <v>0.45875934113289085</v>
      </c>
      <c r="O352" s="8">
        <v>1</v>
      </c>
      <c r="P352" s="49">
        <f t="shared" ca="1" si="200"/>
        <v>224</v>
      </c>
      <c r="R352" s="50">
        <f t="shared" ca="1" si="183"/>
        <v>0.98198291506226043</v>
      </c>
      <c r="S352" s="8">
        <v>1</v>
      </c>
      <c r="T352" s="49">
        <f t="shared" ca="1" si="201"/>
        <v>217</v>
      </c>
      <c r="V352" s="50">
        <f t="shared" ca="1" si="184"/>
        <v>0.64487798990020928</v>
      </c>
      <c r="W352" s="8">
        <v>1</v>
      </c>
      <c r="X352" s="49">
        <f t="shared" ca="1" si="202"/>
        <v>248</v>
      </c>
      <c r="Z352" s="50">
        <f t="shared" ca="1" si="185"/>
        <v>0.36654415585187539</v>
      </c>
      <c r="AA352" s="8">
        <v>1</v>
      </c>
      <c r="AB352" s="49">
        <f t="shared" ca="1" si="203"/>
        <v>246</v>
      </c>
      <c r="AD352" s="50">
        <f t="shared" ca="1" si="186"/>
        <v>0.82404255271460791</v>
      </c>
      <c r="AE352" s="8">
        <v>1</v>
      </c>
      <c r="AF352" s="49">
        <f t="shared" ca="1" si="204"/>
        <v>409</v>
      </c>
      <c r="AH352" s="50">
        <f t="shared" ca="1" si="187"/>
        <v>0.17058897784655114</v>
      </c>
      <c r="AI352" s="8">
        <v>1</v>
      </c>
      <c r="AJ352" s="49">
        <f t="shared" ca="1" si="205"/>
        <v>135</v>
      </c>
      <c r="AL352" s="50">
        <f t="shared" ca="1" si="188"/>
        <v>0.85248849751752886</v>
      </c>
      <c r="AM352" s="8">
        <v>1</v>
      </c>
      <c r="AN352" s="49">
        <f t="shared" ca="1" si="206"/>
        <v>189</v>
      </c>
      <c r="AP352" s="50">
        <f t="shared" ca="1" si="189"/>
        <v>0.60691846652802617</v>
      </c>
      <c r="AQ352" s="8">
        <v>1</v>
      </c>
      <c r="AR352" s="49">
        <f t="shared" ca="1" si="207"/>
        <v>233</v>
      </c>
      <c r="AT352" s="50">
        <f t="shared" ca="1" si="190"/>
        <v>0.54022530609640884</v>
      </c>
      <c r="AU352" s="8">
        <v>1</v>
      </c>
      <c r="AV352" s="49">
        <f t="shared" ca="1" si="208"/>
        <v>197</v>
      </c>
      <c r="AX352" s="50">
        <f t="shared" ca="1" si="191"/>
        <v>0.15244607407443744</v>
      </c>
      <c r="AY352" s="8">
        <v>1</v>
      </c>
      <c r="AZ352" s="49">
        <f t="shared" ca="1" si="209"/>
        <v>131</v>
      </c>
      <c r="BB352" s="50">
        <f t="shared" ca="1" si="192"/>
        <v>0.69093482505168902</v>
      </c>
      <c r="BC352" s="8">
        <v>1</v>
      </c>
      <c r="BD352" s="49">
        <f t="shared" ca="1" si="210"/>
        <v>181</v>
      </c>
      <c r="BF352" s="50">
        <f t="shared" ca="1" si="193"/>
        <v>0.76333204380897113</v>
      </c>
      <c r="BG352" s="8">
        <v>1</v>
      </c>
      <c r="BH352" s="49">
        <f t="shared" ca="1" si="211"/>
        <v>197</v>
      </c>
      <c r="BJ352" s="50">
        <f t="shared" ca="1" si="194"/>
        <v>7.9574721827986084E-2</v>
      </c>
      <c r="BK352" s="8">
        <v>1</v>
      </c>
      <c r="BL352" s="49">
        <f t="shared" ca="1" si="212"/>
        <v>82</v>
      </c>
      <c r="BN352" s="50">
        <f t="shared" ca="1" si="195"/>
        <v>0.57800518696846936</v>
      </c>
      <c r="BO352" s="8">
        <v>1</v>
      </c>
      <c r="BP352" s="49">
        <f t="shared" ca="1" si="213"/>
        <v>183</v>
      </c>
      <c r="BR352" s="50">
        <f t="shared" ca="1" si="196"/>
        <v>0.87447741505495746</v>
      </c>
      <c r="BS352" s="8">
        <v>1</v>
      </c>
      <c r="BT352" s="49">
        <f t="shared" ca="1" si="214"/>
        <v>240</v>
      </c>
    </row>
    <row r="353" spans="1:72" x14ac:dyDescent="0.2">
      <c r="A353" s="22">
        <v>44900</v>
      </c>
      <c r="B353" s="50">
        <f t="shared" ca="1" si="179"/>
        <v>0.94133119959936196</v>
      </c>
      <c r="C353" s="8">
        <v>1</v>
      </c>
      <c r="D353" s="49">
        <f t="shared" ca="1" si="197"/>
        <v>132</v>
      </c>
      <c r="F353" s="50">
        <f t="shared" ca="1" si="180"/>
        <v>0.16262218293795594</v>
      </c>
      <c r="G353" s="8">
        <v>1</v>
      </c>
      <c r="H353" s="49">
        <f t="shared" ca="1" si="198"/>
        <v>159</v>
      </c>
      <c r="J353" s="50">
        <f t="shared" ca="1" si="181"/>
        <v>8.8626190931656024E-2</v>
      </c>
      <c r="K353" s="8">
        <v>1</v>
      </c>
      <c r="L353" s="49">
        <f t="shared" ca="1" si="199"/>
        <v>97</v>
      </c>
      <c r="N353" s="50">
        <f t="shared" ca="1" si="182"/>
        <v>0.22846588308910498</v>
      </c>
      <c r="O353" s="8">
        <v>1</v>
      </c>
      <c r="P353" s="49">
        <f t="shared" ca="1" si="200"/>
        <v>184</v>
      </c>
      <c r="R353" s="50">
        <f t="shared" ca="1" si="183"/>
        <v>0.19450144627137422</v>
      </c>
      <c r="S353" s="8">
        <v>1</v>
      </c>
      <c r="T353" s="49">
        <f t="shared" ca="1" si="201"/>
        <v>107</v>
      </c>
      <c r="V353" s="50">
        <f t="shared" ca="1" si="184"/>
        <v>0.82871828281506132</v>
      </c>
      <c r="W353" s="8">
        <v>1</v>
      </c>
      <c r="X353" s="49">
        <f t="shared" ca="1" si="202"/>
        <v>282</v>
      </c>
      <c r="Z353" s="50">
        <f t="shared" ca="1" si="185"/>
        <v>0.27404857263093374</v>
      </c>
      <c r="AA353" s="8">
        <v>1</v>
      </c>
      <c r="AB353" s="49">
        <f t="shared" ca="1" si="203"/>
        <v>227</v>
      </c>
      <c r="AD353" s="50">
        <f t="shared" ca="1" si="186"/>
        <v>0.26672421788113176</v>
      </c>
      <c r="AE353" s="8">
        <v>1</v>
      </c>
      <c r="AF353" s="49">
        <f t="shared" ca="1" si="204"/>
        <v>273</v>
      </c>
      <c r="AH353" s="50">
        <f t="shared" ca="1" si="187"/>
        <v>0.86952269509738889</v>
      </c>
      <c r="AI353" s="8">
        <v>1</v>
      </c>
      <c r="AJ353" s="49">
        <f t="shared" ca="1" si="205"/>
        <v>234</v>
      </c>
      <c r="AL353" s="50">
        <f t="shared" ca="1" si="188"/>
        <v>0.7078148667061217</v>
      </c>
      <c r="AM353" s="8">
        <v>1</v>
      </c>
      <c r="AN353" s="49">
        <f t="shared" ca="1" si="206"/>
        <v>169</v>
      </c>
      <c r="AP353" s="50">
        <f t="shared" ca="1" si="189"/>
        <v>0.2802455978259305</v>
      </c>
      <c r="AQ353" s="8">
        <v>1</v>
      </c>
      <c r="AR353" s="49">
        <f t="shared" ca="1" si="207"/>
        <v>184</v>
      </c>
      <c r="AT353" s="50">
        <f t="shared" ca="1" si="190"/>
        <v>0.92391187818525522</v>
      </c>
      <c r="AU353" s="8">
        <v>1</v>
      </c>
      <c r="AV353" s="49">
        <f t="shared" ca="1" si="208"/>
        <v>265</v>
      </c>
      <c r="AX353" s="50">
        <f t="shared" ca="1" si="191"/>
        <v>0.69472925742210512</v>
      </c>
      <c r="AY353" s="8">
        <v>1</v>
      </c>
      <c r="AZ353" s="49">
        <f t="shared" ca="1" si="209"/>
        <v>205</v>
      </c>
      <c r="BB353" s="50">
        <f t="shared" ca="1" si="192"/>
        <v>1.5958800016901309E-2</v>
      </c>
      <c r="BC353" s="8">
        <v>1</v>
      </c>
      <c r="BD353" s="49">
        <f t="shared" ca="1" si="210"/>
        <v>69</v>
      </c>
      <c r="BF353" s="50">
        <f t="shared" ca="1" si="193"/>
        <v>0.18957153129771165</v>
      </c>
      <c r="BG353" s="8">
        <v>1</v>
      </c>
      <c r="BH353" s="49">
        <f t="shared" ca="1" si="211"/>
        <v>126</v>
      </c>
      <c r="BJ353" s="50">
        <f t="shared" ca="1" si="194"/>
        <v>0.38536694798223858</v>
      </c>
      <c r="BK353" s="8">
        <v>1</v>
      </c>
      <c r="BL353" s="49">
        <f t="shared" ca="1" si="212"/>
        <v>121</v>
      </c>
      <c r="BN353" s="50">
        <f t="shared" ca="1" si="195"/>
        <v>0.21014577408230883</v>
      </c>
      <c r="BO353" s="8">
        <v>1</v>
      </c>
      <c r="BP353" s="49">
        <f t="shared" ca="1" si="213"/>
        <v>137</v>
      </c>
      <c r="BR353" s="50">
        <f t="shared" ca="1" si="196"/>
        <v>0.76136586463143319</v>
      </c>
      <c r="BS353" s="8">
        <v>1</v>
      </c>
      <c r="BT353" s="49">
        <f t="shared" ca="1" si="214"/>
        <v>219</v>
      </c>
    </row>
    <row r="354" spans="1:72" x14ac:dyDescent="0.2">
      <c r="A354" s="22">
        <v>44901</v>
      </c>
      <c r="B354" s="50">
        <f t="shared" ca="1" si="179"/>
        <v>6.807277398602285E-2</v>
      </c>
      <c r="C354" s="8">
        <v>1</v>
      </c>
      <c r="D354" s="49">
        <f t="shared" ca="1" si="197"/>
        <v>71</v>
      </c>
      <c r="F354" s="50">
        <f t="shared" ca="1" si="180"/>
        <v>0.44107456370205211</v>
      </c>
      <c r="G354" s="8">
        <v>1</v>
      </c>
      <c r="H354" s="49">
        <f t="shared" ca="1" si="198"/>
        <v>207</v>
      </c>
      <c r="J354" s="50">
        <f t="shared" ca="1" si="181"/>
        <v>0.60813183305077612</v>
      </c>
      <c r="K354" s="8">
        <v>1</v>
      </c>
      <c r="L354" s="49">
        <f t="shared" ca="1" si="199"/>
        <v>161</v>
      </c>
      <c r="N354" s="50">
        <f t="shared" ca="1" si="182"/>
        <v>0.11322299102355782</v>
      </c>
      <c r="O354" s="8">
        <v>1</v>
      </c>
      <c r="P354" s="49">
        <f t="shared" ca="1" si="200"/>
        <v>156</v>
      </c>
      <c r="R354" s="50">
        <f t="shared" ca="1" si="183"/>
        <v>0.70097135009086975</v>
      </c>
      <c r="S354" s="8">
        <v>1</v>
      </c>
      <c r="T354" s="49">
        <f t="shared" ca="1" si="201"/>
        <v>159</v>
      </c>
      <c r="V354" s="50">
        <f t="shared" ca="1" si="184"/>
        <v>0.97335270350908687</v>
      </c>
      <c r="W354" s="8">
        <v>1</v>
      </c>
      <c r="X354" s="49">
        <f t="shared" ca="1" si="202"/>
        <v>341</v>
      </c>
      <c r="Z354" s="50">
        <f t="shared" ca="1" si="185"/>
        <v>0.973724278123832</v>
      </c>
      <c r="AA354" s="8">
        <v>1</v>
      </c>
      <c r="AB354" s="49">
        <f t="shared" ca="1" si="203"/>
        <v>410</v>
      </c>
      <c r="AD354" s="50">
        <f t="shared" ca="1" si="186"/>
        <v>0.32006616222258821</v>
      </c>
      <c r="AE354" s="8">
        <v>1</v>
      </c>
      <c r="AF354" s="49">
        <f t="shared" ca="1" si="204"/>
        <v>287</v>
      </c>
      <c r="AH354" s="50">
        <f t="shared" ca="1" si="187"/>
        <v>0.32680390743411558</v>
      </c>
      <c r="AI354" s="8">
        <v>1</v>
      </c>
      <c r="AJ354" s="49">
        <f t="shared" ca="1" si="205"/>
        <v>159</v>
      </c>
      <c r="AL354" s="50">
        <f t="shared" ca="1" si="188"/>
        <v>0.80659353653037058</v>
      </c>
      <c r="AM354" s="8">
        <v>1</v>
      </c>
      <c r="AN354" s="49">
        <f t="shared" ca="1" si="206"/>
        <v>182</v>
      </c>
      <c r="AP354" s="50">
        <f t="shared" ca="1" si="189"/>
        <v>0.63064644388787983</v>
      </c>
      <c r="AQ354" s="8">
        <v>1</v>
      </c>
      <c r="AR354" s="49">
        <f t="shared" ca="1" si="207"/>
        <v>237</v>
      </c>
      <c r="AT354" s="50">
        <f t="shared" ca="1" si="190"/>
        <v>0.76321608760821846</v>
      </c>
      <c r="AU354" s="8">
        <v>1</v>
      </c>
      <c r="AV354" s="49">
        <f t="shared" ca="1" si="208"/>
        <v>229</v>
      </c>
      <c r="AX354" s="50">
        <f t="shared" ca="1" si="191"/>
        <v>0.501983409808058</v>
      </c>
      <c r="AY354" s="8">
        <v>1</v>
      </c>
      <c r="AZ354" s="49">
        <f t="shared" ca="1" si="209"/>
        <v>181</v>
      </c>
      <c r="BB354" s="50">
        <f t="shared" ca="1" si="192"/>
        <v>0.33921006552008948</v>
      </c>
      <c r="BC354" s="8">
        <v>1</v>
      </c>
      <c r="BD354" s="49">
        <f t="shared" ca="1" si="210"/>
        <v>142</v>
      </c>
      <c r="BF354" s="50">
        <f t="shared" ca="1" si="193"/>
        <v>0.41378312813995111</v>
      </c>
      <c r="BG354" s="8">
        <v>1</v>
      </c>
      <c r="BH354" s="49">
        <f t="shared" ca="1" si="211"/>
        <v>155</v>
      </c>
      <c r="BJ354" s="50">
        <f t="shared" ca="1" si="194"/>
        <v>0.66625997259002978</v>
      </c>
      <c r="BK354" s="8">
        <v>1</v>
      </c>
      <c r="BL354" s="49">
        <f t="shared" ca="1" si="212"/>
        <v>146</v>
      </c>
      <c r="BN354" s="50">
        <f t="shared" ca="1" si="195"/>
        <v>0.91923608668466561</v>
      </c>
      <c r="BO354" s="8">
        <v>1</v>
      </c>
      <c r="BP354" s="49">
        <f t="shared" ca="1" si="213"/>
        <v>239</v>
      </c>
      <c r="BR354" s="50">
        <f t="shared" ca="1" si="196"/>
        <v>0.38033589256399192</v>
      </c>
      <c r="BS354" s="8">
        <v>1</v>
      </c>
      <c r="BT354" s="49">
        <f t="shared" ca="1" si="214"/>
        <v>169</v>
      </c>
    </row>
    <row r="355" spans="1:72" x14ac:dyDescent="0.2">
      <c r="A355" s="22">
        <v>44902</v>
      </c>
      <c r="B355" s="50">
        <f t="shared" ca="1" si="179"/>
        <v>0.4407616703755477</v>
      </c>
      <c r="C355" s="8">
        <v>1</v>
      </c>
      <c r="D355" s="49">
        <f t="shared" ca="1" si="197"/>
        <v>98</v>
      </c>
      <c r="F355" s="50">
        <f t="shared" ca="1" si="180"/>
        <v>0.77518154293571007</v>
      </c>
      <c r="G355" s="8">
        <v>1</v>
      </c>
      <c r="H355" s="49">
        <f t="shared" ca="1" si="198"/>
        <v>259</v>
      </c>
      <c r="J355" s="50">
        <f t="shared" ca="1" si="181"/>
        <v>0.64749923983842328</v>
      </c>
      <c r="K355" s="8">
        <v>1</v>
      </c>
      <c r="L355" s="49">
        <f t="shared" ca="1" si="199"/>
        <v>166</v>
      </c>
      <c r="N355" s="50">
        <f t="shared" ca="1" si="182"/>
        <v>0.9562637359157582</v>
      </c>
      <c r="O355" s="8">
        <v>1</v>
      </c>
      <c r="P355" s="49">
        <f t="shared" ca="1" si="200"/>
        <v>334</v>
      </c>
      <c r="R355" s="50">
        <f t="shared" ca="1" si="183"/>
        <v>0.25814334237570702</v>
      </c>
      <c r="S355" s="8">
        <v>1</v>
      </c>
      <c r="T355" s="49">
        <f t="shared" ca="1" si="201"/>
        <v>115</v>
      </c>
      <c r="V355" s="50">
        <f t="shared" ca="1" si="184"/>
        <v>0.63085464351080767</v>
      </c>
      <c r="W355" s="8">
        <v>1</v>
      </c>
      <c r="X355" s="49">
        <f t="shared" ca="1" si="202"/>
        <v>246</v>
      </c>
      <c r="Z355" s="50">
        <f t="shared" ca="1" si="185"/>
        <v>0.65882222897166365</v>
      </c>
      <c r="AA355" s="8">
        <v>1</v>
      </c>
      <c r="AB355" s="49">
        <f t="shared" ca="1" si="203"/>
        <v>300</v>
      </c>
      <c r="AD355" s="50">
        <f t="shared" ca="1" si="186"/>
        <v>0.56675843285970628</v>
      </c>
      <c r="AE355" s="8">
        <v>1</v>
      </c>
      <c r="AF355" s="49">
        <f t="shared" ca="1" si="204"/>
        <v>342</v>
      </c>
      <c r="AH355" s="50">
        <f t="shared" ca="1" si="187"/>
        <v>0.36502571304030396</v>
      </c>
      <c r="AI355" s="8">
        <v>1</v>
      </c>
      <c r="AJ355" s="49">
        <f t="shared" ca="1" si="205"/>
        <v>164</v>
      </c>
      <c r="AL355" s="50">
        <f t="shared" ca="1" si="188"/>
        <v>0.89081524356213948</v>
      </c>
      <c r="AM355" s="8">
        <v>1</v>
      </c>
      <c r="AN355" s="49">
        <f t="shared" ca="1" si="206"/>
        <v>196</v>
      </c>
      <c r="AP355" s="50">
        <f t="shared" ca="1" si="189"/>
        <v>0.87178125848444987</v>
      </c>
      <c r="AQ355" s="8">
        <v>1</v>
      </c>
      <c r="AR355" s="49">
        <f t="shared" ca="1" si="207"/>
        <v>283</v>
      </c>
      <c r="AT355" s="50">
        <f t="shared" ca="1" si="190"/>
        <v>0.86805442644858011</v>
      </c>
      <c r="AU355" s="8">
        <v>1</v>
      </c>
      <c r="AV355" s="49">
        <f t="shared" ca="1" si="208"/>
        <v>249</v>
      </c>
      <c r="AX355" s="50">
        <f t="shared" ca="1" si="191"/>
        <v>0.48511727352093992</v>
      </c>
      <c r="AY355" s="8">
        <v>1</v>
      </c>
      <c r="AZ355" s="49">
        <f t="shared" ca="1" si="209"/>
        <v>179</v>
      </c>
      <c r="BB355" s="50">
        <f t="shared" ca="1" si="192"/>
        <v>0.11062672417434793</v>
      </c>
      <c r="BC355" s="8">
        <v>1</v>
      </c>
      <c r="BD355" s="49">
        <f t="shared" ca="1" si="210"/>
        <v>108</v>
      </c>
      <c r="BF355" s="50">
        <f t="shared" ca="1" si="193"/>
        <v>0.36107404925765563</v>
      </c>
      <c r="BG355" s="8">
        <v>1</v>
      </c>
      <c r="BH355" s="49">
        <f t="shared" ca="1" si="211"/>
        <v>149</v>
      </c>
      <c r="BJ355" s="50">
        <f t="shared" ca="1" si="194"/>
        <v>8.1623706557488074E-2</v>
      </c>
      <c r="BK355" s="8">
        <v>1</v>
      </c>
      <c r="BL355" s="49">
        <f t="shared" ca="1" si="212"/>
        <v>83</v>
      </c>
      <c r="BN355" s="50">
        <f t="shared" ca="1" si="195"/>
        <v>0.87105193928308366</v>
      </c>
      <c r="BO355" s="8">
        <v>1</v>
      </c>
      <c r="BP355" s="49">
        <f t="shared" ca="1" si="213"/>
        <v>226</v>
      </c>
      <c r="BR355" s="50">
        <f t="shared" ca="1" si="196"/>
        <v>0.22789818056366629</v>
      </c>
      <c r="BS355" s="8">
        <v>1</v>
      </c>
      <c r="BT355" s="49">
        <f t="shared" ca="1" si="214"/>
        <v>147</v>
      </c>
    </row>
    <row r="356" spans="1:72" x14ac:dyDescent="0.2">
      <c r="A356" s="22">
        <v>44903</v>
      </c>
      <c r="B356" s="50">
        <f t="shared" ca="1" si="179"/>
        <v>0.24917727700139869</v>
      </c>
      <c r="C356" s="8">
        <v>1</v>
      </c>
      <c r="D356" s="49">
        <f t="shared" ca="1" si="197"/>
        <v>87</v>
      </c>
      <c r="F356" s="50">
        <f t="shared" ca="1" si="180"/>
        <v>0.69795108296259933</v>
      </c>
      <c r="G356" s="8">
        <v>1</v>
      </c>
      <c r="H356" s="49">
        <f t="shared" ca="1" si="198"/>
        <v>246</v>
      </c>
      <c r="J356" s="50">
        <f t="shared" ca="1" si="181"/>
        <v>0.43470428489330593</v>
      </c>
      <c r="K356" s="8">
        <v>1</v>
      </c>
      <c r="L356" s="49">
        <f t="shared" ca="1" si="199"/>
        <v>144</v>
      </c>
      <c r="N356" s="50">
        <f t="shared" ca="1" si="182"/>
        <v>0.92548416202504258</v>
      </c>
      <c r="O356" s="8">
        <v>1</v>
      </c>
      <c r="P356" s="49">
        <f t="shared" ca="1" si="200"/>
        <v>318</v>
      </c>
      <c r="R356" s="50">
        <f t="shared" ca="1" si="183"/>
        <v>0.59202901757259896</v>
      </c>
      <c r="S356" s="8">
        <v>1</v>
      </c>
      <c r="T356" s="49">
        <f t="shared" ca="1" si="201"/>
        <v>148</v>
      </c>
      <c r="V356" s="50">
        <f t="shared" ca="1" si="184"/>
        <v>0.17712866896985235</v>
      </c>
      <c r="W356" s="8">
        <v>1</v>
      </c>
      <c r="X356" s="49">
        <f t="shared" ca="1" si="202"/>
        <v>170</v>
      </c>
      <c r="Z356" s="50">
        <f t="shared" ca="1" si="185"/>
        <v>0.44051471254860253</v>
      </c>
      <c r="AA356" s="8">
        <v>1</v>
      </c>
      <c r="AB356" s="49">
        <f t="shared" ca="1" si="203"/>
        <v>260</v>
      </c>
      <c r="AD356" s="50">
        <f t="shared" ca="1" si="186"/>
        <v>0.8824572363856108</v>
      </c>
      <c r="AE356" s="8">
        <v>1</v>
      </c>
      <c r="AF356" s="49">
        <f t="shared" ca="1" si="204"/>
        <v>431</v>
      </c>
      <c r="AH356" s="50">
        <f t="shared" ca="1" si="187"/>
        <v>0.64496816932111567</v>
      </c>
      <c r="AI356" s="8">
        <v>1</v>
      </c>
      <c r="AJ356" s="49">
        <f t="shared" ca="1" si="205"/>
        <v>198</v>
      </c>
      <c r="AL356" s="50">
        <f t="shared" ca="1" si="188"/>
        <v>0.40779356498270791</v>
      </c>
      <c r="AM356" s="8">
        <v>1</v>
      </c>
      <c r="AN356" s="49">
        <f t="shared" ca="1" si="206"/>
        <v>138</v>
      </c>
      <c r="AP356" s="50">
        <f t="shared" ca="1" si="189"/>
        <v>0.78218396327064099</v>
      </c>
      <c r="AQ356" s="8">
        <v>1</v>
      </c>
      <c r="AR356" s="49">
        <f t="shared" ca="1" si="207"/>
        <v>262</v>
      </c>
      <c r="AT356" s="50">
        <f t="shared" ca="1" si="190"/>
        <v>0.86445972596472076</v>
      </c>
      <c r="AU356" s="8">
        <v>1</v>
      </c>
      <c r="AV356" s="49">
        <f t="shared" ca="1" si="208"/>
        <v>248</v>
      </c>
      <c r="AX356" s="50">
        <f t="shared" ca="1" si="191"/>
        <v>0.65526357360555354</v>
      </c>
      <c r="AY356" s="8">
        <v>1</v>
      </c>
      <c r="AZ356" s="49">
        <f t="shared" ca="1" si="209"/>
        <v>200</v>
      </c>
      <c r="BB356" s="50">
        <f t="shared" ca="1" si="192"/>
        <v>9.1183595595423883E-2</v>
      </c>
      <c r="BC356" s="8">
        <v>1</v>
      </c>
      <c r="BD356" s="49">
        <f t="shared" ca="1" si="210"/>
        <v>103</v>
      </c>
      <c r="BF356" s="50">
        <f t="shared" ca="1" si="193"/>
        <v>0.97772335621181905</v>
      </c>
      <c r="BG356" s="8">
        <v>1</v>
      </c>
      <c r="BH356" s="49">
        <f t="shared" ca="1" si="211"/>
        <v>253</v>
      </c>
      <c r="BJ356" s="50">
        <f t="shared" ca="1" si="194"/>
        <v>0.28684132553685215</v>
      </c>
      <c r="BK356" s="8">
        <v>1</v>
      </c>
      <c r="BL356" s="49">
        <f t="shared" ca="1" si="212"/>
        <v>112</v>
      </c>
      <c r="BN356" s="50">
        <f t="shared" ca="1" si="195"/>
        <v>0.98226834023348941</v>
      </c>
      <c r="BO356" s="8">
        <v>1</v>
      </c>
      <c r="BP356" s="49">
        <f t="shared" ca="1" si="213"/>
        <v>271</v>
      </c>
      <c r="BR356" s="50">
        <f t="shared" ca="1" si="196"/>
        <v>0.56533623135807232</v>
      </c>
      <c r="BS356" s="8">
        <v>1</v>
      </c>
      <c r="BT356" s="49">
        <f t="shared" ca="1" si="214"/>
        <v>192</v>
      </c>
    </row>
    <row r="357" spans="1:72" x14ac:dyDescent="0.2">
      <c r="A357" s="22">
        <v>44904</v>
      </c>
      <c r="B357" s="50">
        <f t="shared" ca="1" si="179"/>
        <v>0.67947582338234958</v>
      </c>
      <c r="C357" s="8">
        <v>1</v>
      </c>
      <c r="D357" s="49">
        <f t="shared" ca="1" si="197"/>
        <v>110</v>
      </c>
      <c r="F357" s="50">
        <f t="shared" ca="1" si="180"/>
        <v>0.99041580534738882</v>
      </c>
      <c r="G357" s="8">
        <v>1</v>
      </c>
      <c r="H357" s="49">
        <f t="shared" ca="1" si="198"/>
        <v>350</v>
      </c>
      <c r="J357" s="50">
        <f t="shared" ca="1" si="181"/>
        <v>3.6936664698576593E-2</v>
      </c>
      <c r="K357" s="8">
        <v>1</v>
      </c>
      <c r="L357" s="49">
        <f t="shared" ca="1" si="199"/>
        <v>79</v>
      </c>
      <c r="N357" s="50">
        <f t="shared" ca="1" si="182"/>
        <v>0.97716693594853232</v>
      </c>
      <c r="O357" s="8">
        <v>1</v>
      </c>
      <c r="P357" s="49">
        <f t="shared" ca="1" si="200"/>
        <v>352</v>
      </c>
      <c r="R357" s="50">
        <f t="shared" ca="1" si="183"/>
        <v>0.93150563967152256</v>
      </c>
      <c r="S357" s="8">
        <v>1</v>
      </c>
      <c r="T357" s="49">
        <f t="shared" ca="1" si="201"/>
        <v>194</v>
      </c>
      <c r="V357" s="50">
        <f t="shared" ca="1" si="184"/>
        <v>0.73509931458388322</v>
      </c>
      <c r="W357" s="8">
        <v>1</v>
      </c>
      <c r="X357" s="49">
        <f t="shared" ca="1" si="202"/>
        <v>263</v>
      </c>
      <c r="Z357" s="50">
        <f t="shared" ca="1" si="185"/>
        <v>8.9798759817147578E-2</v>
      </c>
      <c r="AA357" s="8">
        <v>1</v>
      </c>
      <c r="AB357" s="49">
        <f t="shared" ca="1" si="203"/>
        <v>174</v>
      </c>
      <c r="AD357" s="50">
        <f t="shared" ca="1" si="186"/>
        <v>0.33025180228611661</v>
      </c>
      <c r="AE357" s="8">
        <v>1</v>
      </c>
      <c r="AF357" s="49">
        <f t="shared" ca="1" si="204"/>
        <v>289</v>
      </c>
      <c r="AH357" s="50">
        <f t="shared" ca="1" si="187"/>
        <v>0.13909219648816884</v>
      </c>
      <c r="AI357" s="8">
        <v>1</v>
      </c>
      <c r="AJ357" s="49">
        <f t="shared" ca="1" si="205"/>
        <v>128</v>
      </c>
      <c r="AL357" s="50">
        <f t="shared" ca="1" si="188"/>
        <v>0.19111787407341108</v>
      </c>
      <c r="AM357" s="8">
        <v>1</v>
      </c>
      <c r="AN357" s="49">
        <f t="shared" ca="1" si="206"/>
        <v>113</v>
      </c>
      <c r="AP357" s="50">
        <f t="shared" ca="1" si="189"/>
        <v>0.23671641651604092</v>
      </c>
      <c r="AQ357" s="8">
        <v>1</v>
      </c>
      <c r="AR357" s="49">
        <f t="shared" ca="1" si="207"/>
        <v>176</v>
      </c>
      <c r="AT357" s="50">
        <f t="shared" ca="1" si="190"/>
        <v>0.49377992127609704</v>
      </c>
      <c r="AU357" s="8">
        <v>1</v>
      </c>
      <c r="AV357" s="49">
        <f t="shared" ca="1" si="208"/>
        <v>191</v>
      </c>
      <c r="AX357" s="50">
        <f t="shared" ca="1" si="191"/>
        <v>0.2547392608260054</v>
      </c>
      <c r="AY357" s="8">
        <v>1</v>
      </c>
      <c r="AZ357" s="49">
        <f t="shared" ca="1" si="209"/>
        <v>149</v>
      </c>
      <c r="BB357" s="50">
        <f t="shared" ca="1" si="192"/>
        <v>0.90336904366398618</v>
      </c>
      <c r="BC357" s="8">
        <v>1</v>
      </c>
      <c r="BD357" s="49">
        <f t="shared" ca="1" si="210"/>
        <v>215</v>
      </c>
      <c r="BF357" s="50">
        <f t="shared" ca="1" si="193"/>
        <v>0.34680079386900198</v>
      </c>
      <c r="BG357" s="8">
        <v>1</v>
      </c>
      <c r="BH357" s="49">
        <f t="shared" ca="1" si="211"/>
        <v>148</v>
      </c>
      <c r="BJ357" s="50">
        <f t="shared" ca="1" si="194"/>
        <v>4.1011084885055338E-3</v>
      </c>
      <c r="BK357" s="8">
        <v>1</v>
      </c>
      <c r="BL357" s="49">
        <f t="shared" ca="1" si="212"/>
        <v>39</v>
      </c>
      <c r="BN357" s="50">
        <f t="shared" ca="1" si="195"/>
        <v>9.9861307796273668E-2</v>
      </c>
      <c r="BO357" s="8">
        <v>1</v>
      </c>
      <c r="BP357" s="49">
        <f t="shared" ca="1" si="213"/>
        <v>115</v>
      </c>
      <c r="BR357" s="50">
        <f t="shared" ca="1" si="196"/>
        <v>8.7309671378290155E-2</v>
      </c>
      <c r="BS357" s="8">
        <v>1</v>
      </c>
      <c r="BT357" s="49">
        <f t="shared" ca="1" si="214"/>
        <v>118</v>
      </c>
    </row>
    <row r="358" spans="1:72" x14ac:dyDescent="0.2">
      <c r="A358" s="22">
        <v>44905</v>
      </c>
      <c r="B358" s="50">
        <f t="shared" ca="1" si="179"/>
        <v>0.12918507843083349</v>
      </c>
      <c r="C358" s="8">
        <v>1</v>
      </c>
      <c r="D358" s="49">
        <f t="shared" ca="1" si="197"/>
        <v>78</v>
      </c>
      <c r="F358" s="50">
        <f t="shared" ca="1" si="180"/>
        <v>0.27677953477782291</v>
      </c>
      <c r="G358" s="8">
        <v>1</v>
      </c>
      <c r="H358" s="49">
        <f t="shared" ca="1" si="198"/>
        <v>182</v>
      </c>
      <c r="J358" s="50">
        <f t="shared" ca="1" si="181"/>
        <v>0.99405865903270829</v>
      </c>
      <c r="K358" s="8">
        <v>1</v>
      </c>
      <c r="L358" s="49">
        <f t="shared" ca="1" si="199"/>
        <v>251</v>
      </c>
      <c r="N358" s="50">
        <f t="shared" ca="1" si="182"/>
        <v>0.41954801461889268</v>
      </c>
      <c r="O358" s="8">
        <v>1</v>
      </c>
      <c r="P358" s="49">
        <f t="shared" ca="1" si="200"/>
        <v>217</v>
      </c>
      <c r="R358" s="50">
        <f t="shared" ca="1" si="183"/>
        <v>8.6968953309095598E-3</v>
      </c>
      <c r="S358" s="8">
        <v>1</v>
      </c>
      <c r="T358" s="49">
        <f t="shared" ca="1" si="201"/>
        <v>51</v>
      </c>
      <c r="V358" s="50">
        <f t="shared" ca="1" si="184"/>
        <v>0.99785013999609973</v>
      </c>
      <c r="W358" s="8">
        <v>1</v>
      </c>
      <c r="X358" s="49">
        <f t="shared" ca="1" si="202"/>
        <v>397</v>
      </c>
      <c r="Z358" s="50">
        <f t="shared" ca="1" si="185"/>
        <v>0.24399436478363168</v>
      </c>
      <c r="AA358" s="8">
        <v>1</v>
      </c>
      <c r="AB358" s="49">
        <f t="shared" ca="1" si="203"/>
        <v>221</v>
      </c>
      <c r="AD358" s="50">
        <f t="shared" ca="1" si="186"/>
        <v>0.11389872802458079</v>
      </c>
      <c r="AE358" s="8">
        <v>1</v>
      </c>
      <c r="AF358" s="49">
        <f t="shared" ca="1" si="204"/>
        <v>222</v>
      </c>
      <c r="AH358" s="50">
        <f t="shared" ca="1" si="187"/>
        <v>0.64356624833959508</v>
      </c>
      <c r="AI358" s="8">
        <v>1</v>
      </c>
      <c r="AJ358" s="49">
        <f t="shared" ca="1" si="205"/>
        <v>198</v>
      </c>
      <c r="AL358" s="50">
        <f t="shared" ca="1" si="188"/>
        <v>0.36408178880738185</v>
      </c>
      <c r="AM358" s="8">
        <v>1</v>
      </c>
      <c r="AN358" s="49">
        <f t="shared" ca="1" si="206"/>
        <v>134</v>
      </c>
      <c r="AP358" s="50">
        <f t="shared" ca="1" si="189"/>
        <v>0.39621819799278579</v>
      </c>
      <c r="AQ358" s="8">
        <v>1</v>
      </c>
      <c r="AR358" s="49">
        <f t="shared" ca="1" si="207"/>
        <v>202</v>
      </c>
      <c r="AT358" s="50">
        <f t="shared" ca="1" si="190"/>
        <v>0.15364358564459413</v>
      </c>
      <c r="AU358" s="8">
        <v>1</v>
      </c>
      <c r="AV358" s="49">
        <f t="shared" ca="1" si="208"/>
        <v>140</v>
      </c>
      <c r="AX358" s="50">
        <f t="shared" ca="1" si="191"/>
        <v>8.9562585986106669E-2</v>
      </c>
      <c r="AY358" s="8">
        <v>1</v>
      </c>
      <c r="AZ358" s="49">
        <f t="shared" ca="1" si="209"/>
        <v>116</v>
      </c>
      <c r="BB358" s="50">
        <f t="shared" ca="1" si="192"/>
        <v>0.1966429738155836</v>
      </c>
      <c r="BC358" s="8">
        <v>1</v>
      </c>
      <c r="BD358" s="49">
        <f t="shared" ca="1" si="210"/>
        <v>124</v>
      </c>
      <c r="BF358" s="50">
        <f t="shared" ca="1" si="193"/>
        <v>4.4089859161589029E-3</v>
      </c>
      <c r="BG358" s="8">
        <v>1</v>
      </c>
      <c r="BH358" s="49">
        <f t="shared" ca="1" si="211"/>
        <v>50</v>
      </c>
      <c r="BJ358" s="50">
        <f t="shared" ca="1" si="194"/>
        <v>1.5812780537628246E-2</v>
      </c>
      <c r="BK358" s="8">
        <v>1</v>
      </c>
      <c r="BL358" s="49">
        <f t="shared" ca="1" si="212"/>
        <v>56</v>
      </c>
      <c r="BN358" s="50">
        <f t="shared" ca="1" si="195"/>
        <v>0.17905655949623278</v>
      </c>
      <c r="BO358" s="8">
        <v>1</v>
      </c>
      <c r="BP358" s="49">
        <f t="shared" ca="1" si="213"/>
        <v>132</v>
      </c>
      <c r="BR358" s="50">
        <f t="shared" ca="1" si="196"/>
        <v>4.4214213982258221E-2</v>
      </c>
      <c r="BS358" s="8">
        <v>1</v>
      </c>
      <c r="BT358" s="49">
        <f t="shared" ca="1" si="214"/>
        <v>101</v>
      </c>
    </row>
    <row r="359" spans="1:72" x14ac:dyDescent="0.2">
      <c r="A359" s="22">
        <v>44906</v>
      </c>
      <c r="B359" s="50">
        <f t="shared" ca="1" si="179"/>
        <v>0.8878705500420313</v>
      </c>
      <c r="C359" s="8">
        <v>1</v>
      </c>
      <c r="D359" s="49">
        <f t="shared" ca="1" si="197"/>
        <v>125</v>
      </c>
      <c r="F359" s="50">
        <f t="shared" ca="1" si="180"/>
        <v>1.0015169086092679E-2</v>
      </c>
      <c r="G359" s="8">
        <v>1</v>
      </c>
      <c r="H359" s="49">
        <f t="shared" ca="1" si="198"/>
        <v>82</v>
      </c>
      <c r="J359" s="50">
        <f t="shared" ca="1" si="181"/>
        <v>0.18727455002764914</v>
      </c>
      <c r="K359" s="8">
        <v>1</v>
      </c>
      <c r="L359" s="49">
        <f t="shared" ca="1" si="199"/>
        <v>115</v>
      </c>
      <c r="N359" s="50">
        <f t="shared" ca="1" si="182"/>
        <v>0.61812817076296922</v>
      </c>
      <c r="O359" s="8">
        <v>1</v>
      </c>
      <c r="P359" s="49">
        <f t="shared" ca="1" si="200"/>
        <v>248</v>
      </c>
      <c r="R359" s="50">
        <f t="shared" ca="1" si="183"/>
        <v>0.21063564360414611</v>
      </c>
      <c r="S359" s="8">
        <v>1</v>
      </c>
      <c r="T359" s="49">
        <f t="shared" ca="1" si="201"/>
        <v>109</v>
      </c>
      <c r="V359" s="50">
        <f t="shared" ca="1" si="184"/>
        <v>0.37048746825821754</v>
      </c>
      <c r="W359" s="8">
        <v>1</v>
      </c>
      <c r="X359" s="49">
        <f t="shared" ca="1" si="202"/>
        <v>206</v>
      </c>
      <c r="Z359" s="50">
        <f t="shared" ca="1" si="185"/>
        <v>0.34565959318837192</v>
      </c>
      <c r="AA359" s="8">
        <v>1</v>
      </c>
      <c r="AB359" s="49">
        <f t="shared" ca="1" si="203"/>
        <v>242</v>
      </c>
      <c r="AD359" s="50">
        <f t="shared" ca="1" si="186"/>
        <v>0.75789016695260825</v>
      </c>
      <c r="AE359" s="8">
        <v>1</v>
      </c>
      <c r="AF359" s="49">
        <f t="shared" ca="1" si="204"/>
        <v>388</v>
      </c>
      <c r="AH359" s="50">
        <f t="shared" ca="1" si="187"/>
        <v>0.62187330524411555</v>
      </c>
      <c r="AI359" s="8">
        <v>1</v>
      </c>
      <c r="AJ359" s="49">
        <f t="shared" ca="1" si="205"/>
        <v>195</v>
      </c>
      <c r="AL359" s="50">
        <f t="shared" ca="1" si="188"/>
        <v>0.1311559590218645</v>
      </c>
      <c r="AM359" s="8">
        <v>1</v>
      </c>
      <c r="AN359" s="49">
        <f t="shared" ca="1" si="206"/>
        <v>104</v>
      </c>
      <c r="AP359" s="50">
        <f t="shared" ca="1" si="189"/>
        <v>0.91418312435310711</v>
      </c>
      <c r="AQ359" s="8">
        <v>1</v>
      </c>
      <c r="AR359" s="49">
        <f t="shared" ca="1" si="207"/>
        <v>296</v>
      </c>
      <c r="AT359" s="50">
        <f t="shared" ca="1" si="190"/>
        <v>0.86384519959362793</v>
      </c>
      <c r="AU359" s="8">
        <v>1</v>
      </c>
      <c r="AV359" s="49">
        <f t="shared" ca="1" si="208"/>
        <v>248</v>
      </c>
      <c r="AX359" s="50">
        <f t="shared" ca="1" si="191"/>
        <v>0.53885322506080857</v>
      </c>
      <c r="AY359" s="8">
        <v>1</v>
      </c>
      <c r="AZ359" s="49">
        <f t="shared" ca="1" si="209"/>
        <v>185</v>
      </c>
      <c r="BB359" s="50">
        <f t="shared" ca="1" si="192"/>
        <v>0.76585483239322294</v>
      </c>
      <c r="BC359" s="8">
        <v>1</v>
      </c>
      <c r="BD359" s="49">
        <f t="shared" ca="1" si="210"/>
        <v>191</v>
      </c>
      <c r="BF359" s="50">
        <f t="shared" ca="1" si="193"/>
        <v>0.19708566864557531</v>
      </c>
      <c r="BG359" s="8">
        <v>1</v>
      </c>
      <c r="BH359" s="49">
        <f t="shared" ca="1" si="211"/>
        <v>128</v>
      </c>
      <c r="BJ359" s="50">
        <f t="shared" ca="1" si="194"/>
        <v>0.69009439588512456</v>
      </c>
      <c r="BK359" s="8">
        <v>1</v>
      </c>
      <c r="BL359" s="49">
        <f t="shared" ca="1" si="212"/>
        <v>149</v>
      </c>
      <c r="BN359" s="50">
        <f t="shared" ca="1" si="195"/>
        <v>0.96239824491291903</v>
      </c>
      <c r="BO359" s="8">
        <v>1</v>
      </c>
      <c r="BP359" s="49">
        <f t="shared" ca="1" si="213"/>
        <v>256</v>
      </c>
      <c r="BR359" s="50">
        <f t="shared" ca="1" si="196"/>
        <v>0.99703400467329528</v>
      </c>
      <c r="BS359" s="8">
        <v>1</v>
      </c>
      <c r="BT359" s="49">
        <f t="shared" ca="1" si="214"/>
        <v>319</v>
      </c>
    </row>
    <row r="360" spans="1:72" x14ac:dyDescent="0.2">
      <c r="A360" s="22">
        <v>44907</v>
      </c>
      <c r="B360" s="50">
        <f t="shared" ca="1" si="179"/>
        <v>0.16826108522684591</v>
      </c>
      <c r="C360" s="8">
        <v>1</v>
      </c>
      <c r="D360" s="49">
        <f t="shared" ca="1" si="197"/>
        <v>81</v>
      </c>
      <c r="F360" s="50">
        <f t="shared" ca="1" si="180"/>
        <v>0.27763624332287784</v>
      </c>
      <c r="G360" s="8">
        <v>1</v>
      </c>
      <c r="H360" s="49">
        <f t="shared" ca="1" si="198"/>
        <v>182</v>
      </c>
      <c r="J360" s="50">
        <f t="shared" ca="1" si="181"/>
        <v>0.47358397165449007</v>
      </c>
      <c r="K360" s="8">
        <v>1</v>
      </c>
      <c r="L360" s="49">
        <f t="shared" ca="1" si="199"/>
        <v>148</v>
      </c>
      <c r="N360" s="50">
        <f t="shared" ca="1" si="182"/>
        <v>0.63970299546019882</v>
      </c>
      <c r="O360" s="8">
        <v>1</v>
      </c>
      <c r="P360" s="49">
        <f t="shared" ca="1" si="200"/>
        <v>252</v>
      </c>
      <c r="R360" s="50">
        <f t="shared" ca="1" si="183"/>
        <v>9.3376156738551597E-3</v>
      </c>
      <c r="S360" s="8">
        <v>1</v>
      </c>
      <c r="T360" s="49">
        <f t="shared" ca="1" si="201"/>
        <v>52</v>
      </c>
      <c r="V360" s="50">
        <f t="shared" ca="1" si="184"/>
        <v>0.48797982369668158</v>
      </c>
      <c r="W360" s="8">
        <v>1</v>
      </c>
      <c r="X360" s="49">
        <f t="shared" ca="1" si="202"/>
        <v>224</v>
      </c>
      <c r="Z360" s="50">
        <f t="shared" ca="1" si="185"/>
        <v>0.5286467112841845</v>
      </c>
      <c r="AA360" s="8">
        <v>1</v>
      </c>
      <c r="AB360" s="49">
        <f t="shared" ca="1" si="203"/>
        <v>276</v>
      </c>
      <c r="AD360" s="50">
        <f t="shared" ca="1" si="186"/>
        <v>0.35092640959903532</v>
      </c>
      <c r="AE360" s="8">
        <v>1</v>
      </c>
      <c r="AF360" s="49">
        <f t="shared" ca="1" si="204"/>
        <v>294</v>
      </c>
      <c r="AH360" s="50">
        <f t="shared" ca="1" si="187"/>
        <v>0.53855962926955325</v>
      </c>
      <c r="AI360" s="8">
        <v>1</v>
      </c>
      <c r="AJ360" s="49">
        <f t="shared" ca="1" si="205"/>
        <v>185</v>
      </c>
      <c r="AL360" s="50">
        <f t="shared" ca="1" si="188"/>
        <v>0.83477381654194249</v>
      </c>
      <c r="AM360" s="8">
        <v>1</v>
      </c>
      <c r="AN360" s="49">
        <f t="shared" ca="1" si="206"/>
        <v>186</v>
      </c>
      <c r="AP360" s="50">
        <f t="shared" ca="1" si="189"/>
        <v>0.70761677449202753</v>
      </c>
      <c r="AQ360" s="8">
        <v>1</v>
      </c>
      <c r="AR360" s="49">
        <f t="shared" ca="1" si="207"/>
        <v>249</v>
      </c>
      <c r="AT360" s="50">
        <f t="shared" ca="1" si="190"/>
        <v>6.1594656977904005E-2</v>
      </c>
      <c r="AU360" s="8">
        <v>1</v>
      </c>
      <c r="AV360" s="49">
        <f t="shared" ca="1" si="208"/>
        <v>113</v>
      </c>
      <c r="AX360" s="50">
        <f t="shared" ca="1" si="191"/>
        <v>0.11039044698560807</v>
      </c>
      <c r="AY360" s="8">
        <v>1</v>
      </c>
      <c r="AZ360" s="49">
        <f t="shared" ca="1" si="209"/>
        <v>122</v>
      </c>
      <c r="BB360" s="50">
        <f t="shared" ca="1" si="192"/>
        <v>0.27253629951430747</v>
      </c>
      <c r="BC360" s="8">
        <v>1</v>
      </c>
      <c r="BD360" s="49">
        <f t="shared" ca="1" si="210"/>
        <v>134</v>
      </c>
      <c r="BF360" s="50">
        <f t="shared" ca="1" si="193"/>
        <v>0.36245820870115864</v>
      </c>
      <c r="BG360" s="8">
        <v>1</v>
      </c>
      <c r="BH360" s="49">
        <f t="shared" ca="1" si="211"/>
        <v>150</v>
      </c>
      <c r="BJ360" s="50">
        <f t="shared" ca="1" si="194"/>
        <v>0.97668864907761055</v>
      </c>
      <c r="BK360" s="8">
        <v>1</v>
      </c>
      <c r="BL360" s="49">
        <f t="shared" ca="1" si="212"/>
        <v>201</v>
      </c>
      <c r="BN360" s="50">
        <f t="shared" ca="1" si="195"/>
        <v>0.81534049222092442</v>
      </c>
      <c r="BO360" s="8">
        <v>1</v>
      </c>
      <c r="BP360" s="49">
        <f t="shared" ca="1" si="213"/>
        <v>216</v>
      </c>
      <c r="BR360" s="50">
        <f t="shared" ca="1" si="196"/>
        <v>0.77924141445913975</v>
      </c>
      <c r="BS360" s="8">
        <v>1</v>
      </c>
      <c r="BT360" s="49">
        <f t="shared" ca="1" si="214"/>
        <v>222</v>
      </c>
    </row>
    <row r="361" spans="1:72" x14ac:dyDescent="0.2">
      <c r="A361" s="22">
        <v>44908</v>
      </c>
      <c r="B361" s="50">
        <f t="shared" ca="1" si="179"/>
        <v>0.15901374426165704</v>
      </c>
      <c r="C361" s="8">
        <v>1</v>
      </c>
      <c r="D361" s="49">
        <f t="shared" ca="1" si="197"/>
        <v>81</v>
      </c>
      <c r="F361" s="50">
        <f t="shared" ca="1" si="180"/>
        <v>0.48129923071451985</v>
      </c>
      <c r="G361" s="8">
        <v>1</v>
      </c>
      <c r="H361" s="49">
        <f t="shared" ca="1" si="198"/>
        <v>213</v>
      </c>
      <c r="J361" s="50">
        <f t="shared" ca="1" si="181"/>
        <v>0.65334569543256193</v>
      </c>
      <c r="K361" s="8">
        <v>1</v>
      </c>
      <c r="L361" s="49">
        <f t="shared" ca="1" si="199"/>
        <v>166</v>
      </c>
      <c r="N361" s="50">
        <f t="shared" ca="1" si="182"/>
        <v>2.7083991440947086E-3</v>
      </c>
      <c r="O361" s="8">
        <v>1</v>
      </c>
      <c r="P361" s="49">
        <f t="shared" ca="1" si="200"/>
        <v>60</v>
      </c>
      <c r="R361" s="50">
        <f t="shared" ca="1" si="183"/>
        <v>0.43074709776756281</v>
      </c>
      <c r="S361" s="8">
        <v>1</v>
      </c>
      <c r="T361" s="49">
        <f t="shared" ca="1" si="201"/>
        <v>133</v>
      </c>
      <c r="V361" s="50">
        <f t="shared" ca="1" si="184"/>
        <v>0.16992092322243757</v>
      </c>
      <c r="W361" s="8">
        <v>1</v>
      </c>
      <c r="X361" s="49">
        <f t="shared" ca="1" si="202"/>
        <v>168</v>
      </c>
      <c r="Z361" s="50">
        <f t="shared" ca="1" si="185"/>
        <v>0.38994872204350528</v>
      </c>
      <c r="AA361" s="8">
        <v>1</v>
      </c>
      <c r="AB361" s="49">
        <f t="shared" ca="1" si="203"/>
        <v>250</v>
      </c>
      <c r="AD361" s="50">
        <f t="shared" ca="1" si="186"/>
        <v>0.40068523332060302</v>
      </c>
      <c r="AE361" s="8">
        <v>1</v>
      </c>
      <c r="AF361" s="49">
        <f t="shared" ca="1" si="204"/>
        <v>306</v>
      </c>
      <c r="AH361" s="50">
        <f t="shared" ca="1" si="187"/>
        <v>0.65192672399608975</v>
      </c>
      <c r="AI361" s="8">
        <v>1</v>
      </c>
      <c r="AJ361" s="49">
        <f t="shared" ca="1" si="205"/>
        <v>199</v>
      </c>
      <c r="AL361" s="50">
        <f t="shared" ca="1" si="188"/>
        <v>8.3263703825004365E-2</v>
      </c>
      <c r="AM361" s="8">
        <v>1</v>
      </c>
      <c r="AN361" s="49">
        <f t="shared" ca="1" si="206"/>
        <v>93</v>
      </c>
      <c r="AP361" s="50">
        <f t="shared" ca="1" si="189"/>
        <v>0.9491033591598188</v>
      </c>
      <c r="AQ361" s="8">
        <v>1</v>
      </c>
      <c r="AR361" s="49">
        <f t="shared" ca="1" si="207"/>
        <v>312</v>
      </c>
      <c r="AT361" s="50">
        <f t="shared" ca="1" si="190"/>
        <v>0.31076663891848288</v>
      </c>
      <c r="AU361" s="8">
        <v>1</v>
      </c>
      <c r="AV361" s="49">
        <f t="shared" ca="1" si="208"/>
        <v>167</v>
      </c>
      <c r="AX361" s="50">
        <f t="shared" ca="1" si="191"/>
        <v>0.68020444288612059</v>
      </c>
      <c r="AY361" s="8">
        <v>1</v>
      </c>
      <c r="AZ361" s="49">
        <f t="shared" ca="1" si="209"/>
        <v>203</v>
      </c>
      <c r="BB361" s="50">
        <f t="shared" ca="1" si="192"/>
        <v>0.76732129681358485</v>
      </c>
      <c r="BC361" s="8">
        <v>1</v>
      </c>
      <c r="BD361" s="49">
        <f t="shared" ca="1" si="210"/>
        <v>191</v>
      </c>
      <c r="BF361" s="50">
        <f t="shared" ca="1" si="193"/>
        <v>0.77934143777782627</v>
      </c>
      <c r="BG361" s="8">
        <v>1</v>
      </c>
      <c r="BH361" s="49">
        <f t="shared" ca="1" si="211"/>
        <v>199</v>
      </c>
      <c r="BJ361" s="50">
        <f t="shared" ca="1" si="194"/>
        <v>3.7165769064104848E-2</v>
      </c>
      <c r="BK361" s="8">
        <v>1</v>
      </c>
      <c r="BL361" s="49">
        <f t="shared" ca="1" si="212"/>
        <v>69</v>
      </c>
      <c r="BN361" s="50">
        <f t="shared" ca="1" si="195"/>
        <v>0.70718284050489622</v>
      </c>
      <c r="BO361" s="8">
        <v>1</v>
      </c>
      <c r="BP361" s="49">
        <f t="shared" ca="1" si="213"/>
        <v>199</v>
      </c>
      <c r="BR361" s="50">
        <f t="shared" ca="1" si="196"/>
        <v>0.61310258326700362</v>
      </c>
      <c r="BS361" s="8">
        <v>1</v>
      </c>
      <c r="BT361" s="49">
        <f t="shared" ca="1" si="214"/>
        <v>198</v>
      </c>
    </row>
    <row r="362" spans="1:72" x14ac:dyDescent="0.2">
      <c r="A362" s="22">
        <v>44909</v>
      </c>
      <c r="B362" s="50">
        <f t="shared" ca="1" si="179"/>
        <v>0.20148190424334256</v>
      </c>
      <c r="C362" s="8">
        <v>1</v>
      </c>
      <c r="D362" s="49">
        <f t="shared" ca="1" si="197"/>
        <v>84</v>
      </c>
      <c r="F362" s="50">
        <f t="shared" ca="1" si="180"/>
        <v>0.82842684623185625</v>
      </c>
      <c r="G362" s="8">
        <v>1</v>
      </c>
      <c r="H362" s="49">
        <f t="shared" ca="1" si="198"/>
        <v>270</v>
      </c>
      <c r="J362" s="50">
        <f t="shared" ca="1" si="181"/>
        <v>0.68177142157370574</v>
      </c>
      <c r="K362" s="8">
        <v>1</v>
      </c>
      <c r="L362" s="49">
        <f t="shared" ca="1" si="199"/>
        <v>169</v>
      </c>
      <c r="N362" s="50">
        <f t="shared" ca="1" si="182"/>
        <v>0.9754375597665832</v>
      </c>
      <c r="O362" s="8">
        <v>1</v>
      </c>
      <c r="P362" s="49">
        <f t="shared" ca="1" si="200"/>
        <v>350</v>
      </c>
      <c r="R362" s="50">
        <f t="shared" ca="1" si="183"/>
        <v>0.78834150287595728</v>
      </c>
      <c r="S362" s="8">
        <v>1</v>
      </c>
      <c r="T362" s="49">
        <f t="shared" ca="1" si="201"/>
        <v>169</v>
      </c>
      <c r="V362" s="50">
        <f t="shared" ca="1" si="184"/>
        <v>0.54553356524661656</v>
      </c>
      <c r="W362" s="8">
        <v>1</v>
      </c>
      <c r="X362" s="49">
        <f t="shared" ca="1" si="202"/>
        <v>232</v>
      </c>
      <c r="Z362" s="50">
        <f t="shared" ca="1" si="185"/>
        <v>0.87059616535129747</v>
      </c>
      <c r="AA362" s="8">
        <v>1</v>
      </c>
      <c r="AB362" s="49">
        <f t="shared" ca="1" si="203"/>
        <v>352</v>
      </c>
      <c r="AD362" s="50">
        <f t="shared" ca="1" si="186"/>
        <v>0.94043433789132191</v>
      </c>
      <c r="AE362" s="8">
        <v>1</v>
      </c>
      <c r="AF362" s="49">
        <f t="shared" ca="1" si="204"/>
        <v>463</v>
      </c>
      <c r="AH362" s="50">
        <f t="shared" ca="1" si="187"/>
        <v>0.25216118087833006</v>
      </c>
      <c r="AI362" s="8">
        <v>1</v>
      </c>
      <c r="AJ362" s="49">
        <f t="shared" ca="1" si="205"/>
        <v>148</v>
      </c>
      <c r="AL362" s="50">
        <f t="shared" ca="1" si="188"/>
        <v>0.72115144979856927</v>
      </c>
      <c r="AM362" s="8">
        <v>1</v>
      </c>
      <c r="AN362" s="49">
        <f t="shared" ca="1" si="206"/>
        <v>171</v>
      </c>
      <c r="AP362" s="50">
        <f t="shared" ca="1" si="189"/>
        <v>0.21696832455796367</v>
      </c>
      <c r="AQ362" s="8">
        <v>1</v>
      </c>
      <c r="AR362" s="49">
        <f t="shared" ca="1" si="207"/>
        <v>172</v>
      </c>
      <c r="AT362" s="50">
        <f t="shared" ca="1" si="190"/>
        <v>0.84840746120196231</v>
      </c>
      <c r="AU362" s="8">
        <v>1</v>
      </c>
      <c r="AV362" s="49">
        <f t="shared" ca="1" si="208"/>
        <v>245</v>
      </c>
      <c r="AX362" s="50">
        <f t="shared" ca="1" si="191"/>
        <v>0.96184241011950555</v>
      </c>
      <c r="AY362" s="8">
        <v>1</v>
      </c>
      <c r="AZ362" s="49">
        <f t="shared" ca="1" si="209"/>
        <v>265</v>
      </c>
      <c r="BB362" s="50">
        <f t="shared" ca="1" si="192"/>
        <v>0.81810981910979697</v>
      </c>
      <c r="BC362" s="8">
        <v>1</v>
      </c>
      <c r="BD362" s="49">
        <f t="shared" ca="1" si="210"/>
        <v>199</v>
      </c>
      <c r="BF362" s="50">
        <f t="shared" ca="1" si="193"/>
        <v>2.5459324931221605E-2</v>
      </c>
      <c r="BG362" s="8">
        <v>1</v>
      </c>
      <c r="BH362" s="49">
        <f t="shared" ca="1" si="211"/>
        <v>79</v>
      </c>
      <c r="BJ362" s="50">
        <f t="shared" ca="1" si="194"/>
        <v>4.8559929345023956E-2</v>
      </c>
      <c r="BK362" s="8">
        <v>1</v>
      </c>
      <c r="BL362" s="49">
        <f t="shared" ca="1" si="212"/>
        <v>74</v>
      </c>
      <c r="BN362" s="50">
        <f t="shared" ca="1" si="195"/>
        <v>0.75932035902247674</v>
      </c>
      <c r="BO362" s="8">
        <v>1</v>
      </c>
      <c r="BP362" s="49">
        <f t="shared" ca="1" si="213"/>
        <v>207</v>
      </c>
      <c r="BR362" s="50">
        <f t="shared" ca="1" si="196"/>
        <v>0.84271167071736697</v>
      </c>
      <c r="BS362" s="8">
        <v>1</v>
      </c>
      <c r="BT362" s="49">
        <f t="shared" ca="1" si="214"/>
        <v>233</v>
      </c>
    </row>
    <row r="363" spans="1:72" x14ac:dyDescent="0.2">
      <c r="A363" s="22">
        <v>44910</v>
      </c>
      <c r="B363" s="50">
        <f t="shared" ca="1" si="179"/>
        <v>0.96527123258032499</v>
      </c>
      <c r="C363" s="8">
        <v>1</v>
      </c>
      <c r="D363" s="49">
        <f t="shared" ca="1" si="197"/>
        <v>137</v>
      </c>
      <c r="F363" s="50">
        <f t="shared" ca="1" si="180"/>
        <v>0.63140036632543262</v>
      </c>
      <c r="G363" s="8">
        <v>1</v>
      </c>
      <c r="H363" s="49">
        <f t="shared" ca="1" si="198"/>
        <v>235</v>
      </c>
      <c r="J363" s="50">
        <f t="shared" ca="1" si="181"/>
        <v>0.2948449854063574</v>
      </c>
      <c r="K363" s="8">
        <v>1</v>
      </c>
      <c r="L363" s="49">
        <f t="shared" ca="1" si="199"/>
        <v>129</v>
      </c>
      <c r="N363" s="50">
        <f t="shared" ca="1" si="182"/>
        <v>0.56948412355121902</v>
      </c>
      <c r="O363" s="8">
        <v>1</v>
      </c>
      <c r="P363" s="49">
        <f t="shared" ca="1" si="200"/>
        <v>241</v>
      </c>
      <c r="R363" s="50">
        <f t="shared" ca="1" si="183"/>
        <v>0.87946767719808439</v>
      </c>
      <c r="S363" s="8">
        <v>1</v>
      </c>
      <c r="T363" s="49">
        <f t="shared" ca="1" si="201"/>
        <v>183</v>
      </c>
      <c r="V363" s="50">
        <f t="shared" ca="1" si="184"/>
        <v>0.80808756134160376</v>
      </c>
      <c r="W363" s="8">
        <v>1</v>
      </c>
      <c r="X363" s="49">
        <f t="shared" ca="1" si="202"/>
        <v>278</v>
      </c>
      <c r="Z363" s="50">
        <f t="shared" ca="1" si="185"/>
        <v>0.88760938651167809</v>
      </c>
      <c r="AA363" s="8">
        <v>1</v>
      </c>
      <c r="AB363" s="49">
        <f t="shared" ca="1" si="203"/>
        <v>358</v>
      </c>
      <c r="AD363" s="50">
        <f t="shared" ca="1" si="186"/>
        <v>0.75094686883849515</v>
      </c>
      <c r="AE363" s="8">
        <v>1</v>
      </c>
      <c r="AF363" s="49">
        <f t="shared" ca="1" si="204"/>
        <v>387</v>
      </c>
      <c r="AH363" s="50">
        <f t="shared" ca="1" si="187"/>
        <v>0.22181765638808626</v>
      </c>
      <c r="AI363" s="8">
        <v>1</v>
      </c>
      <c r="AJ363" s="49">
        <f t="shared" ca="1" si="205"/>
        <v>144</v>
      </c>
      <c r="AL363" s="50">
        <f t="shared" ca="1" si="188"/>
        <v>5.897563103544412E-2</v>
      </c>
      <c r="AM363" s="8">
        <v>1</v>
      </c>
      <c r="AN363" s="49">
        <f t="shared" ca="1" si="206"/>
        <v>86</v>
      </c>
      <c r="AP363" s="50">
        <f t="shared" ca="1" si="189"/>
        <v>7.9773981524801751E-2</v>
      </c>
      <c r="AQ363" s="8">
        <v>1</v>
      </c>
      <c r="AR363" s="49">
        <f t="shared" ca="1" si="207"/>
        <v>136</v>
      </c>
      <c r="AT363" s="50">
        <f t="shared" ca="1" si="190"/>
        <v>0.28658076880628347</v>
      </c>
      <c r="AU363" s="8">
        <v>1</v>
      </c>
      <c r="AV363" s="49">
        <f t="shared" ca="1" si="208"/>
        <v>163</v>
      </c>
      <c r="AX363" s="50">
        <f t="shared" ca="1" si="191"/>
        <v>0.1521526273813385</v>
      </c>
      <c r="AY363" s="8">
        <v>1</v>
      </c>
      <c r="AZ363" s="49">
        <f t="shared" ca="1" si="209"/>
        <v>131</v>
      </c>
      <c r="BB363" s="50">
        <f t="shared" ca="1" si="192"/>
        <v>0.92426454846097894</v>
      </c>
      <c r="BC363" s="8">
        <v>1</v>
      </c>
      <c r="BD363" s="49">
        <f t="shared" ca="1" si="210"/>
        <v>221</v>
      </c>
      <c r="BF363" s="50">
        <f t="shared" ca="1" si="193"/>
        <v>0.94165451595331551</v>
      </c>
      <c r="BG363" s="8">
        <v>1</v>
      </c>
      <c r="BH363" s="49">
        <f t="shared" ca="1" si="211"/>
        <v>234</v>
      </c>
      <c r="BJ363" s="50">
        <f t="shared" ca="1" si="194"/>
        <v>0.87049787559186798</v>
      </c>
      <c r="BK363" s="8">
        <v>1</v>
      </c>
      <c r="BL363" s="49">
        <f t="shared" ca="1" si="212"/>
        <v>171</v>
      </c>
      <c r="BN363" s="50">
        <f t="shared" ca="1" si="195"/>
        <v>0.19897732796430068</v>
      </c>
      <c r="BO363" s="8">
        <v>1</v>
      </c>
      <c r="BP363" s="49">
        <f t="shared" ca="1" si="213"/>
        <v>135</v>
      </c>
      <c r="BR363" s="50">
        <f t="shared" ca="1" si="196"/>
        <v>0.16796969871000889</v>
      </c>
      <c r="BS363" s="8">
        <v>1</v>
      </c>
      <c r="BT363" s="49">
        <f t="shared" ca="1" si="214"/>
        <v>137</v>
      </c>
    </row>
    <row r="364" spans="1:72" x14ac:dyDescent="0.2">
      <c r="A364" s="22">
        <v>44911</v>
      </c>
      <c r="B364" s="50">
        <f t="shared" ca="1" si="179"/>
        <v>0.56934760524033046</v>
      </c>
      <c r="C364" s="8">
        <v>1</v>
      </c>
      <c r="D364" s="49">
        <f t="shared" ca="1" si="197"/>
        <v>104</v>
      </c>
      <c r="F364" s="50">
        <f t="shared" ca="1" si="180"/>
        <v>0.96547882589541123</v>
      </c>
      <c r="G364" s="8">
        <v>1</v>
      </c>
      <c r="H364" s="49">
        <f t="shared" ca="1" si="198"/>
        <v>320</v>
      </c>
      <c r="J364" s="50">
        <f t="shared" ca="1" si="181"/>
        <v>0.72456888303753508</v>
      </c>
      <c r="K364" s="8">
        <v>1</v>
      </c>
      <c r="L364" s="49">
        <f t="shared" ca="1" si="199"/>
        <v>174</v>
      </c>
      <c r="N364" s="50">
        <f t="shared" ca="1" si="182"/>
        <v>0.65779616810269403</v>
      </c>
      <c r="O364" s="8">
        <v>1</v>
      </c>
      <c r="P364" s="49">
        <f t="shared" ca="1" si="200"/>
        <v>255</v>
      </c>
      <c r="R364" s="50">
        <f t="shared" ca="1" si="183"/>
        <v>0.16803058151847006</v>
      </c>
      <c r="S364" s="8">
        <v>1</v>
      </c>
      <c r="T364" s="49">
        <f t="shared" ca="1" si="201"/>
        <v>104</v>
      </c>
      <c r="V364" s="50">
        <f t="shared" ca="1" si="184"/>
        <v>0.33337387165686749</v>
      </c>
      <c r="W364" s="8">
        <v>1</v>
      </c>
      <c r="X364" s="49">
        <f t="shared" ca="1" si="202"/>
        <v>200</v>
      </c>
      <c r="Z364" s="50">
        <f t="shared" ca="1" si="185"/>
        <v>0.31419734351599227</v>
      </c>
      <c r="AA364" s="8">
        <v>1</v>
      </c>
      <c r="AB364" s="49">
        <f t="shared" ca="1" si="203"/>
        <v>236</v>
      </c>
      <c r="AD364" s="50">
        <f t="shared" ca="1" si="186"/>
        <v>0.88022963321974501</v>
      </c>
      <c r="AE364" s="8">
        <v>1</v>
      </c>
      <c r="AF364" s="49">
        <f t="shared" ca="1" si="204"/>
        <v>430</v>
      </c>
      <c r="AH364" s="50">
        <f t="shared" ca="1" si="187"/>
        <v>0.79152599788486133</v>
      </c>
      <c r="AI364" s="8">
        <v>1</v>
      </c>
      <c r="AJ364" s="49">
        <f t="shared" ca="1" si="205"/>
        <v>219</v>
      </c>
      <c r="AL364" s="50">
        <f t="shared" ca="1" si="188"/>
        <v>0.65617895578960161</v>
      </c>
      <c r="AM364" s="8">
        <v>1</v>
      </c>
      <c r="AN364" s="49">
        <f t="shared" ca="1" si="206"/>
        <v>163</v>
      </c>
      <c r="AP364" s="50">
        <f t="shared" ca="1" si="189"/>
        <v>0.28651890775122812</v>
      </c>
      <c r="AQ364" s="8">
        <v>1</v>
      </c>
      <c r="AR364" s="49">
        <f t="shared" ca="1" si="207"/>
        <v>185</v>
      </c>
      <c r="AT364" s="50">
        <f t="shared" ca="1" si="190"/>
        <v>0.52858329932316317</v>
      </c>
      <c r="AU364" s="8">
        <v>1</v>
      </c>
      <c r="AV364" s="49">
        <f t="shared" ca="1" si="208"/>
        <v>196</v>
      </c>
      <c r="AX364" s="50">
        <f t="shared" ca="1" si="191"/>
        <v>0.30867236151901334</v>
      </c>
      <c r="AY364" s="8">
        <v>1</v>
      </c>
      <c r="AZ364" s="49">
        <f t="shared" ca="1" si="209"/>
        <v>156</v>
      </c>
      <c r="BB364" s="50">
        <f t="shared" ca="1" si="192"/>
        <v>0.78544550983992556</v>
      </c>
      <c r="BC364" s="8">
        <v>1</v>
      </c>
      <c r="BD364" s="49">
        <f t="shared" ca="1" si="210"/>
        <v>194</v>
      </c>
      <c r="BF364" s="50">
        <f t="shared" ca="1" si="193"/>
        <v>0.70847974496650945</v>
      </c>
      <c r="BG364" s="8">
        <v>1</v>
      </c>
      <c r="BH364" s="49">
        <f t="shared" ca="1" si="211"/>
        <v>189</v>
      </c>
      <c r="BJ364" s="50">
        <f t="shared" ca="1" si="194"/>
        <v>0.47351880530162938</v>
      </c>
      <c r="BK364" s="8">
        <v>1</v>
      </c>
      <c r="BL364" s="49">
        <f t="shared" ca="1" si="212"/>
        <v>129</v>
      </c>
      <c r="BN364" s="50">
        <f t="shared" ca="1" si="195"/>
        <v>0.54019716133185225</v>
      </c>
      <c r="BO364" s="8">
        <v>1</v>
      </c>
      <c r="BP364" s="49">
        <f t="shared" ca="1" si="213"/>
        <v>179</v>
      </c>
      <c r="BR364" s="50">
        <f t="shared" ca="1" si="196"/>
        <v>0.26803867024922556</v>
      </c>
      <c r="BS364" s="8">
        <v>1</v>
      </c>
      <c r="BT364" s="49">
        <f t="shared" ca="1" si="214"/>
        <v>154</v>
      </c>
    </row>
    <row r="365" spans="1:72" x14ac:dyDescent="0.2">
      <c r="A365" s="22">
        <v>44912</v>
      </c>
      <c r="B365" s="50">
        <f t="shared" ca="1" si="179"/>
        <v>0.37579172274748551</v>
      </c>
      <c r="C365" s="8">
        <v>1</v>
      </c>
      <c r="D365" s="49">
        <f t="shared" ca="1" si="197"/>
        <v>94</v>
      </c>
      <c r="F365" s="50">
        <f t="shared" ca="1" si="180"/>
        <v>0.81251416069802807</v>
      </c>
      <c r="G365" s="8">
        <v>1</v>
      </c>
      <c r="H365" s="49">
        <f t="shared" ca="1" si="198"/>
        <v>267</v>
      </c>
      <c r="J365" s="50">
        <f t="shared" ca="1" si="181"/>
        <v>0.68186538009010733</v>
      </c>
      <c r="K365" s="8">
        <v>1</v>
      </c>
      <c r="L365" s="49">
        <f t="shared" ca="1" si="199"/>
        <v>169</v>
      </c>
      <c r="N365" s="50">
        <f t="shared" ca="1" si="182"/>
        <v>0.43503073867838704</v>
      </c>
      <c r="O365" s="8">
        <v>1</v>
      </c>
      <c r="P365" s="49">
        <f t="shared" ca="1" si="200"/>
        <v>220</v>
      </c>
      <c r="R365" s="50">
        <f t="shared" ca="1" si="183"/>
        <v>0.94830863588764314</v>
      </c>
      <c r="S365" s="8">
        <v>1</v>
      </c>
      <c r="T365" s="49">
        <f t="shared" ca="1" si="201"/>
        <v>200</v>
      </c>
      <c r="V365" s="50">
        <f t="shared" ca="1" si="184"/>
        <v>0.51265468035140338</v>
      </c>
      <c r="W365" s="8">
        <v>1</v>
      </c>
      <c r="X365" s="49">
        <f t="shared" ca="1" si="202"/>
        <v>227</v>
      </c>
      <c r="Z365" s="50">
        <f t="shared" ca="1" si="185"/>
        <v>0.83871517839629139</v>
      </c>
      <c r="AA365" s="8">
        <v>1</v>
      </c>
      <c r="AB365" s="49">
        <f t="shared" ca="1" si="203"/>
        <v>342</v>
      </c>
      <c r="AD365" s="50">
        <f t="shared" ca="1" si="186"/>
        <v>0.66248695445519568</v>
      </c>
      <c r="AE365" s="8">
        <v>1</v>
      </c>
      <c r="AF365" s="49">
        <f t="shared" ca="1" si="204"/>
        <v>364</v>
      </c>
      <c r="AH365" s="50">
        <f t="shared" ca="1" si="187"/>
        <v>0.29080175321071455</v>
      </c>
      <c r="AI365" s="8">
        <v>1</v>
      </c>
      <c r="AJ365" s="49">
        <f t="shared" ca="1" si="205"/>
        <v>154</v>
      </c>
      <c r="AL365" s="50">
        <f t="shared" ca="1" si="188"/>
        <v>0.25514434634900485</v>
      </c>
      <c r="AM365" s="8">
        <v>1</v>
      </c>
      <c r="AN365" s="49">
        <f t="shared" ca="1" si="206"/>
        <v>122</v>
      </c>
      <c r="AP365" s="50">
        <f t="shared" ca="1" si="189"/>
        <v>0.3045745634711019</v>
      </c>
      <c r="AQ365" s="8">
        <v>1</v>
      </c>
      <c r="AR365" s="49">
        <f t="shared" ca="1" si="207"/>
        <v>188</v>
      </c>
      <c r="AT365" s="50">
        <f t="shared" ca="1" si="190"/>
        <v>0.80641499759426993</v>
      </c>
      <c r="AU365" s="8">
        <v>1</v>
      </c>
      <c r="AV365" s="49">
        <f t="shared" ca="1" si="208"/>
        <v>236</v>
      </c>
      <c r="AX365" s="50">
        <f t="shared" ca="1" si="191"/>
        <v>0.91933741263722535</v>
      </c>
      <c r="AY365" s="8">
        <v>1</v>
      </c>
      <c r="AZ365" s="49">
        <f t="shared" ca="1" si="209"/>
        <v>248</v>
      </c>
      <c r="BB365" s="50">
        <f t="shared" ca="1" si="192"/>
        <v>0.9047150758598671</v>
      </c>
      <c r="BC365" s="8">
        <v>1</v>
      </c>
      <c r="BD365" s="49">
        <f t="shared" ca="1" si="210"/>
        <v>216</v>
      </c>
      <c r="BF365" s="50">
        <f t="shared" ca="1" si="193"/>
        <v>0.4511151584330032</v>
      </c>
      <c r="BG365" s="8">
        <v>1</v>
      </c>
      <c r="BH365" s="49">
        <f t="shared" ca="1" si="211"/>
        <v>160</v>
      </c>
      <c r="BJ365" s="50">
        <f t="shared" ca="1" si="194"/>
        <v>0.38432218460250511</v>
      </c>
      <c r="BK365" s="8">
        <v>1</v>
      </c>
      <c r="BL365" s="49">
        <f t="shared" ca="1" si="212"/>
        <v>121</v>
      </c>
      <c r="BN365" s="50">
        <f t="shared" ca="1" si="195"/>
        <v>0.1649177322155263</v>
      </c>
      <c r="BO365" s="8">
        <v>1</v>
      </c>
      <c r="BP365" s="49">
        <f t="shared" ca="1" si="213"/>
        <v>129</v>
      </c>
      <c r="BR365" s="50">
        <f t="shared" ca="1" si="196"/>
        <v>5.8734107201113828E-2</v>
      </c>
      <c r="BS365" s="8">
        <v>1</v>
      </c>
      <c r="BT365" s="49">
        <f t="shared" ca="1" si="214"/>
        <v>107</v>
      </c>
    </row>
    <row r="366" spans="1:72" x14ac:dyDescent="0.2">
      <c r="A366" s="22">
        <v>44913</v>
      </c>
      <c r="B366" s="50">
        <f t="shared" ca="1" si="179"/>
        <v>0.80009881392942084</v>
      </c>
      <c r="C366" s="8">
        <v>1</v>
      </c>
      <c r="D366" s="49">
        <f t="shared" ca="1" si="197"/>
        <v>117</v>
      </c>
      <c r="F366" s="50">
        <f t="shared" ca="1" si="180"/>
        <v>0.37938745680481212</v>
      </c>
      <c r="G366" s="8">
        <v>1</v>
      </c>
      <c r="H366" s="49">
        <f t="shared" ca="1" si="198"/>
        <v>198</v>
      </c>
      <c r="J366" s="50">
        <f t="shared" ca="1" si="181"/>
        <v>0.81185574896451251</v>
      </c>
      <c r="K366" s="8">
        <v>1</v>
      </c>
      <c r="L366" s="49">
        <f t="shared" ca="1" si="199"/>
        <v>186</v>
      </c>
      <c r="N366" s="50">
        <f t="shared" ca="1" si="182"/>
        <v>0.14169100862007689</v>
      </c>
      <c r="O366" s="8">
        <v>1</v>
      </c>
      <c r="P366" s="49">
        <f t="shared" ca="1" si="200"/>
        <v>164</v>
      </c>
      <c r="R366" s="50">
        <f t="shared" ca="1" si="183"/>
        <v>7.355810047203537E-2</v>
      </c>
      <c r="S366" s="8">
        <v>1</v>
      </c>
      <c r="T366" s="49">
        <f t="shared" ca="1" si="201"/>
        <v>86</v>
      </c>
      <c r="V366" s="50">
        <f t="shared" ca="1" si="184"/>
        <v>0.5392804455960023</v>
      </c>
      <c r="W366" s="8">
        <v>1</v>
      </c>
      <c r="X366" s="49">
        <f t="shared" ca="1" si="202"/>
        <v>231</v>
      </c>
      <c r="Z366" s="50">
        <f t="shared" ca="1" si="185"/>
        <v>0.20542575824790188</v>
      </c>
      <c r="AA366" s="8">
        <v>1</v>
      </c>
      <c r="AB366" s="49">
        <f t="shared" ca="1" si="203"/>
        <v>211</v>
      </c>
      <c r="AD366" s="50">
        <f t="shared" ca="1" si="186"/>
        <v>0.5613158782049672</v>
      </c>
      <c r="AE366" s="8">
        <v>1</v>
      </c>
      <c r="AF366" s="49">
        <f t="shared" ca="1" si="204"/>
        <v>341</v>
      </c>
      <c r="AH366" s="50">
        <f t="shared" ca="1" si="187"/>
        <v>9.75326755371142E-2</v>
      </c>
      <c r="AI366" s="8">
        <v>1</v>
      </c>
      <c r="AJ366" s="49">
        <f t="shared" ca="1" si="205"/>
        <v>118</v>
      </c>
      <c r="AL366" s="50">
        <f t="shared" ca="1" si="188"/>
        <v>0.13771308401643723</v>
      </c>
      <c r="AM366" s="8">
        <v>1</v>
      </c>
      <c r="AN366" s="49">
        <f t="shared" ca="1" si="206"/>
        <v>105</v>
      </c>
      <c r="AP366" s="50">
        <f t="shared" ca="1" si="189"/>
        <v>0.36323061861320494</v>
      </c>
      <c r="AQ366" s="8">
        <v>1</v>
      </c>
      <c r="AR366" s="49">
        <f t="shared" ca="1" si="207"/>
        <v>197</v>
      </c>
      <c r="AT366" s="50">
        <f t="shared" ca="1" si="190"/>
        <v>0.13711573380040343</v>
      </c>
      <c r="AU366" s="8">
        <v>1</v>
      </c>
      <c r="AV366" s="49">
        <f t="shared" ca="1" si="208"/>
        <v>136</v>
      </c>
      <c r="AX366" s="50">
        <f t="shared" ca="1" si="191"/>
        <v>0.96841290818702497</v>
      </c>
      <c r="AY366" s="8">
        <v>1</v>
      </c>
      <c r="AZ366" s="49">
        <f t="shared" ca="1" si="209"/>
        <v>269</v>
      </c>
      <c r="BB366" s="50">
        <f t="shared" ca="1" si="192"/>
        <v>0.28264944125352676</v>
      </c>
      <c r="BC366" s="8">
        <v>1</v>
      </c>
      <c r="BD366" s="49">
        <f t="shared" ca="1" si="210"/>
        <v>136</v>
      </c>
      <c r="BF366" s="50">
        <f t="shared" ca="1" si="193"/>
        <v>0.13489396180185098</v>
      </c>
      <c r="BG366" s="8">
        <v>1</v>
      </c>
      <c r="BH366" s="49">
        <f t="shared" ca="1" si="211"/>
        <v>117</v>
      </c>
      <c r="BJ366" s="50">
        <f t="shared" ca="1" si="194"/>
        <v>0.18064867642779869</v>
      </c>
      <c r="BK366" s="8">
        <v>1</v>
      </c>
      <c r="BL366" s="49">
        <f t="shared" ca="1" si="212"/>
        <v>100</v>
      </c>
      <c r="BN366" s="50">
        <f t="shared" ca="1" si="195"/>
        <v>0.24241992067945406</v>
      </c>
      <c r="BO366" s="8">
        <v>1</v>
      </c>
      <c r="BP366" s="49">
        <f t="shared" ca="1" si="213"/>
        <v>142</v>
      </c>
      <c r="BR366" s="50">
        <f t="shared" ca="1" si="196"/>
        <v>0.41846356612898061</v>
      </c>
      <c r="BS366" s="8">
        <v>1</v>
      </c>
      <c r="BT366" s="49">
        <f t="shared" ca="1" si="214"/>
        <v>174</v>
      </c>
    </row>
    <row r="367" spans="1:72" x14ac:dyDescent="0.2">
      <c r="A367" s="22">
        <v>44914</v>
      </c>
      <c r="B367" s="50">
        <f t="shared" ca="1" si="179"/>
        <v>6.1586337358022103E-2</v>
      </c>
      <c r="C367" s="8">
        <v>1</v>
      </c>
      <c r="D367" s="49">
        <v>0</v>
      </c>
      <c r="F367" s="50">
        <f t="shared" ca="1" si="180"/>
        <v>0.66846954485386234</v>
      </c>
      <c r="G367" s="8">
        <v>1</v>
      </c>
      <c r="H367" s="49">
        <v>0</v>
      </c>
      <c r="J367" s="50">
        <f t="shared" ca="1" si="181"/>
        <v>0.31780276526115747</v>
      </c>
      <c r="K367" s="8">
        <v>1</v>
      </c>
      <c r="L367" s="49">
        <v>0</v>
      </c>
      <c r="N367" s="50">
        <f t="shared" ca="1" si="182"/>
        <v>0.31832321129876351</v>
      </c>
      <c r="O367" s="8">
        <v>1</v>
      </c>
      <c r="P367" s="49">
        <v>0</v>
      </c>
      <c r="R367" s="50">
        <f t="shared" ca="1" si="183"/>
        <v>0.66611666772823208</v>
      </c>
      <c r="S367" s="8">
        <v>1</v>
      </c>
      <c r="T367" s="49">
        <v>0</v>
      </c>
      <c r="V367" s="50">
        <f t="shared" ca="1" si="184"/>
        <v>0.82339507133446643</v>
      </c>
      <c r="W367" s="8">
        <v>1</v>
      </c>
      <c r="X367" s="49">
        <v>0</v>
      </c>
      <c r="Z367" s="50">
        <f t="shared" ca="1" si="185"/>
        <v>0.1140683148582714</v>
      </c>
      <c r="AA367" s="8">
        <v>1</v>
      </c>
      <c r="AB367" s="49">
        <v>0</v>
      </c>
      <c r="AD367" s="50">
        <f t="shared" ca="1" si="186"/>
        <v>0.18807340546161855</v>
      </c>
      <c r="AE367" s="8">
        <v>1</v>
      </c>
      <c r="AF367" s="49">
        <v>0</v>
      </c>
      <c r="AH367" s="50">
        <f t="shared" ca="1" si="187"/>
        <v>0.97093040683072529</v>
      </c>
      <c r="AI367" s="8">
        <v>1</v>
      </c>
      <c r="AJ367" s="49">
        <v>0</v>
      </c>
      <c r="AL367" s="50">
        <f t="shared" ca="1" si="188"/>
        <v>0.9183039271950354</v>
      </c>
      <c r="AM367" s="8">
        <v>1</v>
      </c>
      <c r="AN367" s="49">
        <v>0</v>
      </c>
      <c r="AP367" s="50">
        <f t="shared" ca="1" si="189"/>
        <v>0.64074822799886233</v>
      </c>
      <c r="AQ367" s="8">
        <v>1</v>
      </c>
      <c r="AR367" s="49">
        <v>0</v>
      </c>
      <c r="AT367" s="50">
        <f t="shared" ca="1" si="190"/>
        <v>0.93369214858141558</v>
      </c>
      <c r="AU367" s="8">
        <v>1</v>
      </c>
      <c r="AV367" s="49">
        <v>0</v>
      </c>
      <c r="AX367" s="50">
        <f t="shared" ca="1" si="191"/>
        <v>0.32420264160634815</v>
      </c>
      <c r="AY367" s="8">
        <v>1</v>
      </c>
      <c r="AZ367" s="49">
        <v>0</v>
      </c>
      <c r="BB367" s="50">
        <f t="shared" ca="1" si="192"/>
        <v>0.30774838321597087</v>
      </c>
      <c r="BC367" s="8">
        <v>1</v>
      </c>
      <c r="BD367" s="49">
        <v>0</v>
      </c>
      <c r="BF367" s="50">
        <f t="shared" ca="1" si="193"/>
        <v>0.32850669689050227</v>
      </c>
      <c r="BG367" s="8">
        <v>1</v>
      </c>
      <c r="BH367" s="49">
        <v>0</v>
      </c>
      <c r="BJ367" s="50">
        <f t="shared" ca="1" si="194"/>
        <v>0.53865736519856577</v>
      </c>
      <c r="BK367" s="8">
        <v>1</v>
      </c>
      <c r="BL367" s="49">
        <v>0</v>
      </c>
      <c r="BN367" s="50">
        <f t="shared" ca="1" si="195"/>
        <v>0.16162221175425706</v>
      </c>
      <c r="BO367" s="8">
        <v>1</v>
      </c>
      <c r="BP367" s="49">
        <v>0</v>
      </c>
      <c r="BR367" s="50">
        <f t="shared" ca="1" si="196"/>
        <v>0.14922242745046876</v>
      </c>
      <c r="BS367" s="8">
        <v>1</v>
      </c>
      <c r="BT367" s="49">
        <v>0</v>
      </c>
    </row>
    <row r="368" spans="1:72" x14ac:dyDescent="0.2">
      <c r="A368" s="22">
        <v>44915</v>
      </c>
      <c r="B368" s="50">
        <f t="shared" ca="1" si="179"/>
        <v>0.16875332790081754</v>
      </c>
      <c r="C368" s="8">
        <v>1</v>
      </c>
      <c r="D368" s="49">
        <v>0</v>
      </c>
      <c r="F368" s="50">
        <f t="shared" ca="1" si="180"/>
        <v>2.2687524339139675E-2</v>
      </c>
      <c r="G368" s="8">
        <v>1</v>
      </c>
      <c r="H368" s="49">
        <v>0</v>
      </c>
      <c r="J368" s="50">
        <f t="shared" ca="1" si="181"/>
        <v>0.28647909204507915</v>
      </c>
      <c r="K368" s="8">
        <v>1</v>
      </c>
      <c r="L368" s="49">
        <v>0</v>
      </c>
      <c r="N368" s="50">
        <f t="shared" ca="1" si="182"/>
        <v>0.71105070611365717</v>
      </c>
      <c r="O368" s="8">
        <v>1</v>
      </c>
      <c r="P368" s="49">
        <v>0</v>
      </c>
      <c r="R368" s="50">
        <f t="shared" ca="1" si="183"/>
        <v>3.4341027122916312E-2</v>
      </c>
      <c r="S368" s="8">
        <v>1</v>
      </c>
      <c r="T368" s="49">
        <v>0</v>
      </c>
      <c r="V368" s="50">
        <f t="shared" ca="1" si="184"/>
        <v>0.47327028540358029</v>
      </c>
      <c r="W368" s="8">
        <v>1</v>
      </c>
      <c r="X368" s="49">
        <v>0</v>
      </c>
      <c r="Z368" s="50">
        <f t="shared" ca="1" si="185"/>
        <v>0.57530877572499906</v>
      </c>
      <c r="AA368" s="8">
        <v>1</v>
      </c>
      <c r="AB368" s="49">
        <v>0</v>
      </c>
      <c r="AD368" s="50">
        <f t="shared" ca="1" si="186"/>
        <v>0.19445843329362678</v>
      </c>
      <c r="AE368" s="8">
        <v>1</v>
      </c>
      <c r="AF368" s="49">
        <v>0</v>
      </c>
      <c r="AH368" s="50">
        <f t="shared" ca="1" si="187"/>
        <v>0.6251270434404772</v>
      </c>
      <c r="AI368" s="8">
        <v>1</v>
      </c>
      <c r="AJ368" s="49">
        <v>0</v>
      </c>
      <c r="AL368" s="50">
        <f t="shared" ca="1" si="188"/>
        <v>0.58765175168780281</v>
      </c>
      <c r="AM368" s="8">
        <v>1</v>
      </c>
      <c r="AN368" s="49">
        <v>0</v>
      </c>
      <c r="AP368" s="50">
        <f t="shared" ca="1" si="189"/>
        <v>0.35331469692142603</v>
      </c>
      <c r="AQ368" s="8">
        <v>1</v>
      </c>
      <c r="AR368" s="49">
        <v>0</v>
      </c>
      <c r="AT368" s="50">
        <f t="shared" ca="1" si="190"/>
        <v>0.67415319918427219</v>
      </c>
      <c r="AU368" s="8">
        <v>1</v>
      </c>
      <c r="AV368" s="49">
        <v>0</v>
      </c>
      <c r="AX368" s="50">
        <f t="shared" ca="1" si="191"/>
        <v>0.68321946047978221</v>
      </c>
      <c r="AY368" s="8">
        <v>1</v>
      </c>
      <c r="AZ368" s="49">
        <v>0</v>
      </c>
      <c r="BB368" s="50">
        <f t="shared" ca="1" si="192"/>
        <v>0.75285552857586191</v>
      </c>
      <c r="BC368" s="8">
        <v>1</v>
      </c>
      <c r="BD368" s="49">
        <v>0</v>
      </c>
      <c r="BF368" s="50">
        <f t="shared" ca="1" si="193"/>
        <v>0.43868259832728451</v>
      </c>
      <c r="BG368" s="8">
        <v>1</v>
      </c>
      <c r="BH368" s="49">
        <v>0</v>
      </c>
      <c r="BJ368" s="50">
        <f t="shared" ca="1" si="194"/>
        <v>0.3942454955417567</v>
      </c>
      <c r="BK368" s="8">
        <v>1</v>
      </c>
      <c r="BL368" s="49">
        <v>0</v>
      </c>
      <c r="BN368" s="50">
        <f t="shared" ca="1" si="195"/>
        <v>0.24066368678403693</v>
      </c>
      <c r="BO368" s="8">
        <v>1</v>
      </c>
      <c r="BP368" s="49">
        <v>0</v>
      </c>
      <c r="BR368" s="50">
        <f t="shared" ca="1" si="196"/>
        <v>0.91973694755514313</v>
      </c>
      <c r="BS368" s="8">
        <v>1</v>
      </c>
      <c r="BT368" s="49">
        <v>0</v>
      </c>
    </row>
    <row r="369" spans="1:72" x14ac:dyDescent="0.2">
      <c r="A369" s="22">
        <v>44916</v>
      </c>
      <c r="B369" s="50">
        <f t="shared" ca="1" si="179"/>
        <v>0.27507668871751334</v>
      </c>
      <c r="C369" s="8">
        <v>1</v>
      </c>
      <c r="D369" s="49">
        <v>0</v>
      </c>
      <c r="F369" s="50">
        <f t="shared" ca="1" si="180"/>
        <v>0.24370539025690352</v>
      </c>
      <c r="G369" s="8">
        <v>1</v>
      </c>
      <c r="H369" s="49">
        <v>0</v>
      </c>
      <c r="J369" s="50">
        <f t="shared" ca="1" si="181"/>
        <v>0.20657072701657719</v>
      </c>
      <c r="K369" s="8">
        <v>1</v>
      </c>
      <c r="L369" s="49">
        <v>0</v>
      </c>
      <c r="N369" s="50">
        <f t="shared" ca="1" si="182"/>
        <v>0.9353859324255458</v>
      </c>
      <c r="O369" s="8">
        <v>1</v>
      </c>
      <c r="P369" s="49">
        <v>0</v>
      </c>
      <c r="R369" s="50">
        <f t="shared" ca="1" si="183"/>
        <v>0.79543026828905794</v>
      </c>
      <c r="S369" s="8">
        <v>1</v>
      </c>
      <c r="T369" s="49">
        <v>0</v>
      </c>
      <c r="V369" s="50">
        <f t="shared" ca="1" si="184"/>
        <v>3.1669791500860467E-2</v>
      </c>
      <c r="W369" s="8">
        <v>1</v>
      </c>
      <c r="X369" s="49">
        <v>0</v>
      </c>
      <c r="Z369" s="50">
        <f t="shared" ca="1" si="185"/>
        <v>0.56070666296834915</v>
      </c>
      <c r="AA369" s="8">
        <v>1</v>
      </c>
      <c r="AB369" s="49">
        <v>0</v>
      </c>
      <c r="AD369" s="50">
        <f t="shared" ca="1" si="186"/>
        <v>0.74826076917775597</v>
      </c>
      <c r="AE369" s="8">
        <v>1</v>
      </c>
      <c r="AF369" s="49">
        <v>0</v>
      </c>
      <c r="AH369" s="50">
        <f t="shared" ca="1" si="187"/>
        <v>0.53417478738859614</v>
      </c>
      <c r="AI369" s="8">
        <v>1</v>
      </c>
      <c r="AJ369" s="49">
        <v>0</v>
      </c>
      <c r="AL369" s="50">
        <f t="shared" ca="1" si="188"/>
        <v>0.91766494426750844</v>
      </c>
      <c r="AM369" s="8">
        <v>1</v>
      </c>
      <c r="AN369" s="49">
        <v>0</v>
      </c>
      <c r="AP369" s="50">
        <f t="shared" ca="1" si="189"/>
        <v>0.37000220220592062</v>
      </c>
      <c r="AQ369" s="8">
        <v>1</v>
      </c>
      <c r="AR369" s="49">
        <v>0</v>
      </c>
      <c r="AT369" s="50">
        <f t="shared" ca="1" si="190"/>
        <v>0.23507885392140104</v>
      </c>
      <c r="AU369" s="8">
        <v>1</v>
      </c>
      <c r="AV369" s="49">
        <v>0</v>
      </c>
      <c r="AX369" s="50">
        <f t="shared" ca="1" si="191"/>
        <v>0.25967961207456247</v>
      </c>
      <c r="AY369" s="8">
        <v>1</v>
      </c>
      <c r="AZ369" s="49">
        <v>0</v>
      </c>
      <c r="BB369" s="50">
        <f t="shared" ca="1" si="192"/>
        <v>0.63047058808958678</v>
      </c>
      <c r="BC369" s="8">
        <v>1</v>
      </c>
      <c r="BD369" s="49">
        <v>0</v>
      </c>
      <c r="BF369" s="50">
        <f t="shared" ca="1" si="193"/>
        <v>8.2473990674192255E-4</v>
      </c>
      <c r="BG369" s="8">
        <v>1</v>
      </c>
      <c r="BH369" s="49">
        <v>0</v>
      </c>
      <c r="BJ369" s="50">
        <f t="shared" ca="1" si="194"/>
        <v>4.7782429769938073E-4</v>
      </c>
      <c r="BK369" s="8">
        <v>1</v>
      </c>
      <c r="BL369" s="49">
        <v>0</v>
      </c>
      <c r="BN369" s="50">
        <f t="shared" ca="1" si="195"/>
        <v>0.51628789766971805</v>
      </c>
      <c r="BO369" s="8">
        <v>1</v>
      </c>
      <c r="BP369" s="49">
        <v>0</v>
      </c>
      <c r="BR369" s="50">
        <f t="shared" ca="1" si="196"/>
        <v>0.8574169840926581</v>
      </c>
      <c r="BS369" s="8">
        <v>1</v>
      </c>
      <c r="BT369" s="49">
        <v>0</v>
      </c>
    </row>
    <row r="370" spans="1:72" x14ac:dyDescent="0.2">
      <c r="A370" s="22">
        <v>44917</v>
      </c>
      <c r="B370" s="50">
        <f t="shared" ca="1" si="179"/>
        <v>0.81690653472540453</v>
      </c>
      <c r="C370" s="8">
        <v>1</v>
      </c>
      <c r="D370" s="49">
        <v>0</v>
      </c>
      <c r="F370" s="50">
        <f t="shared" ca="1" si="180"/>
        <v>0.97156486224621297</v>
      </c>
      <c r="G370" s="8">
        <v>1</v>
      </c>
      <c r="H370" s="49">
        <v>0</v>
      </c>
      <c r="J370" s="50">
        <f t="shared" ca="1" si="181"/>
        <v>0.42335359733475031</v>
      </c>
      <c r="K370" s="8">
        <v>1</v>
      </c>
      <c r="L370" s="49">
        <v>0</v>
      </c>
      <c r="N370" s="50">
        <f t="shared" ca="1" si="182"/>
        <v>0.70102033292943089</v>
      </c>
      <c r="O370" s="8">
        <v>1</v>
      </c>
      <c r="P370" s="49">
        <v>0</v>
      </c>
      <c r="R370" s="50">
        <f t="shared" ca="1" si="183"/>
        <v>0.10173469839529747</v>
      </c>
      <c r="S370" s="8">
        <v>1</v>
      </c>
      <c r="T370" s="49">
        <v>0</v>
      </c>
      <c r="V370" s="50">
        <f t="shared" ca="1" si="184"/>
        <v>0.59619356061581519</v>
      </c>
      <c r="W370" s="8">
        <v>1</v>
      </c>
      <c r="X370" s="49">
        <v>0</v>
      </c>
      <c r="Z370" s="50">
        <f t="shared" ca="1" si="185"/>
        <v>0.77214332434365418</v>
      </c>
      <c r="AA370" s="8">
        <v>1</v>
      </c>
      <c r="AB370" s="49">
        <v>0</v>
      </c>
      <c r="AD370" s="50">
        <f t="shared" ca="1" si="186"/>
        <v>0.39381106339063798</v>
      </c>
      <c r="AE370" s="8">
        <v>1</v>
      </c>
      <c r="AF370" s="49">
        <v>0</v>
      </c>
      <c r="AH370" s="50">
        <f t="shared" ca="1" si="187"/>
        <v>0.24143256302370097</v>
      </c>
      <c r="AI370" s="8">
        <v>1</v>
      </c>
      <c r="AJ370" s="49">
        <v>0</v>
      </c>
      <c r="AL370" s="50">
        <f t="shared" ca="1" si="188"/>
        <v>0.83063254298156874</v>
      </c>
      <c r="AM370" s="8">
        <v>1</v>
      </c>
      <c r="AN370" s="49">
        <v>0</v>
      </c>
      <c r="AP370" s="50">
        <f t="shared" ca="1" si="189"/>
        <v>0.1281963864921799</v>
      </c>
      <c r="AQ370" s="8">
        <v>1</v>
      </c>
      <c r="AR370" s="49">
        <v>0</v>
      </c>
      <c r="AT370" s="50">
        <f t="shared" ca="1" si="190"/>
        <v>0.72269535152849818</v>
      </c>
      <c r="AU370" s="8">
        <v>1</v>
      </c>
      <c r="AV370" s="49">
        <v>0</v>
      </c>
      <c r="AX370" s="50">
        <f t="shared" ca="1" si="191"/>
        <v>0.48610133622903529</v>
      </c>
      <c r="AY370" s="8">
        <v>1</v>
      </c>
      <c r="AZ370" s="49">
        <v>0</v>
      </c>
      <c r="BB370" s="50">
        <f t="shared" ca="1" si="192"/>
        <v>0.97186654258959138</v>
      </c>
      <c r="BC370" s="8">
        <v>1</v>
      </c>
      <c r="BD370" s="49">
        <v>0</v>
      </c>
      <c r="BF370" s="50">
        <f t="shared" ca="1" si="193"/>
        <v>0.99566894584864596</v>
      </c>
      <c r="BG370" s="8">
        <v>1</v>
      </c>
      <c r="BH370" s="49">
        <v>0</v>
      </c>
      <c r="BJ370" s="50">
        <f t="shared" ca="1" si="194"/>
        <v>0.16437007054543817</v>
      </c>
      <c r="BK370" s="8">
        <v>1</v>
      </c>
      <c r="BL370" s="49">
        <v>0</v>
      </c>
      <c r="BN370" s="50">
        <f t="shared" ca="1" si="195"/>
        <v>0.55400377562567105</v>
      </c>
      <c r="BO370" s="8">
        <v>1</v>
      </c>
      <c r="BP370" s="49">
        <v>0</v>
      </c>
      <c r="BR370" s="50">
        <f t="shared" ca="1" si="196"/>
        <v>0.42134149171554836</v>
      </c>
      <c r="BS370" s="8">
        <v>1</v>
      </c>
      <c r="BT370" s="49">
        <v>0</v>
      </c>
    </row>
    <row r="371" spans="1:72" x14ac:dyDescent="0.2">
      <c r="A371" s="22">
        <v>44918</v>
      </c>
      <c r="B371" s="50">
        <f t="shared" ca="1" si="179"/>
        <v>0.2601308773572113</v>
      </c>
      <c r="C371" s="8">
        <v>1</v>
      </c>
      <c r="D371" s="49">
        <v>0</v>
      </c>
      <c r="F371" s="50">
        <f t="shared" ca="1" si="180"/>
        <v>0.45042537034900365</v>
      </c>
      <c r="G371" s="8">
        <v>1</v>
      </c>
      <c r="H371" s="49">
        <v>0</v>
      </c>
      <c r="J371" s="50">
        <f t="shared" ca="1" si="181"/>
        <v>0.31551274159184861</v>
      </c>
      <c r="K371" s="8">
        <v>1</v>
      </c>
      <c r="L371" s="49">
        <v>0</v>
      </c>
      <c r="N371" s="50">
        <f t="shared" ca="1" si="182"/>
        <v>0.15273193189614009</v>
      </c>
      <c r="O371" s="8">
        <v>1</v>
      </c>
      <c r="P371" s="49">
        <v>0</v>
      </c>
      <c r="R371" s="50">
        <f t="shared" ca="1" si="183"/>
        <v>0.89861786556341361</v>
      </c>
      <c r="S371" s="8">
        <v>1</v>
      </c>
      <c r="T371" s="49">
        <v>0</v>
      </c>
      <c r="V371" s="50">
        <f t="shared" ca="1" si="184"/>
        <v>0.51621629258030188</v>
      </c>
      <c r="W371" s="8">
        <v>1</v>
      </c>
      <c r="X371" s="49">
        <v>0</v>
      </c>
      <c r="Z371" s="50">
        <f t="shared" ca="1" si="185"/>
        <v>0.27916603873033308</v>
      </c>
      <c r="AA371" s="8">
        <v>1</v>
      </c>
      <c r="AB371" s="49">
        <v>0</v>
      </c>
      <c r="AD371" s="50">
        <f t="shared" ca="1" si="186"/>
        <v>0.72847584680532662</v>
      </c>
      <c r="AE371" s="8">
        <v>1</v>
      </c>
      <c r="AF371" s="49">
        <v>0</v>
      </c>
      <c r="AH371" s="50">
        <f t="shared" ca="1" si="187"/>
        <v>0.616291878598339</v>
      </c>
      <c r="AI371" s="8">
        <v>1</v>
      </c>
      <c r="AJ371" s="49">
        <v>0</v>
      </c>
      <c r="AL371" s="50">
        <f t="shared" ca="1" si="188"/>
        <v>0.60020672428717914</v>
      </c>
      <c r="AM371" s="8">
        <v>1</v>
      </c>
      <c r="AN371" s="49">
        <v>0</v>
      </c>
      <c r="AP371" s="50">
        <f t="shared" ca="1" si="189"/>
        <v>0.75642572286608922</v>
      </c>
      <c r="AQ371" s="8">
        <v>1</v>
      </c>
      <c r="AR371" s="49">
        <v>0</v>
      </c>
      <c r="AT371" s="50">
        <f t="shared" ca="1" si="190"/>
        <v>0.43790676563510333</v>
      </c>
      <c r="AU371" s="8">
        <v>1</v>
      </c>
      <c r="AV371" s="49">
        <v>0</v>
      </c>
      <c r="AX371" s="50">
        <f t="shared" ca="1" si="191"/>
        <v>0.75956506596915307</v>
      </c>
      <c r="AY371" s="8">
        <v>1</v>
      </c>
      <c r="AZ371" s="49">
        <v>0</v>
      </c>
      <c r="BB371" s="50">
        <f t="shared" ca="1" si="192"/>
        <v>0.2730996026650927</v>
      </c>
      <c r="BC371" s="8">
        <v>1</v>
      </c>
      <c r="BD371" s="49">
        <v>0</v>
      </c>
      <c r="BF371" s="50">
        <f t="shared" ca="1" si="193"/>
        <v>0.18030580014392095</v>
      </c>
      <c r="BG371" s="8">
        <v>1</v>
      </c>
      <c r="BH371" s="49">
        <v>0</v>
      </c>
      <c r="BJ371" s="50">
        <f t="shared" ca="1" si="194"/>
        <v>0.46685321088934739</v>
      </c>
      <c r="BK371" s="8">
        <v>1</v>
      </c>
      <c r="BL371" s="49">
        <v>0</v>
      </c>
      <c r="BN371" s="50">
        <f t="shared" ca="1" si="195"/>
        <v>0.31806331766895846</v>
      </c>
      <c r="BO371" s="8">
        <v>1</v>
      </c>
      <c r="BP371" s="49">
        <v>0</v>
      </c>
      <c r="BR371" s="50">
        <f t="shared" ca="1" si="196"/>
        <v>0.63160755106304545</v>
      </c>
      <c r="BS371" s="8">
        <v>1</v>
      </c>
      <c r="BT371" s="49">
        <v>0</v>
      </c>
    </row>
    <row r="372" spans="1:72" x14ac:dyDescent="0.2">
      <c r="A372" s="22">
        <v>44919</v>
      </c>
      <c r="B372" s="50">
        <f t="shared" ca="1" si="179"/>
        <v>0.82980394893010556</v>
      </c>
      <c r="C372" s="8">
        <v>1</v>
      </c>
      <c r="D372" s="49">
        <v>0</v>
      </c>
      <c r="F372" s="50">
        <f t="shared" ca="1" si="180"/>
        <v>0.86692258403979283</v>
      </c>
      <c r="G372" s="8">
        <v>1</v>
      </c>
      <c r="H372" s="49">
        <v>0</v>
      </c>
      <c r="J372" s="50">
        <f t="shared" ca="1" si="181"/>
        <v>7.3714968745234755E-2</v>
      </c>
      <c r="K372" s="8">
        <v>1</v>
      </c>
      <c r="L372" s="49">
        <v>0</v>
      </c>
      <c r="N372" s="50">
        <f t="shared" ca="1" si="182"/>
        <v>0.82221688199303344</v>
      </c>
      <c r="O372" s="8">
        <v>1</v>
      </c>
      <c r="P372" s="49">
        <v>0</v>
      </c>
      <c r="R372" s="50">
        <f t="shared" ca="1" si="183"/>
        <v>0.9203896494475895</v>
      </c>
      <c r="S372" s="8">
        <v>1</v>
      </c>
      <c r="T372" s="49">
        <v>0</v>
      </c>
      <c r="V372" s="50">
        <f t="shared" ca="1" si="184"/>
        <v>0.57374865578334255</v>
      </c>
      <c r="W372" s="8">
        <v>1</v>
      </c>
      <c r="X372" s="49">
        <v>0</v>
      </c>
      <c r="Z372" s="50">
        <f t="shared" ca="1" si="185"/>
        <v>0.77045918858944085</v>
      </c>
      <c r="AA372" s="8">
        <v>1</v>
      </c>
      <c r="AB372" s="49">
        <v>0</v>
      </c>
      <c r="AD372" s="50">
        <f t="shared" ca="1" si="186"/>
        <v>0.42086906240592348</v>
      </c>
      <c r="AE372" s="8">
        <v>1</v>
      </c>
      <c r="AF372" s="49">
        <v>0</v>
      </c>
      <c r="AH372" s="50">
        <f t="shared" ca="1" si="187"/>
        <v>0.28581993335436684</v>
      </c>
      <c r="AI372" s="8">
        <v>1</v>
      </c>
      <c r="AJ372" s="49">
        <v>0</v>
      </c>
      <c r="AL372" s="50">
        <f t="shared" ca="1" si="188"/>
        <v>0.68136342788845006</v>
      </c>
      <c r="AM372" s="8">
        <v>1</v>
      </c>
      <c r="AN372" s="49">
        <v>0</v>
      </c>
      <c r="AP372" s="50">
        <f t="shared" ca="1" si="189"/>
        <v>0.37346118942056805</v>
      </c>
      <c r="AQ372" s="8">
        <v>1</v>
      </c>
      <c r="AR372" s="49">
        <v>0</v>
      </c>
      <c r="AT372" s="50">
        <f t="shared" ca="1" si="190"/>
        <v>0.65782070123658198</v>
      </c>
      <c r="AU372" s="8">
        <v>1</v>
      </c>
      <c r="AV372" s="49">
        <v>0</v>
      </c>
      <c r="AX372" s="50">
        <f t="shared" ca="1" si="191"/>
        <v>0.58817983440171451</v>
      </c>
      <c r="AY372" s="8">
        <v>1</v>
      </c>
      <c r="AZ372" s="49">
        <v>0</v>
      </c>
      <c r="BB372" s="50">
        <f t="shared" ca="1" si="192"/>
        <v>0.51042895990679604</v>
      </c>
      <c r="BC372" s="8">
        <v>1</v>
      </c>
      <c r="BD372" s="49">
        <v>0</v>
      </c>
      <c r="BF372" s="50">
        <f t="shared" ca="1" si="193"/>
        <v>0.71046970312588342</v>
      </c>
      <c r="BG372" s="8">
        <v>1</v>
      </c>
      <c r="BH372" s="49">
        <v>0</v>
      </c>
      <c r="BJ372" s="50">
        <f t="shared" ca="1" si="194"/>
        <v>4.6248077337653348E-2</v>
      </c>
      <c r="BK372" s="8">
        <v>1</v>
      </c>
      <c r="BL372" s="49">
        <v>0</v>
      </c>
      <c r="BN372" s="50">
        <f t="shared" ca="1" si="195"/>
        <v>6.7974229979554934E-2</v>
      </c>
      <c r="BO372" s="8">
        <v>1</v>
      </c>
      <c r="BP372" s="49">
        <v>0</v>
      </c>
      <c r="BR372" s="50">
        <f t="shared" ca="1" si="196"/>
        <v>0.35092444637795295</v>
      </c>
      <c r="BS372" s="8">
        <v>1</v>
      </c>
      <c r="BT372" s="49">
        <v>0</v>
      </c>
    </row>
    <row r="373" spans="1:72" x14ac:dyDescent="0.2">
      <c r="A373" s="22">
        <v>44920</v>
      </c>
      <c r="B373" s="50">
        <f t="shared" ca="1" si="179"/>
        <v>0.13292619303283104</v>
      </c>
      <c r="C373" s="8">
        <v>1</v>
      </c>
      <c r="D373" s="49">
        <v>0</v>
      </c>
      <c r="F373" s="50">
        <f t="shared" ca="1" si="180"/>
        <v>0.33943394379843683</v>
      </c>
      <c r="G373" s="8">
        <v>1</v>
      </c>
      <c r="H373" s="49">
        <v>0</v>
      </c>
      <c r="J373" s="50">
        <f t="shared" ca="1" si="181"/>
        <v>1.5045797937864092E-2</v>
      </c>
      <c r="K373" s="8">
        <v>1</v>
      </c>
      <c r="L373" s="49">
        <v>0</v>
      </c>
      <c r="N373" s="50">
        <f t="shared" ca="1" si="182"/>
        <v>0.12786570419316412</v>
      </c>
      <c r="O373" s="8">
        <v>1</v>
      </c>
      <c r="P373" s="49">
        <v>0</v>
      </c>
      <c r="R373" s="50">
        <f t="shared" ca="1" si="183"/>
        <v>6.5454673093362059E-2</v>
      </c>
      <c r="S373" s="8">
        <v>1</v>
      </c>
      <c r="T373" s="49">
        <v>0</v>
      </c>
      <c r="V373" s="50">
        <f t="shared" ca="1" si="184"/>
        <v>0.38550244712263149</v>
      </c>
      <c r="W373" s="8">
        <v>1</v>
      </c>
      <c r="X373" s="49">
        <v>0</v>
      </c>
      <c r="Z373" s="50">
        <f t="shared" ca="1" si="185"/>
        <v>0.31987347959306323</v>
      </c>
      <c r="AA373" s="8">
        <v>1</v>
      </c>
      <c r="AB373" s="49">
        <v>0</v>
      </c>
      <c r="AD373" s="50">
        <f t="shared" ca="1" si="186"/>
        <v>5.5829800014672193E-2</v>
      </c>
      <c r="AE373" s="8">
        <v>1</v>
      </c>
      <c r="AF373" s="49">
        <v>0</v>
      </c>
      <c r="AH373" s="50">
        <f t="shared" ca="1" si="187"/>
        <v>0.80852544538306037</v>
      </c>
      <c r="AI373" s="8">
        <v>1</v>
      </c>
      <c r="AJ373" s="49">
        <v>0</v>
      </c>
      <c r="AL373" s="50">
        <f t="shared" ca="1" si="188"/>
        <v>0.87240803057450245</v>
      </c>
      <c r="AM373" s="8">
        <v>1</v>
      </c>
      <c r="AN373" s="49">
        <v>0</v>
      </c>
      <c r="AP373" s="50">
        <f t="shared" ca="1" si="189"/>
        <v>0.85588978800621796</v>
      </c>
      <c r="AQ373" s="8">
        <v>1</v>
      </c>
      <c r="AR373" s="49">
        <v>0</v>
      </c>
      <c r="AT373" s="50">
        <f t="shared" ca="1" si="190"/>
        <v>0.74260848959367154</v>
      </c>
      <c r="AU373" s="8">
        <v>1</v>
      </c>
      <c r="AV373" s="49">
        <v>0</v>
      </c>
      <c r="AX373" s="50">
        <f t="shared" ca="1" si="191"/>
        <v>0.49491534731497833</v>
      </c>
      <c r="AY373" s="8">
        <v>1</v>
      </c>
      <c r="AZ373" s="49">
        <v>0</v>
      </c>
      <c r="BB373" s="50">
        <f t="shared" ca="1" si="192"/>
        <v>0.76083363083324829</v>
      </c>
      <c r="BC373" s="8">
        <v>1</v>
      </c>
      <c r="BD373" s="49">
        <v>0</v>
      </c>
      <c r="BF373" s="50">
        <f t="shared" ca="1" si="193"/>
        <v>0.81712775578665475</v>
      </c>
      <c r="BG373" s="8">
        <v>1</v>
      </c>
      <c r="BH373" s="49">
        <v>0</v>
      </c>
      <c r="BJ373" s="50">
        <f t="shared" ca="1" si="194"/>
        <v>0.76265590865034871</v>
      </c>
      <c r="BK373" s="8">
        <v>1</v>
      </c>
      <c r="BL373" s="49">
        <v>0</v>
      </c>
      <c r="BN373" s="50">
        <f t="shared" ca="1" si="195"/>
        <v>0.29238855857562307</v>
      </c>
      <c r="BO373" s="8">
        <v>1</v>
      </c>
      <c r="BP373" s="49">
        <v>0</v>
      </c>
      <c r="BR373" s="50">
        <f t="shared" ca="1" si="196"/>
        <v>0.40527009383269519</v>
      </c>
      <c r="BS373" s="8">
        <v>1</v>
      </c>
      <c r="BT373" s="49">
        <v>0</v>
      </c>
    </row>
    <row r="374" spans="1:72" x14ac:dyDescent="0.2">
      <c r="A374" s="22">
        <v>44921</v>
      </c>
      <c r="B374" s="50">
        <f t="shared" ca="1" si="179"/>
        <v>0.14856569306317391</v>
      </c>
      <c r="C374" s="8">
        <v>1</v>
      </c>
      <c r="D374" s="49">
        <v>0</v>
      </c>
      <c r="F374" s="50">
        <f t="shared" ca="1" si="180"/>
        <v>0.35059839749506272</v>
      </c>
      <c r="G374" s="8">
        <v>1</v>
      </c>
      <c r="H374" s="49">
        <v>0</v>
      </c>
      <c r="J374" s="50">
        <f t="shared" ca="1" si="181"/>
        <v>0.93036681394664389</v>
      </c>
      <c r="K374" s="8">
        <v>1</v>
      </c>
      <c r="L374" s="49">
        <v>0</v>
      </c>
      <c r="N374" s="50">
        <f t="shared" ca="1" si="182"/>
        <v>0.59134529402909497</v>
      </c>
      <c r="O374" s="8">
        <v>1</v>
      </c>
      <c r="P374" s="49">
        <v>0</v>
      </c>
      <c r="R374" s="50">
        <f t="shared" ca="1" si="183"/>
        <v>0.3352586430504928</v>
      </c>
      <c r="S374" s="8">
        <v>1</v>
      </c>
      <c r="T374" s="49">
        <v>0</v>
      </c>
      <c r="V374" s="50">
        <f t="shared" ca="1" si="184"/>
        <v>0.9447073096797366</v>
      </c>
      <c r="W374" s="8">
        <v>1</v>
      </c>
      <c r="X374" s="49">
        <v>0</v>
      </c>
      <c r="Z374" s="50">
        <f t="shared" ca="1" si="185"/>
        <v>0.44176819140541834</v>
      </c>
      <c r="AA374" s="8">
        <v>1</v>
      </c>
      <c r="AB374" s="49">
        <v>0</v>
      </c>
      <c r="AD374" s="50">
        <f t="shared" ca="1" si="186"/>
        <v>0.25774530389381778</v>
      </c>
      <c r="AE374" s="8">
        <v>1</v>
      </c>
      <c r="AF374" s="49">
        <v>0</v>
      </c>
      <c r="AH374" s="50">
        <f t="shared" ca="1" si="187"/>
        <v>0.63973349262596224</v>
      </c>
      <c r="AI374" s="8">
        <v>1</v>
      </c>
      <c r="AJ374" s="49">
        <v>0</v>
      </c>
      <c r="AL374" s="50">
        <f t="shared" ca="1" si="188"/>
        <v>0.38128893295995581</v>
      </c>
      <c r="AM374" s="8">
        <v>1</v>
      </c>
      <c r="AN374" s="49">
        <v>0</v>
      </c>
      <c r="AP374" s="50">
        <f t="shared" ca="1" si="189"/>
        <v>0.58904459951428667</v>
      </c>
      <c r="AQ374" s="8">
        <v>1</v>
      </c>
      <c r="AR374" s="49">
        <v>0</v>
      </c>
      <c r="AT374" s="50">
        <f t="shared" ca="1" si="190"/>
        <v>0.52826188086619696</v>
      </c>
      <c r="AU374" s="8">
        <v>1</v>
      </c>
      <c r="AV374" s="49">
        <v>0</v>
      </c>
      <c r="AX374" s="50">
        <f t="shared" ca="1" si="191"/>
        <v>0.70011947992470813</v>
      </c>
      <c r="AY374" s="8">
        <v>1</v>
      </c>
      <c r="AZ374" s="49">
        <v>0</v>
      </c>
      <c r="BB374" s="50">
        <f t="shared" ca="1" si="192"/>
        <v>0.33035633211781013</v>
      </c>
      <c r="BC374" s="8">
        <v>1</v>
      </c>
      <c r="BD374" s="49">
        <v>0</v>
      </c>
      <c r="BF374" s="50">
        <f t="shared" ca="1" si="193"/>
        <v>0.81794408902661198</v>
      </c>
      <c r="BG374" s="8">
        <v>1</v>
      </c>
      <c r="BH374" s="49">
        <v>0</v>
      </c>
      <c r="BJ374" s="50">
        <f t="shared" ca="1" si="194"/>
        <v>0.60842129123270094</v>
      </c>
      <c r="BK374" s="8">
        <v>1</v>
      </c>
      <c r="BL374" s="49">
        <v>0</v>
      </c>
      <c r="BN374" s="50">
        <f t="shared" ca="1" si="195"/>
        <v>0.4425006197068464</v>
      </c>
      <c r="BO374" s="8">
        <v>1</v>
      </c>
      <c r="BP374" s="49">
        <v>0</v>
      </c>
      <c r="BR374" s="50">
        <f t="shared" ca="1" si="196"/>
        <v>0.86826358255612857</v>
      </c>
      <c r="BS374" s="8">
        <v>1</v>
      </c>
      <c r="BT374" s="49">
        <v>0</v>
      </c>
    </row>
    <row r="375" spans="1:72" x14ac:dyDescent="0.2">
      <c r="A375" s="22">
        <v>44922</v>
      </c>
      <c r="B375" s="50">
        <f t="shared" ca="1" si="179"/>
        <v>0.72633477697522464</v>
      </c>
      <c r="C375" s="8">
        <v>1</v>
      </c>
      <c r="D375" s="49">
        <v>0</v>
      </c>
      <c r="F375" s="50">
        <f t="shared" ca="1" si="180"/>
        <v>8.8937997944071756E-2</v>
      </c>
      <c r="G375" s="8">
        <v>1</v>
      </c>
      <c r="H375" s="49">
        <v>0</v>
      </c>
      <c r="J375" s="50">
        <f t="shared" ca="1" si="181"/>
        <v>0.80672296673243071</v>
      </c>
      <c r="K375" s="8">
        <v>1</v>
      </c>
      <c r="L375" s="49">
        <v>0</v>
      </c>
      <c r="N375" s="50">
        <f t="shared" ca="1" si="182"/>
        <v>0.11222386897837477</v>
      </c>
      <c r="O375" s="8">
        <v>1</v>
      </c>
      <c r="P375" s="49">
        <v>0</v>
      </c>
      <c r="R375" s="50">
        <f t="shared" ca="1" si="183"/>
        <v>0.28215235170995245</v>
      </c>
      <c r="S375" s="8">
        <v>1</v>
      </c>
      <c r="T375" s="49">
        <v>0</v>
      </c>
      <c r="V375" s="50">
        <f t="shared" ca="1" si="184"/>
        <v>0.54042513576574691</v>
      </c>
      <c r="W375" s="8">
        <v>1</v>
      </c>
      <c r="X375" s="49">
        <v>0</v>
      </c>
      <c r="Z375" s="50">
        <f t="shared" ca="1" si="185"/>
        <v>0.2909636984083378</v>
      </c>
      <c r="AA375" s="8">
        <v>1</v>
      </c>
      <c r="AB375" s="49">
        <v>0</v>
      </c>
      <c r="AD375" s="50">
        <f t="shared" ca="1" si="186"/>
        <v>0.86623310603218029</v>
      </c>
      <c r="AE375" s="8">
        <v>1</v>
      </c>
      <c r="AF375" s="49">
        <v>0</v>
      </c>
      <c r="AH375" s="50">
        <f t="shared" ca="1" si="187"/>
        <v>0.80202596452905184</v>
      </c>
      <c r="AI375" s="8">
        <v>1</v>
      </c>
      <c r="AJ375" s="49">
        <v>0</v>
      </c>
      <c r="AL375" s="50">
        <f t="shared" ca="1" si="188"/>
        <v>0.49593721905993782</v>
      </c>
      <c r="AM375" s="8">
        <v>1</v>
      </c>
      <c r="AN375" s="49">
        <v>0</v>
      </c>
      <c r="AP375" s="50">
        <f t="shared" ca="1" si="189"/>
        <v>6.5405860377189318E-2</v>
      </c>
      <c r="AQ375" s="8">
        <v>1</v>
      </c>
      <c r="AR375" s="49">
        <v>0</v>
      </c>
      <c r="AT375" s="50">
        <f t="shared" ca="1" si="190"/>
        <v>0.5415376351289044</v>
      </c>
      <c r="AU375" s="8">
        <v>1</v>
      </c>
      <c r="AV375" s="49">
        <v>0</v>
      </c>
      <c r="AX375" s="50">
        <f t="shared" ca="1" si="191"/>
        <v>0.52900495499220368</v>
      </c>
      <c r="AY375" s="8">
        <v>1</v>
      </c>
      <c r="AZ375" s="49">
        <v>0</v>
      </c>
      <c r="BB375" s="50">
        <f t="shared" ca="1" si="192"/>
        <v>0.19255842198647488</v>
      </c>
      <c r="BC375" s="8">
        <v>1</v>
      </c>
      <c r="BD375" s="49">
        <v>0</v>
      </c>
      <c r="BF375" s="50">
        <f t="shared" ca="1" si="193"/>
        <v>0.94291016919095449</v>
      </c>
      <c r="BG375" s="8">
        <v>1</v>
      </c>
      <c r="BH375" s="49">
        <v>0</v>
      </c>
      <c r="BJ375" s="50">
        <f t="shared" ca="1" si="194"/>
        <v>0.75063528817949632</v>
      </c>
      <c r="BK375" s="8">
        <v>1</v>
      </c>
      <c r="BL375" s="49">
        <v>0</v>
      </c>
      <c r="BN375" s="50">
        <f t="shared" ca="1" si="195"/>
        <v>0.94382674718602366</v>
      </c>
      <c r="BO375" s="8">
        <v>1</v>
      </c>
      <c r="BP375" s="49">
        <v>0</v>
      </c>
      <c r="BR375" s="50">
        <f t="shared" ca="1" si="196"/>
        <v>0.95032107085925299</v>
      </c>
      <c r="BS375" s="8">
        <v>1</v>
      </c>
      <c r="BT375" s="49">
        <v>0</v>
      </c>
    </row>
    <row r="376" spans="1:72" x14ac:dyDescent="0.2">
      <c r="A376" s="22">
        <v>44923</v>
      </c>
      <c r="B376" s="50">
        <f t="shared" ca="1" si="179"/>
        <v>0.16346714523934758</v>
      </c>
      <c r="C376" s="8">
        <v>1</v>
      </c>
      <c r="D376" s="49">
        <v>0</v>
      </c>
      <c r="F376" s="50">
        <f t="shared" ca="1" si="180"/>
        <v>0.88502293197071014</v>
      </c>
      <c r="G376" s="8">
        <v>1</v>
      </c>
      <c r="H376" s="49">
        <v>0</v>
      </c>
      <c r="J376" s="50">
        <f t="shared" ca="1" si="181"/>
        <v>0.22211809211599398</v>
      </c>
      <c r="K376" s="8">
        <v>1</v>
      </c>
      <c r="L376" s="49">
        <v>0</v>
      </c>
      <c r="N376" s="50">
        <f t="shared" ca="1" si="182"/>
        <v>0.77077718972224474</v>
      </c>
      <c r="O376" s="8">
        <v>1</v>
      </c>
      <c r="P376" s="49">
        <v>0</v>
      </c>
      <c r="R376" s="50">
        <f t="shared" ca="1" si="183"/>
        <v>0.74680919114790523</v>
      </c>
      <c r="S376" s="8">
        <v>1</v>
      </c>
      <c r="T376" s="49">
        <v>0</v>
      </c>
      <c r="V376" s="50">
        <f t="shared" ca="1" si="184"/>
        <v>0.9088660042953568</v>
      </c>
      <c r="W376" s="8">
        <v>1</v>
      </c>
      <c r="X376" s="49">
        <v>0</v>
      </c>
      <c r="Z376" s="50">
        <f t="shared" ca="1" si="185"/>
        <v>0.84678203469134505</v>
      </c>
      <c r="AA376" s="8">
        <v>1</v>
      </c>
      <c r="AB376" s="49">
        <v>0</v>
      </c>
      <c r="AD376" s="50">
        <f t="shared" ca="1" si="186"/>
        <v>0.83616866288768166</v>
      </c>
      <c r="AE376" s="8">
        <v>1</v>
      </c>
      <c r="AF376" s="49">
        <v>0</v>
      </c>
      <c r="AH376" s="50">
        <f t="shared" ca="1" si="187"/>
        <v>0.48607251730862955</v>
      </c>
      <c r="AI376" s="8">
        <v>1</v>
      </c>
      <c r="AJ376" s="49">
        <v>0</v>
      </c>
      <c r="AL376" s="50">
        <f t="shared" ca="1" si="188"/>
        <v>0.56748039281531437</v>
      </c>
      <c r="AM376" s="8">
        <v>1</v>
      </c>
      <c r="AN376" s="49">
        <v>0</v>
      </c>
      <c r="AP376" s="50">
        <f t="shared" ca="1" si="189"/>
        <v>0.33466388837909622</v>
      </c>
      <c r="AQ376" s="8">
        <v>1</v>
      </c>
      <c r="AR376" s="49">
        <v>0</v>
      </c>
      <c r="AT376" s="50">
        <f t="shared" ca="1" si="190"/>
        <v>0.32784748120049467</v>
      </c>
      <c r="AU376" s="8">
        <v>1</v>
      </c>
      <c r="AV376" s="49">
        <v>0</v>
      </c>
      <c r="AX376" s="50">
        <f t="shared" ca="1" si="191"/>
        <v>0.43766597843004063</v>
      </c>
      <c r="AY376" s="8">
        <v>1</v>
      </c>
      <c r="AZ376" s="49">
        <v>0</v>
      </c>
      <c r="BB376" s="50">
        <f t="shared" ca="1" si="192"/>
        <v>0.1955308944137556</v>
      </c>
      <c r="BC376" s="8">
        <v>1</v>
      </c>
      <c r="BD376" s="49">
        <v>0</v>
      </c>
      <c r="BF376" s="50">
        <f t="shared" ca="1" si="193"/>
        <v>1.6535250862221185E-2</v>
      </c>
      <c r="BG376" s="8">
        <v>1</v>
      </c>
      <c r="BH376" s="49">
        <v>0</v>
      </c>
      <c r="BJ376" s="50">
        <f t="shared" ca="1" si="194"/>
        <v>0.2337783538785958</v>
      </c>
      <c r="BK376" s="8">
        <v>1</v>
      </c>
      <c r="BL376" s="49">
        <v>0</v>
      </c>
      <c r="BN376" s="50">
        <f t="shared" ca="1" si="195"/>
        <v>7.8533473397458087E-2</v>
      </c>
      <c r="BO376" s="8">
        <v>1</v>
      </c>
      <c r="BP376" s="49">
        <v>0</v>
      </c>
      <c r="BR376" s="50">
        <f t="shared" ca="1" si="196"/>
        <v>0.24498459987222898</v>
      </c>
      <c r="BS376" s="8">
        <v>1</v>
      </c>
      <c r="BT376" s="49">
        <v>0</v>
      </c>
    </row>
    <row r="377" spans="1:72" x14ac:dyDescent="0.2">
      <c r="A377" s="22">
        <v>44924</v>
      </c>
      <c r="B377" s="50">
        <f t="shared" ca="1" si="179"/>
        <v>0.14089959569068644</v>
      </c>
      <c r="C377" s="8">
        <v>1</v>
      </c>
      <c r="D377" s="49">
        <v>0</v>
      </c>
      <c r="F377" s="50">
        <f t="shared" ca="1" si="180"/>
        <v>0.79211073776993257</v>
      </c>
      <c r="G377" s="8">
        <v>1</v>
      </c>
      <c r="H377" s="49">
        <v>0</v>
      </c>
      <c r="J377" s="50">
        <f t="shared" ca="1" si="181"/>
        <v>0.86462997280977905</v>
      </c>
      <c r="K377" s="8">
        <v>1</v>
      </c>
      <c r="L377" s="49">
        <v>0</v>
      </c>
      <c r="N377" s="50">
        <f t="shared" ca="1" si="182"/>
        <v>0.10466624670511371</v>
      </c>
      <c r="O377" s="8">
        <v>1</v>
      </c>
      <c r="P377" s="49">
        <v>0</v>
      </c>
      <c r="R377" s="50">
        <f t="shared" ca="1" si="183"/>
        <v>0.31211586892712551</v>
      </c>
      <c r="S377" s="8">
        <v>1</v>
      </c>
      <c r="T377" s="49">
        <v>0</v>
      </c>
      <c r="V377" s="50">
        <f t="shared" ca="1" si="184"/>
        <v>0.65693112809606902</v>
      </c>
      <c r="W377" s="8">
        <v>1</v>
      </c>
      <c r="X377" s="49">
        <v>0</v>
      </c>
      <c r="Z377" s="50">
        <f t="shared" ca="1" si="185"/>
        <v>0.22758761390211257</v>
      </c>
      <c r="AA377" s="8">
        <v>1</v>
      </c>
      <c r="AB377" s="49">
        <v>0</v>
      </c>
      <c r="AD377" s="50">
        <f t="shared" ca="1" si="186"/>
        <v>0.55142739615669412</v>
      </c>
      <c r="AE377" s="8">
        <v>1</v>
      </c>
      <c r="AF377" s="49">
        <v>0</v>
      </c>
      <c r="AH377" s="50">
        <f t="shared" ca="1" si="187"/>
        <v>0.24531626282064156</v>
      </c>
      <c r="AI377" s="8">
        <v>1</v>
      </c>
      <c r="AJ377" s="49">
        <v>0</v>
      </c>
      <c r="AL377" s="50">
        <f t="shared" ca="1" si="188"/>
        <v>0.69195655987496685</v>
      </c>
      <c r="AM377" s="8">
        <v>1</v>
      </c>
      <c r="AN377" s="49">
        <v>0</v>
      </c>
      <c r="AP377" s="50">
        <f t="shared" ca="1" si="189"/>
        <v>0.50020119843853184</v>
      </c>
      <c r="AQ377" s="8">
        <v>1</v>
      </c>
      <c r="AR377" s="49">
        <v>0</v>
      </c>
      <c r="AT377" s="50">
        <f t="shared" ca="1" si="190"/>
        <v>0.15094952706453479</v>
      </c>
      <c r="AU377" s="8">
        <v>1</v>
      </c>
      <c r="AV377" s="49">
        <v>0</v>
      </c>
      <c r="AX377" s="50">
        <f t="shared" ca="1" si="191"/>
        <v>0.17475116632621979</v>
      </c>
      <c r="AY377" s="8">
        <v>1</v>
      </c>
      <c r="AZ377" s="49">
        <v>0</v>
      </c>
      <c r="BB377" s="50">
        <f t="shared" ca="1" si="192"/>
        <v>0.1269006634377976</v>
      </c>
      <c r="BC377" s="8">
        <v>1</v>
      </c>
      <c r="BD377" s="49">
        <v>0</v>
      </c>
      <c r="BF377" s="50">
        <f t="shared" ca="1" si="193"/>
        <v>0.30525090116596121</v>
      </c>
      <c r="BG377" s="8">
        <v>1</v>
      </c>
      <c r="BH377" s="49">
        <v>0</v>
      </c>
      <c r="BJ377" s="50">
        <f t="shared" ca="1" si="194"/>
        <v>0.61363166583450734</v>
      </c>
      <c r="BK377" s="8">
        <v>1</v>
      </c>
      <c r="BL377" s="49">
        <v>0</v>
      </c>
      <c r="BN377" s="50">
        <f t="shared" ca="1" si="195"/>
        <v>0.32005240472593666</v>
      </c>
      <c r="BO377" s="8">
        <v>1</v>
      </c>
      <c r="BP377" s="49">
        <v>0</v>
      </c>
      <c r="BR377" s="50">
        <f t="shared" ca="1" si="196"/>
        <v>9.9306817180161988E-2</v>
      </c>
      <c r="BS377" s="8">
        <v>1</v>
      </c>
      <c r="BT377" s="49">
        <v>0</v>
      </c>
    </row>
    <row r="378" spans="1:72" x14ac:dyDescent="0.2">
      <c r="A378" s="22">
        <v>44925</v>
      </c>
      <c r="B378" s="50">
        <f t="shared" ca="1" si="179"/>
        <v>0.24447541336516332</v>
      </c>
      <c r="C378" s="8">
        <v>1</v>
      </c>
      <c r="D378" s="49">
        <v>0</v>
      </c>
      <c r="F378" s="50">
        <f t="shared" ca="1" si="180"/>
        <v>0.12037435348098846</v>
      </c>
      <c r="G378" s="8">
        <v>1</v>
      </c>
      <c r="H378" s="49">
        <v>0</v>
      </c>
      <c r="J378" s="50">
        <f t="shared" ca="1" si="181"/>
        <v>0.16384546973802494</v>
      </c>
      <c r="K378" s="8">
        <v>1</v>
      </c>
      <c r="L378" s="49">
        <v>0</v>
      </c>
      <c r="N378" s="50">
        <f t="shared" ca="1" si="182"/>
        <v>0.8602375348119774</v>
      </c>
      <c r="O378" s="8">
        <v>1</v>
      </c>
      <c r="P378" s="49">
        <v>0</v>
      </c>
      <c r="R378" s="50">
        <f t="shared" ca="1" si="183"/>
        <v>0.34565429214713161</v>
      </c>
      <c r="S378" s="8">
        <v>1</v>
      </c>
      <c r="T378" s="49">
        <v>0</v>
      </c>
      <c r="V378" s="50">
        <f t="shared" ca="1" si="184"/>
        <v>0.75890853352945786</v>
      </c>
      <c r="W378" s="8">
        <v>1</v>
      </c>
      <c r="X378" s="49">
        <v>0</v>
      </c>
      <c r="Z378" s="50">
        <f t="shared" ca="1" si="185"/>
        <v>6.8953882618987605E-2</v>
      </c>
      <c r="AA378" s="8">
        <v>1</v>
      </c>
      <c r="AB378" s="49">
        <v>0</v>
      </c>
      <c r="AD378" s="50">
        <f t="shared" ca="1" si="186"/>
        <v>0.25786305110164465</v>
      </c>
      <c r="AE378" s="8">
        <v>1</v>
      </c>
      <c r="AF378" s="49">
        <v>0</v>
      </c>
      <c r="AH378" s="50">
        <f t="shared" ca="1" si="187"/>
        <v>0.57281034985566526</v>
      </c>
      <c r="AI378" s="8">
        <v>1</v>
      </c>
      <c r="AJ378" s="49">
        <v>0</v>
      </c>
      <c r="AL378" s="50">
        <f t="shared" ca="1" si="188"/>
        <v>0.98229697268674854</v>
      </c>
      <c r="AM378" s="8">
        <v>1</v>
      </c>
      <c r="AN378" s="49">
        <v>0</v>
      </c>
      <c r="AP378" s="50">
        <f t="shared" ca="1" si="189"/>
        <v>0.2322567755117908</v>
      </c>
      <c r="AQ378" s="8">
        <v>1</v>
      </c>
      <c r="AR378" s="49">
        <v>0</v>
      </c>
      <c r="AT378" s="50">
        <f t="shared" ca="1" si="190"/>
        <v>0.93344698548093996</v>
      </c>
      <c r="AU378" s="8">
        <v>1</v>
      </c>
      <c r="AV378" s="49">
        <v>0</v>
      </c>
      <c r="AX378" s="50">
        <f t="shared" ca="1" si="191"/>
        <v>0.14584505107313173</v>
      </c>
      <c r="AY378" s="8">
        <v>1</v>
      </c>
      <c r="AZ378" s="49">
        <v>0</v>
      </c>
      <c r="BB378" s="50">
        <f t="shared" ca="1" si="192"/>
        <v>0.98467174294030235</v>
      </c>
      <c r="BC378" s="8">
        <v>1</v>
      </c>
      <c r="BD378" s="49">
        <v>0</v>
      </c>
      <c r="BF378" s="50">
        <f t="shared" ca="1" si="193"/>
        <v>0.60223849528217821</v>
      </c>
      <c r="BG378" s="8">
        <v>1</v>
      </c>
      <c r="BH378" s="49">
        <v>0</v>
      </c>
      <c r="BJ378" s="50">
        <f t="shared" ca="1" si="194"/>
        <v>0.49629743177133567</v>
      </c>
      <c r="BK378" s="8">
        <v>1</v>
      </c>
      <c r="BL378" s="49">
        <v>0</v>
      </c>
      <c r="BN378" s="50">
        <f t="shared" ca="1" si="195"/>
        <v>0.73817099319712409</v>
      </c>
      <c r="BO378" s="8">
        <v>1</v>
      </c>
      <c r="BP378" s="49">
        <v>0</v>
      </c>
      <c r="BR378" s="50">
        <f t="shared" ca="1" si="196"/>
        <v>0.14917878838490195</v>
      </c>
      <c r="BS378" s="8">
        <v>1</v>
      </c>
      <c r="BT378" s="49">
        <v>0</v>
      </c>
    </row>
    <row r="379" spans="1:72" x14ac:dyDescent="0.2">
      <c r="A379" s="23">
        <v>44926</v>
      </c>
      <c r="B379" s="50">
        <f t="shared" ca="1" si="179"/>
        <v>0.4551295085020105</v>
      </c>
      <c r="C379" s="8">
        <v>1</v>
      </c>
      <c r="D379" s="49">
        <v>0</v>
      </c>
      <c r="F379" s="50">
        <f t="shared" ca="1" si="180"/>
        <v>0.16233602536353819</v>
      </c>
      <c r="G379" s="8">
        <v>1</v>
      </c>
      <c r="H379" s="49">
        <v>0</v>
      </c>
      <c r="J379" s="50">
        <f t="shared" ca="1" si="181"/>
        <v>0.64556336852658669</v>
      </c>
      <c r="K379" s="8">
        <v>1</v>
      </c>
      <c r="L379" s="49">
        <v>0</v>
      </c>
      <c r="N379" s="50">
        <f t="shared" ca="1" si="182"/>
        <v>0.87686170560250809</v>
      </c>
      <c r="O379" s="8">
        <v>1</v>
      </c>
      <c r="P379" s="49">
        <v>0</v>
      </c>
      <c r="R379" s="50">
        <f t="shared" ca="1" si="183"/>
        <v>0.81468663256816665</v>
      </c>
      <c r="S379" s="8">
        <v>1</v>
      </c>
      <c r="T379" s="49">
        <v>0</v>
      </c>
      <c r="V379" s="50">
        <f t="shared" ca="1" si="184"/>
        <v>0.43612564695398393</v>
      </c>
      <c r="W379" s="8">
        <v>1</v>
      </c>
      <c r="X379" s="49">
        <v>0</v>
      </c>
      <c r="Z379" s="50">
        <f t="shared" ca="1" si="185"/>
        <v>0.10603217275106436</v>
      </c>
      <c r="AA379" s="8">
        <v>1</v>
      </c>
      <c r="AB379" s="49">
        <v>0</v>
      </c>
      <c r="AD379" s="50">
        <f t="shared" ca="1" si="186"/>
        <v>0.93766307667144333</v>
      </c>
      <c r="AE379" s="8">
        <v>1</v>
      </c>
      <c r="AF379" s="49">
        <v>0</v>
      </c>
      <c r="AH379" s="50">
        <f t="shared" ca="1" si="187"/>
        <v>0.96723663145357164</v>
      </c>
      <c r="AI379" s="8">
        <v>1</v>
      </c>
      <c r="AJ379" s="49">
        <v>0</v>
      </c>
      <c r="AL379" s="50">
        <f t="shared" ca="1" si="188"/>
        <v>0.80391688279707263</v>
      </c>
      <c r="AM379" s="8">
        <v>1</v>
      </c>
      <c r="AN379" s="49">
        <v>0</v>
      </c>
      <c r="AP379" s="50">
        <f t="shared" ca="1" si="189"/>
        <v>0.58873172120209905</v>
      </c>
      <c r="AQ379" s="8">
        <v>1</v>
      </c>
      <c r="AR379" s="49">
        <v>0</v>
      </c>
      <c r="AT379" s="50">
        <f t="shared" ca="1" si="190"/>
        <v>0.64368027041135412</v>
      </c>
      <c r="AU379" s="8">
        <v>1</v>
      </c>
      <c r="AV379" s="49">
        <v>0</v>
      </c>
      <c r="AX379" s="50">
        <f t="shared" ca="1" si="191"/>
        <v>0.38846144892935441</v>
      </c>
      <c r="AY379" s="8">
        <v>1</v>
      </c>
      <c r="AZ379" s="49">
        <v>0</v>
      </c>
      <c r="BB379" s="50">
        <f t="shared" ca="1" si="192"/>
        <v>0.39508209425810703</v>
      </c>
      <c r="BC379" s="8">
        <v>1</v>
      </c>
      <c r="BD379" s="49">
        <v>0</v>
      </c>
      <c r="BF379" s="50">
        <f t="shared" ca="1" si="193"/>
        <v>0.82412404122295657</v>
      </c>
      <c r="BG379" s="8">
        <v>1</v>
      </c>
      <c r="BH379" s="49">
        <v>0</v>
      </c>
      <c r="BJ379" s="50">
        <f t="shared" ca="1" si="194"/>
        <v>0.47170719093651192</v>
      </c>
      <c r="BK379" s="8">
        <v>1</v>
      </c>
      <c r="BL379" s="49">
        <v>0</v>
      </c>
      <c r="BN379" s="50">
        <f t="shared" ca="1" si="195"/>
        <v>0.56317289522741398</v>
      </c>
      <c r="BO379" s="8">
        <v>1</v>
      </c>
      <c r="BP379" s="49">
        <v>0</v>
      </c>
      <c r="BR379" s="50">
        <f t="shared" ca="1" si="196"/>
        <v>5.3035298978984624E-2</v>
      </c>
      <c r="BS379" s="8">
        <v>1</v>
      </c>
      <c r="BT379" s="49">
        <v>0</v>
      </c>
    </row>
  </sheetData>
  <autoFilter ref="A14:D379"/>
  <mergeCells count="18">
    <mergeCell ref="BR13:BS13"/>
    <mergeCell ref="Z13:AA13"/>
    <mergeCell ref="AD13:AE13"/>
    <mergeCell ref="AH13:AI13"/>
    <mergeCell ref="AL13:AM13"/>
    <mergeCell ref="AP13:AQ13"/>
    <mergeCell ref="AT13:AU13"/>
    <mergeCell ref="AX13:AY13"/>
    <mergeCell ref="BB13:BC13"/>
    <mergeCell ref="BF13:BG13"/>
    <mergeCell ref="BJ13:BK13"/>
    <mergeCell ref="BN13:BO13"/>
    <mergeCell ref="V13:W13"/>
    <mergeCell ref="B13:C13"/>
    <mergeCell ref="F13:G13"/>
    <mergeCell ref="J13:K13"/>
    <mergeCell ref="N13:O13"/>
    <mergeCell ref="R13:S13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3:F22"/>
  <sheetViews>
    <sheetView workbookViewId="0">
      <selection activeCell="C6" sqref="C6"/>
    </sheetView>
  </sheetViews>
  <sheetFormatPr baseColWidth="10" defaultRowHeight="12.75" x14ac:dyDescent="0.2"/>
  <cols>
    <col min="2" max="2" width="18.42578125" bestFit="1" customWidth="1"/>
    <col min="3" max="3" width="27" bestFit="1" customWidth="1"/>
    <col min="4" max="4" width="15.85546875" bestFit="1" customWidth="1"/>
    <col min="5" max="5" width="14" bestFit="1" customWidth="1"/>
  </cols>
  <sheetData>
    <row r="3" spans="1:6" x14ac:dyDescent="0.2">
      <c r="B3" s="8" t="s">
        <v>10</v>
      </c>
    </row>
    <row r="4" spans="1:6" ht="15.75" x14ac:dyDescent="0.3">
      <c r="B4" s="8" t="s">
        <v>11</v>
      </c>
      <c r="C4" s="9" t="s">
        <v>21</v>
      </c>
      <c r="D4" s="9" t="s">
        <v>12</v>
      </c>
      <c r="E4" s="11" t="s">
        <v>22</v>
      </c>
    </row>
    <row r="5" spans="1:6" x14ac:dyDescent="0.2">
      <c r="A5">
        <v>1</v>
      </c>
      <c r="B5" s="9" t="s">
        <v>13</v>
      </c>
      <c r="C5" s="10">
        <f>D5+200</f>
        <v>500</v>
      </c>
      <c r="D5" s="10">
        <v>300</v>
      </c>
      <c r="E5" s="12">
        <f>DATE(2022,1,1)</f>
        <v>44562</v>
      </c>
    </row>
    <row r="6" spans="1:6" x14ac:dyDescent="0.2">
      <c r="A6">
        <v>2</v>
      </c>
      <c r="B6" s="9" t="s">
        <v>14</v>
      </c>
      <c r="C6" s="10">
        <f>D6</f>
        <v>1436</v>
      </c>
      <c r="D6" s="10">
        <v>1436</v>
      </c>
      <c r="E6" s="12">
        <f>DATE(2022,5,1)</f>
        <v>44682</v>
      </c>
    </row>
    <row r="7" spans="1:6" x14ac:dyDescent="0.2">
      <c r="A7" s="41">
        <v>3</v>
      </c>
      <c r="B7" s="9" t="s">
        <v>15</v>
      </c>
      <c r="C7" s="10">
        <f>D7</f>
        <v>1000</v>
      </c>
      <c r="D7" s="10">
        <v>1000</v>
      </c>
      <c r="E7" s="12">
        <f>DATE(2022,9,1)</f>
        <v>44805</v>
      </c>
    </row>
    <row r="8" spans="1:6" x14ac:dyDescent="0.2">
      <c r="A8" s="41">
        <v>4</v>
      </c>
      <c r="B8" s="9" t="s">
        <v>16</v>
      </c>
      <c r="C8" s="10">
        <f>D8+169</f>
        <v>1529</v>
      </c>
      <c r="D8" s="10">
        <v>1360</v>
      </c>
      <c r="E8" s="12">
        <f>DATE(2022,9,1)</f>
        <v>44805</v>
      </c>
    </row>
    <row r="9" spans="1:6" x14ac:dyDescent="0.2">
      <c r="A9" s="41">
        <v>5</v>
      </c>
      <c r="B9" s="9" t="s">
        <v>17</v>
      </c>
      <c r="C9" s="10">
        <f>D9+103</f>
        <v>925</v>
      </c>
      <c r="D9" s="10">
        <v>822</v>
      </c>
      <c r="E9" s="12">
        <f>DATE(2022,9,1)</f>
        <v>44805</v>
      </c>
    </row>
    <row r="10" spans="1:6" x14ac:dyDescent="0.2">
      <c r="A10" s="41">
        <v>6</v>
      </c>
      <c r="B10" s="9" t="s">
        <v>18</v>
      </c>
      <c r="C10" s="10">
        <f>D10</f>
        <v>1500</v>
      </c>
      <c r="D10" s="10">
        <v>1500</v>
      </c>
      <c r="E10" s="12">
        <f>DATE(2023,1,1)</f>
        <v>44927</v>
      </c>
    </row>
    <row r="11" spans="1:6" x14ac:dyDescent="0.2">
      <c r="A11" s="41">
        <v>7</v>
      </c>
      <c r="B11" s="9" t="s">
        <v>19</v>
      </c>
      <c r="C11" s="10">
        <f>D11</f>
        <v>1800</v>
      </c>
      <c r="D11" s="10">
        <v>1800</v>
      </c>
      <c r="E11" s="12">
        <f>E10</f>
        <v>44927</v>
      </c>
    </row>
    <row r="12" spans="1:6" x14ac:dyDescent="0.2">
      <c r="A12" s="41">
        <v>8</v>
      </c>
      <c r="B12" s="9" t="s">
        <v>20</v>
      </c>
      <c r="C12" s="10">
        <f>D12+180</f>
        <v>2180</v>
      </c>
      <c r="D12" s="10">
        <v>2000</v>
      </c>
      <c r="E12" s="12">
        <f>E11</f>
        <v>44927</v>
      </c>
    </row>
    <row r="13" spans="1:6" x14ac:dyDescent="0.2">
      <c r="A13" s="41">
        <v>9</v>
      </c>
      <c r="B13" s="13" t="s">
        <v>23</v>
      </c>
      <c r="C13" s="10">
        <f>ROUNDUP(_xlfn.NORM.INV(F13,1200,200),0)</f>
        <v>1199</v>
      </c>
      <c r="D13" s="10">
        <f>C13</f>
        <v>1199</v>
      </c>
      <c r="E13" s="12">
        <f>DATE(2023,3,1)</f>
        <v>44986</v>
      </c>
      <c r="F13" s="34">
        <v>0.49752477219761815</v>
      </c>
    </row>
    <row r="14" spans="1:6" x14ac:dyDescent="0.2">
      <c r="A14" s="41">
        <v>10</v>
      </c>
      <c r="B14" s="13" t="s">
        <v>24</v>
      </c>
      <c r="C14" s="10">
        <f t="shared" ref="C14:C22" si="0">ROUNDUP(_xlfn.NORM.INV(F14,1200,200),0)</f>
        <v>981</v>
      </c>
      <c r="D14" s="10">
        <f t="shared" ref="D14:D22" si="1">C14</f>
        <v>981</v>
      </c>
      <c r="E14" s="12">
        <f>DATE(2023,5,1)</f>
        <v>45047</v>
      </c>
      <c r="F14" s="34">
        <v>0.13587417998285467</v>
      </c>
    </row>
    <row r="15" spans="1:6" x14ac:dyDescent="0.2">
      <c r="A15" s="41">
        <v>11</v>
      </c>
      <c r="B15" s="13" t="s">
        <v>25</v>
      </c>
      <c r="C15" s="10">
        <f t="shared" si="0"/>
        <v>1445</v>
      </c>
      <c r="D15" s="10">
        <f t="shared" si="1"/>
        <v>1445</v>
      </c>
      <c r="E15" s="12">
        <f>DATE(2023,9,1)</f>
        <v>45170</v>
      </c>
      <c r="F15" s="34">
        <v>0.88887147542197542</v>
      </c>
    </row>
    <row r="16" spans="1:6" x14ac:dyDescent="0.2">
      <c r="A16" s="41">
        <v>12</v>
      </c>
      <c r="B16" s="13" t="s">
        <v>26</v>
      </c>
      <c r="C16" s="10">
        <f t="shared" si="0"/>
        <v>1278</v>
      </c>
      <c r="D16" s="10">
        <f t="shared" si="1"/>
        <v>1278</v>
      </c>
      <c r="E16" s="12">
        <f>E15+DATE(0,2,0)</f>
        <v>45201</v>
      </c>
      <c r="F16" s="34">
        <v>0.65066831490192578</v>
      </c>
    </row>
    <row r="17" spans="1:6" x14ac:dyDescent="0.2">
      <c r="A17" s="41">
        <v>13</v>
      </c>
      <c r="B17" s="13" t="s">
        <v>27</v>
      </c>
      <c r="C17" s="10">
        <f t="shared" si="0"/>
        <v>1199</v>
      </c>
      <c r="D17" s="10">
        <f t="shared" si="1"/>
        <v>1199</v>
      </c>
      <c r="E17" s="12">
        <f t="shared" ref="E17:E22" si="2">E16+DATE(0,2,0)</f>
        <v>45232</v>
      </c>
      <c r="F17" s="34">
        <v>0.4977537738884098</v>
      </c>
    </row>
    <row r="18" spans="1:6" x14ac:dyDescent="0.2">
      <c r="A18" s="41">
        <v>14</v>
      </c>
      <c r="B18" s="13" t="s">
        <v>28</v>
      </c>
      <c r="C18" s="10">
        <f t="shared" si="0"/>
        <v>1064</v>
      </c>
      <c r="D18" s="10">
        <f t="shared" si="1"/>
        <v>1064</v>
      </c>
      <c r="E18" s="12">
        <f t="shared" si="2"/>
        <v>45263</v>
      </c>
      <c r="F18" s="34">
        <v>0.24767514892972464</v>
      </c>
    </row>
    <row r="19" spans="1:6" x14ac:dyDescent="0.2">
      <c r="A19" s="41">
        <v>15</v>
      </c>
      <c r="B19" s="13" t="s">
        <v>29</v>
      </c>
      <c r="C19" s="10">
        <f t="shared" si="0"/>
        <v>1097</v>
      </c>
      <c r="D19" s="10">
        <f t="shared" si="1"/>
        <v>1097</v>
      </c>
      <c r="E19" s="12">
        <f>E18+DATE(0,2,0)</f>
        <v>45294</v>
      </c>
      <c r="F19" s="34">
        <v>0.30216713525625882</v>
      </c>
    </row>
    <row r="20" spans="1:6" x14ac:dyDescent="0.2">
      <c r="A20" s="41">
        <v>16</v>
      </c>
      <c r="B20" s="13" t="s">
        <v>30</v>
      </c>
      <c r="C20" s="10">
        <f t="shared" si="0"/>
        <v>873</v>
      </c>
      <c r="D20" s="10">
        <f t="shared" si="1"/>
        <v>873</v>
      </c>
      <c r="E20" s="12">
        <f t="shared" si="2"/>
        <v>45325</v>
      </c>
      <c r="F20" s="34">
        <v>5.0707781436790778E-2</v>
      </c>
    </row>
    <row r="21" spans="1:6" x14ac:dyDescent="0.2">
      <c r="A21" s="41">
        <v>17</v>
      </c>
      <c r="B21" s="13" t="s">
        <v>31</v>
      </c>
      <c r="C21" s="10">
        <f t="shared" si="0"/>
        <v>1157</v>
      </c>
      <c r="D21" s="10">
        <f t="shared" si="1"/>
        <v>1157</v>
      </c>
      <c r="E21" s="12">
        <f t="shared" si="2"/>
        <v>45356</v>
      </c>
      <c r="F21" s="34">
        <v>0.41453499789044168</v>
      </c>
    </row>
    <row r="22" spans="1:6" x14ac:dyDescent="0.2">
      <c r="A22" s="41">
        <v>18</v>
      </c>
      <c r="B22" s="13" t="s">
        <v>32</v>
      </c>
      <c r="C22" s="10">
        <f t="shared" si="0"/>
        <v>1223</v>
      </c>
      <c r="D22" s="10">
        <f t="shared" si="1"/>
        <v>1223</v>
      </c>
      <c r="E22" s="12">
        <f t="shared" si="2"/>
        <v>45387</v>
      </c>
      <c r="F22" s="34">
        <v>0.54468521244534884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B4:D104"/>
  <sheetViews>
    <sheetView workbookViewId="0">
      <selection activeCell="F13" sqref="F13"/>
    </sheetView>
  </sheetViews>
  <sheetFormatPr baseColWidth="10" defaultRowHeight="12.75" x14ac:dyDescent="0.2"/>
  <sheetData>
    <row r="4" spans="2:4" x14ac:dyDescent="0.2">
      <c r="B4" s="17" t="s">
        <v>34</v>
      </c>
    </row>
    <row r="5" spans="2:4" x14ac:dyDescent="0.2">
      <c r="B5">
        <v>2022</v>
      </c>
      <c r="C5">
        <v>2023</v>
      </c>
      <c r="D5">
        <v>2024</v>
      </c>
    </row>
    <row r="6" spans="2:4" x14ac:dyDescent="0.2">
      <c r="B6" s="14">
        <v>44562</v>
      </c>
      <c r="C6" s="18">
        <f>DATE(YEAR(B6)+1,MONTH(B6),DAY(B6))</f>
        <v>44927</v>
      </c>
      <c r="D6" s="18">
        <f>DATE(YEAR(C6)+1,MONTH(C6),DAY(C6))</f>
        <v>45292</v>
      </c>
    </row>
    <row r="7" spans="2:4" x14ac:dyDescent="0.2">
      <c r="B7" s="15">
        <v>44563</v>
      </c>
      <c r="C7" s="19">
        <f t="shared" ref="C7:D7" si="0">DATE(YEAR(B7)+1,MONTH(B7),DAY(B7))</f>
        <v>44928</v>
      </c>
      <c r="D7" s="19">
        <f t="shared" si="0"/>
        <v>45293</v>
      </c>
    </row>
    <row r="8" spans="2:4" x14ac:dyDescent="0.2">
      <c r="B8" s="16">
        <v>44564</v>
      </c>
      <c r="C8" s="20">
        <f t="shared" ref="C8:D8" si="1">DATE(YEAR(B8)+1,MONTH(B8),DAY(B8))</f>
        <v>44929</v>
      </c>
      <c r="D8" s="20">
        <f t="shared" si="1"/>
        <v>45294</v>
      </c>
    </row>
    <row r="9" spans="2:4" x14ac:dyDescent="0.2">
      <c r="B9" s="21">
        <v>44598</v>
      </c>
      <c r="C9" s="18">
        <f t="shared" ref="C9:D9" si="2">DATE(YEAR(B9)+1,MONTH(B9),DAY(B9))</f>
        <v>44963</v>
      </c>
      <c r="D9" s="18">
        <f t="shared" si="2"/>
        <v>45328</v>
      </c>
    </row>
    <row r="10" spans="2:4" x14ac:dyDescent="0.2">
      <c r="B10" s="22">
        <v>44599</v>
      </c>
      <c r="C10" s="19">
        <f t="shared" ref="C10:D10" si="3">DATE(YEAR(B10)+1,MONTH(B10),DAY(B10))</f>
        <v>44964</v>
      </c>
      <c r="D10" s="19">
        <f t="shared" si="3"/>
        <v>45329</v>
      </c>
    </row>
    <row r="11" spans="2:4" x14ac:dyDescent="0.2">
      <c r="B11" s="22">
        <v>44600</v>
      </c>
      <c r="C11" s="19">
        <f t="shared" ref="C11:D11" si="4">DATE(YEAR(B11)+1,MONTH(B11),DAY(B11))</f>
        <v>44965</v>
      </c>
      <c r="D11" s="19">
        <f t="shared" si="4"/>
        <v>45330</v>
      </c>
    </row>
    <row r="12" spans="2:4" x14ac:dyDescent="0.2">
      <c r="B12" s="22">
        <v>44601</v>
      </c>
      <c r="C12" s="19">
        <f t="shared" ref="C12:D12" si="5">DATE(YEAR(B12)+1,MONTH(B12),DAY(B12))</f>
        <v>44966</v>
      </c>
      <c r="D12" s="19">
        <f t="shared" si="5"/>
        <v>45331</v>
      </c>
    </row>
    <row r="13" spans="2:4" x14ac:dyDescent="0.2">
      <c r="B13" s="22">
        <v>44602</v>
      </c>
      <c r="C13" s="19">
        <f t="shared" ref="C13:D13" si="6">DATE(YEAR(B13)+1,MONTH(B13),DAY(B13))</f>
        <v>44967</v>
      </c>
      <c r="D13" s="19">
        <f t="shared" si="6"/>
        <v>45332</v>
      </c>
    </row>
    <row r="14" spans="2:4" x14ac:dyDescent="0.2">
      <c r="B14" s="22">
        <v>44603</v>
      </c>
      <c r="C14" s="19">
        <f t="shared" ref="C14:D14" si="7">DATE(YEAR(B14)+1,MONTH(B14),DAY(B14))</f>
        <v>44968</v>
      </c>
      <c r="D14" s="19">
        <f t="shared" si="7"/>
        <v>45333</v>
      </c>
    </row>
    <row r="15" spans="2:4" x14ac:dyDescent="0.2">
      <c r="B15" s="22">
        <v>44604</v>
      </c>
      <c r="C15" s="19">
        <f t="shared" ref="C15:D15" si="8">DATE(YEAR(B15)+1,MONTH(B15),DAY(B15))</f>
        <v>44969</v>
      </c>
      <c r="D15" s="19">
        <f t="shared" si="8"/>
        <v>45334</v>
      </c>
    </row>
    <row r="16" spans="2:4" x14ac:dyDescent="0.2">
      <c r="B16" s="22">
        <v>44605</v>
      </c>
      <c r="C16" s="19">
        <f t="shared" ref="C16:D16" si="9">DATE(YEAR(B16)+1,MONTH(B16),DAY(B16))</f>
        <v>44970</v>
      </c>
      <c r="D16" s="19">
        <f t="shared" si="9"/>
        <v>45335</v>
      </c>
    </row>
    <row r="17" spans="2:4" x14ac:dyDescent="0.2">
      <c r="B17" s="23">
        <v>44606</v>
      </c>
      <c r="C17" s="20">
        <f t="shared" ref="C17:D17" si="10">DATE(YEAR(B17)+1,MONTH(B17),DAY(B17))</f>
        <v>44971</v>
      </c>
      <c r="D17" s="20">
        <f t="shared" si="10"/>
        <v>45336</v>
      </c>
    </row>
    <row r="18" spans="2:4" x14ac:dyDescent="0.2">
      <c r="B18" s="21">
        <v>44661</v>
      </c>
      <c r="C18" s="18">
        <f t="shared" ref="C18:D18" si="11">DATE(YEAR(B18)+1,MONTH(B18),DAY(B18))</f>
        <v>45026</v>
      </c>
      <c r="D18" s="18">
        <f t="shared" si="11"/>
        <v>45392</v>
      </c>
    </row>
    <row r="19" spans="2:4" x14ac:dyDescent="0.2">
      <c r="B19" s="22">
        <v>44662</v>
      </c>
      <c r="C19" s="19">
        <f t="shared" ref="C19:D19" si="12">DATE(YEAR(B19)+1,MONTH(B19),DAY(B19))</f>
        <v>45027</v>
      </c>
      <c r="D19" s="19">
        <f t="shared" si="12"/>
        <v>45393</v>
      </c>
    </row>
    <row r="20" spans="2:4" x14ac:dyDescent="0.2">
      <c r="B20" s="22">
        <v>44663</v>
      </c>
      <c r="C20" s="19">
        <f t="shared" ref="C20:D20" si="13">DATE(YEAR(B20)+1,MONTH(B20),DAY(B20))</f>
        <v>45028</v>
      </c>
      <c r="D20" s="19">
        <f t="shared" si="13"/>
        <v>45394</v>
      </c>
    </row>
    <row r="21" spans="2:4" x14ac:dyDescent="0.2">
      <c r="B21" s="22">
        <v>44664</v>
      </c>
      <c r="C21" s="19">
        <f t="shared" ref="C21:D21" si="14">DATE(YEAR(B21)+1,MONTH(B21),DAY(B21))</f>
        <v>45029</v>
      </c>
      <c r="D21" s="19">
        <f t="shared" si="14"/>
        <v>45395</v>
      </c>
    </row>
    <row r="22" spans="2:4" x14ac:dyDescent="0.2">
      <c r="B22" s="22">
        <v>44665</v>
      </c>
      <c r="C22" s="19">
        <f t="shared" ref="C22:D22" si="15">DATE(YEAR(B22)+1,MONTH(B22),DAY(B22))</f>
        <v>45030</v>
      </c>
      <c r="D22" s="19">
        <f t="shared" si="15"/>
        <v>45396</v>
      </c>
    </row>
    <row r="23" spans="2:4" x14ac:dyDescent="0.2">
      <c r="B23" s="22">
        <v>44666</v>
      </c>
      <c r="C23" s="19">
        <f t="shared" ref="C23:D23" si="16">DATE(YEAR(B23)+1,MONTH(B23),DAY(B23))</f>
        <v>45031</v>
      </c>
      <c r="D23" s="19">
        <f t="shared" si="16"/>
        <v>45397</v>
      </c>
    </row>
    <row r="24" spans="2:4" x14ac:dyDescent="0.2">
      <c r="B24" s="22">
        <v>44667</v>
      </c>
      <c r="C24" s="19">
        <f t="shared" ref="C24:D24" si="17">DATE(YEAR(B24)+1,MONTH(B24),DAY(B24))</f>
        <v>45032</v>
      </c>
      <c r="D24" s="19">
        <f t="shared" si="17"/>
        <v>45398</v>
      </c>
    </row>
    <row r="25" spans="2:4" x14ac:dyDescent="0.2">
      <c r="B25" s="22">
        <v>44668</v>
      </c>
      <c r="C25" s="19">
        <f t="shared" ref="C25:D25" si="18">DATE(YEAR(B25)+1,MONTH(B25),DAY(B25))</f>
        <v>45033</v>
      </c>
      <c r="D25" s="19">
        <f t="shared" si="18"/>
        <v>45399</v>
      </c>
    </row>
    <row r="26" spans="2:4" x14ac:dyDescent="0.2">
      <c r="B26" s="23">
        <v>44669</v>
      </c>
      <c r="C26" s="20">
        <f t="shared" ref="C26:D26" si="19">DATE(YEAR(B26)+1,MONTH(B26),DAY(B26))</f>
        <v>45034</v>
      </c>
      <c r="D26" s="20">
        <f t="shared" si="19"/>
        <v>45400</v>
      </c>
    </row>
    <row r="27" spans="2:4" x14ac:dyDescent="0.2">
      <c r="B27" s="21">
        <v>44749</v>
      </c>
      <c r="C27" s="18">
        <f t="shared" ref="C27:D27" si="20">DATE(YEAR(B27)+1,MONTH(B27),DAY(B27))</f>
        <v>45114</v>
      </c>
      <c r="D27" s="18">
        <f t="shared" si="20"/>
        <v>45480</v>
      </c>
    </row>
    <row r="28" spans="2:4" x14ac:dyDescent="0.2">
      <c r="B28" s="22">
        <v>44750</v>
      </c>
      <c r="C28" s="19">
        <f t="shared" ref="C28:D28" si="21">DATE(YEAR(B28)+1,MONTH(B28),DAY(B28))</f>
        <v>45115</v>
      </c>
      <c r="D28" s="19">
        <f t="shared" si="21"/>
        <v>45481</v>
      </c>
    </row>
    <row r="29" spans="2:4" x14ac:dyDescent="0.2">
      <c r="B29" s="22">
        <v>44751</v>
      </c>
      <c r="C29" s="19">
        <f t="shared" ref="C29:D29" si="22">DATE(YEAR(B29)+1,MONTH(B29),DAY(B29))</f>
        <v>45116</v>
      </c>
      <c r="D29" s="19">
        <f t="shared" si="22"/>
        <v>45482</v>
      </c>
    </row>
    <row r="30" spans="2:4" x14ac:dyDescent="0.2">
      <c r="B30" s="22">
        <v>44752</v>
      </c>
      <c r="C30" s="19">
        <f t="shared" ref="C30:D30" si="23">DATE(YEAR(B30)+1,MONTH(B30),DAY(B30))</f>
        <v>45117</v>
      </c>
      <c r="D30" s="19">
        <f t="shared" si="23"/>
        <v>45483</v>
      </c>
    </row>
    <row r="31" spans="2:4" x14ac:dyDescent="0.2">
      <c r="B31" s="22">
        <v>44753</v>
      </c>
      <c r="C31" s="19">
        <f t="shared" ref="C31:D31" si="24">DATE(YEAR(B31)+1,MONTH(B31),DAY(B31))</f>
        <v>45118</v>
      </c>
      <c r="D31" s="19">
        <f t="shared" si="24"/>
        <v>45484</v>
      </c>
    </row>
    <row r="32" spans="2:4" x14ac:dyDescent="0.2">
      <c r="B32" s="22">
        <v>44754</v>
      </c>
      <c r="C32" s="19">
        <f t="shared" ref="C32:D32" si="25">DATE(YEAR(B32)+1,MONTH(B32),DAY(B32))</f>
        <v>45119</v>
      </c>
      <c r="D32" s="19">
        <f t="shared" si="25"/>
        <v>45485</v>
      </c>
    </row>
    <row r="33" spans="2:4" x14ac:dyDescent="0.2">
      <c r="B33" s="22">
        <v>44755</v>
      </c>
      <c r="C33" s="19">
        <f t="shared" ref="C33:D33" si="26">DATE(YEAR(B33)+1,MONTH(B33),DAY(B33))</f>
        <v>45120</v>
      </c>
      <c r="D33" s="19">
        <f t="shared" si="26"/>
        <v>45486</v>
      </c>
    </row>
    <row r="34" spans="2:4" x14ac:dyDescent="0.2">
      <c r="B34" s="22">
        <v>44756</v>
      </c>
      <c r="C34" s="19">
        <f t="shared" ref="C34:D34" si="27">DATE(YEAR(B34)+1,MONTH(B34),DAY(B34))</f>
        <v>45121</v>
      </c>
      <c r="D34" s="19">
        <f t="shared" si="27"/>
        <v>45487</v>
      </c>
    </row>
    <row r="35" spans="2:4" x14ac:dyDescent="0.2">
      <c r="B35" s="22">
        <v>44757</v>
      </c>
      <c r="C35" s="19">
        <f t="shared" ref="C35:D35" si="28">DATE(YEAR(B35)+1,MONTH(B35),DAY(B35))</f>
        <v>45122</v>
      </c>
      <c r="D35" s="19">
        <f t="shared" si="28"/>
        <v>45488</v>
      </c>
    </row>
    <row r="36" spans="2:4" x14ac:dyDescent="0.2">
      <c r="B36" s="22">
        <v>44758</v>
      </c>
      <c r="C36" s="19">
        <f t="shared" ref="C36:D36" si="29">DATE(YEAR(B36)+1,MONTH(B36),DAY(B36))</f>
        <v>45123</v>
      </c>
      <c r="D36" s="19">
        <f t="shared" si="29"/>
        <v>45489</v>
      </c>
    </row>
    <row r="37" spans="2:4" x14ac:dyDescent="0.2">
      <c r="B37" s="22">
        <v>44759</v>
      </c>
      <c r="C37" s="19">
        <f t="shared" ref="C37:D37" si="30">DATE(YEAR(B37)+1,MONTH(B37),DAY(B37))</f>
        <v>45124</v>
      </c>
      <c r="D37" s="19">
        <f t="shared" si="30"/>
        <v>45490</v>
      </c>
    </row>
    <row r="38" spans="2:4" x14ac:dyDescent="0.2">
      <c r="B38" s="22">
        <v>44760</v>
      </c>
      <c r="C38" s="19">
        <f t="shared" ref="C38:D38" si="31">DATE(YEAR(B38)+1,MONTH(B38),DAY(B38))</f>
        <v>45125</v>
      </c>
      <c r="D38" s="19">
        <f t="shared" si="31"/>
        <v>45491</v>
      </c>
    </row>
    <row r="39" spans="2:4" x14ac:dyDescent="0.2">
      <c r="B39" s="22">
        <v>44761</v>
      </c>
      <c r="C39" s="19">
        <f t="shared" ref="C39:D39" si="32">DATE(YEAR(B39)+1,MONTH(B39),DAY(B39))</f>
        <v>45126</v>
      </c>
      <c r="D39" s="19">
        <f t="shared" si="32"/>
        <v>45492</v>
      </c>
    </row>
    <row r="40" spans="2:4" x14ac:dyDescent="0.2">
      <c r="B40" s="22">
        <v>44762</v>
      </c>
      <c r="C40" s="19">
        <f t="shared" ref="C40:D40" si="33">DATE(YEAR(B40)+1,MONTH(B40),DAY(B40))</f>
        <v>45127</v>
      </c>
      <c r="D40" s="19">
        <f t="shared" si="33"/>
        <v>45493</v>
      </c>
    </row>
    <row r="41" spans="2:4" x14ac:dyDescent="0.2">
      <c r="B41" s="22">
        <v>44763</v>
      </c>
      <c r="C41" s="19">
        <f t="shared" ref="C41:D41" si="34">DATE(YEAR(B41)+1,MONTH(B41),DAY(B41))</f>
        <v>45128</v>
      </c>
      <c r="D41" s="19">
        <f t="shared" si="34"/>
        <v>45494</v>
      </c>
    </row>
    <row r="42" spans="2:4" x14ac:dyDescent="0.2">
      <c r="B42" s="22">
        <v>44764</v>
      </c>
      <c r="C42" s="19">
        <f t="shared" ref="C42:D42" si="35">DATE(YEAR(B42)+1,MONTH(B42),DAY(B42))</f>
        <v>45129</v>
      </c>
      <c r="D42" s="19">
        <f t="shared" si="35"/>
        <v>45495</v>
      </c>
    </row>
    <row r="43" spans="2:4" x14ac:dyDescent="0.2">
      <c r="B43" s="22">
        <v>44765</v>
      </c>
      <c r="C43" s="19">
        <f t="shared" ref="C43:D43" si="36">DATE(YEAR(B43)+1,MONTH(B43),DAY(B43))</f>
        <v>45130</v>
      </c>
      <c r="D43" s="19">
        <f t="shared" si="36"/>
        <v>45496</v>
      </c>
    </row>
    <row r="44" spans="2:4" x14ac:dyDescent="0.2">
      <c r="B44" s="22">
        <v>44766</v>
      </c>
      <c r="C44" s="19">
        <f t="shared" ref="C44:D44" si="37">DATE(YEAR(B44)+1,MONTH(B44),DAY(B44))</f>
        <v>45131</v>
      </c>
      <c r="D44" s="19">
        <f t="shared" si="37"/>
        <v>45497</v>
      </c>
    </row>
    <row r="45" spans="2:4" x14ac:dyDescent="0.2">
      <c r="B45" s="22">
        <v>44767</v>
      </c>
      <c r="C45" s="19">
        <f t="shared" ref="C45:D45" si="38">DATE(YEAR(B45)+1,MONTH(B45),DAY(B45))</f>
        <v>45132</v>
      </c>
      <c r="D45" s="19">
        <f t="shared" si="38"/>
        <v>45498</v>
      </c>
    </row>
    <row r="46" spans="2:4" x14ac:dyDescent="0.2">
      <c r="B46" s="22">
        <v>44768</v>
      </c>
      <c r="C46" s="19">
        <f t="shared" ref="C46:D46" si="39">DATE(YEAR(B46)+1,MONTH(B46),DAY(B46))</f>
        <v>45133</v>
      </c>
      <c r="D46" s="19">
        <f t="shared" si="39"/>
        <v>45499</v>
      </c>
    </row>
    <row r="47" spans="2:4" x14ac:dyDescent="0.2">
      <c r="B47" s="22">
        <v>44769</v>
      </c>
      <c r="C47" s="19">
        <f t="shared" ref="C47:D47" si="40">DATE(YEAR(B47)+1,MONTH(B47),DAY(B47))</f>
        <v>45134</v>
      </c>
      <c r="D47" s="19">
        <f t="shared" si="40"/>
        <v>45500</v>
      </c>
    </row>
    <row r="48" spans="2:4" x14ac:dyDescent="0.2">
      <c r="B48" s="22">
        <v>44770</v>
      </c>
      <c r="C48" s="19">
        <f t="shared" ref="C48:D48" si="41">DATE(YEAR(B48)+1,MONTH(B48),DAY(B48))</f>
        <v>45135</v>
      </c>
      <c r="D48" s="19">
        <f t="shared" si="41"/>
        <v>45501</v>
      </c>
    </row>
    <row r="49" spans="2:4" x14ac:dyDescent="0.2">
      <c r="B49" s="22">
        <v>44771</v>
      </c>
      <c r="C49" s="19">
        <f t="shared" ref="C49:D49" si="42">DATE(YEAR(B49)+1,MONTH(B49),DAY(B49))</f>
        <v>45136</v>
      </c>
      <c r="D49" s="19">
        <f t="shared" si="42"/>
        <v>45502</v>
      </c>
    </row>
    <row r="50" spans="2:4" x14ac:dyDescent="0.2">
      <c r="B50" s="22">
        <v>44772</v>
      </c>
      <c r="C50" s="19">
        <f t="shared" ref="C50:D50" si="43">DATE(YEAR(B50)+1,MONTH(B50),DAY(B50))</f>
        <v>45137</v>
      </c>
      <c r="D50" s="19">
        <f t="shared" si="43"/>
        <v>45503</v>
      </c>
    </row>
    <row r="51" spans="2:4" x14ac:dyDescent="0.2">
      <c r="B51" s="22">
        <v>44773</v>
      </c>
      <c r="C51" s="19">
        <f t="shared" ref="C51:D51" si="44">DATE(YEAR(B51)+1,MONTH(B51),DAY(B51))</f>
        <v>45138</v>
      </c>
      <c r="D51" s="19">
        <f t="shared" si="44"/>
        <v>45504</v>
      </c>
    </row>
    <row r="52" spans="2:4" x14ac:dyDescent="0.2">
      <c r="B52" s="22">
        <v>44774</v>
      </c>
      <c r="C52" s="19">
        <f t="shared" ref="C52:D52" si="45">DATE(YEAR(B52)+1,MONTH(B52),DAY(B52))</f>
        <v>45139</v>
      </c>
      <c r="D52" s="19">
        <f t="shared" si="45"/>
        <v>45505</v>
      </c>
    </row>
    <row r="53" spans="2:4" x14ac:dyDescent="0.2">
      <c r="B53" s="22">
        <v>44775</v>
      </c>
      <c r="C53" s="19">
        <f t="shared" ref="C53:D53" si="46">DATE(YEAR(B53)+1,MONTH(B53),DAY(B53))</f>
        <v>45140</v>
      </c>
      <c r="D53" s="19">
        <f t="shared" si="46"/>
        <v>45506</v>
      </c>
    </row>
    <row r="54" spans="2:4" x14ac:dyDescent="0.2">
      <c r="B54" s="22">
        <v>44776</v>
      </c>
      <c r="C54" s="19">
        <f t="shared" ref="C54:D54" si="47">DATE(YEAR(B54)+1,MONTH(B54),DAY(B54))</f>
        <v>45141</v>
      </c>
      <c r="D54" s="19">
        <f t="shared" si="47"/>
        <v>45507</v>
      </c>
    </row>
    <row r="55" spans="2:4" x14ac:dyDescent="0.2">
      <c r="B55" s="22">
        <v>44777</v>
      </c>
      <c r="C55" s="19">
        <f t="shared" ref="C55:D55" si="48">DATE(YEAR(B55)+1,MONTH(B55),DAY(B55))</f>
        <v>45142</v>
      </c>
      <c r="D55" s="19">
        <f t="shared" si="48"/>
        <v>45508</v>
      </c>
    </row>
    <row r="56" spans="2:4" x14ac:dyDescent="0.2">
      <c r="B56" s="22">
        <v>44778</v>
      </c>
      <c r="C56" s="19">
        <f t="shared" ref="C56:D56" si="49">DATE(YEAR(B56)+1,MONTH(B56),DAY(B56))</f>
        <v>45143</v>
      </c>
      <c r="D56" s="19">
        <f t="shared" si="49"/>
        <v>45509</v>
      </c>
    </row>
    <row r="57" spans="2:4" x14ac:dyDescent="0.2">
      <c r="B57" s="22">
        <v>44779</v>
      </c>
      <c r="C57" s="19">
        <f t="shared" ref="C57:D57" si="50">DATE(YEAR(B57)+1,MONTH(B57),DAY(B57))</f>
        <v>45144</v>
      </c>
      <c r="D57" s="19">
        <f t="shared" si="50"/>
        <v>45510</v>
      </c>
    </row>
    <row r="58" spans="2:4" x14ac:dyDescent="0.2">
      <c r="B58" s="22">
        <v>44780</v>
      </c>
      <c r="C58" s="19">
        <f t="shared" ref="C58:D58" si="51">DATE(YEAR(B58)+1,MONTH(B58),DAY(B58))</f>
        <v>45145</v>
      </c>
      <c r="D58" s="19">
        <f t="shared" si="51"/>
        <v>45511</v>
      </c>
    </row>
    <row r="59" spans="2:4" x14ac:dyDescent="0.2">
      <c r="B59" s="22">
        <v>44781</v>
      </c>
      <c r="C59" s="19">
        <f t="shared" ref="C59:D59" si="52">DATE(YEAR(B59)+1,MONTH(B59),DAY(B59))</f>
        <v>45146</v>
      </c>
      <c r="D59" s="19">
        <f t="shared" si="52"/>
        <v>45512</v>
      </c>
    </row>
    <row r="60" spans="2:4" x14ac:dyDescent="0.2">
      <c r="B60" s="22">
        <v>44782</v>
      </c>
      <c r="C60" s="19">
        <f t="shared" ref="C60:D60" si="53">DATE(YEAR(B60)+1,MONTH(B60),DAY(B60))</f>
        <v>45147</v>
      </c>
      <c r="D60" s="19">
        <f t="shared" si="53"/>
        <v>45513</v>
      </c>
    </row>
    <row r="61" spans="2:4" x14ac:dyDescent="0.2">
      <c r="B61" s="22">
        <v>44783</v>
      </c>
      <c r="C61" s="19">
        <f t="shared" ref="C61:D61" si="54">DATE(YEAR(B61)+1,MONTH(B61),DAY(B61))</f>
        <v>45148</v>
      </c>
      <c r="D61" s="19">
        <f t="shared" si="54"/>
        <v>45514</v>
      </c>
    </row>
    <row r="62" spans="2:4" x14ac:dyDescent="0.2">
      <c r="B62" s="22">
        <v>44784</v>
      </c>
      <c r="C62" s="19">
        <f t="shared" ref="C62:D62" si="55">DATE(YEAR(B62)+1,MONTH(B62),DAY(B62))</f>
        <v>45149</v>
      </c>
      <c r="D62" s="19">
        <f t="shared" si="55"/>
        <v>45515</v>
      </c>
    </row>
    <row r="63" spans="2:4" x14ac:dyDescent="0.2">
      <c r="B63" s="22">
        <v>44785</v>
      </c>
      <c r="C63" s="19">
        <f t="shared" ref="C63:D63" si="56">DATE(YEAR(B63)+1,MONTH(B63),DAY(B63))</f>
        <v>45150</v>
      </c>
      <c r="D63" s="19">
        <f t="shared" si="56"/>
        <v>45516</v>
      </c>
    </row>
    <row r="64" spans="2:4" x14ac:dyDescent="0.2">
      <c r="B64" s="22">
        <v>44786</v>
      </c>
      <c r="C64" s="19">
        <f t="shared" ref="C64:D64" si="57">DATE(YEAR(B64)+1,MONTH(B64),DAY(B64))</f>
        <v>45151</v>
      </c>
      <c r="D64" s="19">
        <f t="shared" si="57"/>
        <v>45517</v>
      </c>
    </row>
    <row r="65" spans="2:4" x14ac:dyDescent="0.2">
      <c r="B65" s="22">
        <v>44787</v>
      </c>
      <c r="C65" s="19">
        <f t="shared" ref="C65:D65" si="58">DATE(YEAR(B65)+1,MONTH(B65),DAY(B65))</f>
        <v>45152</v>
      </c>
      <c r="D65" s="19">
        <f t="shared" si="58"/>
        <v>45518</v>
      </c>
    </row>
    <row r="66" spans="2:4" x14ac:dyDescent="0.2">
      <c r="B66" s="22">
        <v>44788</v>
      </c>
      <c r="C66" s="19">
        <f t="shared" ref="C66:D66" si="59">DATE(YEAR(B66)+1,MONTH(B66),DAY(B66))</f>
        <v>45153</v>
      </c>
      <c r="D66" s="19">
        <f t="shared" si="59"/>
        <v>45519</v>
      </c>
    </row>
    <row r="67" spans="2:4" x14ac:dyDescent="0.2">
      <c r="B67" s="22">
        <v>44789</v>
      </c>
      <c r="C67" s="19">
        <f t="shared" ref="C67:D67" si="60">DATE(YEAR(B67)+1,MONTH(B67),DAY(B67))</f>
        <v>45154</v>
      </c>
      <c r="D67" s="19">
        <f t="shared" si="60"/>
        <v>45520</v>
      </c>
    </row>
    <row r="68" spans="2:4" x14ac:dyDescent="0.2">
      <c r="B68" s="22">
        <v>44790</v>
      </c>
      <c r="C68" s="19">
        <f t="shared" ref="C68:D68" si="61">DATE(YEAR(B68)+1,MONTH(B68),DAY(B68))</f>
        <v>45155</v>
      </c>
      <c r="D68" s="19">
        <f t="shared" si="61"/>
        <v>45521</v>
      </c>
    </row>
    <row r="69" spans="2:4" x14ac:dyDescent="0.2">
      <c r="B69" s="22">
        <v>44791</v>
      </c>
      <c r="C69" s="19">
        <f t="shared" ref="C69:D69" si="62">DATE(YEAR(B69)+1,MONTH(B69),DAY(B69))</f>
        <v>45156</v>
      </c>
      <c r="D69" s="19">
        <f t="shared" si="62"/>
        <v>45522</v>
      </c>
    </row>
    <row r="70" spans="2:4" x14ac:dyDescent="0.2">
      <c r="B70" s="22">
        <v>44792</v>
      </c>
      <c r="C70" s="19">
        <f t="shared" ref="C70:D70" si="63">DATE(YEAR(B70)+1,MONTH(B70),DAY(B70))</f>
        <v>45157</v>
      </c>
      <c r="D70" s="19">
        <f t="shared" si="63"/>
        <v>45523</v>
      </c>
    </row>
    <row r="71" spans="2:4" x14ac:dyDescent="0.2">
      <c r="B71" s="22">
        <v>44793</v>
      </c>
      <c r="C71" s="19">
        <f t="shared" ref="C71:D71" si="64">DATE(YEAR(B71)+1,MONTH(B71),DAY(B71))</f>
        <v>45158</v>
      </c>
      <c r="D71" s="19">
        <f t="shared" si="64"/>
        <v>45524</v>
      </c>
    </row>
    <row r="72" spans="2:4" x14ac:dyDescent="0.2">
      <c r="B72" s="22">
        <v>44794</v>
      </c>
      <c r="C72" s="19">
        <f t="shared" ref="C72:D72" si="65">DATE(YEAR(B72)+1,MONTH(B72),DAY(B72))</f>
        <v>45159</v>
      </c>
      <c r="D72" s="19">
        <f t="shared" si="65"/>
        <v>45525</v>
      </c>
    </row>
    <row r="73" spans="2:4" x14ac:dyDescent="0.2">
      <c r="B73" s="22">
        <v>44795</v>
      </c>
      <c r="C73" s="19">
        <f t="shared" ref="C73:D73" si="66">DATE(YEAR(B73)+1,MONTH(B73),DAY(B73))</f>
        <v>45160</v>
      </c>
      <c r="D73" s="19">
        <f t="shared" si="66"/>
        <v>45526</v>
      </c>
    </row>
    <row r="74" spans="2:4" x14ac:dyDescent="0.2">
      <c r="B74" s="22">
        <v>44796</v>
      </c>
      <c r="C74" s="19">
        <f t="shared" ref="C74:D74" si="67">DATE(YEAR(B74)+1,MONTH(B74),DAY(B74))</f>
        <v>45161</v>
      </c>
      <c r="D74" s="19">
        <f t="shared" si="67"/>
        <v>45527</v>
      </c>
    </row>
    <row r="75" spans="2:4" x14ac:dyDescent="0.2">
      <c r="B75" s="22">
        <v>44797</v>
      </c>
      <c r="C75" s="19">
        <f t="shared" ref="C75:D75" si="68">DATE(YEAR(B75)+1,MONTH(B75),DAY(B75))</f>
        <v>45162</v>
      </c>
      <c r="D75" s="19">
        <f t="shared" si="68"/>
        <v>45528</v>
      </c>
    </row>
    <row r="76" spans="2:4" x14ac:dyDescent="0.2">
      <c r="B76" s="22">
        <v>44798</v>
      </c>
      <c r="C76" s="19">
        <f t="shared" ref="C76:D76" si="69">DATE(YEAR(B76)+1,MONTH(B76),DAY(B76))</f>
        <v>45163</v>
      </c>
      <c r="D76" s="19">
        <f t="shared" si="69"/>
        <v>45529</v>
      </c>
    </row>
    <row r="77" spans="2:4" x14ac:dyDescent="0.2">
      <c r="B77" s="22">
        <v>44799</v>
      </c>
      <c r="C77" s="19">
        <f t="shared" ref="C77:D77" si="70">DATE(YEAR(B77)+1,MONTH(B77),DAY(B77))</f>
        <v>45164</v>
      </c>
      <c r="D77" s="19">
        <f t="shared" si="70"/>
        <v>45530</v>
      </c>
    </row>
    <row r="78" spans="2:4" x14ac:dyDescent="0.2">
      <c r="B78" s="22">
        <v>44800</v>
      </c>
      <c r="C78" s="19">
        <f t="shared" ref="C78:D78" si="71">DATE(YEAR(B78)+1,MONTH(B78),DAY(B78))</f>
        <v>45165</v>
      </c>
      <c r="D78" s="19">
        <f t="shared" si="71"/>
        <v>45531</v>
      </c>
    </row>
    <row r="79" spans="2:4" x14ac:dyDescent="0.2">
      <c r="B79" s="22">
        <v>44801</v>
      </c>
      <c r="C79" s="19">
        <f t="shared" ref="C79:D79" si="72">DATE(YEAR(B79)+1,MONTH(B79),DAY(B79))</f>
        <v>45166</v>
      </c>
      <c r="D79" s="19">
        <f t="shared" si="72"/>
        <v>45532</v>
      </c>
    </row>
    <row r="80" spans="2:4" x14ac:dyDescent="0.2">
      <c r="B80" s="22">
        <v>44802</v>
      </c>
      <c r="C80" s="19">
        <f t="shared" ref="C80:D80" si="73">DATE(YEAR(B80)+1,MONTH(B80),DAY(B80))</f>
        <v>45167</v>
      </c>
      <c r="D80" s="19">
        <f t="shared" si="73"/>
        <v>45533</v>
      </c>
    </row>
    <row r="81" spans="2:4" x14ac:dyDescent="0.2">
      <c r="B81" s="22">
        <v>44803</v>
      </c>
      <c r="C81" s="19">
        <f t="shared" ref="C81:D81" si="74">DATE(YEAR(B81)+1,MONTH(B81),DAY(B81))</f>
        <v>45168</v>
      </c>
      <c r="D81" s="19">
        <f t="shared" si="74"/>
        <v>45534</v>
      </c>
    </row>
    <row r="82" spans="2:4" x14ac:dyDescent="0.2">
      <c r="B82" s="23">
        <v>44804</v>
      </c>
      <c r="C82" s="19">
        <f t="shared" ref="C82:D82" si="75">DATE(YEAR(B82)+1,MONTH(B82),DAY(B82))</f>
        <v>45169</v>
      </c>
      <c r="D82" s="19">
        <f t="shared" si="75"/>
        <v>45535</v>
      </c>
    </row>
    <row r="83" spans="2:4" x14ac:dyDescent="0.2">
      <c r="B83" s="21">
        <v>44851</v>
      </c>
      <c r="C83" s="18">
        <f t="shared" ref="C83:D83" si="76">DATE(YEAR(B83)+1,MONTH(B83),DAY(B83))</f>
        <v>45216</v>
      </c>
      <c r="D83" s="18">
        <f t="shared" si="76"/>
        <v>45582</v>
      </c>
    </row>
    <row r="84" spans="2:4" x14ac:dyDescent="0.2">
      <c r="B84" s="22">
        <v>44852</v>
      </c>
      <c r="C84" s="19">
        <f t="shared" ref="C84:D84" si="77">DATE(YEAR(B84)+1,MONTH(B84),DAY(B84))</f>
        <v>45217</v>
      </c>
      <c r="D84" s="19">
        <f t="shared" si="77"/>
        <v>45583</v>
      </c>
    </row>
    <row r="85" spans="2:4" x14ac:dyDescent="0.2">
      <c r="B85" s="22">
        <v>44853</v>
      </c>
      <c r="C85" s="19">
        <f t="shared" ref="C85:D85" si="78">DATE(YEAR(B85)+1,MONTH(B85),DAY(B85))</f>
        <v>45218</v>
      </c>
      <c r="D85" s="19">
        <f t="shared" si="78"/>
        <v>45584</v>
      </c>
    </row>
    <row r="86" spans="2:4" x14ac:dyDescent="0.2">
      <c r="B86" s="22">
        <v>44854</v>
      </c>
      <c r="C86" s="19">
        <f t="shared" ref="C86:D86" si="79">DATE(YEAR(B86)+1,MONTH(B86),DAY(B86))</f>
        <v>45219</v>
      </c>
      <c r="D86" s="19">
        <f t="shared" si="79"/>
        <v>45585</v>
      </c>
    </row>
    <row r="87" spans="2:4" x14ac:dyDescent="0.2">
      <c r="B87" s="22">
        <v>44855</v>
      </c>
      <c r="C87" s="19">
        <f t="shared" ref="C87:D87" si="80">DATE(YEAR(B87)+1,MONTH(B87),DAY(B87))</f>
        <v>45220</v>
      </c>
      <c r="D87" s="19">
        <f t="shared" si="80"/>
        <v>45586</v>
      </c>
    </row>
    <row r="88" spans="2:4" x14ac:dyDescent="0.2">
      <c r="B88" s="22">
        <v>44856</v>
      </c>
      <c r="C88" s="19">
        <f t="shared" ref="C88:D88" si="81">DATE(YEAR(B88)+1,MONTH(B88),DAY(B88))</f>
        <v>45221</v>
      </c>
      <c r="D88" s="19">
        <f t="shared" si="81"/>
        <v>45587</v>
      </c>
    </row>
    <row r="89" spans="2:4" x14ac:dyDescent="0.2">
      <c r="B89" s="22">
        <v>44857</v>
      </c>
      <c r="C89" s="19">
        <f t="shared" ref="C89:D89" si="82">DATE(YEAR(B89)+1,MONTH(B89),DAY(B89))</f>
        <v>45222</v>
      </c>
      <c r="D89" s="19">
        <f t="shared" si="82"/>
        <v>45588</v>
      </c>
    </row>
    <row r="90" spans="2:4" x14ac:dyDescent="0.2">
      <c r="B90" s="22">
        <v>44858</v>
      </c>
      <c r="C90" s="19">
        <f t="shared" ref="C90:D90" si="83">DATE(YEAR(B90)+1,MONTH(B90),DAY(B90))</f>
        <v>45223</v>
      </c>
      <c r="D90" s="19">
        <f t="shared" si="83"/>
        <v>45589</v>
      </c>
    </row>
    <row r="91" spans="2:4" x14ac:dyDescent="0.2">
      <c r="B91" s="23">
        <v>44859</v>
      </c>
      <c r="C91" s="20">
        <f t="shared" ref="C91:D91" si="84">DATE(YEAR(B91)+1,MONTH(B91),DAY(B91))</f>
        <v>45224</v>
      </c>
      <c r="D91" s="20">
        <f t="shared" si="84"/>
        <v>45590</v>
      </c>
    </row>
    <row r="92" spans="2:4" x14ac:dyDescent="0.2">
      <c r="B92" s="21">
        <v>44914</v>
      </c>
      <c r="C92" s="18">
        <f t="shared" ref="C92:D92" si="85">DATE(YEAR(B92)+1,MONTH(B92),DAY(B92))</f>
        <v>45279</v>
      </c>
      <c r="D92" s="18">
        <f t="shared" si="85"/>
        <v>45645</v>
      </c>
    </row>
    <row r="93" spans="2:4" x14ac:dyDescent="0.2">
      <c r="B93" s="22">
        <v>44915</v>
      </c>
      <c r="C93" s="19">
        <f t="shared" ref="C93:D93" si="86">DATE(YEAR(B93)+1,MONTH(B93),DAY(B93))</f>
        <v>45280</v>
      </c>
      <c r="D93" s="19">
        <f t="shared" si="86"/>
        <v>45646</v>
      </c>
    </row>
    <row r="94" spans="2:4" x14ac:dyDescent="0.2">
      <c r="B94" s="22">
        <v>44916</v>
      </c>
      <c r="C94" s="19">
        <f t="shared" ref="C94:D94" si="87">DATE(YEAR(B94)+1,MONTH(B94),DAY(B94))</f>
        <v>45281</v>
      </c>
      <c r="D94" s="19">
        <f t="shared" si="87"/>
        <v>45647</v>
      </c>
    </row>
    <row r="95" spans="2:4" x14ac:dyDescent="0.2">
      <c r="B95" s="22">
        <v>44917</v>
      </c>
      <c r="C95" s="19">
        <f t="shared" ref="C95:D95" si="88">DATE(YEAR(B95)+1,MONTH(B95),DAY(B95))</f>
        <v>45282</v>
      </c>
      <c r="D95" s="19">
        <f t="shared" si="88"/>
        <v>45648</v>
      </c>
    </row>
    <row r="96" spans="2:4" x14ac:dyDescent="0.2">
      <c r="B96" s="22">
        <v>44918</v>
      </c>
      <c r="C96" s="19">
        <f t="shared" ref="C96:D96" si="89">DATE(YEAR(B96)+1,MONTH(B96),DAY(B96))</f>
        <v>45283</v>
      </c>
      <c r="D96" s="19">
        <f t="shared" si="89"/>
        <v>45649</v>
      </c>
    </row>
    <row r="97" spans="2:4" x14ac:dyDescent="0.2">
      <c r="B97" s="22">
        <v>44919</v>
      </c>
      <c r="C97" s="19">
        <f t="shared" ref="C97:D97" si="90">DATE(YEAR(B97)+1,MONTH(B97),DAY(B97))</f>
        <v>45284</v>
      </c>
      <c r="D97" s="19">
        <f t="shared" si="90"/>
        <v>45650</v>
      </c>
    </row>
    <row r="98" spans="2:4" x14ac:dyDescent="0.2">
      <c r="B98" s="22">
        <v>44920</v>
      </c>
      <c r="C98" s="19">
        <f t="shared" ref="C98:D98" si="91">DATE(YEAR(B98)+1,MONTH(B98),DAY(B98))</f>
        <v>45285</v>
      </c>
      <c r="D98" s="19">
        <f t="shared" si="91"/>
        <v>45651</v>
      </c>
    </row>
    <row r="99" spans="2:4" x14ac:dyDescent="0.2">
      <c r="B99" s="22">
        <v>44921</v>
      </c>
      <c r="C99" s="19">
        <f t="shared" ref="C99:D99" si="92">DATE(YEAR(B99)+1,MONTH(B99),DAY(B99))</f>
        <v>45286</v>
      </c>
      <c r="D99" s="19">
        <f t="shared" si="92"/>
        <v>45652</v>
      </c>
    </row>
    <row r="100" spans="2:4" x14ac:dyDescent="0.2">
      <c r="B100" s="22">
        <v>44922</v>
      </c>
      <c r="C100" s="19">
        <f t="shared" ref="C100:D100" si="93">DATE(YEAR(B100)+1,MONTH(B100),DAY(B100))</f>
        <v>45287</v>
      </c>
      <c r="D100" s="19">
        <f t="shared" si="93"/>
        <v>45653</v>
      </c>
    </row>
    <row r="101" spans="2:4" x14ac:dyDescent="0.2">
      <c r="B101" s="22">
        <v>44923</v>
      </c>
      <c r="C101" s="19">
        <f t="shared" ref="C101:D101" si="94">DATE(YEAR(B101)+1,MONTH(B101),DAY(B101))</f>
        <v>45288</v>
      </c>
      <c r="D101" s="19">
        <f t="shared" si="94"/>
        <v>45654</v>
      </c>
    </row>
    <row r="102" spans="2:4" x14ac:dyDescent="0.2">
      <c r="B102" s="22">
        <v>44924</v>
      </c>
      <c r="C102" s="19">
        <f t="shared" ref="C102:D102" si="95">DATE(YEAR(B102)+1,MONTH(B102),DAY(B102))</f>
        <v>45289</v>
      </c>
      <c r="D102" s="19">
        <f t="shared" si="95"/>
        <v>45655</v>
      </c>
    </row>
    <row r="103" spans="2:4" x14ac:dyDescent="0.2">
      <c r="B103" s="22">
        <v>44925</v>
      </c>
      <c r="C103" s="19">
        <f t="shared" ref="C103:D103" si="96">DATE(YEAR(B103)+1,MONTH(B103),DAY(B103))</f>
        <v>45290</v>
      </c>
      <c r="D103" s="19">
        <f t="shared" si="96"/>
        <v>45656</v>
      </c>
    </row>
    <row r="104" spans="2:4" x14ac:dyDescent="0.2">
      <c r="B104" s="23">
        <v>44926</v>
      </c>
      <c r="C104" s="20">
        <f t="shared" ref="C104:D104" si="97">DATE(YEAR(B104)+1,MONTH(B104),DAY(B104))</f>
        <v>45291</v>
      </c>
      <c r="D104" s="20">
        <f t="shared" si="97"/>
        <v>45657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2</vt:i4>
      </vt:variant>
    </vt:vector>
  </HeadingPairs>
  <TitlesOfParts>
    <vt:vector size="6" baseType="lpstr">
      <vt:lpstr>Simplified Model</vt:lpstr>
      <vt:lpstr>Real Model</vt:lpstr>
      <vt:lpstr>Nombre campus</vt:lpstr>
      <vt:lpstr>Calendrier</vt:lpstr>
      <vt:lpstr>commandes</vt:lpstr>
      <vt:lpstr>Dates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JB RUBIO</dc:creator>
  <cp:lastModifiedBy>JB RUBIO</cp:lastModifiedBy>
  <cp:lastPrinted>2021-03-05T11:13:48Z</cp:lastPrinted>
  <dcterms:created xsi:type="dcterms:W3CDTF">2021-01-28T09:19:19Z</dcterms:created>
  <dcterms:modified xsi:type="dcterms:W3CDTF">2021-03-05T17:55:50Z</dcterms:modified>
</cp:coreProperties>
</file>